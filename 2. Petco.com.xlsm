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20490" windowHeight="7755"/>
  </bookViews>
  <sheets>
    <sheet name="FC Validation" sheetId="4" r:id="rId1"/>
    <sheet name="Forecast Workings" sheetId="8" r:id="rId2"/>
    <sheet name="Raw Data" sheetId="5" r:id="rId3"/>
    <sheet name="Monthly Analysis" sheetId="9" state="hidden" r:id="rId4"/>
    <sheet name="Sheet2" sheetId="10" state="hidden" r:id="rId5"/>
    <sheet name="Sheet1" sheetId="11" state="hidden" r:id="rId6"/>
  </sheets>
  <externalReferences>
    <externalReference r:id="rId7"/>
    <externalReference r:id="rId8"/>
  </externalReferences>
  <definedNames>
    <definedName name="_xlnm._FilterDatabase" localSheetId="0" hidden="1">'FC Validation'!$AE$14:$AK$491</definedName>
    <definedName name="_xlnm._FilterDatabase" localSheetId="1" hidden="1">'Forecast Workings'!$P$1:$V$225</definedName>
    <definedName name="_xlnm._FilterDatabase" localSheetId="2" hidden="1">'Raw Data'!$A$3:$BC$890</definedName>
    <definedName name="NewPromoTypes">'[1]Promo Types (New)'!$A$1:$A$69</definedName>
    <definedName name="Stream">[2]!StreamTable13[[#All],[Stream]]</definedName>
    <definedName name="xdata1" hidden="1">0</definedName>
  </definedNames>
  <calcPr calcId="125725"/>
</workbook>
</file>

<file path=xl/calcChain.xml><?xml version="1.0" encoding="utf-8"?>
<calcChain xmlns="http://schemas.openxmlformats.org/spreadsheetml/2006/main">
  <c r="V99" i="8"/>
  <c r="V48"/>
  <c r="V95"/>
  <c r="V68"/>
  <c r="V45"/>
  <c r="V20"/>
  <c r="R22"/>
  <c r="V92"/>
  <c r="V65"/>
  <c r="V42"/>
  <c r="V16"/>
  <c r="V87"/>
  <c r="V61"/>
  <c r="V39"/>
  <c r="V83"/>
  <c r="V9"/>
  <c r="V36"/>
  <c r="V80"/>
  <c r="V54"/>
  <c r="V32"/>
  <c r="V76"/>
  <c r="P2"/>
  <c r="R62"/>
  <c r="R52"/>
  <c r="R49"/>
  <c r="R29"/>
  <c r="R3"/>
  <c r="R96"/>
  <c r="R88"/>
  <c r="V72"/>
  <c r="V58"/>
  <c r="V51"/>
  <c r="R37"/>
  <c r="V28"/>
  <c r="V24"/>
  <c r="V2"/>
  <c r="AY896" i="4"/>
  <c r="AX896" s="1"/>
  <c r="AZ896"/>
  <c r="AV896" s="1"/>
  <c r="BA896"/>
  <c r="BD896"/>
  <c r="AX897"/>
  <c r="AY897"/>
  <c r="AZ897"/>
  <c r="BA897"/>
  <c r="BD897"/>
  <c r="AY898"/>
  <c r="AX898" s="1"/>
  <c r="AZ898"/>
  <c r="AV898" s="1"/>
  <c r="BA898"/>
  <c r="BD898"/>
  <c r="AX899"/>
  <c r="AY899"/>
  <c r="AZ899"/>
  <c r="BA899"/>
  <c r="BD899"/>
  <c r="AX900"/>
  <c r="AY900"/>
  <c r="AZ900"/>
  <c r="BA900"/>
  <c r="BD900"/>
  <c r="AX901"/>
  <c r="AY901"/>
  <c r="AZ901"/>
  <c r="BA901"/>
  <c r="BD901"/>
  <c r="AX902"/>
  <c r="AY902"/>
  <c r="AZ902"/>
  <c r="BA902"/>
  <c r="BD902"/>
  <c r="AX903"/>
  <c r="AY903"/>
  <c r="AZ903"/>
  <c r="BA903"/>
  <c r="BD903"/>
  <c r="AX904"/>
  <c r="AY904"/>
  <c r="AZ904"/>
  <c r="AV904" s="1"/>
  <c r="BA904"/>
  <c r="BD904"/>
  <c r="AX905"/>
  <c r="AY905"/>
  <c r="AZ905"/>
  <c r="BA905"/>
  <c r="BD905"/>
  <c r="AX906"/>
  <c r="AY906"/>
  <c r="AZ906"/>
  <c r="AV906" s="1"/>
  <c r="BA906"/>
  <c r="BD906"/>
  <c r="AX907"/>
  <c r="AY907"/>
  <c r="AZ907"/>
  <c r="BA907"/>
  <c r="BD907"/>
  <c r="AX908"/>
  <c r="AY908"/>
  <c r="AZ908"/>
  <c r="AV908" s="1"/>
  <c r="BA908"/>
  <c r="BD908"/>
  <c r="AX909"/>
  <c r="AY909"/>
  <c r="AZ909"/>
  <c r="BA909"/>
  <c r="BD909"/>
  <c r="AX910"/>
  <c r="AY910"/>
  <c r="AZ910"/>
  <c r="BA910"/>
  <c r="BD910"/>
  <c r="AX911"/>
  <c r="AY911"/>
  <c r="AZ911"/>
  <c r="BA911"/>
  <c r="BD911"/>
  <c r="AX912"/>
  <c r="AY912"/>
  <c r="AZ912"/>
  <c r="AV912" s="1"/>
  <c r="BA912"/>
  <c r="BD912"/>
  <c r="AX913"/>
  <c r="AY913"/>
  <c r="AZ913"/>
  <c r="BA913"/>
  <c r="BD913"/>
  <c r="AX914"/>
  <c r="AY914"/>
  <c r="AZ914"/>
  <c r="BA914"/>
  <c r="BD914"/>
  <c r="AX915"/>
  <c r="AY915"/>
  <c r="AZ915"/>
  <c r="BA915"/>
  <c r="BD915"/>
  <c r="AX916"/>
  <c r="AY916"/>
  <c r="AZ916"/>
  <c r="AV916" s="1"/>
  <c r="BA916"/>
  <c r="BD916"/>
  <c r="AX917"/>
  <c r="AY917"/>
  <c r="AZ917"/>
  <c r="BA917"/>
  <c r="BD917"/>
  <c r="AX918"/>
  <c r="AY918"/>
  <c r="AZ918"/>
  <c r="AV918" s="1"/>
  <c r="BA918"/>
  <c r="BD918"/>
  <c r="AX919"/>
  <c r="AY919"/>
  <c r="AZ919"/>
  <c r="BA919"/>
  <c r="BD919"/>
  <c r="AX920"/>
  <c r="AY920"/>
  <c r="AZ920"/>
  <c r="BA920"/>
  <c r="BD920"/>
  <c r="AX921"/>
  <c r="AY921"/>
  <c r="AZ921"/>
  <c r="BA921"/>
  <c r="BD921"/>
  <c r="AX922"/>
  <c r="AY922"/>
  <c r="AZ922"/>
  <c r="AV922" s="1"/>
  <c r="BA922"/>
  <c r="BD922"/>
  <c r="AX923"/>
  <c r="AY923"/>
  <c r="AZ923"/>
  <c r="BA923"/>
  <c r="BD923"/>
  <c r="AV923" l="1"/>
  <c r="AV920"/>
  <c r="AV914"/>
  <c r="AV910"/>
  <c r="AV902"/>
  <c r="AV900"/>
  <c r="AV919"/>
  <c r="AV915"/>
  <c r="AV913"/>
  <c r="AV911"/>
  <c r="AV903"/>
  <c r="AV901"/>
  <c r="AV899"/>
  <c r="AV897"/>
  <c r="AV921"/>
  <c r="AV917"/>
  <c r="AV909"/>
  <c r="AV907"/>
  <c r="AV905"/>
  <c r="L891" i="5" l="1"/>
  <c r="M891"/>
  <c r="O891" s="1"/>
  <c r="N891"/>
  <c r="L892"/>
  <c r="M892"/>
  <c r="O892" s="1"/>
  <c r="N892"/>
  <c r="L893"/>
  <c r="M893"/>
  <c r="O893" s="1"/>
  <c r="N893"/>
  <c r="L894"/>
  <c r="M894"/>
  <c r="O894" s="1"/>
  <c r="N894"/>
  <c r="L895"/>
  <c r="M895"/>
  <c r="O895" s="1"/>
  <c r="N895"/>
  <c r="L896"/>
  <c r="M896"/>
  <c r="O896" s="1"/>
  <c r="N896"/>
  <c r="L897"/>
  <c r="M897"/>
  <c r="O897" s="1"/>
  <c r="N897"/>
  <c r="L898"/>
  <c r="M898"/>
  <c r="O898" s="1"/>
  <c r="N898"/>
  <c r="L899"/>
  <c r="M899"/>
  <c r="O899" s="1"/>
  <c r="N899"/>
  <c r="L900"/>
  <c r="M900"/>
  <c r="O900" s="1"/>
  <c r="N900"/>
  <c r="L901"/>
  <c r="M901"/>
  <c r="O901" s="1"/>
  <c r="N901"/>
  <c r="L902"/>
  <c r="M902"/>
  <c r="O902" s="1"/>
  <c r="N902"/>
  <c r="L903"/>
  <c r="M903"/>
  <c r="O903" s="1"/>
  <c r="N903"/>
  <c r="L904"/>
  <c r="M904"/>
  <c r="O904" s="1"/>
  <c r="N904"/>
  <c r="L905"/>
  <c r="M905"/>
  <c r="O905" s="1"/>
  <c r="N905"/>
  <c r="L906"/>
  <c r="M906"/>
  <c r="O906" s="1"/>
  <c r="N906"/>
  <c r="L907"/>
  <c r="M907"/>
  <c r="O907" s="1"/>
  <c r="N907"/>
  <c r="L908"/>
  <c r="M908"/>
  <c r="O908" s="1"/>
  <c r="N908"/>
  <c r="L909"/>
  <c r="M909"/>
  <c r="O909" s="1"/>
  <c r="N909"/>
  <c r="L910"/>
  <c r="M910"/>
  <c r="O910" s="1"/>
  <c r="N910"/>
  <c r="L911"/>
  <c r="M911"/>
  <c r="O911" s="1"/>
  <c r="N911"/>
  <c r="L912"/>
  <c r="M912"/>
  <c r="O912" s="1"/>
  <c r="N912"/>
  <c r="L913"/>
  <c r="M913"/>
  <c r="O913" s="1"/>
  <c r="N913"/>
  <c r="L914"/>
  <c r="M914"/>
  <c r="O914" s="1"/>
  <c r="N914"/>
  <c r="B887" l="1"/>
  <c r="D887" s="1"/>
  <c r="B888"/>
  <c r="D888" s="1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886"/>
  <c r="D886" s="1"/>
  <c r="A886"/>
  <c r="A887"/>
  <c r="A888" s="1"/>
  <c r="A889" s="1"/>
  <c r="A890" s="1"/>
  <c r="A891" s="1"/>
  <c r="A892" s="1"/>
  <c r="A893" s="1"/>
  <c r="A894" s="1"/>
  <c r="A895" s="1"/>
  <c r="A896" s="1"/>
  <c r="A897" s="1"/>
  <c r="A898" s="1"/>
  <c r="A899" s="1"/>
  <c r="A900" s="1"/>
  <c r="A901" s="1"/>
  <c r="A902" s="1"/>
  <c r="A903" s="1"/>
  <c r="A904" s="1"/>
  <c r="A905" s="1"/>
  <c r="A906" s="1"/>
  <c r="A907" s="1"/>
  <c r="A908" s="1"/>
  <c r="A909" s="1"/>
  <c r="A910" s="1"/>
  <c r="A911" s="1"/>
  <c r="A912" s="1"/>
  <c r="A913" s="1"/>
  <c r="V141" i="8"/>
  <c r="V105"/>
  <c r="V135"/>
  <c r="V129"/>
  <c r="V123"/>
  <c r="V117"/>
  <c r="R106"/>
  <c r="D889" i="5" l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V13" i="8"/>
  <c r="I2"/>
  <c r="AZ861" i="4"/>
  <c r="BA861"/>
  <c r="AZ862"/>
  <c r="BA862"/>
  <c r="AZ863"/>
  <c r="BA863"/>
  <c r="AZ864"/>
  <c r="BA864"/>
  <c r="AZ865"/>
  <c r="BA865"/>
  <c r="AZ866"/>
  <c r="BA866"/>
  <c r="AZ867"/>
  <c r="BA867"/>
  <c r="AZ868"/>
  <c r="BA868"/>
  <c r="AZ869"/>
  <c r="BA869"/>
  <c r="AZ870"/>
  <c r="BA870"/>
  <c r="AZ871"/>
  <c r="BA871"/>
  <c r="AZ872"/>
  <c r="BA872"/>
  <c r="AZ873"/>
  <c r="BA873"/>
  <c r="AZ874"/>
  <c r="BA874"/>
  <c r="AZ875"/>
  <c r="BA875"/>
  <c r="AZ876"/>
  <c r="BA876"/>
  <c r="AZ877"/>
  <c r="BA877"/>
  <c r="AZ878"/>
  <c r="BA878"/>
  <c r="AZ879"/>
  <c r="BA879"/>
  <c r="AZ880"/>
  <c r="BA880"/>
  <c r="AZ881"/>
  <c r="BA881"/>
  <c r="AZ882"/>
  <c r="BA882"/>
  <c r="AZ883"/>
  <c r="BA883"/>
  <c r="AZ884"/>
  <c r="BA884"/>
  <c r="AZ885"/>
  <c r="BA885"/>
  <c r="AZ886"/>
  <c r="BA886"/>
  <c r="AZ887"/>
  <c r="BA887"/>
  <c r="AZ888"/>
  <c r="BA888"/>
  <c r="AZ889"/>
  <c r="BA889"/>
  <c r="AZ890"/>
  <c r="BA890"/>
  <c r="AZ891"/>
  <c r="BA891"/>
  <c r="AZ892"/>
  <c r="BA892"/>
  <c r="AZ893"/>
  <c r="BA893"/>
  <c r="AZ894"/>
  <c r="BA894"/>
  <c r="AZ895"/>
  <c r="BA895"/>
  <c r="L851" i="5"/>
  <c r="M851"/>
  <c r="N851"/>
  <c r="L852"/>
  <c r="M852"/>
  <c r="N852"/>
  <c r="L853"/>
  <c r="M853"/>
  <c r="N853"/>
  <c r="L854"/>
  <c r="M854"/>
  <c r="N854"/>
  <c r="L855"/>
  <c r="M855"/>
  <c r="N855"/>
  <c r="L856"/>
  <c r="M856"/>
  <c r="N856"/>
  <c r="L857"/>
  <c r="M857"/>
  <c r="N857"/>
  <c r="L858"/>
  <c r="M858"/>
  <c r="N858"/>
  <c r="L859"/>
  <c r="M859"/>
  <c r="N859"/>
  <c r="L860"/>
  <c r="M860"/>
  <c r="N860"/>
  <c r="L861"/>
  <c r="M861"/>
  <c r="N861"/>
  <c r="L862"/>
  <c r="M862"/>
  <c r="N862"/>
  <c r="L863"/>
  <c r="M863"/>
  <c r="N863"/>
  <c r="L864"/>
  <c r="M864"/>
  <c r="N864"/>
  <c r="L865"/>
  <c r="M865"/>
  <c r="N865"/>
  <c r="L866"/>
  <c r="M866"/>
  <c r="N866"/>
  <c r="L867"/>
  <c r="M867"/>
  <c r="N867"/>
  <c r="L868"/>
  <c r="M868"/>
  <c r="N868"/>
  <c r="L869"/>
  <c r="M869"/>
  <c r="N869"/>
  <c r="L870"/>
  <c r="M870"/>
  <c r="N870"/>
  <c r="L871"/>
  <c r="M871"/>
  <c r="N871"/>
  <c r="L872"/>
  <c r="M872"/>
  <c r="N872"/>
  <c r="L873"/>
  <c r="M873"/>
  <c r="N873"/>
  <c r="L874"/>
  <c r="M874"/>
  <c r="N874"/>
  <c r="L875"/>
  <c r="M875"/>
  <c r="N875"/>
  <c r="L876"/>
  <c r="M876"/>
  <c r="N876"/>
  <c r="L877"/>
  <c r="M877"/>
  <c r="N877"/>
  <c r="L878"/>
  <c r="M878"/>
  <c r="N878"/>
  <c r="L879"/>
  <c r="M879"/>
  <c r="N879"/>
  <c r="L880"/>
  <c r="M880"/>
  <c r="N880"/>
  <c r="L881"/>
  <c r="M881"/>
  <c r="N881"/>
  <c r="L882"/>
  <c r="M882"/>
  <c r="N882"/>
  <c r="L883"/>
  <c r="M883"/>
  <c r="N883"/>
  <c r="L884"/>
  <c r="M884"/>
  <c r="N884"/>
  <c r="L885"/>
  <c r="M885"/>
  <c r="N885"/>
  <c r="L886"/>
  <c r="M886"/>
  <c r="N886"/>
  <c r="L887"/>
  <c r="M887"/>
  <c r="N887"/>
  <c r="L888"/>
  <c r="M888"/>
  <c r="N888"/>
  <c r="L889"/>
  <c r="M889"/>
  <c r="N889"/>
  <c r="L890"/>
  <c r="M890"/>
  <c r="N890"/>
  <c r="O888" l="1"/>
  <c r="O884"/>
  <c r="BD894" i="4" s="1"/>
  <c r="O883" i="5"/>
  <c r="BD893" i="4" s="1"/>
  <c r="O879" i="5"/>
  <c r="BD889" i="4" s="1"/>
  <c r="O875" i="5"/>
  <c r="BD885" i="4" s="1"/>
  <c r="O871" i="5"/>
  <c r="BD881" i="4" s="1"/>
  <c r="O867" i="5"/>
  <c r="BD877" i="4" s="1"/>
  <c r="O863" i="5"/>
  <c r="BD873" i="4" s="1"/>
  <c r="O859" i="5"/>
  <c r="BD869" i="4" s="1"/>
  <c r="O855" i="5"/>
  <c r="BD865" i="4" s="1"/>
  <c r="O851" i="5"/>
  <c r="BD861" i="4" s="1"/>
  <c r="O886" i="5"/>
  <c r="O882"/>
  <c r="BD892" i="4" s="1"/>
  <c r="O889" i="5"/>
  <c r="O885"/>
  <c r="BD895" i="4" s="1"/>
  <c r="O881" i="5"/>
  <c r="BD891" i="4" s="1"/>
  <c r="O877" i="5"/>
  <c r="BD887" i="4" s="1"/>
  <c r="O873" i="5"/>
  <c r="BD883" i="4" s="1"/>
  <c r="O869" i="5"/>
  <c r="BD879" i="4" s="1"/>
  <c r="O865" i="5"/>
  <c r="BD875" i="4" s="1"/>
  <c r="O861" i="5"/>
  <c r="BD871" i="4" s="1"/>
  <c r="O857" i="5"/>
  <c r="BD867" i="4" s="1"/>
  <c r="O853" i="5"/>
  <c r="BD863" i="4" s="1"/>
  <c r="O880" i="5"/>
  <c r="BD890" i="4" s="1"/>
  <c r="O876" i="5"/>
  <c r="BD886" i="4" s="1"/>
  <c r="O872" i="5"/>
  <c r="BD882" i="4" s="1"/>
  <c r="O868" i="5"/>
  <c r="BD878" i="4" s="1"/>
  <c r="O864" i="5"/>
  <c r="BD874" i="4" s="1"/>
  <c r="O860" i="5"/>
  <c r="BD870" i="4" s="1"/>
  <c r="O856" i="5"/>
  <c r="BD866" i="4" s="1"/>
  <c r="O852" i="5"/>
  <c r="BD862" i="4" s="1"/>
  <c r="O887" i="5"/>
  <c r="O890"/>
  <c r="O878"/>
  <c r="BD888" i="4" s="1"/>
  <c r="O874" i="5"/>
  <c r="BD884" i="4" s="1"/>
  <c r="O870" i="5"/>
  <c r="BD880" i="4" s="1"/>
  <c r="O866" i="5"/>
  <c r="BD876" i="4" s="1"/>
  <c r="O862" i="5"/>
  <c r="BD872" i="4" s="1"/>
  <c r="O858" i="5"/>
  <c r="BD868" i="4" s="1"/>
  <c r="O854" i="5"/>
  <c r="BD864" i="4" s="1"/>
  <c r="V5" i="8" l="1"/>
  <c r="AZ833" i="4" l="1"/>
  <c r="BA833"/>
  <c r="AZ834"/>
  <c r="BA834"/>
  <c r="AZ835"/>
  <c r="BA835"/>
  <c r="AZ836"/>
  <c r="BA836"/>
  <c r="AZ837"/>
  <c r="BA837"/>
  <c r="AZ838"/>
  <c r="BA838"/>
  <c r="AZ839"/>
  <c r="BA839"/>
  <c r="AZ840"/>
  <c r="BA840"/>
  <c r="AZ841"/>
  <c r="BA841"/>
  <c r="AZ842"/>
  <c r="BA842"/>
  <c r="AZ843"/>
  <c r="BA843"/>
  <c r="AZ844"/>
  <c r="BA844"/>
  <c r="AZ845"/>
  <c r="BA845"/>
  <c r="AZ846"/>
  <c r="BA846"/>
  <c r="AZ847"/>
  <c r="BA847"/>
  <c r="AZ848"/>
  <c r="BA848"/>
  <c r="AZ849"/>
  <c r="BA849"/>
  <c r="AZ850"/>
  <c r="BA850"/>
  <c r="AZ851"/>
  <c r="BA851"/>
  <c r="AZ852"/>
  <c r="BA852"/>
  <c r="AZ853"/>
  <c r="BA853"/>
  <c r="AZ854"/>
  <c r="BA854"/>
  <c r="AZ855"/>
  <c r="BA855"/>
  <c r="AZ856"/>
  <c r="BA856"/>
  <c r="AZ857"/>
  <c r="BA857"/>
  <c r="AZ858"/>
  <c r="BA858"/>
  <c r="AZ859"/>
  <c r="BA859"/>
  <c r="AZ860"/>
  <c r="BA860"/>
  <c r="L823" i="5" l="1"/>
  <c r="M823"/>
  <c r="N823"/>
  <c r="L824"/>
  <c r="M824"/>
  <c r="N824"/>
  <c r="L825"/>
  <c r="M825"/>
  <c r="N825"/>
  <c r="L826"/>
  <c r="M826"/>
  <c r="N826"/>
  <c r="L827"/>
  <c r="M827"/>
  <c r="N827"/>
  <c r="L828"/>
  <c r="M828"/>
  <c r="N828"/>
  <c r="L829"/>
  <c r="M829"/>
  <c r="N829"/>
  <c r="L830"/>
  <c r="M830"/>
  <c r="N830"/>
  <c r="L831"/>
  <c r="M831"/>
  <c r="N831"/>
  <c r="L832"/>
  <c r="M832"/>
  <c r="N832"/>
  <c r="L833"/>
  <c r="M833"/>
  <c r="N833"/>
  <c r="L834"/>
  <c r="M834"/>
  <c r="N834"/>
  <c r="L835"/>
  <c r="M835"/>
  <c r="N835"/>
  <c r="L836"/>
  <c r="M836"/>
  <c r="N836"/>
  <c r="L837"/>
  <c r="M837"/>
  <c r="N837"/>
  <c r="L838"/>
  <c r="M838"/>
  <c r="N838"/>
  <c r="L839"/>
  <c r="M839"/>
  <c r="N839"/>
  <c r="L840"/>
  <c r="M840"/>
  <c r="N840"/>
  <c r="L841"/>
  <c r="M841"/>
  <c r="N841"/>
  <c r="L842"/>
  <c r="M842"/>
  <c r="N842"/>
  <c r="L843"/>
  <c r="M843"/>
  <c r="N843"/>
  <c r="L844"/>
  <c r="M844"/>
  <c r="N844"/>
  <c r="L845"/>
  <c r="M845"/>
  <c r="N845"/>
  <c r="L846"/>
  <c r="M846"/>
  <c r="N846"/>
  <c r="L847"/>
  <c r="M847"/>
  <c r="N847"/>
  <c r="L848"/>
  <c r="M848"/>
  <c r="N848"/>
  <c r="L849"/>
  <c r="M849"/>
  <c r="N849"/>
  <c r="L850"/>
  <c r="M850"/>
  <c r="N850"/>
  <c r="O845" l="1"/>
  <c r="BD855" i="4" s="1"/>
  <c r="O841" i="5"/>
  <c r="BD851" i="4" s="1"/>
  <c r="O837" i="5"/>
  <c r="BD847" i="4" s="1"/>
  <c r="O833" i="5"/>
  <c r="BD843" i="4" s="1"/>
  <c r="O829" i="5"/>
  <c r="BD839" i="4" s="1"/>
  <c r="O825" i="5"/>
  <c r="BD835" i="4" s="1"/>
  <c r="O849" i="5"/>
  <c r="BD859" i="4" s="1"/>
  <c r="O850" i="5"/>
  <c r="BD860" i="4" s="1"/>
  <c r="O846" i="5"/>
  <c r="BD856" i="4" s="1"/>
  <c r="O842" i="5"/>
  <c r="BD852" i="4" s="1"/>
  <c r="O838" i="5"/>
  <c r="BD848" i="4" s="1"/>
  <c r="O834" i="5"/>
  <c r="BD844" i="4" s="1"/>
  <c r="O830" i="5"/>
  <c r="BD840" i="4" s="1"/>
  <c r="O826" i="5"/>
  <c r="BD836" i="4" s="1"/>
  <c r="O844" i="5"/>
  <c r="BD854" i="4" s="1"/>
  <c r="O840" i="5"/>
  <c r="BD850" i="4" s="1"/>
  <c r="O836" i="5"/>
  <c r="BD846" i="4" s="1"/>
  <c r="O832" i="5"/>
  <c r="BD842" i="4" s="1"/>
  <c r="O828" i="5"/>
  <c r="BD838" i="4" s="1"/>
  <c r="O824" i="5"/>
  <c r="BD834" i="4" s="1"/>
  <c r="O847" i="5"/>
  <c r="BD857" i="4" s="1"/>
  <c r="O843" i="5"/>
  <c r="BD853" i="4" s="1"/>
  <c r="O839" i="5"/>
  <c r="BD849" i="4" s="1"/>
  <c r="O835" i="5"/>
  <c r="BD845" i="4" s="1"/>
  <c r="O831" i="5"/>
  <c r="BD841" i="4" s="1"/>
  <c r="O827" i="5"/>
  <c r="BD837" i="4" s="1"/>
  <c r="O823" i="5"/>
  <c r="BD833" i="4" s="1"/>
  <c r="O848" i="5"/>
  <c r="BD858" i="4" s="1"/>
  <c r="R55" i="8" l="1"/>
  <c r="Q5" l="1"/>
  <c r="P5" s="1"/>
  <c r="Q9" l="1"/>
  <c r="AZ820" i="4"/>
  <c r="BA820"/>
  <c r="AZ821"/>
  <c r="BA821"/>
  <c r="AZ822"/>
  <c r="BA822"/>
  <c r="AZ823"/>
  <c r="BA823"/>
  <c r="AZ824"/>
  <c r="BA824"/>
  <c r="AZ825"/>
  <c r="BA825"/>
  <c r="AZ826"/>
  <c r="BA826"/>
  <c r="AZ827"/>
  <c r="BA827"/>
  <c r="AZ828"/>
  <c r="BA828"/>
  <c r="AZ829"/>
  <c r="BA829"/>
  <c r="AZ830"/>
  <c r="BA830"/>
  <c r="AZ831"/>
  <c r="BA831"/>
  <c r="AZ832"/>
  <c r="BA832"/>
  <c r="AZ805"/>
  <c r="BA805"/>
  <c r="AZ806"/>
  <c r="BA806"/>
  <c r="AZ807"/>
  <c r="BA807"/>
  <c r="AZ808"/>
  <c r="BA808"/>
  <c r="AZ809"/>
  <c r="BA809"/>
  <c r="AZ810"/>
  <c r="BA810"/>
  <c r="AZ811"/>
  <c r="BA811"/>
  <c r="AZ812"/>
  <c r="BA812"/>
  <c r="AZ813"/>
  <c r="BA813"/>
  <c r="AZ814"/>
  <c r="BA814"/>
  <c r="AZ815"/>
  <c r="BA815"/>
  <c r="AZ816"/>
  <c r="BA816"/>
  <c r="AZ817"/>
  <c r="BA817"/>
  <c r="AZ818"/>
  <c r="BA818"/>
  <c r="AZ819"/>
  <c r="BA819"/>
  <c r="Q13" i="8" l="1"/>
  <c r="P9"/>
  <c r="L795" i="5"/>
  <c r="M795"/>
  <c r="N795"/>
  <c r="L796"/>
  <c r="M796"/>
  <c r="N796"/>
  <c r="L797"/>
  <c r="M797"/>
  <c r="N797"/>
  <c r="L798"/>
  <c r="M798"/>
  <c r="N798"/>
  <c r="L799"/>
  <c r="M799"/>
  <c r="N799"/>
  <c r="L800"/>
  <c r="M800"/>
  <c r="N800"/>
  <c r="L801"/>
  <c r="M801"/>
  <c r="N801"/>
  <c r="L802"/>
  <c r="M802"/>
  <c r="N802"/>
  <c r="L803"/>
  <c r="M803"/>
  <c r="N803"/>
  <c r="L804"/>
  <c r="M804"/>
  <c r="N804"/>
  <c r="L805"/>
  <c r="M805"/>
  <c r="N805"/>
  <c r="L806"/>
  <c r="M806"/>
  <c r="N806"/>
  <c r="L807"/>
  <c r="M807"/>
  <c r="N807"/>
  <c r="L808"/>
  <c r="M808"/>
  <c r="N808"/>
  <c r="L809"/>
  <c r="M809"/>
  <c r="N809"/>
  <c r="L810"/>
  <c r="M810"/>
  <c r="N810"/>
  <c r="L811"/>
  <c r="M811"/>
  <c r="N811"/>
  <c r="L812"/>
  <c r="M812"/>
  <c r="N812"/>
  <c r="L813"/>
  <c r="M813"/>
  <c r="N813"/>
  <c r="L814"/>
  <c r="M814"/>
  <c r="N814"/>
  <c r="L815"/>
  <c r="M815"/>
  <c r="N815"/>
  <c r="L816"/>
  <c r="M816"/>
  <c r="N816"/>
  <c r="L817"/>
  <c r="M817"/>
  <c r="N817"/>
  <c r="L818"/>
  <c r="M818"/>
  <c r="N818"/>
  <c r="L819"/>
  <c r="M819"/>
  <c r="N819"/>
  <c r="L820"/>
  <c r="M820"/>
  <c r="N820"/>
  <c r="L821"/>
  <c r="M821"/>
  <c r="N821"/>
  <c r="L822"/>
  <c r="M822"/>
  <c r="N822"/>
  <c r="Q16" i="8" l="1"/>
  <c r="P13"/>
  <c r="O815" i="5"/>
  <c r="BD825" i="4" s="1"/>
  <c r="O811" i="5"/>
  <c r="BD821" i="4" s="1"/>
  <c r="O807" i="5"/>
  <c r="BD817" i="4" s="1"/>
  <c r="O803" i="5"/>
  <c r="BD813" i="4" s="1"/>
  <c r="O799" i="5"/>
  <c r="BD809" i="4" s="1"/>
  <c r="O802" i="5"/>
  <c r="BD812" i="4" s="1"/>
  <c r="O819" i="5"/>
  <c r="BD829" i="4" s="1"/>
  <c r="O795" i="5"/>
  <c r="BD805" i="4" s="1"/>
  <c r="O822" i="5"/>
  <c r="BD832" i="4" s="1"/>
  <c r="O818" i="5"/>
  <c r="BD828" i="4" s="1"/>
  <c r="O821" i="5"/>
  <c r="BD831" i="4" s="1"/>
  <c r="O817" i="5"/>
  <c r="BD827" i="4" s="1"/>
  <c r="O813" i="5"/>
  <c r="BD823" i="4" s="1"/>
  <c r="O809" i="5"/>
  <c r="BD819" i="4" s="1"/>
  <c r="O801" i="5"/>
  <c r="BD811" i="4" s="1"/>
  <c r="O820" i="5"/>
  <c r="BD830" i="4" s="1"/>
  <c r="O816" i="5"/>
  <c r="BD826" i="4" s="1"/>
  <c r="O812" i="5"/>
  <c r="BD822" i="4" s="1"/>
  <c r="O808" i="5"/>
  <c r="BD818" i="4" s="1"/>
  <c r="O804" i="5"/>
  <c r="BD814" i="4" s="1"/>
  <c r="O800" i="5"/>
  <c r="BD810" i="4" s="1"/>
  <c r="O796" i="5"/>
  <c r="BD806" i="4" s="1"/>
  <c r="O810" i="5"/>
  <c r="BD820" i="4" s="1"/>
  <c r="O806" i="5"/>
  <c r="BD816" i="4" s="1"/>
  <c r="O798" i="5"/>
  <c r="BD808" i="4" s="1"/>
  <c r="O814" i="5"/>
  <c r="BD824" i="4" s="1"/>
  <c r="O805" i="5"/>
  <c r="BD815" i="4" s="1"/>
  <c r="O797" i="5"/>
  <c r="BD807" i="4" s="1"/>
  <c r="B2" i="8"/>
  <c r="R142"/>
  <c r="R141"/>
  <c r="R136"/>
  <c r="R137"/>
  <c r="R135"/>
  <c r="R129"/>
  <c r="R123"/>
  <c r="R119"/>
  <c r="R118"/>
  <c r="R117"/>
  <c r="V111"/>
  <c r="R112"/>
  <c r="R111"/>
  <c r="R105"/>
  <c r="R100"/>
  <c r="R99"/>
  <c r="R95"/>
  <c r="R92"/>
  <c r="R87"/>
  <c r="R84"/>
  <c r="R83"/>
  <c r="R81"/>
  <c r="R80"/>
  <c r="R77"/>
  <c r="R76"/>
  <c r="R72"/>
  <c r="R68"/>
  <c r="R65"/>
  <c r="R61"/>
  <c r="R59"/>
  <c r="R58"/>
  <c r="R54"/>
  <c r="R48"/>
  <c r="R45"/>
  <c r="R42"/>
  <c r="R39"/>
  <c r="R36"/>
  <c r="R32"/>
  <c r="R28"/>
  <c r="R25"/>
  <c r="R24"/>
  <c r="R21"/>
  <c r="R20"/>
  <c r="R17"/>
  <c r="R16"/>
  <c r="Q20" l="1"/>
  <c r="P16"/>
  <c r="R13"/>
  <c r="R9"/>
  <c r="R5"/>
  <c r="R2"/>
  <c r="L792" i="5"/>
  <c r="AZ770" i="4"/>
  <c r="BA770"/>
  <c r="AZ771"/>
  <c r="BA771"/>
  <c r="AZ772"/>
  <c r="BA772"/>
  <c r="AZ773"/>
  <c r="BA773"/>
  <c r="AZ774"/>
  <c r="BA774"/>
  <c r="AZ775"/>
  <c r="BA775"/>
  <c r="AZ776"/>
  <c r="BA776"/>
  <c r="AZ777"/>
  <c r="BA777"/>
  <c r="AZ778"/>
  <c r="BA778"/>
  <c r="AZ779"/>
  <c r="BA779"/>
  <c r="AZ780"/>
  <c r="BA780"/>
  <c r="AZ781"/>
  <c r="BA781"/>
  <c r="AZ782"/>
  <c r="BA782"/>
  <c r="AZ783"/>
  <c r="BA783"/>
  <c r="AZ784"/>
  <c r="BA784"/>
  <c r="AZ785"/>
  <c r="BA785"/>
  <c r="AZ786"/>
  <c r="BA786"/>
  <c r="AZ787"/>
  <c r="BA787"/>
  <c r="AZ788"/>
  <c r="BA788"/>
  <c r="AZ789"/>
  <c r="BA789"/>
  <c r="AZ790"/>
  <c r="BA790"/>
  <c r="AZ791"/>
  <c r="BA791"/>
  <c r="AZ792"/>
  <c r="BA792"/>
  <c r="AZ793"/>
  <c r="BA793"/>
  <c r="AZ794"/>
  <c r="BA794"/>
  <c r="AZ795"/>
  <c r="BA795"/>
  <c r="AZ796"/>
  <c r="BA796"/>
  <c r="AZ797"/>
  <c r="BA797"/>
  <c r="AZ798"/>
  <c r="BA798"/>
  <c r="AZ799"/>
  <c r="BA799"/>
  <c r="AZ800"/>
  <c r="BA800"/>
  <c r="AZ801"/>
  <c r="BA801"/>
  <c r="AZ802"/>
  <c r="BA802"/>
  <c r="AZ803"/>
  <c r="BA803"/>
  <c r="AZ804"/>
  <c r="BA804"/>
  <c r="L760" i="5"/>
  <c r="M760"/>
  <c r="N760"/>
  <c r="L761"/>
  <c r="M761"/>
  <c r="N761"/>
  <c r="L762"/>
  <c r="M762"/>
  <c r="N762"/>
  <c r="L763"/>
  <c r="M763"/>
  <c r="N763"/>
  <c r="L764"/>
  <c r="M764"/>
  <c r="N764"/>
  <c r="L765"/>
  <c r="M765"/>
  <c r="N765"/>
  <c r="L766"/>
  <c r="M766"/>
  <c r="N766"/>
  <c r="L767"/>
  <c r="M767"/>
  <c r="N767"/>
  <c r="L768"/>
  <c r="M768"/>
  <c r="N768"/>
  <c r="L769"/>
  <c r="M769"/>
  <c r="N769"/>
  <c r="L770"/>
  <c r="M770"/>
  <c r="N770"/>
  <c r="L771"/>
  <c r="M771"/>
  <c r="N771"/>
  <c r="L772"/>
  <c r="M772"/>
  <c r="N772"/>
  <c r="L773"/>
  <c r="M773"/>
  <c r="N773"/>
  <c r="L774"/>
  <c r="M774"/>
  <c r="N774"/>
  <c r="L775"/>
  <c r="M775"/>
  <c r="N775"/>
  <c r="L776"/>
  <c r="M776"/>
  <c r="N776"/>
  <c r="L777"/>
  <c r="M777"/>
  <c r="N777"/>
  <c r="L778"/>
  <c r="M778"/>
  <c r="N778"/>
  <c r="L779"/>
  <c r="M779"/>
  <c r="N779"/>
  <c r="L780"/>
  <c r="M780"/>
  <c r="N780"/>
  <c r="L781"/>
  <c r="M781"/>
  <c r="N781"/>
  <c r="L782"/>
  <c r="M782"/>
  <c r="N782"/>
  <c r="L783"/>
  <c r="M783"/>
  <c r="N783"/>
  <c r="L784"/>
  <c r="M784"/>
  <c r="N784"/>
  <c r="L785"/>
  <c r="M785"/>
  <c r="N785"/>
  <c r="L786"/>
  <c r="M786"/>
  <c r="N786"/>
  <c r="L787"/>
  <c r="M787"/>
  <c r="N787"/>
  <c r="L788"/>
  <c r="M788"/>
  <c r="N788"/>
  <c r="L789"/>
  <c r="M789"/>
  <c r="N789"/>
  <c r="L790"/>
  <c r="M790"/>
  <c r="N790"/>
  <c r="L791"/>
  <c r="M791"/>
  <c r="N791"/>
  <c r="M792"/>
  <c r="N792"/>
  <c r="L793"/>
  <c r="M793"/>
  <c r="N793"/>
  <c r="L794"/>
  <c r="M794"/>
  <c r="N794"/>
  <c r="Q24" i="8" l="1"/>
  <c r="P20"/>
  <c r="O773" i="5"/>
  <c r="BD783" i="4" s="1"/>
  <c r="O769" i="5"/>
  <c r="BD779" i="4" s="1"/>
  <c r="O765" i="5"/>
  <c r="BD775" i="4" s="1"/>
  <c r="O791" i="5"/>
  <c r="BD801" i="4" s="1"/>
  <c r="O787" i="5"/>
  <c r="BD797" i="4" s="1"/>
  <c r="O783" i="5"/>
  <c r="BD793" i="4" s="1"/>
  <c r="O779" i="5"/>
  <c r="BD789" i="4" s="1"/>
  <c r="O775" i="5"/>
  <c r="BD785" i="4" s="1"/>
  <c r="O771" i="5"/>
  <c r="BD781" i="4" s="1"/>
  <c r="O767" i="5"/>
  <c r="BD777" i="4" s="1"/>
  <c r="O763" i="5"/>
  <c r="BD773" i="4" s="1"/>
  <c r="O789" i="5"/>
  <c r="BD799" i="4" s="1"/>
  <c r="O785" i="5"/>
  <c r="BD795" i="4" s="1"/>
  <c r="O781" i="5"/>
  <c r="BD791" i="4" s="1"/>
  <c r="O777" i="5"/>
  <c r="BD787" i="4" s="1"/>
  <c r="O761" i="5"/>
  <c r="BD771" i="4" s="1"/>
  <c r="O790" i="5"/>
  <c r="BD800" i="4" s="1"/>
  <c r="O786" i="5"/>
  <c r="BD796" i="4" s="1"/>
  <c r="O782" i="5"/>
  <c r="BD792" i="4" s="1"/>
  <c r="O778" i="5"/>
  <c r="BD788" i="4" s="1"/>
  <c r="O774" i="5"/>
  <c r="BD784" i="4" s="1"/>
  <c r="O770" i="5"/>
  <c r="BD780" i="4" s="1"/>
  <c r="O766" i="5"/>
  <c r="BD776" i="4" s="1"/>
  <c r="O762" i="5"/>
  <c r="BD772" i="4" s="1"/>
  <c r="O788" i="5"/>
  <c r="BD798" i="4" s="1"/>
  <c r="O784" i="5"/>
  <c r="BD794" i="4" s="1"/>
  <c r="O780" i="5"/>
  <c r="BD790" i="4" s="1"/>
  <c r="O776" i="5"/>
  <c r="BD786" i="4" s="1"/>
  <c r="O772" i="5"/>
  <c r="BD782" i="4" s="1"/>
  <c r="O768" i="5"/>
  <c r="BD778" i="4" s="1"/>
  <c r="O764" i="5"/>
  <c r="BD774" i="4" s="1"/>
  <c r="O760" i="5"/>
  <c r="BD770" i="4" s="1"/>
  <c r="O793" i="5"/>
  <c r="BD803" i="4" s="1"/>
  <c r="O794" i="5"/>
  <c r="BD804" i="4" s="1"/>
  <c r="O792" i="5"/>
  <c r="BD802" i="4" s="1"/>
  <c r="Q28" i="8" l="1"/>
  <c r="P24"/>
  <c r="AZ714" i="4"/>
  <c r="BA714"/>
  <c r="AZ715"/>
  <c r="BA715"/>
  <c r="AZ716"/>
  <c r="BA716"/>
  <c r="AZ717"/>
  <c r="BA717"/>
  <c r="AZ718"/>
  <c r="BA718"/>
  <c r="AZ719"/>
  <c r="BA719"/>
  <c r="AZ720"/>
  <c r="BA720"/>
  <c r="AZ721"/>
  <c r="BA721"/>
  <c r="AZ722"/>
  <c r="BA722"/>
  <c r="AZ723"/>
  <c r="BA723"/>
  <c r="AZ724"/>
  <c r="BA724"/>
  <c r="AZ725"/>
  <c r="BA725"/>
  <c r="AZ726"/>
  <c r="BA726"/>
  <c r="AZ727"/>
  <c r="BA727"/>
  <c r="AZ728"/>
  <c r="BA728"/>
  <c r="AZ729"/>
  <c r="BA729"/>
  <c r="AZ730"/>
  <c r="BA730"/>
  <c r="AZ731"/>
  <c r="BA731"/>
  <c r="AZ732"/>
  <c r="BA732"/>
  <c r="AZ733"/>
  <c r="BA733"/>
  <c r="AZ734"/>
  <c r="BA734"/>
  <c r="AZ735"/>
  <c r="BA735"/>
  <c r="AZ736"/>
  <c r="BA736"/>
  <c r="AZ737"/>
  <c r="BA737"/>
  <c r="AZ738"/>
  <c r="BA738"/>
  <c r="AZ739"/>
  <c r="BA739"/>
  <c r="AZ740"/>
  <c r="BA740"/>
  <c r="AZ741"/>
  <c r="BA741"/>
  <c r="AZ742"/>
  <c r="BA742"/>
  <c r="AZ743"/>
  <c r="BA743"/>
  <c r="AZ744"/>
  <c r="BA744"/>
  <c r="AZ745"/>
  <c r="BA745"/>
  <c r="AZ746"/>
  <c r="BA746"/>
  <c r="AZ747"/>
  <c r="BA747"/>
  <c r="AZ748"/>
  <c r="BA748"/>
  <c r="AZ749"/>
  <c r="BA749"/>
  <c r="AZ750"/>
  <c r="BA750"/>
  <c r="AZ751"/>
  <c r="BA751"/>
  <c r="AZ752"/>
  <c r="BA752"/>
  <c r="AZ753"/>
  <c r="BA753"/>
  <c r="AZ754"/>
  <c r="BA754"/>
  <c r="AZ755"/>
  <c r="BA755"/>
  <c r="AZ756"/>
  <c r="BA756"/>
  <c r="AZ757"/>
  <c r="BA757"/>
  <c r="AZ758"/>
  <c r="BA758"/>
  <c r="AZ759"/>
  <c r="BA759"/>
  <c r="AZ760"/>
  <c r="BA760"/>
  <c r="AZ761"/>
  <c r="BA761"/>
  <c r="AZ762"/>
  <c r="BA762"/>
  <c r="AZ763"/>
  <c r="BA763"/>
  <c r="AZ764"/>
  <c r="BA764"/>
  <c r="AZ765"/>
  <c r="BA765"/>
  <c r="AZ766"/>
  <c r="BA766"/>
  <c r="AZ767"/>
  <c r="BA767"/>
  <c r="AZ768"/>
  <c r="BA768"/>
  <c r="AZ769"/>
  <c r="BA769"/>
  <c r="Q32" i="8" l="1"/>
  <c r="P28"/>
  <c r="L739" i="5"/>
  <c r="M739"/>
  <c r="N739"/>
  <c r="L740"/>
  <c r="M740"/>
  <c r="N740"/>
  <c r="L741"/>
  <c r="M741"/>
  <c r="N741"/>
  <c r="L742"/>
  <c r="M742"/>
  <c r="N742"/>
  <c r="L743"/>
  <c r="M743"/>
  <c r="N743"/>
  <c r="L744"/>
  <c r="M744"/>
  <c r="N744"/>
  <c r="L745"/>
  <c r="M745"/>
  <c r="N745"/>
  <c r="L746"/>
  <c r="M746"/>
  <c r="N746"/>
  <c r="L747"/>
  <c r="M747"/>
  <c r="N747"/>
  <c r="L748"/>
  <c r="M748"/>
  <c r="N748"/>
  <c r="L749"/>
  <c r="M749"/>
  <c r="N749"/>
  <c r="L750"/>
  <c r="M750"/>
  <c r="N750"/>
  <c r="L751"/>
  <c r="M751"/>
  <c r="N751"/>
  <c r="L752"/>
  <c r="M752"/>
  <c r="N752"/>
  <c r="L753"/>
  <c r="M753"/>
  <c r="N753"/>
  <c r="L754"/>
  <c r="M754"/>
  <c r="N754"/>
  <c r="L755"/>
  <c r="M755"/>
  <c r="N755"/>
  <c r="L756"/>
  <c r="M756"/>
  <c r="N756"/>
  <c r="L757"/>
  <c r="M757"/>
  <c r="N757"/>
  <c r="L758"/>
  <c r="M758"/>
  <c r="N758"/>
  <c r="L759"/>
  <c r="M759"/>
  <c r="N759"/>
  <c r="Q36" i="8" l="1"/>
  <c r="P32"/>
  <c r="O758" i="5"/>
  <c r="BD768" i="4" s="1"/>
  <c r="O756" i="5"/>
  <c r="BD766" i="4" s="1"/>
  <c r="O752" i="5"/>
  <c r="BD762" i="4" s="1"/>
  <c r="O748" i="5"/>
  <c r="BD758" i="4" s="1"/>
  <c r="O744" i="5"/>
  <c r="BD754" i="4" s="1"/>
  <c r="O740" i="5"/>
  <c r="BD750" i="4" s="1"/>
  <c r="O759" i="5"/>
  <c r="BD769" i="4" s="1"/>
  <c r="O757" i="5"/>
  <c r="BD767" i="4" s="1"/>
  <c r="O753" i="5"/>
  <c r="BD763" i="4" s="1"/>
  <c r="O749" i="5"/>
  <c r="BD759" i="4" s="1"/>
  <c r="O745" i="5"/>
  <c r="BD755" i="4" s="1"/>
  <c r="O741" i="5"/>
  <c r="BD751" i="4" s="1"/>
  <c r="O755" i="5"/>
  <c r="BD765" i="4" s="1"/>
  <c r="O751" i="5"/>
  <c r="BD761" i="4" s="1"/>
  <c r="O747" i="5"/>
  <c r="BD757" i="4" s="1"/>
  <c r="O743" i="5"/>
  <c r="BD753" i="4" s="1"/>
  <c r="O739" i="5"/>
  <c r="BD749" i="4" s="1"/>
  <c r="O754" i="5"/>
  <c r="BD764" i="4" s="1"/>
  <c r="O750" i="5"/>
  <c r="BD760" i="4" s="1"/>
  <c r="O746" i="5"/>
  <c r="BD756" i="4" s="1"/>
  <c r="O742" i="5"/>
  <c r="BD752" i="4" s="1"/>
  <c r="Q39" i="8" l="1"/>
  <c r="P36"/>
  <c r="L704" i="5"/>
  <c r="M704"/>
  <c r="N704"/>
  <c r="L705"/>
  <c r="M705"/>
  <c r="N705"/>
  <c r="L706"/>
  <c r="M706"/>
  <c r="N706"/>
  <c r="L707"/>
  <c r="M707"/>
  <c r="N707"/>
  <c r="L708"/>
  <c r="M708"/>
  <c r="N708"/>
  <c r="L709"/>
  <c r="M709"/>
  <c r="N709"/>
  <c r="L710"/>
  <c r="M710"/>
  <c r="N710"/>
  <c r="L711"/>
  <c r="M711"/>
  <c r="N711"/>
  <c r="L712"/>
  <c r="M712"/>
  <c r="N712"/>
  <c r="L713"/>
  <c r="M713"/>
  <c r="N713"/>
  <c r="L714"/>
  <c r="M714"/>
  <c r="N714"/>
  <c r="L715"/>
  <c r="M715"/>
  <c r="N715"/>
  <c r="L716"/>
  <c r="M716"/>
  <c r="N716"/>
  <c r="L717"/>
  <c r="M717"/>
  <c r="N717"/>
  <c r="L718"/>
  <c r="M718"/>
  <c r="N718"/>
  <c r="L719"/>
  <c r="M719"/>
  <c r="N719"/>
  <c r="L720"/>
  <c r="M720"/>
  <c r="N720"/>
  <c r="L721"/>
  <c r="M721"/>
  <c r="N721"/>
  <c r="L722"/>
  <c r="M722"/>
  <c r="N722"/>
  <c r="L723"/>
  <c r="M723"/>
  <c r="N723"/>
  <c r="L724"/>
  <c r="M724"/>
  <c r="N724"/>
  <c r="L725"/>
  <c r="M725"/>
  <c r="N725"/>
  <c r="L726"/>
  <c r="M726"/>
  <c r="N726"/>
  <c r="L727"/>
  <c r="M727"/>
  <c r="N727"/>
  <c r="L728"/>
  <c r="M728"/>
  <c r="N728"/>
  <c r="L729"/>
  <c r="M729"/>
  <c r="N729"/>
  <c r="L730"/>
  <c r="M730"/>
  <c r="N730"/>
  <c r="L731"/>
  <c r="M731"/>
  <c r="N731"/>
  <c r="L732"/>
  <c r="M732"/>
  <c r="N732"/>
  <c r="L733"/>
  <c r="M733"/>
  <c r="N733"/>
  <c r="L734"/>
  <c r="M734"/>
  <c r="N734"/>
  <c r="L735"/>
  <c r="M735"/>
  <c r="N735"/>
  <c r="L736"/>
  <c r="M736"/>
  <c r="N736"/>
  <c r="L737"/>
  <c r="M737"/>
  <c r="N737"/>
  <c r="L738"/>
  <c r="M738"/>
  <c r="N738"/>
  <c r="Q42" i="8" l="1"/>
  <c r="P39"/>
  <c r="O738" i="5"/>
  <c r="BD748" i="4" s="1"/>
  <c r="O734" i="5"/>
  <c r="BD744" i="4" s="1"/>
  <c r="O730" i="5"/>
  <c r="BD740" i="4" s="1"/>
  <c r="O723" i="5"/>
  <c r="BD733" i="4" s="1"/>
  <c r="O737" i="5"/>
  <c r="BD747" i="4" s="1"/>
  <c r="O733" i="5"/>
  <c r="BD743" i="4" s="1"/>
  <c r="O705" i="5"/>
  <c r="BD715" i="4" s="1"/>
  <c r="O727" i="5"/>
  <c r="BD737" i="4" s="1"/>
  <c r="O719" i="5"/>
  <c r="BD729" i="4" s="1"/>
  <c r="O711" i="5"/>
  <c r="BD721" i="4" s="1"/>
  <c r="O707" i="5"/>
  <c r="BD717" i="4" s="1"/>
  <c r="O729" i="5"/>
  <c r="BD739" i="4" s="1"/>
  <c r="O715" i="5"/>
  <c r="BD725" i="4" s="1"/>
  <c r="O736" i="5"/>
  <c r="BD746" i="4" s="1"/>
  <c r="O732" i="5"/>
  <c r="BD742" i="4" s="1"/>
  <c r="O725" i="5"/>
  <c r="BD735" i="4" s="1"/>
  <c r="O721" i="5"/>
  <c r="BD731" i="4" s="1"/>
  <c r="O717" i="5"/>
  <c r="BD727" i="4" s="1"/>
  <c r="O713" i="5"/>
  <c r="BD723" i="4" s="1"/>
  <c r="O709" i="5"/>
  <c r="BD719" i="4" s="1"/>
  <c r="O735" i="5"/>
  <c r="BD745" i="4" s="1"/>
  <c r="O731" i="5"/>
  <c r="BD741" i="4" s="1"/>
  <c r="O728" i="5"/>
  <c r="BD738" i="4" s="1"/>
  <c r="O724" i="5"/>
  <c r="BD734" i="4" s="1"/>
  <c r="O720" i="5"/>
  <c r="BD730" i="4" s="1"/>
  <c r="O716" i="5"/>
  <c r="BD726" i="4" s="1"/>
  <c r="O712" i="5"/>
  <c r="BD722" i="4" s="1"/>
  <c r="O708" i="5"/>
  <c r="BD718" i="4" s="1"/>
  <c r="O704" i="5"/>
  <c r="BD714" i="4" s="1"/>
  <c r="O726" i="5"/>
  <c r="BD736" i="4" s="1"/>
  <c r="O722" i="5"/>
  <c r="BD732" i="4" s="1"/>
  <c r="O718" i="5"/>
  <c r="BD728" i="4" s="1"/>
  <c r="O714" i="5"/>
  <c r="BD724" i="4" s="1"/>
  <c r="O710" i="5"/>
  <c r="BD720" i="4" s="1"/>
  <c r="O706" i="5"/>
  <c r="BD716" i="4" s="1"/>
  <c r="Q45" i="8" l="1"/>
  <c r="P42"/>
  <c r="AZ679" i="4"/>
  <c r="BA679"/>
  <c r="AZ680"/>
  <c r="BA680"/>
  <c r="AZ681"/>
  <c r="BA681"/>
  <c r="AZ682"/>
  <c r="BA682"/>
  <c r="AZ683"/>
  <c r="BA683"/>
  <c r="AZ684"/>
  <c r="BA684"/>
  <c r="AZ685"/>
  <c r="BA685"/>
  <c r="AZ686"/>
  <c r="BA686"/>
  <c r="AZ687"/>
  <c r="BA687"/>
  <c r="AZ688"/>
  <c r="BA688"/>
  <c r="AZ689"/>
  <c r="BA689"/>
  <c r="AZ690"/>
  <c r="BA690"/>
  <c r="AZ691"/>
  <c r="BA691"/>
  <c r="AZ692"/>
  <c r="BA692"/>
  <c r="AZ693"/>
  <c r="BA693"/>
  <c r="AZ694"/>
  <c r="BA694"/>
  <c r="AZ695"/>
  <c r="BA695"/>
  <c r="AZ696"/>
  <c r="BA696"/>
  <c r="AZ697"/>
  <c r="BA697"/>
  <c r="AZ698"/>
  <c r="BA698"/>
  <c r="AZ699"/>
  <c r="BA699"/>
  <c r="AZ700"/>
  <c r="BA700"/>
  <c r="AZ701"/>
  <c r="BA701"/>
  <c r="AZ702"/>
  <c r="BA702"/>
  <c r="AZ703"/>
  <c r="BA703"/>
  <c r="AZ704"/>
  <c r="BA704"/>
  <c r="AZ705"/>
  <c r="BA705"/>
  <c r="AZ706"/>
  <c r="BA706"/>
  <c r="AZ707"/>
  <c r="BA707"/>
  <c r="AZ708"/>
  <c r="BA708"/>
  <c r="AZ709"/>
  <c r="BA709"/>
  <c r="AZ710"/>
  <c r="BA710"/>
  <c r="AZ711"/>
  <c r="BA711"/>
  <c r="AZ712"/>
  <c r="BA712"/>
  <c r="AZ713"/>
  <c r="BA713"/>
  <c r="AY16"/>
  <c r="AX16" s="1"/>
  <c r="AZ16"/>
  <c r="BA16"/>
  <c r="AY17"/>
  <c r="AX17" s="1"/>
  <c r="AZ17"/>
  <c r="BA17"/>
  <c r="AY18"/>
  <c r="AX18" s="1"/>
  <c r="AZ18"/>
  <c r="BA18"/>
  <c r="AY19"/>
  <c r="AX19" s="1"/>
  <c r="AZ19"/>
  <c r="BA19"/>
  <c r="AY20"/>
  <c r="AX20" s="1"/>
  <c r="AZ20"/>
  <c r="BA20"/>
  <c r="AY21"/>
  <c r="AX21" s="1"/>
  <c r="AZ21"/>
  <c r="BA21"/>
  <c r="AY22"/>
  <c r="AX22" s="1"/>
  <c r="AZ22"/>
  <c r="BA22"/>
  <c r="AY23"/>
  <c r="AX23" s="1"/>
  <c r="AZ23"/>
  <c r="BA23"/>
  <c r="AY24"/>
  <c r="AX24" s="1"/>
  <c r="AZ24"/>
  <c r="BA24"/>
  <c r="AY25"/>
  <c r="AX25" s="1"/>
  <c r="AZ25"/>
  <c r="BA25"/>
  <c r="AY26"/>
  <c r="AX26" s="1"/>
  <c r="AZ26"/>
  <c r="BA26"/>
  <c r="AY27"/>
  <c r="AX27" s="1"/>
  <c r="AZ27"/>
  <c r="BA27"/>
  <c r="AY28"/>
  <c r="AX28" s="1"/>
  <c r="AZ28"/>
  <c r="BA28"/>
  <c r="AY29"/>
  <c r="AX29" s="1"/>
  <c r="AZ29"/>
  <c r="BA29"/>
  <c r="AY30"/>
  <c r="AX30" s="1"/>
  <c r="AZ30"/>
  <c r="BA30"/>
  <c r="AY31"/>
  <c r="AX31" s="1"/>
  <c r="AZ31"/>
  <c r="BA31"/>
  <c r="AY32"/>
  <c r="AX32" s="1"/>
  <c r="AZ32"/>
  <c r="BA32"/>
  <c r="AY33"/>
  <c r="AX33" s="1"/>
  <c r="AZ33"/>
  <c r="BA33"/>
  <c r="AY34"/>
  <c r="AX34" s="1"/>
  <c r="AZ34"/>
  <c r="BA34"/>
  <c r="AY35"/>
  <c r="AX35" s="1"/>
  <c r="AZ35"/>
  <c r="BA35"/>
  <c r="AY36"/>
  <c r="AX36" s="1"/>
  <c r="AZ36"/>
  <c r="BA36"/>
  <c r="AY37"/>
  <c r="AX37" s="1"/>
  <c r="AZ37"/>
  <c r="BA37"/>
  <c r="AY38"/>
  <c r="AX38" s="1"/>
  <c r="AZ38"/>
  <c r="BA38"/>
  <c r="AY39"/>
  <c r="AX39" s="1"/>
  <c r="AZ39"/>
  <c r="BA39"/>
  <c r="AY40"/>
  <c r="AX40" s="1"/>
  <c r="AZ40"/>
  <c r="BA40"/>
  <c r="AY41"/>
  <c r="AX41" s="1"/>
  <c r="AZ41"/>
  <c r="BA41"/>
  <c r="AZ42"/>
  <c r="BA42"/>
  <c r="AZ43"/>
  <c r="BA43"/>
  <c r="AZ44"/>
  <c r="BA44"/>
  <c r="AZ45"/>
  <c r="BA45"/>
  <c r="AZ46"/>
  <c r="BA46"/>
  <c r="AZ47"/>
  <c r="BA47"/>
  <c r="AZ48"/>
  <c r="BA48"/>
  <c r="AZ49"/>
  <c r="BA49"/>
  <c r="AZ50"/>
  <c r="BA50"/>
  <c r="AZ51"/>
  <c r="BA51"/>
  <c r="AZ52"/>
  <c r="BA52"/>
  <c r="AZ53"/>
  <c r="BA53"/>
  <c r="AZ54"/>
  <c r="BA54"/>
  <c r="AZ55"/>
  <c r="BA55"/>
  <c r="AZ56"/>
  <c r="BA56"/>
  <c r="AZ57"/>
  <c r="BA57"/>
  <c r="AZ58"/>
  <c r="BA58"/>
  <c r="AZ59"/>
  <c r="BA59"/>
  <c r="AZ60"/>
  <c r="BA60"/>
  <c r="AZ61"/>
  <c r="BA61"/>
  <c r="AZ62"/>
  <c r="BA62"/>
  <c r="AZ63"/>
  <c r="BA63"/>
  <c r="AZ64"/>
  <c r="BA64"/>
  <c r="AZ65"/>
  <c r="BA65"/>
  <c r="AZ66"/>
  <c r="BA66"/>
  <c r="AZ67"/>
  <c r="BA67"/>
  <c r="AZ68"/>
  <c r="BA68"/>
  <c r="AZ69"/>
  <c r="BA69"/>
  <c r="AZ70"/>
  <c r="BA70"/>
  <c r="AZ71"/>
  <c r="BA71"/>
  <c r="AZ72"/>
  <c r="BA72"/>
  <c r="AZ73"/>
  <c r="BA73"/>
  <c r="AZ74"/>
  <c r="BA74"/>
  <c r="AZ75"/>
  <c r="BA75"/>
  <c r="AZ76"/>
  <c r="BA76"/>
  <c r="AY77"/>
  <c r="AX77" s="1"/>
  <c r="AZ77"/>
  <c r="BA77"/>
  <c r="AY78"/>
  <c r="AX78" s="1"/>
  <c r="AZ78"/>
  <c r="BA78"/>
  <c r="AY79"/>
  <c r="AX79" s="1"/>
  <c r="AZ79"/>
  <c r="BA79"/>
  <c r="AY80"/>
  <c r="AX80" s="1"/>
  <c r="AZ80"/>
  <c r="BA80"/>
  <c r="AY81"/>
  <c r="AX81" s="1"/>
  <c r="AZ81"/>
  <c r="BA81"/>
  <c r="AY82"/>
  <c r="AX82" s="1"/>
  <c r="AZ82"/>
  <c r="BA82"/>
  <c r="AY83"/>
  <c r="AX83" s="1"/>
  <c r="AZ83"/>
  <c r="BA83"/>
  <c r="AY84"/>
  <c r="AX84" s="1"/>
  <c r="AZ84"/>
  <c r="BA84"/>
  <c r="AY85"/>
  <c r="AX85" s="1"/>
  <c r="AZ85"/>
  <c r="BA85"/>
  <c r="AY86"/>
  <c r="AX86" s="1"/>
  <c r="AZ86"/>
  <c r="BA86"/>
  <c r="AY87"/>
  <c r="AX87" s="1"/>
  <c r="AZ87"/>
  <c r="BA87"/>
  <c r="AY88"/>
  <c r="AX88" s="1"/>
  <c r="AZ88"/>
  <c r="BA88"/>
  <c r="AY89"/>
  <c r="AX89" s="1"/>
  <c r="AZ89"/>
  <c r="BA89"/>
  <c r="AY90"/>
  <c r="AX90" s="1"/>
  <c r="AZ90"/>
  <c r="BA90"/>
  <c r="AY91"/>
  <c r="AX91" s="1"/>
  <c r="AZ91"/>
  <c r="BA91"/>
  <c r="AY92"/>
  <c r="AX92" s="1"/>
  <c r="AZ92"/>
  <c r="BA92"/>
  <c r="AY93"/>
  <c r="AX93" s="1"/>
  <c r="AZ93"/>
  <c r="BA93"/>
  <c r="AY94"/>
  <c r="AX94" s="1"/>
  <c r="AZ94"/>
  <c r="BA94"/>
  <c r="AY95"/>
  <c r="AX95" s="1"/>
  <c r="AZ95"/>
  <c r="BA95"/>
  <c r="AY96"/>
  <c r="AX96" s="1"/>
  <c r="AZ96"/>
  <c r="BA96"/>
  <c r="AY97"/>
  <c r="AX97" s="1"/>
  <c r="AZ97"/>
  <c r="BA97"/>
  <c r="AY98"/>
  <c r="AX98" s="1"/>
  <c r="AZ98"/>
  <c r="BA98"/>
  <c r="AY99"/>
  <c r="AX99" s="1"/>
  <c r="AZ99"/>
  <c r="BA99"/>
  <c r="AY100"/>
  <c r="AX100" s="1"/>
  <c r="AZ100"/>
  <c r="BA100"/>
  <c r="AY101"/>
  <c r="AX101" s="1"/>
  <c r="AZ101"/>
  <c r="BA101"/>
  <c r="AY102"/>
  <c r="AX102" s="1"/>
  <c r="AZ102"/>
  <c r="BA102"/>
  <c r="AY103"/>
  <c r="AX103" s="1"/>
  <c r="AZ103"/>
  <c r="BA103"/>
  <c r="AY104"/>
  <c r="AX104" s="1"/>
  <c r="AZ104"/>
  <c r="BA104"/>
  <c r="AY105"/>
  <c r="AX105" s="1"/>
  <c r="AZ105"/>
  <c r="BA105"/>
  <c r="AY106"/>
  <c r="AX106" s="1"/>
  <c r="AZ106"/>
  <c r="BA106"/>
  <c r="AY107"/>
  <c r="AX107" s="1"/>
  <c r="AZ107"/>
  <c r="BA107"/>
  <c r="AY108"/>
  <c r="AX108" s="1"/>
  <c r="AZ108"/>
  <c r="BA108"/>
  <c r="AY109"/>
  <c r="AX109" s="1"/>
  <c r="AZ109"/>
  <c r="BA109"/>
  <c r="AY110"/>
  <c r="AX110" s="1"/>
  <c r="AZ110"/>
  <c r="BA110"/>
  <c r="AY111"/>
  <c r="AX111" s="1"/>
  <c r="AZ111"/>
  <c r="BA111"/>
  <c r="AY112"/>
  <c r="AX112" s="1"/>
  <c r="AZ112"/>
  <c r="BA112"/>
  <c r="AY113"/>
  <c r="AX113" s="1"/>
  <c r="AZ113"/>
  <c r="BA113"/>
  <c r="AY114"/>
  <c r="AX114" s="1"/>
  <c r="AZ114"/>
  <c r="BA114"/>
  <c r="AY115"/>
  <c r="AX115" s="1"/>
  <c r="AZ115"/>
  <c r="BA115"/>
  <c r="AY116"/>
  <c r="AX116" s="1"/>
  <c r="AZ116"/>
  <c r="BA116"/>
  <c r="AY117"/>
  <c r="AX117" s="1"/>
  <c r="AZ117"/>
  <c r="BA117"/>
  <c r="AY118"/>
  <c r="AX118" s="1"/>
  <c r="AZ118"/>
  <c r="BA118"/>
  <c r="AY119"/>
  <c r="AX119" s="1"/>
  <c r="AZ119"/>
  <c r="BA119"/>
  <c r="AY120"/>
  <c r="AX120" s="1"/>
  <c r="AZ120"/>
  <c r="BA120"/>
  <c r="AY121"/>
  <c r="AX121" s="1"/>
  <c r="AZ121"/>
  <c r="BA121"/>
  <c r="AY122"/>
  <c r="AX122" s="1"/>
  <c r="AZ122"/>
  <c r="BA122"/>
  <c r="AY123"/>
  <c r="AX123" s="1"/>
  <c r="AZ123"/>
  <c r="BA123"/>
  <c r="AY124"/>
  <c r="AX124" s="1"/>
  <c r="AZ124"/>
  <c r="BA124"/>
  <c r="AY125"/>
  <c r="AX125" s="1"/>
  <c r="AZ125"/>
  <c r="BA125"/>
  <c r="AY126"/>
  <c r="AX126" s="1"/>
  <c r="AZ126"/>
  <c r="BA126"/>
  <c r="AY127"/>
  <c r="AX127" s="1"/>
  <c r="AZ127"/>
  <c r="BA127"/>
  <c r="AY128"/>
  <c r="AX128" s="1"/>
  <c r="AZ128"/>
  <c r="BA128"/>
  <c r="AY129"/>
  <c r="AX129" s="1"/>
  <c r="AZ129"/>
  <c r="BA129"/>
  <c r="AY130"/>
  <c r="AX130" s="1"/>
  <c r="AZ130"/>
  <c r="BA130"/>
  <c r="AY131"/>
  <c r="AX131" s="1"/>
  <c r="AZ131"/>
  <c r="BA131"/>
  <c r="AY132"/>
  <c r="AX132" s="1"/>
  <c r="AZ132"/>
  <c r="BA132"/>
  <c r="AY133"/>
  <c r="AX133" s="1"/>
  <c r="AZ133"/>
  <c r="BA133"/>
  <c r="AY134"/>
  <c r="AX134" s="1"/>
  <c r="AZ134"/>
  <c r="BA134"/>
  <c r="AY135"/>
  <c r="AX135" s="1"/>
  <c r="AZ135"/>
  <c r="BA135"/>
  <c r="AY136"/>
  <c r="AX136" s="1"/>
  <c r="AZ136"/>
  <c r="BA136"/>
  <c r="AY137"/>
  <c r="AX137" s="1"/>
  <c r="AZ137"/>
  <c r="BA137"/>
  <c r="AY138"/>
  <c r="AX138" s="1"/>
  <c r="AZ138"/>
  <c r="BA138"/>
  <c r="AY139"/>
  <c r="AX139" s="1"/>
  <c r="AZ139"/>
  <c r="BA139"/>
  <c r="AY140"/>
  <c r="AX140" s="1"/>
  <c r="AZ140"/>
  <c r="BA140"/>
  <c r="AY141"/>
  <c r="AX141" s="1"/>
  <c r="AZ141"/>
  <c r="BA141"/>
  <c r="AY142"/>
  <c r="AX142" s="1"/>
  <c r="AZ142"/>
  <c r="BA142"/>
  <c r="AY143"/>
  <c r="AX143" s="1"/>
  <c r="AZ143"/>
  <c r="BA143"/>
  <c r="AY144"/>
  <c r="AX144" s="1"/>
  <c r="AZ144"/>
  <c r="BA144"/>
  <c r="AY145"/>
  <c r="AX145" s="1"/>
  <c r="AZ145"/>
  <c r="BA145"/>
  <c r="AY146"/>
  <c r="AX146" s="1"/>
  <c r="AZ146"/>
  <c r="BA146"/>
  <c r="AY147"/>
  <c r="AX147" s="1"/>
  <c r="AZ147"/>
  <c r="BA147"/>
  <c r="AY148"/>
  <c r="AX148" s="1"/>
  <c r="AZ148"/>
  <c r="BA148"/>
  <c r="AY149"/>
  <c r="AX149" s="1"/>
  <c r="AZ149"/>
  <c r="BA149"/>
  <c r="AY150"/>
  <c r="AX150" s="1"/>
  <c r="AZ150"/>
  <c r="BA150"/>
  <c r="AY151"/>
  <c r="AX151" s="1"/>
  <c r="AZ151"/>
  <c r="BA151"/>
  <c r="AY152"/>
  <c r="AX152" s="1"/>
  <c r="AZ152"/>
  <c r="BA152"/>
  <c r="AY153"/>
  <c r="AX153" s="1"/>
  <c r="AZ153"/>
  <c r="BA153"/>
  <c r="AY154"/>
  <c r="AX154" s="1"/>
  <c r="AZ154"/>
  <c r="BA154"/>
  <c r="AY155"/>
  <c r="AX155" s="1"/>
  <c r="AZ155"/>
  <c r="BA155"/>
  <c r="AY156"/>
  <c r="AX156" s="1"/>
  <c r="AZ156"/>
  <c r="BA156"/>
  <c r="AY157"/>
  <c r="AX157" s="1"/>
  <c r="AZ157"/>
  <c r="BA157"/>
  <c r="AY158"/>
  <c r="AX158" s="1"/>
  <c r="AZ158"/>
  <c r="BA158"/>
  <c r="AY159"/>
  <c r="AX159" s="1"/>
  <c r="AZ159"/>
  <c r="BA159"/>
  <c r="AY160"/>
  <c r="AX160" s="1"/>
  <c r="AZ160"/>
  <c r="BA160"/>
  <c r="AY161"/>
  <c r="AX161" s="1"/>
  <c r="AZ161"/>
  <c r="BA161"/>
  <c r="AY162"/>
  <c r="AX162" s="1"/>
  <c r="AZ162"/>
  <c r="BA162"/>
  <c r="AY163"/>
  <c r="AX163" s="1"/>
  <c r="AZ163"/>
  <c r="BA163"/>
  <c r="AY164"/>
  <c r="AX164" s="1"/>
  <c r="AZ164"/>
  <c r="BA164"/>
  <c r="AY165"/>
  <c r="AX165" s="1"/>
  <c r="AZ165"/>
  <c r="BA165"/>
  <c r="AY166"/>
  <c r="AX166" s="1"/>
  <c r="AZ166"/>
  <c r="BA166"/>
  <c r="AY167"/>
  <c r="AX167" s="1"/>
  <c r="AZ167"/>
  <c r="BA167"/>
  <c r="AY168"/>
  <c r="AX168" s="1"/>
  <c r="AZ168"/>
  <c r="BA168"/>
  <c r="AY169"/>
  <c r="AX169" s="1"/>
  <c r="AZ169"/>
  <c r="BA169"/>
  <c r="AY170"/>
  <c r="AX170" s="1"/>
  <c r="AZ170"/>
  <c r="BA170"/>
  <c r="AY171"/>
  <c r="AX171" s="1"/>
  <c r="AZ171"/>
  <c r="BA171"/>
  <c r="AY172"/>
  <c r="AX172" s="1"/>
  <c r="AZ172"/>
  <c r="BA172"/>
  <c r="AY173"/>
  <c r="AX173" s="1"/>
  <c r="AZ173"/>
  <c r="BA173"/>
  <c r="AY174"/>
  <c r="AX174" s="1"/>
  <c r="AZ174"/>
  <c r="BA174"/>
  <c r="AY175"/>
  <c r="AX175" s="1"/>
  <c r="AZ175"/>
  <c r="BA175"/>
  <c r="AY176"/>
  <c r="AX176" s="1"/>
  <c r="AZ176"/>
  <c r="BA176"/>
  <c r="AY177"/>
  <c r="AX177" s="1"/>
  <c r="AZ177"/>
  <c r="BA177"/>
  <c r="AY178"/>
  <c r="AX178" s="1"/>
  <c r="AZ178"/>
  <c r="BA178"/>
  <c r="AY179"/>
  <c r="AX179" s="1"/>
  <c r="AZ179"/>
  <c r="BA179"/>
  <c r="AY180"/>
  <c r="AX180" s="1"/>
  <c r="AZ180"/>
  <c r="BA180"/>
  <c r="AY181"/>
  <c r="AX181" s="1"/>
  <c r="AZ181"/>
  <c r="BA181"/>
  <c r="AY182"/>
  <c r="AX182" s="1"/>
  <c r="AZ182"/>
  <c r="BA182"/>
  <c r="AY183"/>
  <c r="AX183" s="1"/>
  <c r="AZ183"/>
  <c r="BA183"/>
  <c r="AY184"/>
  <c r="AX184" s="1"/>
  <c r="AZ184"/>
  <c r="BA184"/>
  <c r="AY185"/>
  <c r="AX185" s="1"/>
  <c r="AZ185"/>
  <c r="BA185"/>
  <c r="AY186"/>
  <c r="AX186" s="1"/>
  <c r="AZ186"/>
  <c r="BA186"/>
  <c r="AY187"/>
  <c r="AX187" s="1"/>
  <c r="AZ187"/>
  <c r="BA187"/>
  <c r="AY188"/>
  <c r="AX188" s="1"/>
  <c r="AZ188"/>
  <c r="BA188"/>
  <c r="AY189"/>
  <c r="AX189" s="1"/>
  <c r="AZ189"/>
  <c r="BA189"/>
  <c r="AY190"/>
  <c r="AX190" s="1"/>
  <c r="AZ190"/>
  <c r="BA190"/>
  <c r="AY191"/>
  <c r="AX191" s="1"/>
  <c r="AZ191"/>
  <c r="BA191"/>
  <c r="AY192"/>
  <c r="AX192" s="1"/>
  <c r="AZ192"/>
  <c r="BA192"/>
  <c r="AY193"/>
  <c r="AX193" s="1"/>
  <c r="AZ193"/>
  <c r="BA193"/>
  <c r="AY194"/>
  <c r="AX194" s="1"/>
  <c r="AZ194"/>
  <c r="BA194"/>
  <c r="AY195"/>
  <c r="AX195" s="1"/>
  <c r="AZ195"/>
  <c r="BA195"/>
  <c r="AY196"/>
  <c r="AX196" s="1"/>
  <c r="AZ196"/>
  <c r="BA196"/>
  <c r="AY197"/>
  <c r="AX197" s="1"/>
  <c r="AZ197"/>
  <c r="BA197"/>
  <c r="AY198"/>
  <c r="AX198" s="1"/>
  <c r="AZ198"/>
  <c r="BA198"/>
  <c r="AY199"/>
  <c r="AX199" s="1"/>
  <c r="AZ199"/>
  <c r="BA199"/>
  <c r="AY200"/>
  <c r="AX200" s="1"/>
  <c r="AZ200"/>
  <c r="BA200"/>
  <c r="AY201"/>
  <c r="AX201" s="1"/>
  <c r="AZ201"/>
  <c r="BA201"/>
  <c r="AY202"/>
  <c r="AX202" s="1"/>
  <c r="AZ202"/>
  <c r="BA202"/>
  <c r="AY203"/>
  <c r="AX203" s="1"/>
  <c r="AZ203"/>
  <c r="BA203"/>
  <c r="AY204"/>
  <c r="AX204" s="1"/>
  <c r="AZ204"/>
  <c r="BA204"/>
  <c r="AY205"/>
  <c r="AX205" s="1"/>
  <c r="AZ205"/>
  <c r="BA205"/>
  <c r="AY206"/>
  <c r="AX206" s="1"/>
  <c r="AZ206"/>
  <c r="BA206"/>
  <c r="AY207"/>
  <c r="AX207" s="1"/>
  <c r="AZ207"/>
  <c r="BA207"/>
  <c r="AY208"/>
  <c r="AX208" s="1"/>
  <c r="AZ208"/>
  <c r="BA208"/>
  <c r="AY209"/>
  <c r="AX209" s="1"/>
  <c r="AZ209"/>
  <c r="BA209"/>
  <c r="AY210"/>
  <c r="AX210" s="1"/>
  <c r="AZ210"/>
  <c r="BA210"/>
  <c r="AY211"/>
  <c r="AX211" s="1"/>
  <c r="AZ211"/>
  <c r="BA211"/>
  <c r="AY212"/>
  <c r="AX212" s="1"/>
  <c r="AZ212"/>
  <c r="BA212"/>
  <c r="AY213"/>
  <c r="AX213" s="1"/>
  <c r="AZ213"/>
  <c r="BA213"/>
  <c r="AY214"/>
  <c r="AX214" s="1"/>
  <c r="AZ214"/>
  <c r="BA214"/>
  <c r="AY215"/>
  <c r="AX215" s="1"/>
  <c r="AZ215"/>
  <c r="BA215"/>
  <c r="AY216"/>
  <c r="AX216" s="1"/>
  <c r="AZ216"/>
  <c r="BA216"/>
  <c r="AY217"/>
  <c r="AX217" s="1"/>
  <c r="AZ217"/>
  <c r="BA217"/>
  <c r="AY218"/>
  <c r="AX218" s="1"/>
  <c r="AZ218"/>
  <c r="BA218"/>
  <c r="AY219"/>
  <c r="AX219" s="1"/>
  <c r="AZ219"/>
  <c r="BA219"/>
  <c r="AY220"/>
  <c r="AX220" s="1"/>
  <c r="AZ220"/>
  <c r="BA220"/>
  <c r="AY221"/>
  <c r="AX221" s="1"/>
  <c r="AZ221"/>
  <c r="BA221"/>
  <c r="AY222"/>
  <c r="AX222" s="1"/>
  <c r="AZ222"/>
  <c r="BA222"/>
  <c r="AY223"/>
  <c r="AX223" s="1"/>
  <c r="AZ223"/>
  <c r="BA223"/>
  <c r="AY224"/>
  <c r="AX224" s="1"/>
  <c r="AZ224"/>
  <c r="BA224"/>
  <c r="AY225"/>
  <c r="AX225" s="1"/>
  <c r="AZ225"/>
  <c r="BA225"/>
  <c r="AY226"/>
  <c r="AX226" s="1"/>
  <c r="AZ226"/>
  <c r="BA226"/>
  <c r="AY227"/>
  <c r="AX227" s="1"/>
  <c r="AZ227"/>
  <c r="BA227"/>
  <c r="AY228"/>
  <c r="AX228" s="1"/>
  <c r="AZ228"/>
  <c r="BA228"/>
  <c r="AY229"/>
  <c r="AX229" s="1"/>
  <c r="AZ229"/>
  <c r="BA229"/>
  <c r="AY230"/>
  <c r="AX230" s="1"/>
  <c r="AZ230"/>
  <c r="BA230"/>
  <c r="AY231"/>
  <c r="AX231" s="1"/>
  <c r="AZ231"/>
  <c r="BA231"/>
  <c r="AY232"/>
  <c r="AX232" s="1"/>
  <c r="AZ232"/>
  <c r="BA232"/>
  <c r="AY233"/>
  <c r="AX233" s="1"/>
  <c r="AZ233"/>
  <c r="BA233"/>
  <c r="AY234"/>
  <c r="AX234" s="1"/>
  <c r="AZ234"/>
  <c r="BA234"/>
  <c r="AY235"/>
  <c r="AX235" s="1"/>
  <c r="AZ235"/>
  <c r="BA235"/>
  <c r="AY236"/>
  <c r="AX236" s="1"/>
  <c r="AZ236"/>
  <c r="BA236"/>
  <c r="AY237"/>
  <c r="AX237" s="1"/>
  <c r="AZ237"/>
  <c r="BA237"/>
  <c r="AY238"/>
  <c r="AX238" s="1"/>
  <c r="AZ238"/>
  <c r="BA238"/>
  <c r="AY239"/>
  <c r="AX239" s="1"/>
  <c r="AZ239"/>
  <c r="BA239"/>
  <c r="AY240"/>
  <c r="AX240" s="1"/>
  <c r="AZ240"/>
  <c r="BA240"/>
  <c r="AY241"/>
  <c r="AX241" s="1"/>
  <c r="AZ241"/>
  <c r="BA241"/>
  <c r="AY242"/>
  <c r="AX242" s="1"/>
  <c r="AZ242"/>
  <c r="BA242"/>
  <c r="AY243"/>
  <c r="AX243" s="1"/>
  <c r="AZ243"/>
  <c r="BA243"/>
  <c r="AY244"/>
  <c r="AX244" s="1"/>
  <c r="AZ244"/>
  <c r="BA244"/>
  <c r="AY245"/>
  <c r="AX245" s="1"/>
  <c r="AZ245"/>
  <c r="BA245"/>
  <c r="AY246"/>
  <c r="AX246" s="1"/>
  <c r="AZ246"/>
  <c r="BA246"/>
  <c r="AY247"/>
  <c r="AX247" s="1"/>
  <c r="AZ247"/>
  <c r="BA247"/>
  <c r="AY248"/>
  <c r="AX248" s="1"/>
  <c r="AZ248"/>
  <c r="BA248"/>
  <c r="AY249"/>
  <c r="AX249" s="1"/>
  <c r="AZ249"/>
  <c r="BA249"/>
  <c r="AY250"/>
  <c r="AX250" s="1"/>
  <c r="AZ250"/>
  <c r="BA250"/>
  <c r="AY251"/>
  <c r="AX251" s="1"/>
  <c r="AZ251"/>
  <c r="BA251"/>
  <c r="AY252"/>
  <c r="AX252" s="1"/>
  <c r="AZ252"/>
  <c r="BA252"/>
  <c r="AY253"/>
  <c r="AX253" s="1"/>
  <c r="AZ253"/>
  <c r="BA253"/>
  <c r="AY254"/>
  <c r="AX254" s="1"/>
  <c r="AZ254"/>
  <c r="BA254"/>
  <c r="AY255"/>
  <c r="AX255" s="1"/>
  <c r="AZ255"/>
  <c r="BA255"/>
  <c r="AY256"/>
  <c r="AX256" s="1"/>
  <c r="AZ256"/>
  <c r="BA256"/>
  <c r="AY257"/>
  <c r="AX257" s="1"/>
  <c r="AZ257"/>
  <c r="BA257"/>
  <c r="AY258"/>
  <c r="AX258" s="1"/>
  <c r="AZ258"/>
  <c r="BA258"/>
  <c r="AY259"/>
  <c r="AX259" s="1"/>
  <c r="AZ259"/>
  <c r="BA259"/>
  <c r="AY260"/>
  <c r="AX260" s="1"/>
  <c r="AZ260"/>
  <c r="BA260"/>
  <c r="AY261"/>
  <c r="AX261" s="1"/>
  <c r="AZ261"/>
  <c r="BA261"/>
  <c r="AY262"/>
  <c r="AX262" s="1"/>
  <c r="AZ262"/>
  <c r="BA262"/>
  <c r="AY263"/>
  <c r="AX263" s="1"/>
  <c r="AZ263"/>
  <c r="BA263"/>
  <c r="AY264"/>
  <c r="AX264" s="1"/>
  <c r="AZ264"/>
  <c r="BA264"/>
  <c r="AY265"/>
  <c r="AX265" s="1"/>
  <c r="AZ265"/>
  <c r="BA265"/>
  <c r="AY266"/>
  <c r="AX266" s="1"/>
  <c r="AZ266"/>
  <c r="BA266"/>
  <c r="AY267"/>
  <c r="AX267" s="1"/>
  <c r="AZ267"/>
  <c r="BA267"/>
  <c r="AY268"/>
  <c r="AX268" s="1"/>
  <c r="AZ268"/>
  <c r="BA268"/>
  <c r="AY269"/>
  <c r="AX269" s="1"/>
  <c r="AZ269"/>
  <c r="BA269"/>
  <c r="AY270"/>
  <c r="AX270" s="1"/>
  <c r="AZ270"/>
  <c r="BA270"/>
  <c r="AY271"/>
  <c r="AX271" s="1"/>
  <c r="AZ271"/>
  <c r="BA271"/>
  <c r="AY272"/>
  <c r="AX272" s="1"/>
  <c r="AZ272"/>
  <c r="BA272"/>
  <c r="AY273"/>
  <c r="AX273" s="1"/>
  <c r="AZ273"/>
  <c r="BA273"/>
  <c r="AY274"/>
  <c r="AX274" s="1"/>
  <c r="AZ274"/>
  <c r="BA274"/>
  <c r="AY275"/>
  <c r="AX275" s="1"/>
  <c r="AZ275"/>
  <c r="BA275"/>
  <c r="AY276"/>
  <c r="AX276" s="1"/>
  <c r="AZ276"/>
  <c r="BA276"/>
  <c r="AY277"/>
  <c r="AX277" s="1"/>
  <c r="AZ277"/>
  <c r="BA277"/>
  <c r="AY278"/>
  <c r="AX278" s="1"/>
  <c r="AZ278"/>
  <c r="BA278"/>
  <c r="AY279"/>
  <c r="AX279" s="1"/>
  <c r="AZ279"/>
  <c r="BA279"/>
  <c r="AY280"/>
  <c r="AX280" s="1"/>
  <c r="AZ280"/>
  <c r="BA280"/>
  <c r="AY281"/>
  <c r="AX281" s="1"/>
  <c r="AZ281"/>
  <c r="BA281"/>
  <c r="AY282"/>
  <c r="AX282" s="1"/>
  <c r="AZ282"/>
  <c r="BA282"/>
  <c r="AY283"/>
  <c r="AX283" s="1"/>
  <c r="AZ283"/>
  <c r="BA283"/>
  <c r="AY284"/>
  <c r="AX284" s="1"/>
  <c r="AZ284"/>
  <c r="BA284"/>
  <c r="AY285"/>
  <c r="AX285" s="1"/>
  <c r="AZ285"/>
  <c r="BA285"/>
  <c r="AY286"/>
  <c r="AX286" s="1"/>
  <c r="AZ286"/>
  <c r="BA286"/>
  <c r="AY287"/>
  <c r="AX287" s="1"/>
  <c r="AZ287"/>
  <c r="BA287"/>
  <c r="AY288"/>
  <c r="AX288" s="1"/>
  <c r="AZ288"/>
  <c r="BA288"/>
  <c r="AY289"/>
  <c r="AX289" s="1"/>
  <c r="AZ289"/>
  <c r="BA289"/>
  <c r="AY290"/>
  <c r="AX290" s="1"/>
  <c r="AZ290"/>
  <c r="BA290"/>
  <c r="AY291"/>
  <c r="AX291" s="1"/>
  <c r="AZ291"/>
  <c r="BA291"/>
  <c r="AY292"/>
  <c r="AX292" s="1"/>
  <c r="AZ292"/>
  <c r="BA292"/>
  <c r="AY293"/>
  <c r="AX293" s="1"/>
  <c r="AZ293"/>
  <c r="BA293"/>
  <c r="AY294"/>
  <c r="AX294" s="1"/>
  <c r="AZ294"/>
  <c r="BA294"/>
  <c r="AY295"/>
  <c r="AX295" s="1"/>
  <c r="AZ295"/>
  <c r="BA295"/>
  <c r="AY296"/>
  <c r="AX296" s="1"/>
  <c r="AZ296"/>
  <c r="BA296"/>
  <c r="AY297"/>
  <c r="AX297" s="1"/>
  <c r="AZ297"/>
  <c r="BA297"/>
  <c r="AY298"/>
  <c r="AX298" s="1"/>
  <c r="AZ298"/>
  <c r="BA298"/>
  <c r="AY299"/>
  <c r="AX299" s="1"/>
  <c r="AZ299"/>
  <c r="BA299"/>
  <c r="AY300"/>
  <c r="AX300" s="1"/>
  <c r="AZ300"/>
  <c r="BA300"/>
  <c r="AY301"/>
  <c r="AX301" s="1"/>
  <c r="AZ301"/>
  <c r="BA301"/>
  <c r="AY302"/>
  <c r="AX302" s="1"/>
  <c r="AZ302"/>
  <c r="BA302"/>
  <c r="AY303"/>
  <c r="AX303" s="1"/>
  <c r="AZ303"/>
  <c r="BA303"/>
  <c r="AY304"/>
  <c r="AX304" s="1"/>
  <c r="AZ304"/>
  <c r="BA304"/>
  <c r="AY305"/>
  <c r="AX305" s="1"/>
  <c r="AZ305"/>
  <c r="BA305"/>
  <c r="AY306"/>
  <c r="AX306" s="1"/>
  <c r="AZ306"/>
  <c r="BA306"/>
  <c r="AY307"/>
  <c r="AX307" s="1"/>
  <c r="AZ307"/>
  <c r="BA307"/>
  <c r="AY308"/>
  <c r="AX308" s="1"/>
  <c r="AZ308"/>
  <c r="BA308"/>
  <c r="AY309"/>
  <c r="AX309" s="1"/>
  <c r="AZ309"/>
  <c r="BA309"/>
  <c r="AY310"/>
  <c r="AX310" s="1"/>
  <c r="AZ310"/>
  <c r="BA310"/>
  <c r="AY311"/>
  <c r="AX311" s="1"/>
  <c r="AZ311"/>
  <c r="BA311"/>
  <c r="AY312"/>
  <c r="AX312" s="1"/>
  <c r="AZ312"/>
  <c r="BA312"/>
  <c r="AY313"/>
  <c r="AX313" s="1"/>
  <c r="AZ313"/>
  <c r="BA313"/>
  <c r="AY314"/>
  <c r="AX314" s="1"/>
  <c r="AZ314"/>
  <c r="BA314"/>
  <c r="AY315"/>
  <c r="AX315" s="1"/>
  <c r="AZ315"/>
  <c r="BA315"/>
  <c r="AY316"/>
  <c r="AX316" s="1"/>
  <c r="AZ316"/>
  <c r="BA316"/>
  <c r="AY317"/>
  <c r="AX317" s="1"/>
  <c r="AZ317"/>
  <c r="BA317"/>
  <c r="AY318"/>
  <c r="AX318" s="1"/>
  <c r="AZ318"/>
  <c r="BA318"/>
  <c r="AY319"/>
  <c r="AX319" s="1"/>
  <c r="AZ319"/>
  <c r="BA319"/>
  <c r="AY320"/>
  <c r="AX320" s="1"/>
  <c r="AZ320"/>
  <c r="BA320"/>
  <c r="AY321"/>
  <c r="AX321" s="1"/>
  <c r="AZ321"/>
  <c r="BA321"/>
  <c r="AY322"/>
  <c r="AX322" s="1"/>
  <c r="AZ322"/>
  <c r="BA322"/>
  <c r="AY323"/>
  <c r="AX323" s="1"/>
  <c r="AZ323"/>
  <c r="BA323"/>
  <c r="AY324"/>
  <c r="AX324" s="1"/>
  <c r="AZ324"/>
  <c r="BA324"/>
  <c r="AY325"/>
  <c r="AX325" s="1"/>
  <c r="AZ325"/>
  <c r="BA325"/>
  <c r="AY326"/>
  <c r="AX326" s="1"/>
  <c r="AZ326"/>
  <c r="BA326"/>
  <c r="AY327"/>
  <c r="AX327" s="1"/>
  <c r="AZ327"/>
  <c r="BA327"/>
  <c r="AY328"/>
  <c r="AX328" s="1"/>
  <c r="AZ328"/>
  <c r="BA328"/>
  <c r="AY329"/>
  <c r="AX329" s="1"/>
  <c r="AZ329"/>
  <c r="BA329"/>
  <c r="AY330"/>
  <c r="AX330" s="1"/>
  <c r="AZ330"/>
  <c r="BA330"/>
  <c r="AY331"/>
  <c r="AX331" s="1"/>
  <c r="AZ331"/>
  <c r="BA331"/>
  <c r="AY332"/>
  <c r="AX332" s="1"/>
  <c r="AZ332"/>
  <c r="BA332"/>
  <c r="AY333"/>
  <c r="AX333" s="1"/>
  <c r="AZ333"/>
  <c r="BA333"/>
  <c r="AY334"/>
  <c r="AX334" s="1"/>
  <c r="AZ334"/>
  <c r="BA334"/>
  <c r="AY335"/>
  <c r="AX335" s="1"/>
  <c r="AZ335"/>
  <c r="BA335"/>
  <c r="AY336"/>
  <c r="AX336" s="1"/>
  <c r="AZ336"/>
  <c r="BA336"/>
  <c r="AY337"/>
  <c r="AX337" s="1"/>
  <c r="AZ337"/>
  <c r="BA337"/>
  <c r="AY338"/>
  <c r="AX338" s="1"/>
  <c r="AZ338"/>
  <c r="BA338"/>
  <c r="AY339"/>
  <c r="AX339" s="1"/>
  <c r="AZ339"/>
  <c r="BA339"/>
  <c r="AY340"/>
  <c r="AX340" s="1"/>
  <c r="AZ340"/>
  <c r="BA340"/>
  <c r="AY341"/>
  <c r="AX341" s="1"/>
  <c r="AZ341"/>
  <c r="BA341"/>
  <c r="AY342"/>
  <c r="AX342" s="1"/>
  <c r="AZ342"/>
  <c r="BA342"/>
  <c r="AY343"/>
  <c r="AX343" s="1"/>
  <c r="AZ343"/>
  <c r="BA343"/>
  <c r="AY344"/>
  <c r="AX344" s="1"/>
  <c r="AZ344"/>
  <c r="BA344"/>
  <c r="AY345"/>
  <c r="AX345" s="1"/>
  <c r="AZ345"/>
  <c r="BA345"/>
  <c r="AY346"/>
  <c r="AX346" s="1"/>
  <c r="AZ346"/>
  <c r="BA346"/>
  <c r="AY347"/>
  <c r="AX347" s="1"/>
  <c r="AZ347"/>
  <c r="BA347"/>
  <c r="AY348"/>
  <c r="AX348" s="1"/>
  <c r="AZ348"/>
  <c r="BA348"/>
  <c r="AY349"/>
  <c r="AX349" s="1"/>
  <c r="AZ349"/>
  <c r="BA349"/>
  <c r="AY350"/>
  <c r="AX350" s="1"/>
  <c r="AZ350"/>
  <c r="BA350"/>
  <c r="AY351"/>
  <c r="AX351" s="1"/>
  <c r="AZ351"/>
  <c r="BA351"/>
  <c r="AY352"/>
  <c r="AX352" s="1"/>
  <c r="AZ352"/>
  <c r="BA352"/>
  <c r="AY353"/>
  <c r="AX353" s="1"/>
  <c r="AZ353"/>
  <c r="BA353"/>
  <c r="AY354"/>
  <c r="AX354" s="1"/>
  <c r="AZ354"/>
  <c r="BA354"/>
  <c r="AY355"/>
  <c r="AX355" s="1"/>
  <c r="AZ355"/>
  <c r="BA355"/>
  <c r="AY356"/>
  <c r="AX356" s="1"/>
  <c r="AZ356"/>
  <c r="BA356"/>
  <c r="AY357"/>
  <c r="AX357" s="1"/>
  <c r="AZ357"/>
  <c r="BA357"/>
  <c r="AY358"/>
  <c r="AX358" s="1"/>
  <c r="AZ358"/>
  <c r="BA358"/>
  <c r="AY359"/>
  <c r="AX359" s="1"/>
  <c r="AZ359"/>
  <c r="BA359"/>
  <c r="AY360"/>
  <c r="AX360" s="1"/>
  <c r="AZ360"/>
  <c r="BA360"/>
  <c r="AY361"/>
  <c r="AX361" s="1"/>
  <c r="AZ361"/>
  <c r="BA361"/>
  <c r="AY362"/>
  <c r="AX362" s="1"/>
  <c r="AZ362"/>
  <c r="BA362"/>
  <c r="AY363"/>
  <c r="AX363" s="1"/>
  <c r="AZ363"/>
  <c r="BA363"/>
  <c r="AY364"/>
  <c r="AX364" s="1"/>
  <c r="AZ364"/>
  <c r="BA364"/>
  <c r="AY365"/>
  <c r="AX365" s="1"/>
  <c r="AZ365"/>
  <c r="BA365"/>
  <c r="AY366"/>
  <c r="AX366" s="1"/>
  <c r="AZ366"/>
  <c r="BA366"/>
  <c r="AY367"/>
  <c r="AX367" s="1"/>
  <c r="AZ367"/>
  <c r="BA367"/>
  <c r="AY368"/>
  <c r="AX368" s="1"/>
  <c r="AZ368"/>
  <c r="BA368"/>
  <c r="AY369"/>
  <c r="AX369" s="1"/>
  <c r="AZ369"/>
  <c r="BA369"/>
  <c r="AY370"/>
  <c r="AX370" s="1"/>
  <c r="AZ370"/>
  <c r="BA370"/>
  <c r="AY371"/>
  <c r="AX371" s="1"/>
  <c r="AZ371"/>
  <c r="BA371"/>
  <c r="AY372"/>
  <c r="AX372" s="1"/>
  <c r="AZ372"/>
  <c r="BA372"/>
  <c r="AY373"/>
  <c r="AX373" s="1"/>
  <c r="AZ373"/>
  <c r="BA373"/>
  <c r="AY374"/>
  <c r="AX374" s="1"/>
  <c r="AZ374"/>
  <c r="BA374"/>
  <c r="AY375"/>
  <c r="AX375" s="1"/>
  <c r="AZ375"/>
  <c r="BA375"/>
  <c r="AY376"/>
  <c r="AX376" s="1"/>
  <c r="AZ376"/>
  <c r="BA376"/>
  <c r="AY377"/>
  <c r="AX377" s="1"/>
  <c r="AZ377"/>
  <c r="BA377"/>
  <c r="AY378"/>
  <c r="AX378" s="1"/>
  <c r="AZ378"/>
  <c r="BA378"/>
  <c r="AY379"/>
  <c r="AX379" s="1"/>
  <c r="AZ379"/>
  <c r="BA379"/>
  <c r="AY380"/>
  <c r="AX380" s="1"/>
  <c r="AZ380"/>
  <c r="BA380"/>
  <c r="AY381"/>
  <c r="AX381" s="1"/>
  <c r="AZ381"/>
  <c r="BA381"/>
  <c r="AY382"/>
  <c r="AX382" s="1"/>
  <c r="AZ382"/>
  <c r="BA382"/>
  <c r="AY383"/>
  <c r="AX383" s="1"/>
  <c r="AZ383"/>
  <c r="BA383"/>
  <c r="AY384"/>
  <c r="AX384" s="1"/>
  <c r="AZ384"/>
  <c r="BA384"/>
  <c r="AY385"/>
  <c r="AX385" s="1"/>
  <c r="AZ385"/>
  <c r="BA385"/>
  <c r="AY386"/>
  <c r="AX386" s="1"/>
  <c r="AZ386"/>
  <c r="BA386"/>
  <c r="AY387"/>
  <c r="AX387" s="1"/>
  <c r="AZ387"/>
  <c r="BA387"/>
  <c r="AY388"/>
  <c r="AX388" s="1"/>
  <c r="AZ388"/>
  <c r="BA388"/>
  <c r="AY389"/>
  <c r="AX389" s="1"/>
  <c r="AZ389"/>
  <c r="BA389"/>
  <c r="AY390"/>
  <c r="AX390" s="1"/>
  <c r="AZ390"/>
  <c r="BA390"/>
  <c r="AY391"/>
  <c r="AX391" s="1"/>
  <c r="AZ391"/>
  <c r="BA391"/>
  <c r="AY392"/>
  <c r="AX392" s="1"/>
  <c r="AZ392"/>
  <c r="BA392"/>
  <c r="AY393"/>
  <c r="AX393" s="1"/>
  <c r="AZ393"/>
  <c r="BA393"/>
  <c r="AY394"/>
  <c r="AX394" s="1"/>
  <c r="AZ394"/>
  <c r="BA394"/>
  <c r="AY395"/>
  <c r="AX395" s="1"/>
  <c r="AZ395"/>
  <c r="BA395"/>
  <c r="AY396"/>
  <c r="AX396" s="1"/>
  <c r="AZ396"/>
  <c r="BA396"/>
  <c r="AY397"/>
  <c r="AX397" s="1"/>
  <c r="AZ397"/>
  <c r="BA397"/>
  <c r="AY398"/>
  <c r="AX398" s="1"/>
  <c r="AZ398"/>
  <c r="BA398"/>
  <c r="AY399"/>
  <c r="AX399" s="1"/>
  <c r="AZ399"/>
  <c r="BA399"/>
  <c r="AY400"/>
  <c r="AX400" s="1"/>
  <c r="AZ400"/>
  <c r="BA400"/>
  <c r="AY401"/>
  <c r="AX401" s="1"/>
  <c r="AZ401"/>
  <c r="BA401"/>
  <c r="AY402"/>
  <c r="AX402" s="1"/>
  <c r="AZ402"/>
  <c r="BA402"/>
  <c r="AY403"/>
  <c r="AX403" s="1"/>
  <c r="AZ403"/>
  <c r="BA403"/>
  <c r="AY404"/>
  <c r="AX404" s="1"/>
  <c r="AZ404"/>
  <c r="BA404"/>
  <c r="AY405"/>
  <c r="AX405" s="1"/>
  <c r="AZ405"/>
  <c r="BA405"/>
  <c r="AY406"/>
  <c r="AX406" s="1"/>
  <c r="AZ406"/>
  <c r="BA406"/>
  <c r="AY407"/>
  <c r="AX407" s="1"/>
  <c r="AZ407"/>
  <c r="BA407"/>
  <c r="AY408"/>
  <c r="AX408" s="1"/>
  <c r="AZ408"/>
  <c r="BA408"/>
  <c r="AY409"/>
  <c r="AX409" s="1"/>
  <c r="AZ409"/>
  <c r="BA409"/>
  <c r="AY410"/>
  <c r="AX410" s="1"/>
  <c r="AZ410"/>
  <c r="BA410"/>
  <c r="AY411"/>
  <c r="AX411" s="1"/>
  <c r="AZ411"/>
  <c r="BA411"/>
  <c r="AY412"/>
  <c r="AX412" s="1"/>
  <c r="AZ412"/>
  <c r="BA412"/>
  <c r="AY413"/>
  <c r="AX413" s="1"/>
  <c r="AZ413"/>
  <c r="BA413"/>
  <c r="AY414"/>
  <c r="AX414" s="1"/>
  <c r="AZ414"/>
  <c r="BA414"/>
  <c r="AY415"/>
  <c r="AX415" s="1"/>
  <c r="AZ415"/>
  <c r="BA415"/>
  <c r="AY416"/>
  <c r="AX416" s="1"/>
  <c r="AZ416"/>
  <c r="BA416"/>
  <c r="AY417"/>
  <c r="AX417" s="1"/>
  <c r="AZ417"/>
  <c r="BA417"/>
  <c r="AY418"/>
  <c r="AX418" s="1"/>
  <c r="AZ418"/>
  <c r="BA418"/>
  <c r="AY419"/>
  <c r="AX419" s="1"/>
  <c r="AZ419"/>
  <c r="BA419"/>
  <c r="AY420"/>
  <c r="AX420" s="1"/>
  <c r="AZ420"/>
  <c r="BA420"/>
  <c r="AY421"/>
  <c r="AX421" s="1"/>
  <c r="AZ421"/>
  <c r="BA421"/>
  <c r="AY422"/>
  <c r="AX422" s="1"/>
  <c r="AZ422"/>
  <c r="BA422"/>
  <c r="AY423"/>
  <c r="AX423" s="1"/>
  <c r="AZ423"/>
  <c r="BA423"/>
  <c r="AY424"/>
  <c r="AX424" s="1"/>
  <c r="AZ424"/>
  <c r="BA424"/>
  <c r="AY425"/>
  <c r="AX425" s="1"/>
  <c r="AZ425"/>
  <c r="BA425"/>
  <c r="AY426"/>
  <c r="AX426" s="1"/>
  <c r="AZ426"/>
  <c r="BA426"/>
  <c r="AY427"/>
  <c r="AX427" s="1"/>
  <c r="AZ427"/>
  <c r="BA427"/>
  <c r="AY428"/>
  <c r="AX428" s="1"/>
  <c r="AZ428"/>
  <c r="BA428"/>
  <c r="AY429"/>
  <c r="AX429" s="1"/>
  <c r="AZ429"/>
  <c r="BA429"/>
  <c r="AY430"/>
  <c r="AX430" s="1"/>
  <c r="AZ430"/>
  <c r="BA430"/>
  <c r="AY431"/>
  <c r="AX431" s="1"/>
  <c r="AZ431"/>
  <c r="BA431"/>
  <c r="AY432"/>
  <c r="AX432" s="1"/>
  <c r="AZ432"/>
  <c r="BA432"/>
  <c r="AY433"/>
  <c r="AX433" s="1"/>
  <c r="AZ433"/>
  <c r="BA433"/>
  <c r="AY434"/>
  <c r="AX434" s="1"/>
  <c r="AZ434"/>
  <c r="BA434"/>
  <c r="AY435"/>
  <c r="AX435" s="1"/>
  <c r="AZ435"/>
  <c r="BA435"/>
  <c r="AY436"/>
  <c r="AX436" s="1"/>
  <c r="AZ436"/>
  <c r="BA436"/>
  <c r="AY437"/>
  <c r="AX437" s="1"/>
  <c r="AZ437"/>
  <c r="BA437"/>
  <c r="AY438"/>
  <c r="AX438" s="1"/>
  <c r="AZ438"/>
  <c r="BA438"/>
  <c r="AY439"/>
  <c r="AX439" s="1"/>
  <c r="AZ439"/>
  <c r="BA439"/>
  <c r="AY440"/>
  <c r="AX440" s="1"/>
  <c r="AZ440"/>
  <c r="BA440"/>
  <c r="AY441"/>
  <c r="AX441" s="1"/>
  <c r="AZ441"/>
  <c r="BA441"/>
  <c r="AY442"/>
  <c r="AX442" s="1"/>
  <c r="AZ442"/>
  <c r="BA442"/>
  <c r="AY443"/>
  <c r="AX443" s="1"/>
  <c r="AZ443"/>
  <c r="BA443"/>
  <c r="AY444"/>
  <c r="AX444" s="1"/>
  <c r="AZ444"/>
  <c r="BA444"/>
  <c r="AY445"/>
  <c r="AX445" s="1"/>
  <c r="AZ445"/>
  <c r="BA445"/>
  <c r="AY446"/>
  <c r="AX446" s="1"/>
  <c r="AZ446"/>
  <c r="BA446"/>
  <c r="AY447"/>
  <c r="AX447" s="1"/>
  <c r="AZ447"/>
  <c r="BA447"/>
  <c r="AY448"/>
  <c r="AX448" s="1"/>
  <c r="AZ448"/>
  <c r="BA448"/>
  <c r="AY449"/>
  <c r="AX449" s="1"/>
  <c r="AZ449"/>
  <c r="BA449"/>
  <c r="AY450"/>
  <c r="AX450" s="1"/>
  <c r="AZ450"/>
  <c r="BA450"/>
  <c r="AY451"/>
  <c r="AX451" s="1"/>
  <c r="AZ451"/>
  <c r="BA451"/>
  <c r="AY452"/>
  <c r="AX452" s="1"/>
  <c r="AZ452"/>
  <c r="BA452"/>
  <c r="AY453"/>
  <c r="AX453" s="1"/>
  <c r="AZ453"/>
  <c r="BA453"/>
  <c r="AY454"/>
  <c r="AX454" s="1"/>
  <c r="AZ454"/>
  <c r="BA454"/>
  <c r="AY455"/>
  <c r="AX455" s="1"/>
  <c r="AZ455"/>
  <c r="BA455"/>
  <c r="AY456"/>
  <c r="AX456" s="1"/>
  <c r="AZ456"/>
  <c r="BA456"/>
  <c r="AY457"/>
  <c r="AX457" s="1"/>
  <c r="AZ457"/>
  <c r="BA457"/>
  <c r="AY458"/>
  <c r="AX458" s="1"/>
  <c r="AZ458"/>
  <c r="BA458"/>
  <c r="AY459"/>
  <c r="AX459" s="1"/>
  <c r="AZ459"/>
  <c r="BA459"/>
  <c r="AY460"/>
  <c r="AX460" s="1"/>
  <c r="AZ460"/>
  <c r="BA460"/>
  <c r="AY461"/>
  <c r="AX461" s="1"/>
  <c r="AZ461"/>
  <c r="BA461"/>
  <c r="AY462"/>
  <c r="AX462" s="1"/>
  <c r="AZ462"/>
  <c r="BA462"/>
  <c r="AY463"/>
  <c r="AX463" s="1"/>
  <c r="AZ463"/>
  <c r="BA463"/>
  <c r="AY464"/>
  <c r="AX464" s="1"/>
  <c r="AZ464"/>
  <c r="BA464"/>
  <c r="AY465"/>
  <c r="AX465" s="1"/>
  <c r="AZ465"/>
  <c r="BA465"/>
  <c r="AY466"/>
  <c r="AX466" s="1"/>
  <c r="AZ466"/>
  <c r="BA466"/>
  <c r="AY467"/>
  <c r="AX467" s="1"/>
  <c r="AZ467"/>
  <c r="BA467"/>
  <c r="AY468"/>
  <c r="AX468" s="1"/>
  <c r="AZ468"/>
  <c r="BA468"/>
  <c r="AY469"/>
  <c r="AX469" s="1"/>
  <c r="AZ469"/>
  <c r="BA469"/>
  <c r="AY470"/>
  <c r="AX470" s="1"/>
  <c r="AZ470"/>
  <c r="BA470"/>
  <c r="AY471"/>
  <c r="AX471" s="1"/>
  <c r="AZ471"/>
  <c r="BA471"/>
  <c r="AY472"/>
  <c r="AX472" s="1"/>
  <c r="AZ472"/>
  <c r="BA472"/>
  <c r="AY473"/>
  <c r="AX473" s="1"/>
  <c r="AZ473"/>
  <c r="BA473"/>
  <c r="AY474"/>
  <c r="AX474" s="1"/>
  <c r="AZ474"/>
  <c r="BA474"/>
  <c r="AY475"/>
  <c r="AX475" s="1"/>
  <c r="AZ475"/>
  <c r="BA475"/>
  <c r="AY476"/>
  <c r="AX476" s="1"/>
  <c r="AZ476"/>
  <c r="BA476"/>
  <c r="AY477"/>
  <c r="AX477" s="1"/>
  <c r="AZ477"/>
  <c r="BA477"/>
  <c r="AY478"/>
  <c r="AX478" s="1"/>
  <c r="AZ478"/>
  <c r="BA478"/>
  <c r="AY479"/>
  <c r="AX479" s="1"/>
  <c r="AZ479"/>
  <c r="BA479"/>
  <c r="AY480"/>
  <c r="AX480" s="1"/>
  <c r="AZ480"/>
  <c r="BA480"/>
  <c r="AY481"/>
  <c r="AX481" s="1"/>
  <c r="AZ481"/>
  <c r="BA481"/>
  <c r="AY482"/>
  <c r="AX482" s="1"/>
  <c r="AZ482"/>
  <c r="BA482"/>
  <c r="AY483"/>
  <c r="AX483" s="1"/>
  <c r="AZ483"/>
  <c r="BA483"/>
  <c r="AY484"/>
  <c r="AX484" s="1"/>
  <c r="AZ484"/>
  <c r="BA484"/>
  <c r="AY485"/>
  <c r="AX485" s="1"/>
  <c r="AZ485"/>
  <c r="BA485"/>
  <c r="AY486"/>
  <c r="AX486" s="1"/>
  <c r="AZ486"/>
  <c r="BA486"/>
  <c r="AY487"/>
  <c r="AX487" s="1"/>
  <c r="AZ487"/>
  <c r="BA487"/>
  <c r="AY488"/>
  <c r="AX488" s="1"/>
  <c r="AZ488"/>
  <c r="BA488"/>
  <c r="AY489"/>
  <c r="AX489" s="1"/>
  <c r="AZ489"/>
  <c r="BA489"/>
  <c r="AY490"/>
  <c r="AX490" s="1"/>
  <c r="AZ490"/>
  <c r="BA490"/>
  <c r="AY491"/>
  <c r="AX491" s="1"/>
  <c r="AZ491"/>
  <c r="BA491"/>
  <c r="AY492"/>
  <c r="AX492" s="1"/>
  <c r="AZ492"/>
  <c r="BA492"/>
  <c r="AY493"/>
  <c r="AX493" s="1"/>
  <c r="AZ493"/>
  <c r="BA493"/>
  <c r="AY494"/>
  <c r="AX494" s="1"/>
  <c r="AZ494"/>
  <c r="BA494"/>
  <c r="AY495"/>
  <c r="AX495" s="1"/>
  <c r="AZ495"/>
  <c r="BA495"/>
  <c r="AY496"/>
  <c r="AX496" s="1"/>
  <c r="AZ496"/>
  <c r="BA496"/>
  <c r="AY497"/>
  <c r="AX497" s="1"/>
  <c r="AZ497"/>
  <c r="BA497"/>
  <c r="AY498"/>
  <c r="AX498" s="1"/>
  <c r="AZ498"/>
  <c r="BA498"/>
  <c r="AY499"/>
  <c r="AX499" s="1"/>
  <c r="AZ499"/>
  <c r="BA499"/>
  <c r="AY500"/>
  <c r="AX500" s="1"/>
  <c r="AZ500"/>
  <c r="BA500"/>
  <c r="AY501"/>
  <c r="AX501" s="1"/>
  <c r="AZ501"/>
  <c r="BA501"/>
  <c r="AY502"/>
  <c r="AX502" s="1"/>
  <c r="AZ502"/>
  <c r="BA502"/>
  <c r="AY503"/>
  <c r="AX503" s="1"/>
  <c r="AZ503"/>
  <c r="BA503"/>
  <c r="AY504"/>
  <c r="AX504" s="1"/>
  <c r="AZ504"/>
  <c r="BA504"/>
  <c r="AY505"/>
  <c r="AX505" s="1"/>
  <c r="AZ505"/>
  <c r="BA505"/>
  <c r="AY506"/>
  <c r="AX506" s="1"/>
  <c r="AZ506"/>
  <c r="BA506"/>
  <c r="AY507"/>
  <c r="AX507" s="1"/>
  <c r="AZ507"/>
  <c r="BA507"/>
  <c r="AY508"/>
  <c r="AX508" s="1"/>
  <c r="AZ508"/>
  <c r="BA508"/>
  <c r="AY509"/>
  <c r="AX509" s="1"/>
  <c r="AZ509"/>
  <c r="BA509"/>
  <c r="AY510"/>
  <c r="AX510" s="1"/>
  <c r="AZ510"/>
  <c r="BA510"/>
  <c r="AY511"/>
  <c r="AX511" s="1"/>
  <c r="AZ511"/>
  <c r="BA511"/>
  <c r="AY512"/>
  <c r="AX512" s="1"/>
  <c r="AZ512"/>
  <c r="BA512"/>
  <c r="AY513"/>
  <c r="AX513" s="1"/>
  <c r="AZ513"/>
  <c r="BA513"/>
  <c r="AY514"/>
  <c r="AX514" s="1"/>
  <c r="AZ514"/>
  <c r="BA514"/>
  <c r="AY515"/>
  <c r="AX515" s="1"/>
  <c r="AZ515"/>
  <c r="BA515"/>
  <c r="AY516"/>
  <c r="AX516" s="1"/>
  <c r="AZ516"/>
  <c r="BA516"/>
  <c r="AY517"/>
  <c r="AX517" s="1"/>
  <c r="AZ517"/>
  <c r="BA517"/>
  <c r="AY518"/>
  <c r="AX518" s="1"/>
  <c r="AZ518"/>
  <c r="BA518"/>
  <c r="AY519"/>
  <c r="AX519" s="1"/>
  <c r="AZ519"/>
  <c r="BA519"/>
  <c r="AY520"/>
  <c r="AX520" s="1"/>
  <c r="AZ520"/>
  <c r="BA520"/>
  <c r="AY521"/>
  <c r="AX521" s="1"/>
  <c r="AZ521"/>
  <c r="BA521"/>
  <c r="AY522"/>
  <c r="AX522" s="1"/>
  <c r="AZ522"/>
  <c r="BA522"/>
  <c r="AY523"/>
  <c r="AX523" s="1"/>
  <c r="AZ523"/>
  <c r="BA523"/>
  <c r="AY524"/>
  <c r="AX524" s="1"/>
  <c r="AZ524"/>
  <c r="BA524"/>
  <c r="AY525"/>
  <c r="AX525" s="1"/>
  <c r="AZ525"/>
  <c r="BA525"/>
  <c r="AY526"/>
  <c r="AX526" s="1"/>
  <c r="AZ526"/>
  <c r="BA526"/>
  <c r="AY527"/>
  <c r="AX527" s="1"/>
  <c r="AZ527"/>
  <c r="BA527"/>
  <c r="AY528"/>
  <c r="AX528" s="1"/>
  <c r="AZ528"/>
  <c r="BA528"/>
  <c r="AY529"/>
  <c r="AX529" s="1"/>
  <c r="AZ529"/>
  <c r="BA529"/>
  <c r="AY530"/>
  <c r="AX530" s="1"/>
  <c r="AZ530"/>
  <c r="BA530"/>
  <c r="AY531"/>
  <c r="AX531" s="1"/>
  <c r="AZ531"/>
  <c r="BA531"/>
  <c r="AY532"/>
  <c r="AX532" s="1"/>
  <c r="AZ532"/>
  <c r="BA532"/>
  <c r="AY533"/>
  <c r="AX533" s="1"/>
  <c r="AZ533"/>
  <c r="BA533"/>
  <c r="AY534"/>
  <c r="AX534" s="1"/>
  <c r="AZ534"/>
  <c r="BA534"/>
  <c r="AY535"/>
  <c r="AX535" s="1"/>
  <c r="AZ535"/>
  <c r="BA535"/>
  <c r="AY536"/>
  <c r="AX536" s="1"/>
  <c r="AZ536"/>
  <c r="BA536"/>
  <c r="AY537"/>
  <c r="AX537" s="1"/>
  <c r="AZ537"/>
  <c r="BA537"/>
  <c r="AY538"/>
  <c r="AX538" s="1"/>
  <c r="AZ538"/>
  <c r="BA538"/>
  <c r="AY539"/>
  <c r="AX539" s="1"/>
  <c r="AZ539"/>
  <c r="BA539"/>
  <c r="AY540"/>
  <c r="AX540" s="1"/>
  <c r="AZ540"/>
  <c r="BA540"/>
  <c r="AY541"/>
  <c r="AX541" s="1"/>
  <c r="AZ541"/>
  <c r="BA541"/>
  <c r="AY542"/>
  <c r="AX542" s="1"/>
  <c r="AZ542"/>
  <c r="BA542"/>
  <c r="AY543"/>
  <c r="AX543" s="1"/>
  <c r="AZ543"/>
  <c r="BA543"/>
  <c r="AY544"/>
  <c r="AX544" s="1"/>
  <c r="AZ544"/>
  <c r="BA544"/>
  <c r="AY545"/>
  <c r="AX545" s="1"/>
  <c r="AZ545"/>
  <c r="BA545"/>
  <c r="AY546"/>
  <c r="AX546" s="1"/>
  <c r="AZ546"/>
  <c r="BA546"/>
  <c r="AY547"/>
  <c r="AX547" s="1"/>
  <c r="AZ547"/>
  <c r="BA547"/>
  <c r="AY548"/>
  <c r="AX548" s="1"/>
  <c r="AZ548"/>
  <c r="BA548"/>
  <c r="AY549"/>
  <c r="AX549" s="1"/>
  <c r="AZ549"/>
  <c r="BA549"/>
  <c r="AY550"/>
  <c r="AX550" s="1"/>
  <c r="AZ550"/>
  <c r="BA550"/>
  <c r="AY551"/>
  <c r="AX551" s="1"/>
  <c r="AZ551"/>
  <c r="BA551"/>
  <c r="AY552"/>
  <c r="AX552" s="1"/>
  <c r="AZ552"/>
  <c r="BA552"/>
  <c r="AY553"/>
  <c r="AX553" s="1"/>
  <c r="AZ553"/>
  <c r="BA553"/>
  <c r="AY554"/>
  <c r="AX554" s="1"/>
  <c r="AZ554"/>
  <c r="BA554"/>
  <c r="AY555"/>
  <c r="AX555" s="1"/>
  <c r="AZ555"/>
  <c r="BA555"/>
  <c r="AY556"/>
  <c r="AX556" s="1"/>
  <c r="AZ556"/>
  <c r="BA556"/>
  <c r="AY557"/>
  <c r="AX557" s="1"/>
  <c r="AZ557"/>
  <c r="BA557"/>
  <c r="AY558"/>
  <c r="AX558" s="1"/>
  <c r="AZ558"/>
  <c r="BA558"/>
  <c r="AY559"/>
  <c r="AX559" s="1"/>
  <c r="AZ559"/>
  <c r="BA559"/>
  <c r="AY560"/>
  <c r="AX560" s="1"/>
  <c r="AZ560"/>
  <c r="BA560"/>
  <c r="AY561"/>
  <c r="AX561" s="1"/>
  <c r="AZ561"/>
  <c r="BA561"/>
  <c r="AY562"/>
  <c r="AX562" s="1"/>
  <c r="AZ562"/>
  <c r="BA562"/>
  <c r="AY563"/>
  <c r="AX563" s="1"/>
  <c r="AZ563"/>
  <c r="BA563"/>
  <c r="AY564"/>
  <c r="AX564" s="1"/>
  <c r="AZ564"/>
  <c r="BA564"/>
  <c r="AY565"/>
  <c r="AX565" s="1"/>
  <c r="AZ565"/>
  <c r="BA565"/>
  <c r="AY566"/>
  <c r="AX566" s="1"/>
  <c r="AZ566"/>
  <c r="BA566"/>
  <c r="AY567"/>
  <c r="AX567" s="1"/>
  <c r="AZ567"/>
  <c r="BA567"/>
  <c r="AY568"/>
  <c r="AX568" s="1"/>
  <c r="AZ568"/>
  <c r="BA568"/>
  <c r="AY569"/>
  <c r="AX569" s="1"/>
  <c r="AZ569"/>
  <c r="BA569"/>
  <c r="AY570"/>
  <c r="AX570" s="1"/>
  <c r="AZ570"/>
  <c r="BA570"/>
  <c r="AY571"/>
  <c r="AX571" s="1"/>
  <c r="AZ571"/>
  <c r="BA571"/>
  <c r="AY572"/>
  <c r="AX572" s="1"/>
  <c r="AZ572"/>
  <c r="BA572"/>
  <c r="AY573"/>
  <c r="AX573" s="1"/>
  <c r="AZ573"/>
  <c r="BA573"/>
  <c r="AY574"/>
  <c r="AX574" s="1"/>
  <c r="AZ574"/>
  <c r="BA574"/>
  <c r="AY575"/>
  <c r="AX575" s="1"/>
  <c r="AZ575"/>
  <c r="BA575"/>
  <c r="AY576"/>
  <c r="AX576" s="1"/>
  <c r="AZ576"/>
  <c r="BA576"/>
  <c r="AY577"/>
  <c r="AX577" s="1"/>
  <c r="AZ577"/>
  <c r="BA577"/>
  <c r="AY578"/>
  <c r="AX578" s="1"/>
  <c r="AZ578"/>
  <c r="BA578"/>
  <c r="AY579"/>
  <c r="AX579" s="1"/>
  <c r="AZ579"/>
  <c r="BA579"/>
  <c r="AY580"/>
  <c r="AX580" s="1"/>
  <c r="AZ580"/>
  <c r="BA580"/>
  <c r="AY581"/>
  <c r="AX581" s="1"/>
  <c r="AZ581"/>
  <c r="BA581"/>
  <c r="AY582"/>
  <c r="AX582" s="1"/>
  <c r="AZ582"/>
  <c r="BA582"/>
  <c r="AY583"/>
  <c r="AX583" s="1"/>
  <c r="AZ583"/>
  <c r="BA583"/>
  <c r="AY584"/>
  <c r="AX584" s="1"/>
  <c r="AZ584"/>
  <c r="BA584"/>
  <c r="AY585"/>
  <c r="AX585" s="1"/>
  <c r="AZ585"/>
  <c r="BA585"/>
  <c r="AY586"/>
  <c r="AX586" s="1"/>
  <c r="AZ586"/>
  <c r="BA586"/>
  <c r="AY587"/>
  <c r="AX587" s="1"/>
  <c r="AZ587"/>
  <c r="BA587"/>
  <c r="AY588"/>
  <c r="AX588" s="1"/>
  <c r="AZ588"/>
  <c r="BA588"/>
  <c r="AY589"/>
  <c r="AX589" s="1"/>
  <c r="AZ589"/>
  <c r="BA589"/>
  <c r="AY590"/>
  <c r="AX590" s="1"/>
  <c r="AZ590"/>
  <c r="BA590"/>
  <c r="AY591"/>
  <c r="AX591" s="1"/>
  <c r="AZ591"/>
  <c r="BA591"/>
  <c r="AY592"/>
  <c r="AX592" s="1"/>
  <c r="AZ592"/>
  <c r="BA592"/>
  <c r="AY593"/>
  <c r="AX593" s="1"/>
  <c r="AZ593"/>
  <c r="BA593"/>
  <c r="AY594"/>
  <c r="AX594" s="1"/>
  <c r="AZ594"/>
  <c r="BA594"/>
  <c r="AY595"/>
  <c r="AX595" s="1"/>
  <c r="AZ595"/>
  <c r="BA595"/>
  <c r="AY596"/>
  <c r="AX596" s="1"/>
  <c r="AZ596"/>
  <c r="BA596"/>
  <c r="AY597"/>
  <c r="AX597" s="1"/>
  <c r="AZ597"/>
  <c r="BA597"/>
  <c r="AY598"/>
  <c r="AX598" s="1"/>
  <c r="AZ598"/>
  <c r="BA598"/>
  <c r="AY599"/>
  <c r="AX599" s="1"/>
  <c r="AZ599"/>
  <c r="BA599"/>
  <c r="AY600"/>
  <c r="AX600" s="1"/>
  <c r="AZ600"/>
  <c r="BA600"/>
  <c r="AY601"/>
  <c r="AX601" s="1"/>
  <c r="AZ601"/>
  <c r="BA601"/>
  <c r="AY602"/>
  <c r="AX602" s="1"/>
  <c r="AZ602"/>
  <c r="BA602"/>
  <c r="AY603"/>
  <c r="AX603" s="1"/>
  <c r="AZ603"/>
  <c r="BA603"/>
  <c r="AY604"/>
  <c r="AX604" s="1"/>
  <c r="AZ604"/>
  <c r="BA604"/>
  <c r="AY605"/>
  <c r="AX605" s="1"/>
  <c r="AZ605"/>
  <c r="BA605"/>
  <c r="AY606"/>
  <c r="AX606" s="1"/>
  <c r="AZ606"/>
  <c r="BA606"/>
  <c r="AY607"/>
  <c r="AX607" s="1"/>
  <c r="AZ607"/>
  <c r="BA607"/>
  <c r="AY608"/>
  <c r="AX608" s="1"/>
  <c r="AZ608"/>
  <c r="BA608"/>
  <c r="AY609"/>
  <c r="AX609" s="1"/>
  <c r="AZ609"/>
  <c r="BA609"/>
  <c r="AY610"/>
  <c r="AX610" s="1"/>
  <c r="AZ610"/>
  <c r="BA610"/>
  <c r="AY611"/>
  <c r="AX611" s="1"/>
  <c r="AZ611"/>
  <c r="BA611"/>
  <c r="AY612"/>
  <c r="AX612" s="1"/>
  <c r="AZ612"/>
  <c r="BA612"/>
  <c r="AY613"/>
  <c r="AX613" s="1"/>
  <c r="AZ613"/>
  <c r="BA613"/>
  <c r="AY614"/>
  <c r="AX614" s="1"/>
  <c r="AZ614"/>
  <c r="BA614"/>
  <c r="AY615"/>
  <c r="AX615" s="1"/>
  <c r="AZ615"/>
  <c r="BA615"/>
  <c r="AY616"/>
  <c r="AX616" s="1"/>
  <c r="AZ616"/>
  <c r="BA616"/>
  <c r="AY617"/>
  <c r="AX617" s="1"/>
  <c r="AZ617"/>
  <c r="BA617"/>
  <c r="AY618"/>
  <c r="AX618" s="1"/>
  <c r="AZ618"/>
  <c r="BA618"/>
  <c r="AY619"/>
  <c r="AX619" s="1"/>
  <c r="AZ619"/>
  <c r="BA619"/>
  <c r="AY620"/>
  <c r="AX620" s="1"/>
  <c r="AZ620"/>
  <c r="BA620"/>
  <c r="AY621"/>
  <c r="AX621" s="1"/>
  <c r="AZ621"/>
  <c r="BA621"/>
  <c r="AY622"/>
  <c r="AX622" s="1"/>
  <c r="AZ622"/>
  <c r="BA622"/>
  <c r="AZ623"/>
  <c r="BA623"/>
  <c r="AZ624"/>
  <c r="BA624"/>
  <c r="AZ625"/>
  <c r="BA625"/>
  <c r="AZ626"/>
  <c r="BA626"/>
  <c r="AZ627"/>
  <c r="BA627"/>
  <c r="AZ628"/>
  <c r="BA628"/>
  <c r="AZ629"/>
  <c r="BA629"/>
  <c r="AZ630"/>
  <c r="BA630"/>
  <c r="AZ631"/>
  <c r="BA631"/>
  <c r="AZ632"/>
  <c r="BA632"/>
  <c r="AZ633"/>
  <c r="BA633"/>
  <c r="AZ634"/>
  <c r="BA634"/>
  <c r="AZ635"/>
  <c r="BA635"/>
  <c r="AZ636"/>
  <c r="BA636"/>
  <c r="AZ637"/>
  <c r="BA637"/>
  <c r="AZ638"/>
  <c r="BA638"/>
  <c r="AZ639"/>
  <c r="BA639"/>
  <c r="AZ640"/>
  <c r="BA640"/>
  <c r="AZ641"/>
  <c r="BA641"/>
  <c r="AZ642"/>
  <c r="BA642"/>
  <c r="AZ643"/>
  <c r="BA643"/>
  <c r="AZ644"/>
  <c r="BA644"/>
  <c r="AZ645"/>
  <c r="BA645"/>
  <c r="AZ646"/>
  <c r="BA646"/>
  <c r="AZ647"/>
  <c r="BA647"/>
  <c r="AZ648"/>
  <c r="BA648"/>
  <c r="AZ649"/>
  <c r="BA649"/>
  <c r="AZ650"/>
  <c r="BA650"/>
  <c r="AZ651"/>
  <c r="BA651"/>
  <c r="AZ652"/>
  <c r="BA652"/>
  <c r="AZ653"/>
  <c r="BA653"/>
  <c r="AZ654"/>
  <c r="BA654"/>
  <c r="AZ655"/>
  <c r="BA655"/>
  <c r="AZ656"/>
  <c r="BA656"/>
  <c r="AZ657"/>
  <c r="BA657"/>
  <c r="AZ658"/>
  <c r="BA658"/>
  <c r="AZ659"/>
  <c r="BA659"/>
  <c r="AZ660"/>
  <c r="BA660"/>
  <c r="AZ661"/>
  <c r="BA661"/>
  <c r="AZ662"/>
  <c r="BA662"/>
  <c r="AZ663"/>
  <c r="BA663"/>
  <c r="AZ664"/>
  <c r="BA664"/>
  <c r="AZ665"/>
  <c r="BA665"/>
  <c r="AZ666"/>
  <c r="BA666"/>
  <c r="AZ667"/>
  <c r="BA667"/>
  <c r="AZ668"/>
  <c r="BA668"/>
  <c r="AZ669"/>
  <c r="BA669"/>
  <c r="AZ670"/>
  <c r="BA670"/>
  <c r="AZ671"/>
  <c r="BA671"/>
  <c r="AZ672"/>
  <c r="BA672"/>
  <c r="AZ673"/>
  <c r="BA673"/>
  <c r="AZ674"/>
  <c r="BA674"/>
  <c r="AZ675"/>
  <c r="BA675"/>
  <c r="AZ676"/>
  <c r="BA676"/>
  <c r="AZ677"/>
  <c r="BA677"/>
  <c r="AZ678"/>
  <c r="BA678"/>
  <c r="Q48" i="8" l="1"/>
  <c r="P45"/>
  <c r="L32" i="5"/>
  <c r="M32"/>
  <c r="N32"/>
  <c r="L33"/>
  <c r="M33"/>
  <c r="N33"/>
  <c r="L34"/>
  <c r="M34"/>
  <c r="N34"/>
  <c r="L35"/>
  <c r="M35"/>
  <c r="N35"/>
  <c r="L36"/>
  <c r="M36"/>
  <c r="N36"/>
  <c r="L37"/>
  <c r="M37"/>
  <c r="N37"/>
  <c r="L38"/>
  <c r="M38"/>
  <c r="N38"/>
  <c r="L39"/>
  <c r="M39"/>
  <c r="N39"/>
  <c r="L40"/>
  <c r="M40"/>
  <c r="N40"/>
  <c r="L41"/>
  <c r="M41"/>
  <c r="N41"/>
  <c r="L42"/>
  <c r="M42"/>
  <c r="N42"/>
  <c r="L43"/>
  <c r="M43"/>
  <c r="N43"/>
  <c r="L44"/>
  <c r="M44"/>
  <c r="N44"/>
  <c r="L45"/>
  <c r="M45"/>
  <c r="N45"/>
  <c r="L46"/>
  <c r="M46"/>
  <c r="N46"/>
  <c r="L47"/>
  <c r="M47"/>
  <c r="N47"/>
  <c r="L48"/>
  <c r="M48"/>
  <c r="N48"/>
  <c r="L49"/>
  <c r="M49"/>
  <c r="N49"/>
  <c r="L50"/>
  <c r="M50"/>
  <c r="N50"/>
  <c r="L51"/>
  <c r="M51"/>
  <c r="N51"/>
  <c r="L52"/>
  <c r="M52"/>
  <c r="N52"/>
  <c r="L53"/>
  <c r="M53"/>
  <c r="N53"/>
  <c r="L54"/>
  <c r="M54"/>
  <c r="N54"/>
  <c r="L55"/>
  <c r="M55"/>
  <c r="N55"/>
  <c r="L56"/>
  <c r="M56"/>
  <c r="N56"/>
  <c r="L57"/>
  <c r="M57"/>
  <c r="N57"/>
  <c r="L58"/>
  <c r="M58"/>
  <c r="N58"/>
  <c r="L59"/>
  <c r="M59"/>
  <c r="N59"/>
  <c r="L60"/>
  <c r="M60"/>
  <c r="N60"/>
  <c r="L61"/>
  <c r="M61"/>
  <c r="N61"/>
  <c r="L62"/>
  <c r="M62"/>
  <c r="N62"/>
  <c r="L63"/>
  <c r="M63"/>
  <c r="N63"/>
  <c r="L64"/>
  <c r="M64"/>
  <c r="N64"/>
  <c r="L65"/>
  <c r="M65"/>
  <c r="N65"/>
  <c r="L66"/>
  <c r="M66"/>
  <c r="N66"/>
  <c r="A32"/>
  <c r="Q51" i="8" l="1"/>
  <c r="P48"/>
  <c r="A33" i="5"/>
  <c r="AY43" i="4" s="1"/>
  <c r="AX43" s="1"/>
  <c r="AY42"/>
  <c r="AX42" s="1"/>
  <c r="O64" i="5"/>
  <c r="BD74" i="4" s="1"/>
  <c r="O60" i="5"/>
  <c r="BD70" i="4" s="1"/>
  <c r="O56" i="5"/>
  <c r="BD66" i="4" s="1"/>
  <c r="O52" i="5"/>
  <c r="BD62" i="4" s="1"/>
  <c r="O40" i="5"/>
  <c r="BD50" i="4" s="1"/>
  <c r="O36" i="5"/>
  <c r="BD46" i="4" s="1"/>
  <c r="O48" i="5"/>
  <c r="BD58" i="4" s="1"/>
  <c r="O32" i="5"/>
  <c r="BD42" i="4" s="1"/>
  <c r="O66" i="5"/>
  <c r="BD76" i="4" s="1"/>
  <c r="O62" i="5"/>
  <c r="BD72" i="4" s="1"/>
  <c r="O58" i="5"/>
  <c r="BD68" i="4" s="1"/>
  <c r="O43" i="5"/>
  <c r="BD53" i="4" s="1"/>
  <c r="O54" i="5"/>
  <c r="BD64" i="4" s="1"/>
  <c r="B32" i="5"/>
  <c r="O65"/>
  <c r="BD75" i="4" s="1"/>
  <c r="O61" i="5"/>
  <c r="BD71" i="4" s="1"/>
  <c r="O57" i="5"/>
  <c r="BD67" i="4" s="1"/>
  <c r="O53" i="5"/>
  <c r="BD63" i="4" s="1"/>
  <c r="O49" i="5"/>
  <c r="BD59" i="4" s="1"/>
  <c r="O45" i="5"/>
  <c r="BD55" i="4" s="1"/>
  <c r="O41" i="5"/>
  <c r="BD51" i="4" s="1"/>
  <c r="O37" i="5"/>
  <c r="BD47" i="4" s="1"/>
  <c r="O33" i="5"/>
  <c r="BD43" i="4" s="1"/>
  <c r="O44" i="5"/>
  <c r="BD54" i="4" s="1"/>
  <c r="O63" i="5"/>
  <c r="BD73" i="4" s="1"/>
  <c r="O59" i="5"/>
  <c r="BD69" i="4" s="1"/>
  <c r="O55" i="5"/>
  <c r="BD65" i="4" s="1"/>
  <c r="O51" i="5"/>
  <c r="BD61" i="4" s="1"/>
  <c r="O47" i="5"/>
  <c r="BD57" i="4" s="1"/>
  <c r="O39" i="5"/>
  <c r="BD49" i="4" s="1"/>
  <c r="O35" i="5"/>
  <c r="BD45" i="4" s="1"/>
  <c r="O50" i="5"/>
  <c r="BD60" i="4" s="1"/>
  <c r="O46" i="5"/>
  <c r="BD56" i="4" s="1"/>
  <c r="O42" i="5"/>
  <c r="BD52" i="4" s="1"/>
  <c r="O38" i="5"/>
  <c r="BD48" i="4" s="1"/>
  <c r="O34" i="5"/>
  <c r="BD44" i="4" s="1"/>
  <c r="Q54" i="8" l="1"/>
  <c r="P51"/>
  <c r="B33" i="5"/>
  <c r="A34"/>
  <c r="Q58" i="8" l="1"/>
  <c r="P54"/>
  <c r="AY44" i="4"/>
  <c r="AX44" s="1"/>
  <c r="B34" i="5"/>
  <c r="A35"/>
  <c r="Q61" i="8" l="1"/>
  <c r="P58"/>
  <c r="AY45" i="4"/>
  <c r="AX45" s="1"/>
  <c r="B35" i="5"/>
  <c r="A36"/>
  <c r="Q65" i="8" l="1"/>
  <c r="P61"/>
  <c r="AY46" i="4"/>
  <c r="AX46" s="1"/>
  <c r="A37" i="5"/>
  <c r="B36"/>
  <c r="Q68" i="8" l="1"/>
  <c r="P65"/>
  <c r="B37" i="5"/>
  <c r="A38"/>
  <c r="AY47" i="4"/>
  <c r="AX47" s="1"/>
  <c r="Q72" i="8" l="1"/>
  <c r="P68"/>
  <c r="B38" i="5"/>
  <c r="A39"/>
  <c r="AY49" i="4" s="1"/>
  <c r="AX49" s="1"/>
  <c r="AY48"/>
  <c r="AX48" s="1"/>
  <c r="Q76" i="8" l="1"/>
  <c r="P72"/>
  <c r="B39" i="5"/>
  <c r="A40"/>
  <c r="AY50" i="4" s="1"/>
  <c r="AX50" s="1"/>
  <c r="Q80" i="8" l="1"/>
  <c r="P76"/>
  <c r="A41" i="5"/>
  <c r="AY51" i="4" s="1"/>
  <c r="AX51" s="1"/>
  <c r="B40" i="5"/>
  <c r="Q83" i="8" l="1"/>
  <c r="P80"/>
  <c r="B41" i="5"/>
  <c r="A42"/>
  <c r="AY52" i="4" s="1"/>
  <c r="AX52" s="1"/>
  <c r="Q87" i="8" l="1"/>
  <c r="P83"/>
  <c r="B42" i="5"/>
  <c r="A43"/>
  <c r="AY53" i="4" s="1"/>
  <c r="AX53" s="1"/>
  <c r="Q92" i="8" l="1"/>
  <c r="P87"/>
  <c r="B43" i="5"/>
  <c r="A44"/>
  <c r="AY54" i="4" s="1"/>
  <c r="AX54" s="1"/>
  <c r="Q95" i="8" l="1"/>
  <c r="P92"/>
  <c r="A45" i="5"/>
  <c r="AY55" i="4" s="1"/>
  <c r="AX55" s="1"/>
  <c r="B44" i="5"/>
  <c r="Q99" i="8" l="1"/>
  <c r="P95"/>
  <c r="B45" i="5"/>
  <c r="A46"/>
  <c r="AY56" i="4" s="1"/>
  <c r="AX56" s="1"/>
  <c r="Q105" i="8" l="1"/>
  <c r="P99"/>
  <c r="A47" i="5"/>
  <c r="AY57" i="4" s="1"/>
  <c r="AX57" s="1"/>
  <c r="B46" i="5"/>
  <c r="Q111" i="8" l="1"/>
  <c r="P105"/>
  <c r="B47" i="5"/>
  <c r="A48"/>
  <c r="AY58" i="4" s="1"/>
  <c r="AX58" s="1"/>
  <c r="Q117" i="8" l="1"/>
  <c r="P111"/>
  <c r="A49" i="5"/>
  <c r="AY59" i="4" s="1"/>
  <c r="AX59" s="1"/>
  <c r="B48" i="5"/>
  <c r="Q123" i="8" l="1"/>
  <c r="P117"/>
  <c r="A50" i="5"/>
  <c r="AY60" i="4" s="1"/>
  <c r="AX60" s="1"/>
  <c r="B49" i="5"/>
  <c r="Q129" i="8" l="1"/>
  <c r="P123"/>
  <c r="B50" i="5"/>
  <c r="A51"/>
  <c r="AY61" i="4" s="1"/>
  <c r="AX61" s="1"/>
  <c r="Q135" i="8" l="1"/>
  <c r="P129"/>
  <c r="B51" i="5"/>
  <c r="A52"/>
  <c r="AY62" i="4" s="1"/>
  <c r="AX62" s="1"/>
  <c r="Q141" i="8" l="1"/>
  <c r="P141" s="1"/>
  <c r="P135"/>
  <c r="A53" i="5"/>
  <c r="AY63" i="4" s="1"/>
  <c r="AX63" s="1"/>
  <c r="B52" i="5"/>
  <c r="B53" l="1"/>
  <c r="A54"/>
  <c r="AY64" i="4" s="1"/>
  <c r="AX64" s="1"/>
  <c r="A55" i="5" l="1"/>
  <c r="AY65" i="4" s="1"/>
  <c r="AX65" s="1"/>
  <c r="B54" i="5"/>
  <c r="A56" l="1"/>
  <c r="AY66" i="4" s="1"/>
  <c r="AX66" s="1"/>
  <c r="B55" i="5"/>
  <c r="B56" l="1"/>
  <c r="A57"/>
  <c r="AY67" i="4" s="1"/>
  <c r="AX67" s="1"/>
  <c r="A58" i="5" l="1"/>
  <c r="AY68" i="4" s="1"/>
  <c r="AX68" s="1"/>
  <c r="B57" i="5"/>
  <c r="B58" l="1"/>
  <c r="A59"/>
  <c r="AY69" i="4" s="1"/>
  <c r="AX69" s="1"/>
  <c r="A60" i="5" l="1"/>
  <c r="AY70" i="4" s="1"/>
  <c r="AX70" s="1"/>
  <c r="B59" i="5"/>
  <c r="A61" l="1"/>
  <c r="AY71" i="4" s="1"/>
  <c r="AX71" s="1"/>
  <c r="B60" i="5"/>
  <c r="A62" l="1"/>
  <c r="AY72" i="4" s="1"/>
  <c r="AX72" s="1"/>
  <c r="B61" i="5"/>
  <c r="B62" l="1"/>
  <c r="A63"/>
  <c r="AY73" i="4" s="1"/>
  <c r="AX73" s="1"/>
  <c r="A64" i="5" l="1"/>
  <c r="AY74" i="4" s="1"/>
  <c r="AX74" s="1"/>
  <c r="B63" i="5"/>
  <c r="B64" l="1"/>
  <c r="A65"/>
  <c r="AY75" i="4" s="1"/>
  <c r="AX75" s="1"/>
  <c r="A66" i="5" l="1"/>
  <c r="AY76" i="4" s="1"/>
  <c r="AX76" s="1"/>
  <c r="B65" i="5"/>
  <c r="A3" i="8"/>
  <c r="I3" s="1"/>
  <c r="B66" i="5" l="1"/>
  <c r="B3" i="8"/>
  <c r="A4"/>
  <c r="I4" s="1"/>
  <c r="B4" l="1"/>
  <c r="A5"/>
  <c r="I5" s="1"/>
  <c r="O3"/>
  <c r="O5" l="1"/>
  <c r="B5"/>
  <c r="A6"/>
  <c r="I6" s="1"/>
  <c r="O4"/>
  <c r="B6" l="1"/>
  <c r="O6"/>
  <c r="A7"/>
  <c r="I7" s="1"/>
  <c r="N5" i="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4"/>
  <c r="B7" i="8" l="1"/>
  <c r="O7"/>
  <c r="A8"/>
  <c r="I8" s="1"/>
  <c r="O2"/>
  <c r="B8" l="1"/>
  <c r="O8"/>
  <c r="X2" s="1" a="1"/>
  <c r="A9"/>
  <c r="I9" s="1"/>
  <c r="AZ15" i="4"/>
  <c r="AY15"/>
  <c r="AB2" i="8" l="1"/>
  <c r="AD2"/>
  <c r="Z2"/>
  <c r="AA2"/>
  <c r="X2"/>
  <c r="AC2"/>
  <c r="Y2"/>
  <c r="B9"/>
  <c r="A10"/>
  <c r="I10" s="1"/>
  <c r="N8"/>
  <c r="B10" l="1"/>
  <c r="O10"/>
  <c r="A11"/>
  <c r="I11" s="1"/>
  <c r="O9"/>
  <c r="L669" i="5"/>
  <c r="M669"/>
  <c r="L670"/>
  <c r="M670"/>
  <c r="L671"/>
  <c r="M671"/>
  <c r="L672"/>
  <c r="M672"/>
  <c r="L673"/>
  <c r="M673"/>
  <c r="L674"/>
  <c r="M674"/>
  <c r="L675"/>
  <c r="M675"/>
  <c r="L676"/>
  <c r="M676"/>
  <c r="L677"/>
  <c r="M677"/>
  <c r="L678"/>
  <c r="M678"/>
  <c r="L679"/>
  <c r="M679"/>
  <c r="L680"/>
  <c r="M680"/>
  <c r="L681"/>
  <c r="M681"/>
  <c r="L682"/>
  <c r="M682"/>
  <c r="L683"/>
  <c r="M683"/>
  <c r="L684"/>
  <c r="M684"/>
  <c r="L685"/>
  <c r="M685"/>
  <c r="L686"/>
  <c r="M686"/>
  <c r="L687"/>
  <c r="M687"/>
  <c r="L688"/>
  <c r="M688"/>
  <c r="L689"/>
  <c r="M689"/>
  <c r="L690"/>
  <c r="M690"/>
  <c r="L691"/>
  <c r="M691"/>
  <c r="L692"/>
  <c r="M692"/>
  <c r="L693"/>
  <c r="M693"/>
  <c r="L694"/>
  <c r="M694"/>
  <c r="L695"/>
  <c r="M695"/>
  <c r="L696"/>
  <c r="M696"/>
  <c r="L697"/>
  <c r="M697"/>
  <c r="L698"/>
  <c r="M698"/>
  <c r="L699"/>
  <c r="M699"/>
  <c r="L700"/>
  <c r="M700"/>
  <c r="L701"/>
  <c r="M701"/>
  <c r="L702"/>
  <c r="M702"/>
  <c r="L703"/>
  <c r="M703"/>
  <c r="M668"/>
  <c r="L668"/>
  <c r="M667"/>
  <c r="L667"/>
  <c r="M666"/>
  <c r="L666"/>
  <c r="M665"/>
  <c r="L665"/>
  <c r="M664"/>
  <c r="L664"/>
  <c r="M663"/>
  <c r="L663"/>
  <c r="M662"/>
  <c r="L662"/>
  <c r="M661"/>
  <c r="L661"/>
  <c r="M660"/>
  <c r="L660"/>
  <c r="M659"/>
  <c r="L659"/>
  <c r="M658"/>
  <c r="L658"/>
  <c r="M657"/>
  <c r="L657"/>
  <c r="M656"/>
  <c r="L656"/>
  <c r="M655"/>
  <c r="L655"/>
  <c r="M654"/>
  <c r="L654"/>
  <c r="M653"/>
  <c r="L653"/>
  <c r="M652"/>
  <c r="L652"/>
  <c r="M651"/>
  <c r="L651"/>
  <c r="M650"/>
  <c r="L650"/>
  <c r="M649"/>
  <c r="L649"/>
  <c r="M648"/>
  <c r="L648"/>
  <c r="M647"/>
  <c r="L647"/>
  <c r="M646"/>
  <c r="L646"/>
  <c r="M645"/>
  <c r="L645"/>
  <c r="M644"/>
  <c r="L644"/>
  <c r="M643"/>
  <c r="L643"/>
  <c r="M642"/>
  <c r="L642"/>
  <c r="M641"/>
  <c r="L641"/>
  <c r="M640"/>
  <c r="L640"/>
  <c r="M639"/>
  <c r="L639"/>
  <c r="M638"/>
  <c r="L638"/>
  <c r="M637"/>
  <c r="L637"/>
  <c r="M636"/>
  <c r="L636"/>
  <c r="M635"/>
  <c r="L635"/>
  <c r="M634"/>
  <c r="L634"/>
  <c r="M633"/>
  <c r="L633"/>
  <c r="M632"/>
  <c r="L632"/>
  <c r="M631"/>
  <c r="L631"/>
  <c r="M630"/>
  <c r="L630"/>
  <c r="M629"/>
  <c r="L629"/>
  <c r="M628"/>
  <c r="L628"/>
  <c r="M627"/>
  <c r="L627"/>
  <c r="M626"/>
  <c r="L626"/>
  <c r="M625"/>
  <c r="L625"/>
  <c r="M624"/>
  <c r="L624"/>
  <c r="M623"/>
  <c r="L623"/>
  <c r="M622"/>
  <c r="L622"/>
  <c r="M621"/>
  <c r="L621"/>
  <c r="M620"/>
  <c r="L620"/>
  <c r="M619"/>
  <c r="L619"/>
  <c r="M618"/>
  <c r="L618"/>
  <c r="M617"/>
  <c r="L617"/>
  <c r="M616"/>
  <c r="L616"/>
  <c r="M615"/>
  <c r="L615"/>
  <c r="M614"/>
  <c r="L614"/>
  <c r="M613"/>
  <c r="L613"/>
  <c r="A613"/>
  <c r="AY623" i="4" s="1"/>
  <c r="AX623" s="1"/>
  <c r="M612" i="5"/>
  <c r="L612"/>
  <c r="B612"/>
  <c r="M611"/>
  <c r="L611"/>
  <c r="B611"/>
  <c r="M610"/>
  <c r="L610"/>
  <c r="B610"/>
  <c r="M609"/>
  <c r="L609"/>
  <c r="B609"/>
  <c r="M608"/>
  <c r="L608"/>
  <c r="B608"/>
  <c r="M607"/>
  <c r="L607"/>
  <c r="B607"/>
  <c r="M606"/>
  <c r="L606"/>
  <c r="B606"/>
  <c r="M605"/>
  <c r="L605"/>
  <c r="B605"/>
  <c r="M604"/>
  <c r="L604"/>
  <c r="B604"/>
  <c r="M603"/>
  <c r="L603"/>
  <c r="B603"/>
  <c r="M602"/>
  <c r="L602"/>
  <c r="B602"/>
  <c r="M601"/>
  <c r="L601"/>
  <c r="B601"/>
  <c r="M600"/>
  <c r="L600"/>
  <c r="B600"/>
  <c r="M599"/>
  <c r="L599"/>
  <c r="B599"/>
  <c r="M598"/>
  <c r="L598"/>
  <c r="B598"/>
  <c r="M597"/>
  <c r="L597"/>
  <c r="B597"/>
  <c r="M596"/>
  <c r="L596"/>
  <c r="B596"/>
  <c r="M595"/>
  <c r="L595"/>
  <c r="B595"/>
  <c r="M594"/>
  <c r="L594"/>
  <c r="B594"/>
  <c r="M593"/>
  <c r="L593"/>
  <c r="B593"/>
  <c r="M592"/>
  <c r="L592"/>
  <c r="B592"/>
  <c r="M591"/>
  <c r="L591"/>
  <c r="B591"/>
  <c r="M590"/>
  <c r="L590"/>
  <c r="B590"/>
  <c r="M589"/>
  <c r="L589"/>
  <c r="B589"/>
  <c r="M588"/>
  <c r="L588"/>
  <c r="B588"/>
  <c r="M587"/>
  <c r="L587"/>
  <c r="B587"/>
  <c r="M586"/>
  <c r="L586"/>
  <c r="B586"/>
  <c r="M585"/>
  <c r="L585"/>
  <c r="B585"/>
  <c r="M584"/>
  <c r="L584"/>
  <c r="B584"/>
  <c r="M583"/>
  <c r="L583"/>
  <c r="B583"/>
  <c r="M582"/>
  <c r="L582"/>
  <c r="B582"/>
  <c r="M581"/>
  <c r="L581"/>
  <c r="B581"/>
  <c r="M580"/>
  <c r="L580"/>
  <c r="B580"/>
  <c r="M579"/>
  <c r="L579"/>
  <c r="B579"/>
  <c r="M578"/>
  <c r="L578"/>
  <c r="B578"/>
  <c r="M577"/>
  <c r="L577"/>
  <c r="B577"/>
  <c r="M576"/>
  <c r="L576"/>
  <c r="B576"/>
  <c r="M575"/>
  <c r="L575"/>
  <c r="B575"/>
  <c r="M574"/>
  <c r="L574"/>
  <c r="B574"/>
  <c r="M573"/>
  <c r="L573"/>
  <c r="B573"/>
  <c r="M572"/>
  <c r="L572"/>
  <c r="B572"/>
  <c r="M571"/>
  <c r="L571"/>
  <c r="B571"/>
  <c r="M570"/>
  <c r="L570"/>
  <c r="B570"/>
  <c r="M569"/>
  <c r="L569"/>
  <c r="B569"/>
  <c r="M568"/>
  <c r="L568"/>
  <c r="B568"/>
  <c r="M567"/>
  <c r="L567"/>
  <c r="B567"/>
  <c r="M566"/>
  <c r="L566"/>
  <c r="B566"/>
  <c r="M565"/>
  <c r="L565"/>
  <c r="B565"/>
  <c r="M564"/>
  <c r="L564"/>
  <c r="B564"/>
  <c r="M563"/>
  <c r="L563"/>
  <c r="B563"/>
  <c r="M562"/>
  <c r="L562"/>
  <c r="B562"/>
  <c r="M561"/>
  <c r="L561"/>
  <c r="B561"/>
  <c r="M560"/>
  <c r="L560"/>
  <c r="B560"/>
  <c r="M559"/>
  <c r="L559"/>
  <c r="B559"/>
  <c r="M558"/>
  <c r="L558"/>
  <c r="B558"/>
  <c r="M557"/>
  <c r="L557"/>
  <c r="B557"/>
  <c r="B11" i="8" l="1"/>
  <c r="A12"/>
  <c r="I12" s="1"/>
  <c r="O702" i="5"/>
  <c r="BD712" i="4" s="1"/>
  <c r="O700" i="5"/>
  <c r="BD710" i="4" s="1"/>
  <c r="O698" i="5"/>
  <c r="BD708" i="4" s="1"/>
  <c r="O559" i="5"/>
  <c r="BD569" i="4" s="1"/>
  <c r="O563" i="5"/>
  <c r="BD573" i="4" s="1"/>
  <c r="O567" i="5"/>
  <c r="BD577" i="4" s="1"/>
  <c r="O571" i="5"/>
  <c r="BD581" i="4" s="1"/>
  <c r="O575" i="5"/>
  <c r="BD585" i="4" s="1"/>
  <c r="O579" i="5"/>
  <c r="BD589" i="4" s="1"/>
  <c r="O583" i="5"/>
  <c r="BD593" i="4" s="1"/>
  <c r="O587" i="5"/>
  <c r="BD597" i="4" s="1"/>
  <c r="O591" i="5"/>
  <c r="BD601" i="4" s="1"/>
  <c r="O595" i="5"/>
  <c r="BD605" i="4" s="1"/>
  <c r="O599" i="5"/>
  <c r="BD609" i="4" s="1"/>
  <c r="O603" i="5"/>
  <c r="BD613" i="4" s="1"/>
  <c r="O607" i="5"/>
  <c r="BD617" i="4" s="1"/>
  <c r="O611" i="5"/>
  <c r="BD621" i="4" s="1"/>
  <c r="O614" i="5"/>
  <c r="BD624" i="4" s="1"/>
  <c r="O616" i="5"/>
  <c r="BD626" i="4" s="1"/>
  <c r="O618" i="5"/>
  <c r="BD628" i="4" s="1"/>
  <c r="O620" i="5"/>
  <c r="BD630" i="4" s="1"/>
  <c r="O622" i="5"/>
  <c r="BD632" i="4" s="1"/>
  <c r="O624" i="5"/>
  <c r="BD634" i="4" s="1"/>
  <c r="O626" i="5"/>
  <c r="BD636" i="4" s="1"/>
  <c r="O560" i="5"/>
  <c r="BD570" i="4" s="1"/>
  <c r="O564" i="5"/>
  <c r="BD574" i="4" s="1"/>
  <c r="O568" i="5"/>
  <c r="BD578" i="4" s="1"/>
  <c r="O572" i="5"/>
  <c r="BD582" i="4" s="1"/>
  <c r="O576" i="5"/>
  <c r="BD586" i="4" s="1"/>
  <c r="O580" i="5"/>
  <c r="BD590" i="4" s="1"/>
  <c r="O584" i="5"/>
  <c r="BD594" i="4" s="1"/>
  <c r="O588" i="5"/>
  <c r="BD598" i="4" s="1"/>
  <c r="O592" i="5"/>
  <c r="BD602" i="4" s="1"/>
  <c r="O596" i="5"/>
  <c r="BD606" i="4" s="1"/>
  <c r="O600" i="5"/>
  <c r="BD610" i="4" s="1"/>
  <c r="O604" i="5"/>
  <c r="BD614" i="4" s="1"/>
  <c r="O608" i="5"/>
  <c r="BD618" i="4" s="1"/>
  <c r="O612" i="5"/>
  <c r="BD622" i="4" s="1"/>
  <c r="O703" i="5"/>
  <c r="BD713" i="4" s="1"/>
  <c r="O701" i="5"/>
  <c r="BD711" i="4" s="1"/>
  <c r="O699" i="5"/>
  <c r="BD709" i="4" s="1"/>
  <c r="O697" i="5"/>
  <c r="BD707" i="4" s="1"/>
  <c r="O695" i="5"/>
  <c r="BD705" i="4" s="1"/>
  <c r="O693" i="5"/>
  <c r="BD703" i="4" s="1"/>
  <c r="O691" i="5"/>
  <c r="BD701" i="4" s="1"/>
  <c r="O689" i="5"/>
  <c r="BD699" i="4" s="1"/>
  <c r="O687" i="5"/>
  <c r="BD697" i="4" s="1"/>
  <c r="O685" i="5"/>
  <c r="BD695" i="4" s="1"/>
  <c r="O683" i="5"/>
  <c r="BD693" i="4" s="1"/>
  <c r="O681" i="5"/>
  <c r="BD691" i="4" s="1"/>
  <c r="O679" i="5"/>
  <c r="BD689" i="4" s="1"/>
  <c r="O677" i="5"/>
  <c r="BD687" i="4" s="1"/>
  <c r="O675" i="5"/>
  <c r="BD685" i="4" s="1"/>
  <c r="O673" i="5"/>
  <c r="BD683" i="4" s="1"/>
  <c r="O671" i="5"/>
  <c r="BD681" i="4" s="1"/>
  <c r="O669" i="5"/>
  <c r="BD679" i="4" s="1"/>
  <c r="O628" i="5"/>
  <c r="BD638" i="4" s="1"/>
  <c r="O630" i="5"/>
  <c r="BD640" i="4" s="1"/>
  <c r="O632" i="5"/>
  <c r="BD642" i="4" s="1"/>
  <c r="O634" i="5"/>
  <c r="BD644" i="4" s="1"/>
  <c r="O636" i="5"/>
  <c r="BD646" i="4" s="1"/>
  <c r="O638" i="5"/>
  <c r="BD648" i="4" s="1"/>
  <c r="O640" i="5"/>
  <c r="BD650" i="4" s="1"/>
  <c r="O642" i="5"/>
  <c r="BD652" i="4" s="1"/>
  <c r="O644" i="5"/>
  <c r="BD654" i="4" s="1"/>
  <c r="O646" i="5"/>
  <c r="BD656" i="4" s="1"/>
  <c r="O648" i="5"/>
  <c r="BD658" i="4" s="1"/>
  <c r="O650" i="5"/>
  <c r="BD660" i="4" s="1"/>
  <c r="O652" i="5"/>
  <c r="BD662" i="4" s="1"/>
  <c r="O654" i="5"/>
  <c r="BD664" i="4" s="1"/>
  <c r="O656" i="5"/>
  <c r="BD666" i="4" s="1"/>
  <c r="O658" i="5"/>
  <c r="BD668" i="4" s="1"/>
  <c r="O660" i="5"/>
  <c r="BD670" i="4" s="1"/>
  <c r="O662" i="5"/>
  <c r="BD672" i="4" s="1"/>
  <c r="O664" i="5"/>
  <c r="BD674" i="4" s="1"/>
  <c r="O666" i="5"/>
  <c r="BD676" i="4" s="1"/>
  <c r="O668" i="5"/>
  <c r="BD678" i="4" s="1"/>
  <c r="O565" i="5"/>
  <c r="BD575" i="4" s="1"/>
  <c r="O569" i="5"/>
  <c r="BD579" i="4" s="1"/>
  <c r="O573" i="5"/>
  <c r="BD583" i="4" s="1"/>
  <c r="O577" i="5"/>
  <c r="BD587" i="4" s="1"/>
  <c r="O581" i="5"/>
  <c r="BD591" i="4" s="1"/>
  <c r="O585" i="5"/>
  <c r="BD595" i="4" s="1"/>
  <c r="O589" i="5"/>
  <c r="BD599" i="4" s="1"/>
  <c r="O593" i="5"/>
  <c r="BD603" i="4" s="1"/>
  <c r="O597" i="5"/>
  <c r="BD607" i="4" s="1"/>
  <c r="O601" i="5"/>
  <c r="BD611" i="4" s="1"/>
  <c r="O605" i="5"/>
  <c r="BD615" i="4" s="1"/>
  <c r="O609" i="5"/>
  <c r="BD619" i="4" s="1"/>
  <c r="O613" i="5"/>
  <c r="BD623" i="4" s="1"/>
  <c r="O615" i="5"/>
  <c r="BD625" i="4" s="1"/>
  <c r="O617" i="5"/>
  <c r="BD627" i="4" s="1"/>
  <c r="O619" i="5"/>
  <c r="BD629" i="4" s="1"/>
  <c r="O621" i="5"/>
  <c r="BD631" i="4" s="1"/>
  <c r="O623" i="5"/>
  <c r="BD633" i="4" s="1"/>
  <c r="O625" i="5"/>
  <c r="BD635" i="4" s="1"/>
  <c r="O627" i="5"/>
  <c r="BD637" i="4" s="1"/>
  <c r="O629" i="5"/>
  <c r="BD639" i="4" s="1"/>
  <c r="O631" i="5"/>
  <c r="BD641" i="4" s="1"/>
  <c r="O633" i="5"/>
  <c r="BD643" i="4" s="1"/>
  <c r="O635" i="5"/>
  <c r="BD645" i="4" s="1"/>
  <c r="O637" i="5"/>
  <c r="BD647" i="4" s="1"/>
  <c r="O639" i="5"/>
  <c r="BD649" i="4" s="1"/>
  <c r="O641" i="5"/>
  <c r="BD651" i="4" s="1"/>
  <c r="O643" i="5"/>
  <c r="BD653" i="4" s="1"/>
  <c r="O645" i="5"/>
  <c r="BD655" i="4" s="1"/>
  <c r="O647" i="5"/>
  <c r="BD657" i="4" s="1"/>
  <c r="O649" i="5"/>
  <c r="BD659" i="4" s="1"/>
  <c r="O651" i="5"/>
  <c r="BD661" i="4" s="1"/>
  <c r="O653" i="5"/>
  <c r="BD663" i="4" s="1"/>
  <c r="O655" i="5"/>
  <c r="BD665" i="4" s="1"/>
  <c r="O657" i="5"/>
  <c r="BD667" i="4" s="1"/>
  <c r="O659" i="5"/>
  <c r="BD669" i="4" s="1"/>
  <c r="O661" i="5"/>
  <c r="BD671" i="4" s="1"/>
  <c r="O663" i="5"/>
  <c r="BD673" i="4" s="1"/>
  <c r="O665" i="5"/>
  <c r="BD675" i="4" s="1"/>
  <c r="O667" i="5"/>
  <c r="BD677" i="4" s="1"/>
  <c r="A614" i="5"/>
  <c r="AY624" i="4" s="1"/>
  <c r="AX624" s="1"/>
  <c r="O557" i="5"/>
  <c r="BD567" i="4" s="1"/>
  <c r="O561" i="5"/>
  <c r="BD571" i="4" s="1"/>
  <c r="O558" i="5"/>
  <c r="BD568" i="4" s="1"/>
  <c r="O562" i="5"/>
  <c r="BD572" i="4" s="1"/>
  <c r="O566" i="5"/>
  <c r="BD576" i="4" s="1"/>
  <c r="O570" i="5"/>
  <c r="BD580" i="4" s="1"/>
  <c r="O574" i="5"/>
  <c r="BD584" i="4" s="1"/>
  <c r="O578" i="5"/>
  <c r="BD588" i="4" s="1"/>
  <c r="O582" i="5"/>
  <c r="BD592" i="4" s="1"/>
  <c r="O586" i="5"/>
  <c r="BD596" i="4" s="1"/>
  <c r="O590" i="5"/>
  <c r="BD600" i="4" s="1"/>
  <c r="O594" i="5"/>
  <c r="BD604" i="4" s="1"/>
  <c r="O598" i="5"/>
  <c r="BD608" i="4" s="1"/>
  <c r="O602" i="5"/>
  <c r="BD612" i="4" s="1"/>
  <c r="O606" i="5"/>
  <c r="BD616" i="4" s="1"/>
  <c r="O610" i="5"/>
  <c r="BD620" i="4" s="1"/>
  <c r="O696" i="5"/>
  <c r="BD706" i="4" s="1"/>
  <c r="O694" i="5"/>
  <c r="BD704" i="4" s="1"/>
  <c r="O692" i="5"/>
  <c r="BD702" i="4" s="1"/>
  <c r="O690" i="5"/>
  <c r="BD700" i="4" s="1"/>
  <c r="O688" i="5"/>
  <c r="BD698" i="4" s="1"/>
  <c r="O686" i="5"/>
  <c r="BD696" i="4" s="1"/>
  <c r="O684" i="5"/>
  <c r="BD694" i="4" s="1"/>
  <c r="O682" i="5"/>
  <c r="BD692" i="4" s="1"/>
  <c r="O680" i="5"/>
  <c r="BD690" i="4" s="1"/>
  <c r="O678" i="5"/>
  <c r="BD688" i="4" s="1"/>
  <c r="O676" i="5"/>
  <c r="BD686" i="4" s="1"/>
  <c r="O674" i="5"/>
  <c r="BD684" i="4" s="1"/>
  <c r="O672" i="5"/>
  <c r="BD682" i="4" s="1"/>
  <c r="O670" i="5"/>
  <c r="BD680" i="4" s="1"/>
  <c r="B613" i="5"/>
  <c r="D613" s="1"/>
  <c r="AT12" i="4"/>
  <c r="AR4"/>
  <c r="AR5" s="1"/>
  <c r="AR6" s="1"/>
  <c r="AU15"/>
  <c r="AU16" s="1"/>
  <c r="AU17" s="1"/>
  <c r="AU18" s="1"/>
  <c r="AU19" s="1"/>
  <c r="AU20" s="1"/>
  <c r="AU21" s="1"/>
  <c r="AU22" s="1"/>
  <c r="AU23" s="1"/>
  <c r="AU24" s="1"/>
  <c r="AU25" s="1"/>
  <c r="AU26" s="1"/>
  <c r="AU27" s="1"/>
  <c r="AU28" s="1"/>
  <c r="AU29" s="1"/>
  <c r="AU30" s="1"/>
  <c r="AU31" s="1"/>
  <c r="AU32" s="1"/>
  <c r="AU33" s="1"/>
  <c r="AU34" s="1"/>
  <c r="AU35" s="1"/>
  <c r="AU36" s="1"/>
  <c r="AU37" s="1"/>
  <c r="AU38" s="1"/>
  <c r="AU39" s="1"/>
  <c r="AU40" s="1"/>
  <c r="AU41" s="1"/>
  <c r="AU42" s="1"/>
  <c r="AU43" s="1"/>
  <c r="AU44" s="1"/>
  <c r="AU45" s="1"/>
  <c r="AU46" s="1"/>
  <c r="AU47" s="1"/>
  <c r="AU48" s="1"/>
  <c r="AU49" s="1"/>
  <c r="AU50" s="1"/>
  <c r="AU51" s="1"/>
  <c r="AU52" s="1"/>
  <c r="AU53" s="1"/>
  <c r="AU54" s="1"/>
  <c r="AU55" s="1"/>
  <c r="AU56" s="1"/>
  <c r="AU57" s="1"/>
  <c r="AU58" s="1"/>
  <c r="AU59" s="1"/>
  <c r="AU60" s="1"/>
  <c r="AU61" s="1"/>
  <c r="AU62" s="1"/>
  <c r="AU63" s="1"/>
  <c r="AU64" s="1"/>
  <c r="AU65" s="1"/>
  <c r="AU66" s="1"/>
  <c r="AU67" s="1"/>
  <c r="AU68" s="1"/>
  <c r="AU69" s="1"/>
  <c r="AU70" s="1"/>
  <c r="AU71" s="1"/>
  <c r="AU72" s="1"/>
  <c r="AU73" s="1"/>
  <c r="AU74" s="1"/>
  <c r="AU75" s="1"/>
  <c r="AU76" s="1"/>
  <c r="AU77" s="1"/>
  <c r="AU78" s="1"/>
  <c r="AU79" s="1"/>
  <c r="AU80" s="1"/>
  <c r="AU81" s="1"/>
  <c r="AU82" s="1"/>
  <c r="AU83" s="1"/>
  <c r="AU84" s="1"/>
  <c r="AU85" s="1"/>
  <c r="AU86" s="1"/>
  <c r="AU87" s="1"/>
  <c r="AU88" s="1"/>
  <c r="AU89" s="1"/>
  <c r="AU90" s="1"/>
  <c r="AU91" s="1"/>
  <c r="AU92" s="1"/>
  <c r="AU93" s="1"/>
  <c r="AU94" s="1"/>
  <c r="AU95" s="1"/>
  <c r="AU96" s="1"/>
  <c r="AU97" s="1"/>
  <c r="AU98" s="1"/>
  <c r="AU99" s="1"/>
  <c r="AU100" s="1"/>
  <c r="AU101" s="1"/>
  <c r="AU102" s="1"/>
  <c r="AU103" s="1"/>
  <c r="AU104" s="1"/>
  <c r="AU105" s="1"/>
  <c r="AU106" s="1"/>
  <c r="AU107" s="1"/>
  <c r="AU108" s="1"/>
  <c r="AU109" s="1"/>
  <c r="AU110" s="1"/>
  <c r="AU111" s="1"/>
  <c r="AU112" s="1"/>
  <c r="AU113" s="1"/>
  <c r="AU114" s="1"/>
  <c r="AU115" s="1"/>
  <c r="AU116" s="1"/>
  <c r="AU117" s="1"/>
  <c r="AU118" s="1"/>
  <c r="AU119" s="1"/>
  <c r="AU120" s="1"/>
  <c r="AU121" s="1"/>
  <c r="AU122" s="1"/>
  <c r="AU123" s="1"/>
  <c r="AU124" s="1"/>
  <c r="AU125" s="1"/>
  <c r="AU126" s="1"/>
  <c r="AU127" s="1"/>
  <c r="AU128" s="1"/>
  <c r="AU129" s="1"/>
  <c r="AU130" s="1"/>
  <c r="AU131" s="1"/>
  <c r="AU132" s="1"/>
  <c r="AU133" s="1"/>
  <c r="AU134" s="1"/>
  <c r="AU135" s="1"/>
  <c r="AU136" s="1"/>
  <c r="AU137" s="1"/>
  <c r="AU138" s="1"/>
  <c r="AU139" s="1"/>
  <c r="AU140" s="1"/>
  <c r="AU141" s="1"/>
  <c r="AU142" s="1"/>
  <c r="AU143" s="1"/>
  <c r="AU144" s="1"/>
  <c r="AU145" s="1"/>
  <c r="AU146" s="1"/>
  <c r="AU147" s="1"/>
  <c r="AU148" s="1"/>
  <c r="AU149" s="1"/>
  <c r="AU150" s="1"/>
  <c r="AU151" s="1"/>
  <c r="AU152" s="1"/>
  <c r="AU153" s="1"/>
  <c r="AU154" s="1"/>
  <c r="AU155" s="1"/>
  <c r="AU156" s="1"/>
  <c r="AU157" s="1"/>
  <c r="AU158" s="1"/>
  <c r="AU159" s="1"/>
  <c r="AU160" s="1"/>
  <c r="AU161" s="1"/>
  <c r="AU162" s="1"/>
  <c r="AU163" s="1"/>
  <c r="AU164" s="1"/>
  <c r="AU165" s="1"/>
  <c r="AU166" s="1"/>
  <c r="AU167" s="1"/>
  <c r="AU168" s="1"/>
  <c r="AU169" s="1"/>
  <c r="AU170" s="1"/>
  <c r="AU171" s="1"/>
  <c r="AU172" s="1"/>
  <c r="AU173" s="1"/>
  <c r="AU174" s="1"/>
  <c r="AU175" s="1"/>
  <c r="AU176" s="1"/>
  <c r="AU177" s="1"/>
  <c r="AU178" s="1"/>
  <c r="AU179" s="1"/>
  <c r="AU180" s="1"/>
  <c r="AU181" s="1"/>
  <c r="AU182" s="1"/>
  <c r="AU183" s="1"/>
  <c r="AU184" s="1"/>
  <c r="AU185" s="1"/>
  <c r="AU186" s="1"/>
  <c r="AU187" s="1"/>
  <c r="AU188" s="1"/>
  <c r="AU189" s="1"/>
  <c r="AU190" s="1"/>
  <c r="AU191" s="1"/>
  <c r="AU192" s="1"/>
  <c r="AU193" s="1"/>
  <c r="AU194" s="1"/>
  <c r="AU195" s="1"/>
  <c r="AU196" s="1"/>
  <c r="AU197" s="1"/>
  <c r="AU198" s="1"/>
  <c r="AU199" s="1"/>
  <c r="AU200" s="1"/>
  <c r="AU201" s="1"/>
  <c r="AU202" s="1"/>
  <c r="AU203" s="1"/>
  <c r="AU204" s="1"/>
  <c r="AU205" s="1"/>
  <c r="AU206" s="1"/>
  <c r="AU207" s="1"/>
  <c r="AU208" s="1"/>
  <c r="AU209" s="1"/>
  <c r="AU210" s="1"/>
  <c r="AU211" s="1"/>
  <c r="AU212" s="1"/>
  <c r="AU213" s="1"/>
  <c r="AU214" s="1"/>
  <c r="AU215" s="1"/>
  <c r="AU216" s="1"/>
  <c r="AU217" s="1"/>
  <c r="AU218" s="1"/>
  <c r="AU219" s="1"/>
  <c r="AU220" s="1"/>
  <c r="AU221" s="1"/>
  <c r="AU222" s="1"/>
  <c r="AU223" s="1"/>
  <c r="AU224" s="1"/>
  <c r="AU225" s="1"/>
  <c r="AU226" s="1"/>
  <c r="AU227" s="1"/>
  <c r="AU228" s="1"/>
  <c r="AU229" s="1"/>
  <c r="AU230" s="1"/>
  <c r="AU231" s="1"/>
  <c r="AU232" s="1"/>
  <c r="AU233" s="1"/>
  <c r="AU234" s="1"/>
  <c r="AU235" s="1"/>
  <c r="AU236" s="1"/>
  <c r="AU237" s="1"/>
  <c r="AU238" s="1"/>
  <c r="AU239" s="1"/>
  <c r="AU240" s="1"/>
  <c r="AU241" s="1"/>
  <c r="AU242" s="1"/>
  <c r="AU243" s="1"/>
  <c r="AU244" s="1"/>
  <c r="AU245" s="1"/>
  <c r="AU246" s="1"/>
  <c r="AU247" s="1"/>
  <c r="AU248" s="1"/>
  <c r="AU249" s="1"/>
  <c r="AU250" s="1"/>
  <c r="AU251" s="1"/>
  <c r="AU252" s="1"/>
  <c r="AU253" s="1"/>
  <c r="AU254" s="1"/>
  <c r="AU255" s="1"/>
  <c r="AU256" s="1"/>
  <c r="AU257" s="1"/>
  <c r="AU258" s="1"/>
  <c r="AU259" s="1"/>
  <c r="AU260" s="1"/>
  <c r="AU261" s="1"/>
  <c r="AU262" s="1"/>
  <c r="AU263" s="1"/>
  <c r="AU264" s="1"/>
  <c r="AU265" s="1"/>
  <c r="AU266" s="1"/>
  <c r="AU267" s="1"/>
  <c r="AU268" s="1"/>
  <c r="AU269" s="1"/>
  <c r="AU270" s="1"/>
  <c r="AU271" s="1"/>
  <c r="AU272" s="1"/>
  <c r="AU273" s="1"/>
  <c r="AU274" s="1"/>
  <c r="AU275" s="1"/>
  <c r="AU276" s="1"/>
  <c r="AU277" s="1"/>
  <c r="AU278" s="1"/>
  <c r="AU279" s="1"/>
  <c r="AU280" s="1"/>
  <c r="AU281" s="1"/>
  <c r="AU282" s="1"/>
  <c r="AU283" s="1"/>
  <c r="AU284" s="1"/>
  <c r="AU285" s="1"/>
  <c r="AU286" s="1"/>
  <c r="AU287" s="1"/>
  <c r="AU288" s="1"/>
  <c r="AU289" s="1"/>
  <c r="AU290" s="1"/>
  <c r="AU291" s="1"/>
  <c r="AU292" s="1"/>
  <c r="AU293" s="1"/>
  <c r="AU294" s="1"/>
  <c r="AU295" s="1"/>
  <c r="AU296" s="1"/>
  <c r="AU297" s="1"/>
  <c r="AU298" s="1"/>
  <c r="AU299" s="1"/>
  <c r="AU300" s="1"/>
  <c r="AU301" s="1"/>
  <c r="AU302" s="1"/>
  <c r="AU303" s="1"/>
  <c r="AU304" s="1"/>
  <c r="AU305" s="1"/>
  <c r="AU306" s="1"/>
  <c r="AU307" s="1"/>
  <c r="AU308" s="1"/>
  <c r="AU309" s="1"/>
  <c r="AU310" s="1"/>
  <c r="AU311" s="1"/>
  <c r="AU312" s="1"/>
  <c r="AU313" s="1"/>
  <c r="AU314" s="1"/>
  <c r="AU315" s="1"/>
  <c r="AU316" s="1"/>
  <c r="AU317" s="1"/>
  <c r="AU318" s="1"/>
  <c r="AU319" s="1"/>
  <c r="AU320" s="1"/>
  <c r="AU321" s="1"/>
  <c r="AU322" s="1"/>
  <c r="AU323" s="1"/>
  <c r="AU324" s="1"/>
  <c r="AU325" s="1"/>
  <c r="AU326" s="1"/>
  <c r="AU327" s="1"/>
  <c r="AU328" s="1"/>
  <c r="AU329" s="1"/>
  <c r="AU330" s="1"/>
  <c r="AU331" s="1"/>
  <c r="AU332" s="1"/>
  <c r="AU333" s="1"/>
  <c r="AU334" s="1"/>
  <c r="AU335" s="1"/>
  <c r="AU336" s="1"/>
  <c r="AU337" s="1"/>
  <c r="AU338" s="1"/>
  <c r="AU339" s="1"/>
  <c r="AU340" s="1"/>
  <c r="AU341" s="1"/>
  <c r="AU342" s="1"/>
  <c r="AU343" s="1"/>
  <c r="AU344" s="1"/>
  <c r="AU345" s="1"/>
  <c r="AU346" s="1"/>
  <c r="AU347" s="1"/>
  <c r="AU348" s="1"/>
  <c r="AU349" s="1"/>
  <c r="AU350" s="1"/>
  <c r="AU351" s="1"/>
  <c r="AU352" s="1"/>
  <c r="AU353" s="1"/>
  <c r="AU354" s="1"/>
  <c r="AU355" s="1"/>
  <c r="AU356" s="1"/>
  <c r="AU357" s="1"/>
  <c r="AU358" s="1"/>
  <c r="AU359" s="1"/>
  <c r="AU360" s="1"/>
  <c r="AU361" s="1"/>
  <c r="AU362" s="1"/>
  <c r="AU363" s="1"/>
  <c r="AU364" s="1"/>
  <c r="AU365" s="1"/>
  <c r="AU366" s="1"/>
  <c r="AU367" s="1"/>
  <c r="AU368" s="1"/>
  <c r="AU369" s="1"/>
  <c r="AU370" s="1"/>
  <c r="AU371" s="1"/>
  <c r="AU372" s="1"/>
  <c r="AU373" s="1"/>
  <c r="AU374" s="1"/>
  <c r="AU375" s="1"/>
  <c r="AU376" s="1"/>
  <c r="AU377" s="1"/>
  <c r="AU378" s="1"/>
  <c r="AU379" s="1"/>
  <c r="AU380" s="1"/>
  <c r="AU381" s="1"/>
  <c r="AU382" s="1"/>
  <c r="AU383" s="1"/>
  <c r="AU384" s="1"/>
  <c r="AU385" s="1"/>
  <c r="AU386" s="1"/>
  <c r="AU387" s="1"/>
  <c r="AU388" s="1"/>
  <c r="AU389" s="1"/>
  <c r="AU390" s="1"/>
  <c r="AU391" s="1"/>
  <c r="AU392" s="1"/>
  <c r="AU393" s="1"/>
  <c r="AU394" s="1"/>
  <c r="AU395" s="1"/>
  <c r="AU396" s="1"/>
  <c r="AU397" s="1"/>
  <c r="AU398" s="1"/>
  <c r="AU399" s="1"/>
  <c r="AU400" s="1"/>
  <c r="AU401" s="1"/>
  <c r="AU402" s="1"/>
  <c r="AU403" s="1"/>
  <c r="AU404" s="1"/>
  <c r="AU405" s="1"/>
  <c r="AU406" s="1"/>
  <c r="AU407" s="1"/>
  <c r="AU408" s="1"/>
  <c r="AU409" s="1"/>
  <c r="AU410" s="1"/>
  <c r="AU411" s="1"/>
  <c r="AU412" s="1"/>
  <c r="AU413" s="1"/>
  <c r="AU414" s="1"/>
  <c r="AU415" s="1"/>
  <c r="AU416" s="1"/>
  <c r="AU417" s="1"/>
  <c r="AU418" s="1"/>
  <c r="AU419" s="1"/>
  <c r="AU420" s="1"/>
  <c r="AU421" s="1"/>
  <c r="AU422" s="1"/>
  <c r="AU423" s="1"/>
  <c r="AU424" s="1"/>
  <c r="AU425" s="1"/>
  <c r="AU426" s="1"/>
  <c r="AU427" s="1"/>
  <c r="AU428" s="1"/>
  <c r="AU429" s="1"/>
  <c r="AU430" s="1"/>
  <c r="AU431" s="1"/>
  <c r="AU432" s="1"/>
  <c r="AU433" s="1"/>
  <c r="AU434" s="1"/>
  <c r="AU435" s="1"/>
  <c r="AU436" s="1"/>
  <c r="AU437" s="1"/>
  <c r="AU438" s="1"/>
  <c r="AU439" s="1"/>
  <c r="AU440" s="1"/>
  <c r="AU441" s="1"/>
  <c r="AU442" s="1"/>
  <c r="AU443" s="1"/>
  <c r="AU444" s="1"/>
  <c r="AU445" s="1"/>
  <c r="AU446" s="1"/>
  <c r="AU447" s="1"/>
  <c r="AU448" s="1"/>
  <c r="AU449" s="1"/>
  <c r="AU450" s="1"/>
  <c r="AU451" s="1"/>
  <c r="AU452" s="1"/>
  <c r="AU453" s="1"/>
  <c r="AU454" s="1"/>
  <c r="AU455" s="1"/>
  <c r="AU456" s="1"/>
  <c r="AU457" s="1"/>
  <c r="AU458" s="1"/>
  <c r="AU459" s="1"/>
  <c r="AU460" s="1"/>
  <c r="AU461" s="1"/>
  <c r="AU462" s="1"/>
  <c r="AU463" s="1"/>
  <c r="AU464" s="1"/>
  <c r="AU465" s="1"/>
  <c r="AU466" s="1"/>
  <c r="AU467" s="1"/>
  <c r="AU468" s="1"/>
  <c r="AU469" s="1"/>
  <c r="AU470" s="1"/>
  <c r="AU471" s="1"/>
  <c r="AU472" s="1"/>
  <c r="AU473" s="1"/>
  <c r="AU474" s="1"/>
  <c r="AU475" s="1"/>
  <c r="AU476" s="1"/>
  <c r="AU477" s="1"/>
  <c r="AU478" s="1"/>
  <c r="AU479" s="1"/>
  <c r="AU480" s="1"/>
  <c r="AU481" s="1"/>
  <c r="AU482" s="1"/>
  <c r="AU483" s="1"/>
  <c r="AU484" s="1"/>
  <c r="AU485" s="1"/>
  <c r="AU486" s="1"/>
  <c r="AU487" s="1"/>
  <c r="AU488" s="1"/>
  <c r="AU489" s="1"/>
  <c r="AU490" s="1"/>
  <c r="AU491" s="1"/>
  <c r="AU492" s="1"/>
  <c r="AU493" s="1"/>
  <c r="AU494" s="1"/>
  <c r="AU495" s="1"/>
  <c r="AU496" s="1"/>
  <c r="AU497" s="1"/>
  <c r="AU498" s="1"/>
  <c r="AU499" s="1"/>
  <c r="AU500" s="1"/>
  <c r="AU501" s="1"/>
  <c r="AU502" s="1"/>
  <c r="AU503" s="1"/>
  <c r="AU504" s="1"/>
  <c r="AU505" s="1"/>
  <c r="AU506" s="1"/>
  <c r="AU507" s="1"/>
  <c r="AU508" s="1"/>
  <c r="AU509" s="1"/>
  <c r="AU510" s="1"/>
  <c r="AU511" s="1"/>
  <c r="AU512" s="1"/>
  <c r="AU513" s="1"/>
  <c r="AU514" s="1"/>
  <c r="AU515" s="1"/>
  <c r="AU516" s="1"/>
  <c r="AU517" s="1"/>
  <c r="AU518" s="1"/>
  <c r="AU519" s="1"/>
  <c r="AU520" s="1"/>
  <c r="AU521" s="1"/>
  <c r="AU522" s="1"/>
  <c r="AU523" s="1"/>
  <c r="AU524" s="1"/>
  <c r="AU525" s="1"/>
  <c r="AU526" s="1"/>
  <c r="AU527" s="1"/>
  <c r="AU528" s="1"/>
  <c r="AU529" s="1"/>
  <c r="AU530" s="1"/>
  <c r="AU531" s="1"/>
  <c r="AU532" s="1"/>
  <c r="AU533" s="1"/>
  <c r="AU534" s="1"/>
  <c r="AU535" s="1"/>
  <c r="AU536" s="1"/>
  <c r="AU537" s="1"/>
  <c r="AU538" s="1"/>
  <c r="AU539" s="1"/>
  <c r="AU540" s="1"/>
  <c r="AU541" s="1"/>
  <c r="AU542" s="1"/>
  <c r="AU543" s="1"/>
  <c r="AU544" s="1"/>
  <c r="AU545" s="1"/>
  <c r="AU546" s="1"/>
  <c r="AU547" s="1"/>
  <c r="AU548" s="1"/>
  <c r="AU549" s="1"/>
  <c r="AU550" s="1"/>
  <c r="AU551" s="1"/>
  <c r="AU552" s="1"/>
  <c r="AU553" s="1"/>
  <c r="AU554" s="1"/>
  <c r="AU555" s="1"/>
  <c r="AU556" s="1"/>
  <c r="AU557" s="1"/>
  <c r="AU558" s="1"/>
  <c r="AU559" s="1"/>
  <c r="AU560" s="1"/>
  <c r="AU561" s="1"/>
  <c r="AU562" s="1"/>
  <c r="AU563" s="1"/>
  <c r="AU564" s="1"/>
  <c r="AU565" s="1"/>
  <c r="AU566" s="1"/>
  <c r="AU567" s="1"/>
  <c r="AU568" s="1"/>
  <c r="AU569" s="1"/>
  <c r="AU570" s="1"/>
  <c r="AU571" s="1"/>
  <c r="AU572" s="1"/>
  <c r="AU573" s="1"/>
  <c r="AU574" s="1"/>
  <c r="AU575" s="1"/>
  <c r="AU576" s="1"/>
  <c r="AU577" s="1"/>
  <c r="AU578" s="1"/>
  <c r="AU579" s="1"/>
  <c r="AU580" s="1"/>
  <c r="AU581" s="1"/>
  <c r="AU582" s="1"/>
  <c r="AU583" s="1"/>
  <c r="AU584" s="1"/>
  <c r="AU585" s="1"/>
  <c r="AU586" s="1"/>
  <c r="AU587" s="1"/>
  <c r="AU588" s="1"/>
  <c r="AU589" s="1"/>
  <c r="AU590" s="1"/>
  <c r="AU591" s="1"/>
  <c r="AU592" s="1"/>
  <c r="AU593" s="1"/>
  <c r="AU594" s="1"/>
  <c r="AU595" s="1"/>
  <c r="AU596" s="1"/>
  <c r="AU597" s="1"/>
  <c r="AU598" s="1"/>
  <c r="AU599" s="1"/>
  <c r="AU600" s="1"/>
  <c r="AU601" s="1"/>
  <c r="AU602" s="1"/>
  <c r="AU603" s="1"/>
  <c r="AU604" s="1"/>
  <c r="AU605" s="1"/>
  <c r="AU606" s="1"/>
  <c r="AU607" s="1"/>
  <c r="AU608" s="1"/>
  <c r="AU609" s="1"/>
  <c r="AU610" s="1"/>
  <c r="AU611" s="1"/>
  <c r="AU612" s="1"/>
  <c r="AU613" s="1"/>
  <c r="AU614" s="1"/>
  <c r="AU615" s="1"/>
  <c r="AU616" s="1"/>
  <c r="AU617" s="1"/>
  <c r="AU618" s="1"/>
  <c r="AU619" s="1"/>
  <c r="AU620" s="1"/>
  <c r="AU621" s="1"/>
  <c r="AU622" s="1"/>
  <c r="AU623" s="1"/>
  <c r="AU624" s="1"/>
  <c r="AU625" s="1"/>
  <c r="AU626" s="1"/>
  <c r="AU627" s="1"/>
  <c r="AU628" s="1"/>
  <c r="AU629" s="1"/>
  <c r="AU630" s="1"/>
  <c r="AU631" s="1"/>
  <c r="AU632" s="1"/>
  <c r="AU633" s="1"/>
  <c r="AU634" s="1"/>
  <c r="AU635" s="1"/>
  <c r="AU636" s="1"/>
  <c r="AU637" s="1"/>
  <c r="AU638" s="1"/>
  <c r="AU639" s="1"/>
  <c r="AU640" s="1"/>
  <c r="AU641" s="1"/>
  <c r="AU642" s="1"/>
  <c r="AU643" s="1"/>
  <c r="AU644" s="1"/>
  <c r="AU645" s="1"/>
  <c r="AU646" s="1"/>
  <c r="AU647" s="1"/>
  <c r="AU648" s="1"/>
  <c r="AU649" s="1"/>
  <c r="AU650" s="1"/>
  <c r="AU651" s="1"/>
  <c r="AU652" s="1"/>
  <c r="AU653" s="1"/>
  <c r="AU654" s="1"/>
  <c r="AU655" s="1"/>
  <c r="AU656" s="1"/>
  <c r="AU657" s="1"/>
  <c r="AU658" s="1"/>
  <c r="AU659" s="1"/>
  <c r="AU660" s="1"/>
  <c r="AU661" s="1"/>
  <c r="AU662" s="1"/>
  <c r="AU663" s="1"/>
  <c r="AU664" s="1"/>
  <c r="AU665" s="1"/>
  <c r="AU666" s="1"/>
  <c r="AU667" s="1"/>
  <c r="AU668" s="1"/>
  <c r="AU669" s="1"/>
  <c r="AU670" s="1"/>
  <c r="AU671" s="1"/>
  <c r="AU672" s="1"/>
  <c r="AU673" s="1"/>
  <c r="AU674" s="1"/>
  <c r="AU675" s="1"/>
  <c r="AU676" s="1"/>
  <c r="AU677" s="1"/>
  <c r="AU678" s="1"/>
  <c r="AU679" s="1"/>
  <c r="AU680" s="1"/>
  <c r="AU681" s="1"/>
  <c r="AU682" s="1"/>
  <c r="AU683" s="1"/>
  <c r="AU684" s="1"/>
  <c r="AU685" s="1"/>
  <c r="AU686" s="1"/>
  <c r="AU687" s="1"/>
  <c r="AU688" s="1"/>
  <c r="AU689" s="1"/>
  <c r="AU690" s="1"/>
  <c r="AU691" s="1"/>
  <c r="AU692" s="1"/>
  <c r="AU693" s="1"/>
  <c r="AU694" s="1"/>
  <c r="AU695" s="1"/>
  <c r="AU696" s="1"/>
  <c r="AU697" s="1"/>
  <c r="AU698" s="1"/>
  <c r="AU699" s="1"/>
  <c r="AU700" s="1"/>
  <c r="AU701" s="1"/>
  <c r="AU702" s="1"/>
  <c r="AU703" s="1"/>
  <c r="AU704" s="1"/>
  <c r="AU705" s="1"/>
  <c r="AU706" s="1"/>
  <c r="AU707" s="1"/>
  <c r="AU708" s="1"/>
  <c r="AU709" s="1"/>
  <c r="AU710" s="1"/>
  <c r="AU711" s="1"/>
  <c r="AU712" s="1"/>
  <c r="AU713" s="1"/>
  <c r="AU714" s="1"/>
  <c r="AU715" s="1"/>
  <c r="AU716" s="1"/>
  <c r="AU717" s="1"/>
  <c r="AU718" s="1"/>
  <c r="AU719" s="1"/>
  <c r="AU720" s="1"/>
  <c r="AU721" s="1"/>
  <c r="AU722" s="1"/>
  <c r="AU723" s="1"/>
  <c r="AU724" s="1"/>
  <c r="AU725" s="1"/>
  <c r="AU726" s="1"/>
  <c r="AU727" s="1"/>
  <c r="AU728" s="1"/>
  <c r="AU729" s="1"/>
  <c r="AU730" s="1"/>
  <c r="AU731" s="1"/>
  <c r="AU732" s="1"/>
  <c r="AU733" s="1"/>
  <c r="AU734" s="1"/>
  <c r="AU735" s="1"/>
  <c r="AU736" s="1"/>
  <c r="AU737" s="1"/>
  <c r="AU738" s="1"/>
  <c r="AU739" s="1"/>
  <c r="AU740" s="1"/>
  <c r="AU741" s="1"/>
  <c r="AU742" s="1"/>
  <c r="AU743" s="1"/>
  <c r="AU744" s="1"/>
  <c r="AU745" s="1"/>
  <c r="AU746" s="1"/>
  <c r="AU747" s="1"/>
  <c r="AU748" s="1"/>
  <c r="AU749" s="1"/>
  <c r="AU750" s="1"/>
  <c r="AU751" s="1"/>
  <c r="AU752" s="1"/>
  <c r="AU753" s="1"/>
  <c r="AU754" s="1"/>
  <c r="AU755" s="1"/>
  <c r="AU756" s="1"/>
  <c r="AU757" s="1"/>
  <c r="AU758" s="1"/>
  <c r="AU759" s="1"/>
  <c r="AU760" s="1"/>
  <c r="AU761" s="1"/>
  <c r="AU762" s="1"/>
  <c r="AU763" s="1"/>
  <c r="AU764" s="1"/>
  <c r="AU765" s="1"/>
  <c r="AU766" s="1"/>
  <c r="AU767" s="1"/>
  <c r="AU768" s="1"/>
  <c r="AU769" s="1"/>
  <c r="AU770" s="1"/>
  <c r="AU771" s="1"/>
  <c r="AU772" s="1"/>
  <c r="AU773" s="1"/>
  <c r="AU774" s="1"/>
  <c r="AU775" s="1"/>
  <c r="AU776" s="1"/>
  <c r="AU777" s="1"/>
  <c r="AU778" s="1"/>
  <c r="AU779" s="1"/>
  <c r="AU780" s="1"/>
  <c r="AU781" s="1"/>
  <c r="AU782" s="1"/>
  <c r="AU783" s="1"/>
  <c r="AU784" s="1"/>
  <c r="AU785" s="1"/>
  <c r="AU786" s="1"/>
  <c r="AU787" s="1"/>
  <c r="AU788" s="1"/>
  <c r="AU789" s="1"/>
  <c r="AU790" s="1"/>
  <c r="AU791" s="1"/>
  <c r="AU792" s="1"/>
  <c r="AU793" s="1"/>
  <c r="AU794" s="1"/>
  <c r="AU795" s="1"/>
  <c r="AU796" s="1"/>
  <c r="AU797" s="1"/>
  <c r="AU798" s="1"/>
  <c r="AU799" s="1"/>
  <c r="AU800" s="1"/>
  <c r="AU801" s="1"/>
  <c r="AU802" s="1"/>
  <c r="AU803" s="1"/>
  <c r="AU804" s="1"/>
  <c r="AU805" s="1"/>
  <c r="AU806" s="1"/>
  <c r="AU807" s="1"/>
  <c r="AU808" s="1"/>
  <c r="AU809" s="1"/>
  <c r="AU810" s="1"/>
  <c r="AU811" s="1"/>
  <c r="AU812" s="1"/>
  <c r="AU813" s="1"/>
  <c r="AU814" s="1"/>
  <c r="AU815" s="1"/>
  <c r="AU816" s="1"/>
  <c r="AU817" s="1"/>
  <c r="AU818" s="1"/>
  <c r="AU819" s="1"/>
  <c r="AU820" s="1"/>
  <c r="AU821" s="1"/>
  <c r="AU822" s="1"/>
  <c r="AU823" s="1"/>
  <c r="AU824" s="1"/>
  <c r="AU825" s="1"/>
  <c r="AU826" s="1"/>
  <c r="AU827" s="1"/>
  <c r="AU828" s="1"/>
  <c r="AU829" s="1"/>
  <c r="AU830" s="1"/>
  <c r="AU831" s="1"/>
  <c r="AU832" s="1"/>
  <c r="AU833" s="1"/>
  <c r="AU834" s="1"/>
  <c r="AU835" s="1"/>
  <c r="AU836" s="1"/>
  <c r="AU837" s="1"/>
  <c r="AU838" s="1"/>
  <c r="AU839" s="1"/>
  <c r="AU840" s="1"/>
  <c r="AU841" s="1"/>
  <c r="AU842" s="1"/>
  <c r="AU843" s="1"/>
  <c r="AU844" s="1"/>
  <c r="AU845" s="1"/>
  <c r="AU846" s="1"/>
  <c r="AU847" s="1"/>
  <c r="AU848" s="1"/>
  <c r="AU849" s="1"/>
  <c r="AU850" s="1"/>
  <c r="AU851" s="1"/>
  <c r="AU852" s="1"/>
  <c r="AU853" s="1"/>
  <c r="AU854" s="1"/>
  <c r="AU855" s="1"/>
  <c r="AU856" s="1"/>
  <c r="AU857" s="1"/>
  <c r="AU858" s="1"/>
  <c r="AU859" s="1"/>
  <c r="AU860" s="1"/>
  <c r="AU861" s="1"/>
  <c r="AU862" s="1"/>
  <c r="AU863" s="1"/>
  <c r="AU864" s="1"/>
  <c r="AU865" s="1"/>
  <c r="AU866" s="1"/>
  <c r="AU867" s="1"/>
  <c r="AU868" s="1"/>
  <c r="AU869" s="1"/>
  <c r="AU870" s="1"/>
  <c r="AU871" s="1"/>
  <c r="AU872" s="1"/>
  <c r="AU873" s="1"/>
  <c r="AU874" s="1"/>
  <c r="AU875" s="1"/>
  <c r="AU876" s="1"/>
  <c r="AU877" s="1"/>
  <c r="AU878" s="1"/>
  <c r="AU879" s="1"/>
  <c r="AU880" s="1"/>
  <c r="AU881" s="1"/>
  <c r="AU882" s="1"/>
  <c r="AU883" s="1"/>
  <c r="AU884" s="1"/>
  <c r="AU885" s="1"/>
  <c r="AU886" s="1"/>
  <c r="AU887" s="1"/>
  <c r="AU888" s="1"/>
  <c r="AU889" s="1"/>
  <c r="AU890" s="1"/>
  <c r="AU891" s="1"/>
  <c r="AU892" s="1"/>
  <c r="AU893" s="1"/>
  <c r="AU894" s="1"/>
  <c r="AU895" s="1"/>
  <c r="AU896" s="1"/>
  <c r="AU897" s="1"/>
  <c r="AU898" s="1"/>
  <c r="AU899" s="1"/>
  <c r="AU900" s="1"/>
  <c r="AU901" s="1"/>
  <c r="AU902" s="1"/>
  <c r="AU903" s="1"/>
  <c r="AU904" s="1"/>
  <c r="AU905" s="1"/>
  <c r="AU906" s="1"/>
  <c r="AU907" s="1"/>
  <c r="AU908" s="1"/>
  <c r="AU909" s="1"/>
  <c r="AU910" s="1"/>
  <c r="AU911" s="1"/>
  <c r="AU912" s="1"/>
  <c r="AU913" s="1"/>
  <c r="AU914" s="1"/>
  <c r="AU915" s="1"/>
  <c r="AU916" s="1"/>
  <c r="AU917" s="1"/>
  <c r="AU918" s="1"/>
  <c r="AU919" s="1"/>
  <c r="AU920" s="1"/>
  <c r="AU921" s="1"/>
  <c r="AU922" s="1"/>
  <c r="AU923" s="1"/>
  <c r="AS901" l="1"/>
  <c r="AS897"/>
  <c r="AS911"/>
  <c r="AT911" s="1"/>
  <c r="AS920"/>
  <c r="AT920" s="1"/>
  <c r="AS912"/>
  <c r="AT912" s="1"/>
  <c r="AS899"/>
  <c r="AT899" s="1"/>
  <c r="AS916"/>
  <c r="AS910"/>
  <c r="AT910" s="1"/>
  <c r="AS903"/>
  <c r="AT903" s="1"/>
  <c r="AS906"/>
  <c r="AS921"/>
  <c r="AS914"/>
  <c r="AT914" s="1"/>
  <c r="AS923"/>
  <c r="AS907"/>
  <c r="AS900"/>
  <c r="AS922"/>
  <c r="AS908"/>
  <c r="AT908" s="1"/>
  <c r="AS896"/>
  <c r="AS898"/>
  <c r="AS913"/>
  <c r="AT913" s="1"/>
  <c r="AS902"/>
  <c r="AT902" s="1"/>
  <c r="AS915"/>
  <c r="AT915" s="1"/>
  <c r="AS905"/>
  <c r="AT905" s="1"/>
  <c r="AS904"/>
  <c r="AT904" s="1"/>
  <c r="AS917"/>
  <c r="AT917" s="1"/>
  <c r="AS919"/>
  <c r="AT919" s="1"/>
  <c r="AS909"/>
  <c r="AT909" s="1"/>
  <c r="AS918"/>
  <c r="AS892"/>
  <c r="AS884"/>
  <c r="AT884" s="1"/>
  <c r="AS876"/>
  <c r="AS868"/>
  <c r="AT868" s="1"/>
  <c r="AS895"/>
  <c r="AT895" s="1"/>
  <c r="AS885"/>
  <c r="AT885" s="1"/>
  <c r="AS877"/>
  <c r="AS869"/>
  <c r="AT869" s="1"/>
  <c r="AS879"/>
  <c r="AS871"/>
  <c r="AS863"/>
  <c r="AT863" s="1"/>
  <c r="AS872"/>
  <c r="AS881"/>
  <c r="AT881" s="1"/>
  <c r="AS894"/>
  <c r="AT894" s="1"/>
  <c r="AS886"/>
  <c r="AT886" s="1"/>
  <c r="AS878"/>
  <c r="AS870"/>
  <c r="AT870" s="1"/>
  <c r="AS862"/>
  <c r="AS887"/>
  <c r="AT887" s="1"/>
  <c r="AS861"/>
  <c r="AS888"/>
  <c r="AT888" s="1"/>
  <c r="AS864"/>
  <c r="AT864" s="1"/>
  <c r="AS873"/>
  <c r="AS891"/>
  <c r="AS890"/>
  <c r="AS882"/>
  <c r="AT882" s="1"/>
  <c r="AS874"/>
  <c r="AT874" s="1"/>
  <c r="AS866"/>
  <c r="AT866" s="1"/>
  <c r="AS893"/>
  <c r="AS883"/>
  <c r="AS875"/>
  <c r="AS867"/>
  <c r="AT867" s="1"/>
  <c r="AS880"/>
  <c r="AT880" s="1"/>
  <c r="AS889"/>
  <c r="AS865"/>
  <c r="AT865" s="1"/>
  <c r="AS841"/>
  <c r="AT841" s="1"/>
  <c r="AS854"/>
  <c r="AT854" s="1"/>
  <c r="AS846"/>
  <c r="AS838"/>
  <c r="AT838" s="1"/>
  <c r="AS853"/>
  <c r="AT853" s="1"/>
  <c r="AS843"/>
  <c r="AT843" s="1"/>
  <c r="AS833"/>
  <c r="AT833" s="1"/>
  <c r="AS840"/>
  <c r="AT840" s="1"/>
  <c r="AS845"/>
  <c r="AT845" s="1"/>
  <c r="AS860"/>
  <c r="AT860" s="1"/>
  <c r="AS842"/>
  <c r="AT842" s="1"/>
  <c r="AS847"/>
  <c r="AT847" s="1"/>
  <c r="AS851"/>
  <c r="AS858"/>
  <c r="AT858" s="1"/>
  <c r="AS848"/>
  <c r="AT848" s="1"/>
  <c r="AS857"/>
  <c r="AT857" s="1"/>
  <c r="AS835"/>
  <c r="AT835" s="1"/>
  <c r="AS850"/>
  <c r="AT850" s="1"/>
  <c r="AS837"/>
  <c r="AT837" s="1"/>
  <c r="AS856"/>
  <c r="AT856" s="1"/>
  <c r="AS859"/>
  <c r="AT859" s="1"/>
  <c r="AS852"/>
  <c r="AS844"/>
  <c r="AT844" s="1"/>
  <c r="AS836"/>
  <c r="AT836" s="1"/>
  <c r="AS849"/>
  <c r="AT849" s="1"/>
  <c r="AS839"/>
  <c r="AT839" s="1"/>
  <c r="AS855"/>
  <c r="AT855" s="1"/>
  <c r="AS834"/>
  <c r="AT834" s="1"/>
  <c r="AS828"/>
  <c r="AT828" s="1"/>
  <c r="AS813"/>
  <c r="AS814"/>
  <c r="AS831"/>
  <c r="AT831" s="1"/>
  <c r="AS823"/>
  <c r="AT823" s="1"/>
  <c r="AS826"/>
  <c r="AT826" s="1"/>
  <c r="AS811"/>
  <c r="AS812"/>
  <c r="AS824"/>
  <c r="AT824" s="1"/>
  <c r="AS815"/>
  <c r="AS819"/>
  <c r="AT819" s="1"/>
  <c r="AS816"/>
  <c r="AS808"/>
  <c r="AS825"/>
  <c r="AT825" s="1"/>
  <c r="AS830"/>
  <c r="AT830" s="1"/>
  <c r="AS817"/>
  <c r="AS822"/>
  <c r="AT822" s="1"/>
  <c r="AS829"/>
  <c r="AT829" s="1"/>
  <c r="AS805"/>
  <c r="AT805" s="1"/>
  <c r="AS807"/>
  <c r="AT807" s="1"/>
  <c r="AS806"/>
  <c r="AT806" s="1"/>
  <c r="AS818"/>
  <c r="AS810"/>
  <c r="AS827"/>
  <c r="AT827" s="1"/>
  <c r="AS832"/>
  <c r="AT832" s="1"/>
  <c r="AS820"/>
  <c r="AT820" s="1"/>
  <c r="AS809"/>
  <c r="AS821"/>
  <c r="AT821" s="1"/>
  <c r="AS803"/>
  <c r="AT803" s="1"/>
  <c r="AS795"/>
  <c r="AS787"/>
  <c r="AS777"/>
  <c r="AT777" s="1"/>
  <c r="AS774"/>
  <c r="AS798"/>
  <c r="AS790"/>
  <c r="AT790" s="1"/>
  <c r="AS782"/>
  <c r="AS772"/>
  <c r="AT772" s="1"/>
  <c r="AS797"/>
  <c r="AT797" s="1"/>
  <c r="AS789"/>
  <c r="AS779"/>
  <c r="AT779" s="1"/>
  <c r="AS771"/>
  <c r="AT771" s="1"/>
  <c r="AS800"/>
  <c r="AS792"/>
  <c r="AT792" s="1"/>
  <c r="AS784"/>
  <c r="AS776"/>
  <c r="AT776" s="1"/>
  <c r="AS799"/>
  <c r="AS791"/>
  <c r="AT791" s="1"/>
  <c r="AS781"/>
  <c r="AT781" s="1"/>
  <c r="AS773"/>
  <c r="AT773" s="1"/>
  <c r="AS802"/>
  <c r="AT802" s="1"/>
  <c r="AS794"/>
  <c r="AT794" s="1"/>
  <c r="AS786"/>
  <c r="AS778"/>
  <c r="AT778" s="1"/>
  <c r="AS801"/>
  <c r="AS793"/>
  <c r="AT793" s="1"/>
  <c r="AS783"/>
  <c r="AS775"/>
  <c r="AT775" s="1"/>
  <c r="AS785"/>
  <c r="AT785" s="1"/>
  <c r="AS804"/>
  <c r="AT804" s="1"/>
  <c r="AS796"/>
  <c r="AS788"/>
  <c r="AS780"/>
  <c r="AT780" s="1"/>
  <c r="AS770"/>
  <c r="AT770" s="1"/>
  <c r="AS761"/>
  <c r="AT761" s="1"/>
  <c r="AS726"/>
  <c r="AT726" s="1"/>
  <c r="AS748"/>
  <c r="AT748" s="1"/>
  <c r="AS728"/>
  <c r="AS742"/>
  <c r="AT742" s="1"/>
  <c r="AS763"/>
  <c r="AT763" s="1"/>
  <c r="AS747"/>
  <c r="AT747" s="1"/>
  <c r="AS731"/>
  <c r="AS715"/>
  <c r="AT715" s="1"/>
  <c r="AS768"/>
  <c r="AT768" s="1"/>
  <c r="AS749"/>
  <c r="AS741"/>
  <c r="AT741" s="1"/>
  <c r="AS733"/>
  <c r="AS725"/>
  <c r="AT725" s="1"/>
  <c r="AS717"/>
  <c r="AT717" s="1"/>
  <c r="AS764"/>
  <c r="AT764" s="1"/>
  <c r="AS765"/>
  <c r="AT765" s="1"/>
  <c r="AS746"/>
  <c r="AT746" s="1"/>
  <c r="AS769"/>
  <c r="AT769" s="1"/>
  <c r="AS767"/>
  <c r="AT767" s="1"/>
  <c r="AS751"/>
  <c r="AS735"/>
  <c r="AS719"/>
  <c r="AT719" s="1"/>
  <c r="AS752"/>
  <c r="AS736"/>
  <c r="AS724"/>
  <c r="AT724" s="1"/>
  <c r="AS756"/>
  <c r="AS755"/>
  <c r="AT755" s="1"/>
  <c r="AS739"/>
  <c r="AT739" s="1"/>
  <c r="AS723"/>
  <c r="AS758"/>
  <c r="AS740"/>
  <c r="AT740" s="1"/>
  <c r="AS730"/>
  <c r="AS718"/>
  <c r="AT718" s="1"/>
  <c r="AS753"/>
  <c r="AT753" s="1"/>
  <c r="AS745"/>
  <c r="AT745" s="1"/>
  <c r="AS737"/>
  <c r="AS729"/>
  <c r="AS721"/>
  <c r="AS757"/>
  <c r="AS738"/>
  <c r="AS760"/>
  <c r="AT760" s="1"/>
  <c r="AS754"/>
  <c r="AT754" s="1"/>
  <c r="AS759"/>
  <c r="AT759" s="1"/>
  <c r="AS743"/>
  <c r="AT743" s="1"/>
  <c r="AS727"/>
  <c r="AS762"/>
  <c r="AT762" s="1"/>
  <c r="AS744"/>
  <c r="AT744" s="1"/>
  <c r="AS732"/>
  <c r="AS720"/>
  <c r="AS766"/>
  <c r="AT766" s="1"/>
  <c r="AS750"/>
  <c r="AS734"/>
  <c r="AS722"/>
  <c r="AS714"/>
  <c r="AS716"/>
  <c r="B12" i="8"/>
  <c r="AS106" i="4"/>
  <c r="AT106" s="1"/>
  <c r="AS118"/>
  <c r="AT118" s="1"/>
  <c r="AS127"/>
  <c r="AT127" s="1"/>
  <c r="AS143"/>
  <c r="AT143" s="1"/>
  <c r="AS146"/>
  <c r="AT146" s="1"/>
  <c r="AS150"/>
  <c r="AT150" s="1"/>
  <c r="AS157"/>
  <c r="AT157" s="1"/>
  <c r="AS170"/>
  <c r="AT170" s="1"/>
  <c r="AS174"/>
  <c r="AT174" s="1"/>
  <c r="AS181"/>
  <c r="AS194"/>
  <c r="AS206"/>
  <c r="AT206" s="1"/>
  <c r="AS210"/>
  <c r="AS222"/>
  <c r="AS224"/>
  <c r="AS234"/>
  <c r="AS247"/>
  <c r="AS251"/>
  <c r="AT251" s="1"/>
  <c r="AS255"/>
  <c r="AS266"/>
  <c r="AS268"/>
  <c r="AS270"/>
  <c r="AT270" s="1"/>
  <c r="AS275"/>
  <c r="AS287"/>
  <c r="AS315"/>
  <c r="AS319"/>
  <c r="AS322"/>
  <c r="AS327"/>
  <c r="AS339"/>
  <c r="AS349"/>
  <c r="AS352"/>
  <c r="AT352" s="1"/>
  <c r="AS356"/>
  <c r="AT356" s="1"/>
  <c r="AS365"/>
  <c r="AS368"/>
  <c r="AS372"/>
  <c r="AT372" s="1"/>
  <c r="AS393"/>
  <c r="AS396"/>
  <c r="AT396" s="1"/>
  <c r="AS405"/>
  <c r="AS408"/>
  <c r="AS417"/>
  <c r="AS421"/>
  <c r="AS425"/>
  <c r="AS440"/>
  <c r="AT440" s="1"/>
  <c r="AS445"/>
  <c r="AS449"/>
  <c r="AT449" s="1"/>
  <c r="AS456"/>
  <c r="AS461"/>
  <c r="AS465"/>
  <c r="AT465" s="1"/>
  <c r="AS469"/>
  <c r="AS473"/>
  <c r="AT473" s="1"/>
  <c r="AS482"/>
  <c r="AS485"/>
  <c r="AS489"/>
  <c r="AT489" s="1"/>
  <c r="AS506"/>
  <c r="AT506" s="1"/>
  <c r="AS514"/>
  <c r="AS522"/>
  <c r="AT522" s="1"/>
  <c r="AS528"/>
  <c r="AT528" s="1"/>
  <c r="AS541"/>
  <c r="AT541" s="1"/>
  <c r="AS545"/>
  <c r="AS552"/>
  <c r="AS561"/>
  <c r="AS569"/>
  <c r="AS585"/>
  <c r="AS589"/>
  <c r="AS592"/>
  <c r="AS597"/>
  <c r="AT597" s="1"/>
  <c r="AS602"/>
  <c r="AS617"/>
  <c r="AS625"/>
  <c r="AS629"/>
  <c r="AT629" s="1"/>
  <c r="AS634"/>
  <c r="AT634" s="1"/>
  <c r="AS642"/>
  <c r="AT642" s="1"/>
  <c r="AS645"/>
  <c r="AS650"/>
  <c r="AS655"/>
  <c r="AS658"/>
  <c r="AS663"/>
  <c r="AT663" s="1"/>
  <c r="AS666"/>
  <c r="AS671"/>
  <c r="AT671" s="1"/>
  <c r="AS683"/>
  <c r="AS686"/>
  <c r="AS691"/>
  <c r="AS694"/>
  <c r="AS699"/>
  <c r="AT699" s="1"/>
  <c r="AS702"/>
  <c r="AS707"/>
  <c r="AS710"/>
  <c r="AT710" s="1"/>
  <c r="AS22"/>
  <c r="AS25"/>
  <c r="AS30"/>
  <c r="AS33"/>
  <c r="AS38"/>
  <c r="AT38" s="1"/>
  <c r="AS41"/>
  <c r="AT41" s="1"/>
  <c r="AS46"/>
  <c r="AT46" s="1"/>
  <c r="AS49"/>
  <c r="AS54"/>
  <c r="AS57"/>
  <c r="AT57" s="1"/>
  <c r="AS62"/>
  <c r="AT62" s="1"/>
  <c r="AS65"/>
  <c r="AS70"/>
  <c r="AS73"/>
  <c r="AS78"/>
  <c r="AS81"/>
  <c r="AS86"/>
  <c r="AS89"/>
  <c r="AS94"/>
  <c r="AS97"/>
  <c r="AS102"/>
  <c r="AT102" s="1"/>
  <c r="AS109"/>
  <c r="AS114"/>
  <c r="AS117"/>
  <c r="AS135"/>
  <c r="AS149"/>
  <c r="AS159"/>
  <c r="AS162"/>
  <c r="AS166"/>
  <c r="AS173"/>
  <c r="AT173" s="1"/>
  <c r="AS186"/>
  <c r="AS190"/>
  <c r="AS202"/>
  <c r="AS205"/>
  <c r="AS214"/>
  <c r="AT214" s="1"/>
  <c r="AS227"/>
  <c r="AT227" s="1"/>
  <c r="AS240"/>
  <c r="AS252"/>
  <c r="AS254"/>
  <c r="AS259"/>
  <c r="AS279"/>
  <c r="AT279" s="1"/>
  <c r="AS283"/>
  <c r="AS291"/>
  <c r="AS298"/>
  <c r="AT298" s="1"/>
  <c r="AS300"/>
  <c r="AS302"/>
  <c r="AT302" s="1"/>
  <c r="AS304"/>
  <c r="AT304" s="1"/>
  <c r="AS331"/>
  <c r="AS335"/>
  <c r="AS338"/>
  <c r="AT338" s="1"/>
  <c r="AS343"/>
  <c r="AT343" s="1"/>
  <c r="AS361"/>
  <c r="AT361" s="1"/>
  <c r="AS377"/>
  <c r="AS380"/>
  <c r="AT380" s="1"/>
  <c r="AS389"/>
  <c r="AT389" s="1"/>
  <c r="AS392"/>
  <c r="AS401"/>
  <c r="AS413"/>
  <c r="AT413" s="1"/>
  <c r="AS416"/>
  <c r="AS424"/>
  <c r="AS429"/>
  <c r="AS433"/>
  <c r="AS442"/>
  <c r="AT442" s="1"/>
  <c r="AS448"/>
  <c r="AS458"/>
  <c r="AT458" s="1"/>
  <c r="AS464"/>
  <c r="AT464" s="1"/>
  <c r="AS472"/>
  <c r="AT472" s="1"/>
  <c r="AS477"/>
  <c r="AT477" s="1"/>
  <c r="AS481"/>
  <c r="AS488"/>
  <c r="AT488" s="1"/>
  <c r="AS498"/>
  <c r="AT498" s="1"/>
  <c r="AS509"/>
  <c r="AS513"/>
  <c r="AS517"/>
  <c r="AS521"/>
  <c r="AT521" s="1"/>
  <c r="AS530"/>
  <c r="AS533"/>
  <c r="AT533" s="1"/>
  <c r="AS537"/>
  <c r="AS544"/>
  <c r="AS557"/>
  <c r="AS577"/>
  <c r="AS601"/>
  <c r="AT601" s="1"/>
  <c r="AS605"/>
  <c r="AT605" s="1"/>
  <c r="AS608"/>
  <c r="AT608" s="1"/>
  <c r="AS610"/>
  <c r="AT610" s="1"/>
  <c r="AS621"/>
  <c r="AT621" s="1"/>
  <c r="AS633"/>
  <c r="AS674"/>
  <c r="AS682"/>
  <c r="AS105"/>
  <c r="AS126"/>
  <c r="AS134"/>
  <c r="AS138"/>
  <c r="AS142"/>
  <c r="AS165"/>
  <c r="AS183"/>
  <c r="AS189"/>
  <c r="AS198"/>
  <c r="AS223"/>
  <c r="AS226"/>
  <c r="AS231"/>
  <c r="AS235"/>
  <c r="AT235" s="1"/>
  <c r="AS239"/>
  <c r="AS250"/>
  <c r="AT250" s="1"/>
  <c r="AS263"/>
  <c r="AS267"/>
  <c r="AS272"/>
  <c r="AS284"/>
  <c r="AS286"/>
  <c r="AT286" s="1"/>
  <c r="AS295"/>
  <c r="AS307"/>
  <c r="AS314"/>
  <c r="AS316"/>
  <c r="AS318"/>
  <c r="AT318" s="1"/>
  <c r="AS320"/>
  <c r="AS348"/>
  <c r="AS357"/>
  <c r="AS360"/>
  <c r="AT360" s="1"/>
  <c r="AS364"/>
  <c r="AS373"/>
  <c r="AS376"/>
  <c r="AS385"/>
  <c r="AS397"/>
  <c r="AS400"/>
  <c r="AS404"/>
  <c r="AS426"/>
  <c r="AS432"/>
  <c r="AT432" s="1"/>
  <c r="AS474"/>
  <c r="AS480"/>
  <c r="AS493"/>
  <c r="AS497"/>
  <c r="AT497" s="1"/>
  <c r="AS501"/>
  <c r="AS505"/>
  <c r="AT505" s="1"/>
  <c r="AS512"/>
  <c r="AS520"/>
  <c r="AT520" s="1"/>
  <c r="AS536"/>
  <c r="AT536" s="1"/>
  <c r="AS554"/>
  <c r="AS560"/>
  <c r="AS562"/>
  <c r="AS573"/>
  <c r="AT573" s="1"/>
  <c r="AS576"/>
  <c r="AS593"/>
  <c r="AS613"/>
  <c r="AS624"/>
  <c r="AT624" s="1"/>
  <c r="AS641"/>
  <c r="AT641" s="1"/>
  <c r="AS651"/>
  <c r="AS654"/>
  <c r="AS659"/>
  <c r="AS662"/>
  <c r="AT662" s="1"/>
  <c r="AS667"/>
  <c r="AS670"/>
  <c r="AT670" s="1"/>
  <c r="AS675"/>
  <c r="AS678"/>
  <c r="AS679"/>
  <c r="AS687"/>
  <c r="AT687" s="1"/>
  <c r="AS690"/>
  <c r="AS695"/>
  <c r="AS698"/>
  <c r="AS703"/>
  <c r="AS706"/>
  <c r="AS711"/>
  <c r="AS18"/>
  <c r="AT18" s="1"/>
  <c r="AS21"/>
  <c r="AS26"/>
  <c r="AT26" s="1"/>
  <c r="AS29"/>
  <c r="AS34"/>
  <c r="AS37"/>
  <c r="AS42"/>
  <c r="AS45"/>
  <c r="AS50"/>
  <c r="AT50" s="1"/>
  <c r="AS53"/>
  <c r="AT53" s="1"/>
  <c r="AS58"/>
  <c r="AS61"/>
  <c r="AT61" s="1"/>
  <c r="AS66"/>
  <c r="AT66" s="1"/>
  <c r="AS69"/>
  <c r="AS74"/>
  <c r="AT74" s="1"/>
  <c r="AS77"/>
  <c r="AS82"/>
  <c r="AT82" s="1"/>
  <c r="AS85"/>
  <c r="AT85" s="1"/>
  <c r="AS90"/>
  <c r="AS93"/>
  <c r="AT93" s="1"/>
  <c r="AS98"/>
  <c r="AS101"/>
  <c r="AS110"/>
  <c r="AS113"/>
  <c r="AT113" s="1"/>
  <c r="AS119"/>
  <c r="AS122"/>
  <c r="AS125"/>
  <c r="AT125" s="1"/>
  <c r="AS130"/>
  <c r="AS133"/>
  <c r="AT133" s="1"/>
  <c r="AS141"/>
  <c r="AS151"/>
  <c r="AS154"/>
  <c r="AS158"/>
  <c r="AS167"/>
  <c r="AT167" s="1"/>
  <c r="AS175"/>
  <c r="AS178"/>
  <c r="AS182"/>
  <c r="AS191"/>
  <c r="AS207"/>
  <c r="AT207" s="1"/>
  <c r="AS215"/>
  <c r="AS218"/>
  <c r="AS236"/>
  <c r="AT236" s="1"/>
  <c r="AS238"/>
  <c r="AS243"/>
  <c r="AS256"/>
  <c r="AT256" s="1"/>
  <c r="AS271"/>
  <c r="AS282"/>
  <c r="AS288"/>
  <c r="AS299"/>
  <c r="AS303"/>
  <c r="AT303" s="1"/>
  <c r="AS306"/>
  <c r="AT306" s="1"/>
  <c r="AS311"/>
  <c r="AT311" s="1"/>
  <c r="AS323"/>
  <c r="AS330"/>
  <c r="AS332"/>
  <c r="AS334"/>
  <c r="AS336"/>
  <c r="AS353"/>
  <c r="AS369"/>
  <c r="AT369" s="1"/>
  <c r="AS381"/>
  <c r="AT381" s="1"/>
  <c r="AS384"/>
  <c r="AS388"/>
  <c r="AS409"/>
  <c r="AT409" s="1"/>
  <c r="AS412"/>
  <c r="AT412" s="1"/>
  <c r="AS434"/>
  <c r="AS437"/>
  <c r="AS441"/>
  <c r="AS450"/>
  <c r="AS453"/>
  <c r="AS457"/>
  <c r="AS466"/>
  <c r="AS490"/>
  <c r="AT490" s="1"/>
  <c r="AS496"/>
  <c r="AS504"/>
  <c r="AS525"/>
  <c r="AS529"/>
  <c r="AS538"/>
  <c r="AS546"/>
  <c r="AS549"/>
  <c r="AS553"/>
  <c r="AS565"/>
  <c r="AT565" s="1"/>
  <c r="AS570"/>
  <c r="AT570" s="1"/>
  <c r="AS578"/>
  <c r="AS581"/>
  <c r="AS594"/>
  <c r="AS609"/>
  <c r="AT609" s="1"/>
  <c r="AS626"/>
  <c r="AS637"/>
  <c r="AT637" s="1"/>
  <c r="AS640"/>
  <c r="AS649"/>
  <c r="AS591"/>
  <c r="AT591" s="1"/>
  <c r="AS547"/>
  <c r="AS455"/>
  <c r="AS435"/>
  <c r="AS366"/>
  <c r="AS328"/>
  <c r="AS265"/>
  <c r="AS216"/>
  <c r="AS176"/>
  <c r="AS128"/>
  <c r="AS574"/>
  <c r="AS495"/>
  <c r="AT495" s="1"/>
  <c r="AS386"/>
  <c r="AT386" s="1"/>
  <c r="AS312"/>
  <c r="AS241"/>
  <c r="AT241" s="1"/>
  <c r="AS140"/>
  <c r="AS123"/>
  <c r="AT123" s="1"/>
  <c r="AS43"/>
  <c r="AS17"/>
  <c r="AT17" s="1"/>
  <c r="AS704"/>
  <c r="AT704" s="1"/>
  <c r="AS688"/>
  <c r="AS653"/>
  <c r="AT653" s="1"/>
  <c r="AS603"/>
  <c r="AS555"/>
  <c r="AS515"/>
  <c r="AT515" s="1"/>
  <c r="AS479"/>
  <c r="AT479" s="1"/>
  <c r="AS430"/>
  <c r="AT430" s="1"/>
  <c r="AS374"/>
  <c r="AS317"/>
  <c r="AS277"/>
  <c r="AS225"/>
  <c r="AS184"/>
  <c r="AT184" s="1"/>
  <c r="AS680"/>
  <c r="AT680" s="1"/>
  <c r="AS607"/>
  <c r="AT607" s="1"/>
  <c r="AS586"/>
  <c r="AS483"/>
  <c r="AS463"/>
  <c r="AT463" s="1"/>
  <c r="AS446"/>
  <c r="AT446" s="1"/>
  <c r="AS419"/>
  <c r="AS378"/>
  <c r="AT378" s="1"/>
  <c r="AS278"/>
  <c r="AT278" s="1"/>
  <c r="AS245"/>
  <c r="AT245" s="1"/>
  <c r="AS172"/>
  <c r="AS116"/>
  <c r="AS39"/>
  <c r="AT39" s="1"/>
  <c r="AS708"/>
  <c r="AS692"/>
  <c r="AS615"/>
  <c r="AT615" s="1"/>
  <c r="AS542"/>
  <c r="AS510"/>
  <c r="AT510" s="1"/>
  <c r="AS676"/>
  <c r="AS550"/>
  <c r="AS518"/>
  <c r="AS672"/>
  <c r="AS664"/>
  <c r="AT664" s="1"/>
  <c r="AS584"/>
  <c r="AS568"/>
  <c r="AS572"/>
  <c r="AS540"/>
  <c r="AT540" s="1"/>
  <c r="AS508"/>
  <c r="AS564"/>
  <c r="AT564" s="1"/>
  <c r="AS436"/>
  <c r="AS422"/>
  <c r="AT422" s="1"/>
  <c r="AS399"/>
  <c r="AT399" s="1"/>
  <c r="AS367"/>
  <c r="AS324"/>
  <c r="AS411"/>
  <c r="AT411" s="1"/>
  <c r="AS379"/>
  <c r="AT379" s="1"/>
  <c r="AS347"/>
  <c r="AS407"/>
  <c r="AS375"/>
  <c r="AT375" s="1"/>
  <c r="AS308"/>
  <c r="AS185"/>
  <c r="AT185" s="1"/>
  <c r="AS153"/>
  <c r="AS228"/>
  <c r="AS195"/>
  <c r="AS161"/>
  <c r="AT161" s="1"/>
  <c r="AS137"/>
  <c r="AS201"/>
  <c r="AS169"/>
  <c r="AS91"/>
  <c r="AT91" s="1"/>
  <c r="AS83"/>
  <c r="AS75"/>
  <c r="AT75" s="1"/>
  <c r="AS67"/>
  <c r="AS59"/>
  <c r="AT59" s="1"/>
  <c r="AS108"/>
  <c r="AT108" s="1"/>
  <c r="AS121"/>
  <c r="AS88"/>
  <c r="AS72"/>
  <c r="AS56"/>
  <c r="AS40"/>
  <c r="AS24"/>
  <c r="AT24" s="1"/>
  <c r="AS657"/>
  <c r="AS627"/>
  <c r="AS551"/>
  <c r="AS460"/>
  <c r="AT460" s="1"/>
  <c r="AS439"/>
  <c r="AS370"/>
  <c r="AS345"/>
  <c r="AS269"/>
  <c r="AT269" s="1"/>
  <c r="AS221"/>
  <c r="AT221" s="1"/>
  <c r="AS180"/>
  <c r="AS145"/>
  <c r="AS611"/>
  <c r="AS503"/>
  <c r="AS410"/>
  <c r="AT410" s="1"/>
  <c r="AS329"/>
  <c r="AS248"/>
  <c r="AS219"/>
  <c r="AT219" s="1"/>
  <c r="AS124"/>
  <c r="AS51"/>
  <c r="AT51" s="1"/>
  <c r="AS19"/>
  <c r="AT19" s="1"/>
  <c r="AS705"/>
  <c r="AT705" s="1"/>
  <c r="AS689"/>
  <c r="AS661"/>
  <c r="AS619"/>
  <c r="AT619" s="1"/>
  <c r="AS558"/>
  <c r="AS519"/>
  <c r="AT519" s="1"/>
  <c r="AS492"/>
  <c r="AT492" s="1"/>
  <c r="AS431"/>
  <c r="AS398"/>
  <c r="AS346"/>
  <c r="AS285"/>
  <c r="AS230"/>
  <c r="AS188"/>
  <c r="AT188" s="1"/>
  <c r="AS103"/>
  <c r="AT103" s="1"/>
  <c r="AS643"/>
  <c r="AT643" s="1"/>
  <c r="AS587"/>
  <c r="AT587" s="1"/>
  <c r="AS487"/>
  <c r="AS467"/>
  <c r="AT467" s="1"/>
  <c r="AS447"/>
  <c r="AS423"/>
  <c r="AS390"/>
  <c r="AT390" s="1"/>
  <c r="AS297"/>
  <c r="AS253"/>
  <c r="AS204"/>
  <c r="AS144"/>
  <c r="AS47"/>
  <c r="AT47" s="1"/>
  <c r="AS709"/>
  <c r="AS693"/>
  <c r="AS681"/>
  <c r="AT681" s="1"/>
  <c r="AS620"/>
  <c r="AS548"/>
  <c r="AS516"/>
  <c r="AS660"/>
  <c r="AS600"/>
  <c r="AS599"/>
  <c r="AS486"/>
  <c r="AS652"/>
  <c r="AS630"/>
  <c r="AS566"/>
  <c r="AT566" s="1"/>
  <c r="AS580"/>
  <c r="AS644"/>
  <c r="AS616"/>
  <c r="AS387"/>
  <c r="AT387" s="1"/>
  <c r="AS355"/>
  <c r="AS452"/>
  <c r="AS438"/>
  <c r="AS341"/>
  <c r="AS321"/>
  <c r="AS289"/>
  <c r="AS325"/>
  <c r="AS340"/>
  <c r="AS171"/>
  <c r="AT171" s="1"/>
  <c r="AS211"/>
  <c r="AS274"/>
  <c r="AS258"/>
  <c r="AS212"/>
  <c r="AT212" s="1"/>
  <c r="AS139"/>
  <c r="AT139" s="1"/>
  <c r="AS100"/>
  <c r="AT100" s="1"/>
  <c r="AS147"/>
  <c r="AT147" s="1"/>
  <c r="AS131"/>
  <c r="AT131" s="1"/>
  <c r="AS104"/>
  <c r="AT104" s="1"/>
  <c r="AS92"/>
  <c r="AS76"/>
  <c r="AT76" s="1"/>
  <c r="AS60"/>
  <c r="AS44"/>
  <c r="AT44" s="1"/>
  <c r="AS28"/>
  <c r="AT28" s="1"/>
  <c r="AS16"/>
  <c r="AT16" s="1"/>
  <c r="AS665"/>
  <c r="AT665" s="1"/>
  <c r="AS635"/>
  <c r="AT635" s="1"/>
  <c r="AS579"/>
  <c r="AS523"/>
  <c r="AS444"/>
  <c r="AS394"/>
  <c r="AS350"/>
  <c r="AS273"/>
  <c r="AS233"/>
  <c r="AT233" s="1"/>
  <c r="AS192"/>
  <c r="AS152"/>
  <c r="AS639"/>
  <c r="AS563"/>
  <c r="AT563" s="1"/>
  <c r="AS491"/>
  <c r="AT491" s="1"/>
  <c r="AS333"/>
  <c r="AS261"/>
  <c r="AS229"/>
  <c r="AS129"/>
  <c r="AS99"/>
  <c r="AS27"/>
  <c r="AT27" s="1"/>
  <c r="AS712"/>
  <c r="AS696"/>
  <c r="AS669"/>
  <c r="AS622"/>
  <c r="AT622" s="1"/>
  <c r="AS559"/>
  <c r="AS531"/>
  <c r="AS507"/>
  <c r="AT507" s="1"/>
  <c r="AS475"/>
  <c r="AS402"/>
  <c r="AS358"/>
  <c r="AT358" s="1"/>
  <c r="AS296"/>
  <c r="AS249"/>
  <c r="AS200"/>
  <c r="AT200" s="1"/>
  <c r="AS160"/>
  <c r="AS646"/>
  <c r="AS595"/>
  <c r="AS539"/>
  <c r="AT539" s="1"/>
  <c r="AS471"/>
  <c r="AS459"/>
  <c r="AS428"/>
  <c r="AS414"/>
  <c r="AS301"/>
  <c r="AT301" s="1"/>
  <c r="AS257"/>
  <c r="AS220"/>
  <c r="AS148"/>
  <c r="AS107"/>
  <c r="AS23"/>
  <c r="AS700"/>
  <c r="AS684"/>
  <c r="AS499"/>
  <c r="AT499" s="1"/>
  <c r="AS612"/>
  <c r="AS582"/>
  <c r="AT582" s="1"/>
  <c r="AS604"/>
  <c r="AS556"/>
  <c r="AT556" s="1"/>
  <c r="AS524"/>
  <c r="AS668"/>
  <c r="AS656"/>
  <c r="AS596"/>
  <c r="AS583"/>
  <c r="AS526"/>
  <c r="AS614"/>
  <c r="AS534"/>
  <c r="AS502"/>
  <c r="AS628"/>
  <c r="AS598"/>
  <c r="AS337"/>
  <c r="AS305"/>
  <c r="AS484"/>
  <c r="AT484" s="1"/>
  <c r="AS468"/>
  <c r="AS454"/>
  <c r="AS415"/>
  <c r="AS383"/>
  <c r="AT383" s="1"/>
  <c r="AS351"/>
  <c r="AT351" s="1"/>
  <c r="AS290"/>
  <c r="AS395"/>
  <c r="AS363"/>
  <c r="AS326"/>
  <c r="AS294"/>
  <c r="AS391"/>
  <c r="AS359"/>
  <c r="AT359" s="1"/>
  <c r="AS177"/>
  <c r="AS179"/>
  <c r="AS276"/>
  <c r="AT276" s="1"/>
  <c r="AS260"/>
  <c r="AT260" s="1"/>
  <c r="AS242"/>
  <c r="AS213"/>
  <c r="AS217"/>
  <c r="AS197"/>
  <c r="AT197" s="1"/>
  <c r="AS163"/>
  <c r="AT163" s="1"/>
  <c r="AS95"/>
  <c r="AS87"/>
  <c r="AT87" s="1"/>
  <c r="AS79"/>
  <c r="AT79" s="1"/>
  <c r="AS71"/>
  <c r="AT71" s="1"/>
  <c r="AS63"/>
  <c r="AS55"/>
  <c r="AS96"/>
  <c r="AT96" s="1"/>
  <c r="AS80"/>
  <c r="AS64"/>
  <c r="AT64" s="1"/>
  <c r="AS48"/>
  <c r="AT48" s="1"/>
  <c r="AS32"/>
  <c r="AT32" s="1"/>
  <c r="AS673"/>
  <c r="AS638"/>
  <c r="AS590"/>
  <c r="AS527"/>
  <c r="AS451"/>
  <c r="AS406"/>
  <c r="AS354"/>
  <c r="AS280"/>
  <c r="AS246"/>
  <c r="AT246" s="1"/>
  <c r="AS208"/>
  <c r="AS156"/>
  <c r="AS120"/>
  <c r="AS571"/>
  <c r="AS494"/>
  <c r="AS382"/>
  <c r="AT382" s="1"/>
  <c r="AS281"/>
  <c r="AS237"/>
  <c r="AT237" s="1"/>
  <c r="AS132"/>
  <c r="AT132" s="1"/>
  <c r="AS111"/>
  <c r="AS35"/>
  <c r="AT35" s="1"/>
  <c r="AS713"/>
  <c r="AS697"/>
  <c r="AS677"/>
  <c r="AS623"/>
  <c r="AS575"/>
  <c r="AS535"/>
  <c r="AS511"/>
  <c r="AS478"/>
  <c r="AS427"/>
  <c r="AS362"/>
  <c r="AS313"/>
  <c r="AS262"/>
  <c r="AS203"/>
  <c r="AS164"/>
  <c r="AS647"/>
  <c r="AS606"/>
  <c r="AS543"/>
  <c r="AS476"/>
  <c r="AT476" s="1"/>
  <c r="AS462"/>
  <c r="AT462" s="1"/>
  <c r="AS443"/>
  <c r="AT443" s="1"/>
  <c r="AS418"/>
  <c r="AT418" s="1"/>
  <c r="AS344"/>
  <c r="AT344" s="1"/>
  <c r="AS264"/>
  <c r="AS232"/>
  <c r="AS168"/>
  <c r="AS115"/>
  <c r="AT115" s="1"/>
  <c r="AS31"/>
  <c r="AS701"/>
  <c r="AS685"/>
  <c r="AS636"/>
  <c r="AS648"/>
  <c r="AS632"/>
  <c r="AT632" s="1"/>
  <c r="AS618"/>
  <c r="AS588"/>
  <c r="AS532"/>
  <c r="AT532" s="1"/>
  <c r="AS500"/>
  <c r="AT500" s="1"/>
  <c r="AS631"/>
  <c r="AS567"/>
  <c r="AS403"/>
  <c r="AT403" s="1"/>
  <c r="AS371"/>
  <c r="AS342"/>
  <c r="AS310"/>
  <c r="AT310" s="1"/>
  <c r="AS470"/>
  <c r="AS420"/>
  <c r="AS309"/>
  <c r="AS292"/>
  <c r="AS293"/>
  <c r="AT293" s="1"/>
  <c r="AS136"/>
  <c r="AT136" s="1"/>
  <c r="AS199"/>
  <c r="AT199" s="1"/>
  <c r="AS244"/>
  <c r="AT244" s="1"/>
  <c r="AS187"/>
  <c r="AS155"/>
  <c r="AT155" s="1"/>
  <c r="AS209"/>
  <c r="AT209" s="1"/>
  <c r="AS196"/>
  <c r="AS193"/>
  <c r="AS112"/>
  <c r="AS84"/>
  <c r="AS68"/>
  <c r="AT68" s="1"/>
  <c r="AS52"/>
  <c r="AS36"/>
  <c r="AS20"/>
  <c r="AT20" s="1"/>
  <c r="A13" i="8"/>
  <c r="I13" s="1"/>
  <c r="O12"/>
  <c r="O11"/>
  <c r="A615" i="5"/>
  <c r="AY625" i="4" s="1"/>
  <c r="AX625" s="1"/>
  <c r="B614" i="5"/>
  <c r="D614" s="1"/>
  <c r="AS13" i="4"/>
  <c r="F17" i="9"/>
  <c r="G17"/>
  <c r="H17"/>
  <c r="E18"/>
  <c r="E19"/>
  <c r="E20"/>
  <c r="E21"/>
  <c r="E22"/>
  <c r="E23"/>
  <c r="E24"/>
  <c r="E25"/>
  <c r="E26"/>
  <c r="E27"/>
  <c r="E28"/>
  <c r="E29"/>
  <c r="E17"/>
  <c r="M5" i="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4"/>
  <c r="H20" i="9"/>
  <c r="G21"/>
  <c r="G24"/>
  <c r="G25"/>
  <c r="G28"/>
  <c r="F20"/>
  <c r="F24"/>
  <c r="F28"/>
  <c r="O556" i="5" l="1"/>
  <c r="BD566" i="4" s="1"/>
  <c r="O552" i="5"/>
  <c r="BD562" i="4" s="1"/>
  <c r="O548" i="5"/>
  <c r="BD558" i="4" s="1"/>
  <c r="O544" i="5"/>
  <c r="BD554" i="4" s="1"/>
  <c r="O540" i="5"/>
  <c r="BD550" i="4" s="1"/>
  <c r="O536" i="5"/>
  <c r="BD546" i="4" s="1"/>
  <c r="O532" i="5"/>
  <c r="BD542" i="4" s="1"/>
  <c r="O528" i="5"/>
  <c r="BD538" i="4" s="1"/>
  <c r="O524" i="5"/>
  <c r="BD534" i="4" s="1"/>
  <c r="O520" i="5"/>
  <c r="BD530" i="4" s="1"/>
  <c r="O516" i="5"/>
  <c r="BD526" i="4" s="1"/>
  <c r="O512" i="5"/>
  <c r="BD522" i="4" s="1"/>
  <c r="O508" i="5"/>
  <c r="BD518" i="4" s="1"/>
  <c r="O504" i="5"/>
  <c r="BD514" i="4" s="1"/>
  <c r="O500" i="5"/>
  <c r="BD510" i="4" s="1"/>
  <c r="O496" i="5"/>
  <c r="BD506" i="4" s="1"/>
  <c r="O492" i="5"/>
  <c r="BD502" i="4" s="1"/>
  <c r="O488" i="5"/>
  <c r="BD498" i="4" s="1"/>
  <c r="O484" i="5"/>
  <c r="BD494" i="4" s="1"/>
  <c r="O480" i="5"/>
  <c r="BD490" i="4" s="1"/>
  <c r="O476" i="5"/>
  <c r="BD486" i="4" s="1"/>
  <c r="O472" i="5"/>
  <c r="BD482" i="4" s="1"/>
  <c r="O468" i="5"/>
  <c r="BD478" i="4" s="1"/>
  <c r="O464" i="5"/>
  <c r="BD474" i="4" s="1"/>
  <c r="O460" i="5"/>
  <c r="BD470" i="4" s="1"/>
  <c r="O456" i="5"/>
  <c r="BD466" i="4" s="1"/>
  <c r="O452" i="5"/>
  <c r="BD462" i="4" s="1"/>
  <c r="O448" i="5"/>
  <c r="BD458" i="4" s="1"/>
  <c r="O444" i="5"/>
  <c r="BD454" i="4" s="1"/>
  <c r="O440" i="5"/>
  <c r="BD450" i="4" s="1"/>
  <c r="O436" i="5"/>
  <c r="BD446" i="4" s="1"/>
  <c r="O432" i="5"/>
  <c r="BD442" i="4" s="1"/>
  <c r="O428" i="5"/>
  <c r="BD438" i="4" s="1"/>
  <c r="O424" i="5"/>
  <c r="BD434" i="4" s="1"/>
  <c r="O420" i="5"/>
  <c r="BD430" i="4" s="1"/>
  <c r="O416" i="5"/>
  <c r="BD426" i="4" s="1"/>
  <c r="O412" i="5"/>
  <c r="BD422" i="4" s="1"/>
  <c r="O408" i="5"/>
  <c r="BD418" i="4" s="1"/>
  <c r="O404" i="5"/>
  <c r="BD414" i="4" s="1"/>
  <c r="O400" i="5"/>
  <c r="BD410" i="4" s="1"/>
  <c r="O396" i="5"/>
  <c r="BD406" i="4" s="1"/>
  <c r="O392" i="5"/>
  <c r="BD402" i="4" s="1"/>
  <c r="O388" i="5"/>
  <c r="BD398" i="4" s="1"/>
  <c r="O384" i="5"/>
  <c r="BD394" i="4" s="1"/>
  <c r="O380" i="5"/>
  <c r="BD390" i="4" s="1"/>
  <c r="O376" i="5"/>
  <c r="BD386" i="4" s="1"/>
  <c r="O372" i="5"/>
  <c r="BD382" i="4" s="1"/>
  <c r="O368" i="5"/>
  <c r="BD378" i="4" s="1"/>
  <c r="O364" i="5"/>
  <c r="BD374" i="4" s="1"/>
  <c r="O360" i="5"/>
  <c r="BD370" i="4" s="1"/>
  <c r="O356" i="5"/>
  <c r="BD366" i="4" s="1"/>
  <c r="O352" i="5"/>
  <c r="BD362" i="4" s="1"/>
  <c r="O348" i="5"/>
  <c r="BD358" i="4" s="1"/>
  <c r="O344" i="5"/>
  <c r="BD354" i="4" s="1"/>
  <c r="O340" i="5"/>
  <c r="BD350" i="4" s="1"/>
  <c r="O336" i="5"/>
  <c r="BD346" i="4" s="1"/>
  <c r="O332" i="5"/>
  <c r="BD342" i="4" s="1"/>
  <c r="O328" i="5"/>
  <c r="BD338" i="4" s="1"/>
  <c r="O324" i="5"/>
  <c r="BD334" i="4" s="1"/>
  <c r="O320" i="5"/>
  <c r="BD330" i="4" s="1"/>
  <c r="O316" i="5"/>
  <c r="BD326" i="4" s="1"/>
  <c r="O312" i="5"/>
  <c r="BD322" i="4" s="1"/>
  <c r="O308" i="5"/>
  <c r="BD318" i="4" s="1"/>
  <c r="O304" i="5"/>
  <c r="BD314" i="4" s="1"/>
  <c r="O300" i="5"/>
  <c r="BD310" i="4" s="1"/>
  <c r="O296" i="5"/>
  <c r="BD306" i="4" s="1"/>
  <c r="O292" i="5"/>
  <c r="BD302" i="4" s="1"/>
  <c r="O288" i="5"/>
  <c r="BD298" i="4" s="1"/>
  <c r="O284" i="5"/>
  <c r="BD294" i="4" s="1"/>
  <c r="O280" i="5"/>
  <c r="BD290" i="4" s="1"/>
  <c r="O276" i="5"/>
  <c r="BD286" i="4" s="1"/>
  <c r="O272" i="5"/>
  <c r="BD282" i="4" s="1"/>
  <c r="O268" i="5"/>
  <c r="BD278" i="4" s="1"/>
  <c r="O264" i="5"/>
  <c r="BD274" i="4" s="1"/>
  <c r="O260" i="5"/>
  <c r="BD270" i="4" s="1"/>
  <c r="O256" i="5"/>
  <c r="BD266" i="4" s="1"/>
  <c r="O252" i="5"/>
  <c r="BD262" i="4" s="1"/>
  <c r="O248" i="5"/>
  <c r="BD258" i="4" s="1"/>
  <c r="O244" i="5"/>
  <c r="BD254" i="4" s="1"/>
  <c r="O240" i="5"/>
  <c r="BD250" i="4" s="1"/>
  <c r="O236" i="5"/>
  <c r="BD246" i="4" s="1"/>
  <c r="O232" i="5"/>
  <c r="BD242" i="4" s="1"/>
  <c r="O228" i="5"/>
  <c r="BD238" i="4" s="1"/>
  <c r="O224" i="5"/>
  <c r="BD234" i="4" s="1"/>
  <c r="O220" i="5"/>
  <c r="BD230" i="4" s="1"/>
  <c r="O216" i="5"/>
  <c r="BD226" i="4" s="1"/>
  <c r="O212" i="5"/>
  <c r="BD222" i="4" s="1"/>
  <c r="O208" i="5"/>
  <c r="BD218" i="4" s="1"/>
  <c r="O204" i="5"/>
  <c r="BD214" i="4" s="1"/>
  <c r="O200" i="5"/>
  <c r="BD210" i="4" s="1"/>
  <c r="O196" i="5"/>
  <c r="BD206" i="4" s="1"/>
  <c r="O192" i="5"/>
  <c r="BD202" i="4" s="1"/>
  <c r="O188" i="5"/>
  <c r="BD198" i="4" s="1"/>
  <c r="O184" i="5"/>
  <c r="BD194" i="4" s="1"/>
  <c r="O180" i="5"/>
  <c r="BD190" i="4" s="1"/>
  <c r="O176" i="5"/>
  <c r="BD186" i="4" s="1"/>
  <c r="O172" i="5"/>
  <c r="BD182" i="4" s="1"/>
  <c r="O168" i="5"/>
  <c r="BD178" i="4" s="1"/>
  <c r="O164" i="5"/>
  <c r="BD174" i="4" s="1"/>
  <c r="O160" i="5"/>
  <c r="BD170" i="4" s="1"/>
  <c r="O156" i="5"/>
  <c r="BD166" i="4" s="1"/>
  <c r="O152" i="5"/>
  <c r="BD162" i="4" s="1"/>
  <c r="O148" i="5"/>
  <c r="BD158" i="4" s="1"/>
  <c r="O144" i="5"/>
  <c r="BD154" i="4" s="1"/>
  <c r="O140" i="5"/>
  <c r="BD150" i="4" s="1"/>
  <c r="O136" i="5"/>
  <c r="BD146" i="4" s="1"/>
  <c r="O132" i="5"/>
  <c r="BD142" i="4" s="1"/>
  <c r="O128" i="5"/>
  <c r="BD138" i="4" s="1"/>
  <c r="O124" i="5"/>
  <c r="BD134" i="4" s="1"/>
  <c r="O120" i="5"/>
  <c r="BD130" i="4" s="1"/>
  <c r="O116" i="5"/>
  <c r="BD126" i="4" s="1"/>
  <c r="O112" i="5"/>
  <c r="BD122" i="4" s="1"/>
  <c r="O108" i="5"/>
  <c r="BD118" i="4" s="1"/>
  <c r="O104" i="5"/>
  <c r="BD114" i="4" s="1"/>
  <c r="O100" i="5"/>
  <c r="BD110" i="4" s="1"/>
  <c r="O96" i="5"/>
  <c r="BD106" i="4" s="1"/>
  <c r="O92" i="5"/>
  <c r="BD102" i="4" s="1"/>
  <c r="O88" i="5"/>
  <c r="BD98" i="4" s="1"/>
  <c r="O84" i="5"/>
  <c r="BD94" i="4" s="1"/>
  <c r="O80" i="5"/>
  <c r="BD90" i="4" s="1"/>
  <c r="O76" i="5"/>
  <c r="BD86" i="4" s="1"/>
  <c r="O72" i="5"/>
  <c r="BD82" i="4" s="1"/>
  <c r="O68" i="5"/>
  <c r="BD78" i="4" s="1"/>
  <c r="O29" i="5"/>
  <c r="BD39" i="4" s="1"/>
  <c r="O25" i="5"/>
  <c r="BD35" i="4" s="1"/>
  <c r="O21" i="5"/>
  <c r="BD31" i="4" s="1"/>
  <c r="O17" i="5"/>
  <c r="BD27" i="4" s="1"/>
  <c r="O13" i="5"/>
  <c r="BD23" i="4" s="1"/>
  <c r="O9" i="5"/>
  <c r="BD19" i="4" s="1"/>
  <c r="O5" i="5"/>
  <c r="B13" i="8"/>
  <c r="O13"/>
  <c r="A616" i="5"/>
  <c r="AY626" i="4" s="1"/>
  <c r="AX626" s="1"/>
  <c r="A14" i="8"/>
  <c r="I14" s="1"/>
  <c r="O4" i="5"/>
  <c r="BD14" i="4" s="1"/>
  <c r="O553" i="5"/>
  <c r="BD563" i="4" s="1"/>
  <c r="O549" i="5"/>
  <c r="BD559" i="4" s="1"/>
  <c r="O545" i="5"/>
  <c r="BD555" i="4" s="1"/>
  <c r="O541" i="5"/>
  <c r="BD551" i="4" s="1"/>
  <c r="O537" i="5"/>
  <c r="BD547" i="4" s="1"/>
  <c r="O533" i="5"/>
  <c r="BD543" i="4" s="1"/>
  <c r="O529" i="5"/>
  <c r="BD539" i="4" s="1"/>
  <c r="O525" i="5"/>
  <c r="BD535" i="4" s="1"/>
  <c r="O521" i="5"/>
  <c r="BD531" i="4" s="1"/>
  <c r="O517" i="5"/>
  <c r="BD527" i="4" s="1"/>
  <c r="O513" i="5"/>
  <c r="BD523" i="4" s="1"/>
  <c r="O509" i="5"/>
  <c r="BD519" i="4" s="1"/>
  <c r="O505" i="5"/>
  <c r="BD515" i="4" s="1"/>
  <c r="O501" i="5"/>
  <c r="BD511" i="4" s="1"/>
  <c r="O497" i="5"/>
  <c r="BD507" i="4" s="1"/>
  <c r="O493" i="5"/>
  <c r="BD503" i="4" s="1"/>
  <c r="O489" i="5"/>
  <c r="BD499" i="4" s="1"/>
  <c r="O485" i="5"/>
  <c r="BD495" i="4" s="1"/>
  <c r="O481" i="5"/>
  <c r="BD491" i="4" s="1"/>
  <c r="O477" i="5"/>
  <c r="BD487" i="4" s="1"/>
  <c r="O473" i="5"/>
  <c r="BD483" i="4" s="1"/>
  <c r="O469" i="5"/>
  <c r="BD479" i="4" s="1"/>
  <c r="O465" i="5"/>
  <c r="BD475" i="4" s="1"/>
  <c r="O461" i="5"/>
  <c r="BD471" i="4" s="1"/>
  <c r="O457" i="5"/>
  <c r="BD467" i="4" s="1"/>
  <c r="O453" i="5"/>
  <c r="BD463" i="4" s="1"/>
  <c r="O449" i="5"/>
  <c r="BD459" i="4" s="1"/>
  <c r="O445" i="5"/>
  <c r="BD455" i="4" s="1"/>
  <c r="O441" i="5"/>
  <c r="BD451" i="4" s="1"/>
  <c r="O437" i="5"/>
  <c r="BD447" i="4" s="1"/>
  <c r="O433" i="5"/>
  <c r="BD443" i="4" s="1"/>
  <c r="O429" i="5"/>
  <c r="BD439" i="4" s="1"/>
  <c r="O425" i="5"/>
  <c r="BD435" i="4" s="1"/>
  <c r="O421" i="5"/>
  <c r="BD431" i="4" s="1"/>
  <c r="O417" i="5"/>
  <c r="BD427" i="4" s="1"/>
  <c r="O413" i="5"/>
  <c r="BD423" i="4" s="1"/>
  <c r="O409" i="5"/>
  <c r="BD419" i="4" s="1"/>
  <c r="O405" i="5"/>
  <c r="BD415" i="4" s="1"/>
  <c r="O401" i="5"/>
  <c r="BD411" i="4" s="1"/>
  <c r="O397" i="5"/>
  <c r="BD407" i="4" s="1"/>
  <c r="O393" i="5"/>
  <c r="BD403" i="4" s="1"/>
  <c r="O389" i="5"/>
  <c r="BD399" i="4" s="1"/>
  <c r="O385" i="5"/>
  <c r="BD395" i="4" s="1"/>
  <c r="O381" i="5"/>
  <c r="BD391" i="4" s="1"/>
  <c r="O377" i="5"/>
  <c r="BD387" i="4" s="1"/>
  <c r="O373" i="5"/>
  <c r="BD383" i="4" s="1"/>
  <c r="O369" i="5"/>
  <c r="BD379" i="4" s="1"/>
  <c r="O365" i="5"/>
  <c r="BD375" i="4" s="1"/>
  <c r="O361" i="5"/>
  <c r="BD371" i="4" s="1"/>
  <c r="O357" i="5"/>
  <c r="BD367" i="4" s="1"/>
  <c r="O353" i="5"/>
  <c r="BD363" i="4" s="1"/>
  <c r="O349" i="5"/>
  <c r="BD359" i="4" s="1"/>
  <c r="O345" i="5"/>
  <c r="BD355" i="4" s="1"/>
  <c r="O341" i="5"/>
  <c r="BD351" i="4" s="1"/>
  <c r="O337" i="5"/>
  <c r="BD347" i="4" s="1"/>
  <c r="O333" i="5"/>
  <c r="BD343" i="4" s="1"/>
  <c r="O329" i="5"/>
  <c r="BD339" i="4" s="1"/>
  <c r="O325" i="5"/>
  <c r="BD335" i="4" s="1"/>
  <c r="O321" i="5"/>
  <c r="BD331" i="4" s="1"/>
  <c r="O317" i="5"/>
  <c r="BD327" i="4" s="1"/>
  <c r="O313" i="5"/>
  <c r="BD323" i="4" s="1"/>
  <c r="O309" i="5"/>
  <c r="BD319" i="4" s="1"/>
  <c r="O305" i="5"/>
  <c r="BD315" i="4" s="1"/>
  <c r="O301" i="5"/>
  <c r="BD311" i="4" s="1"/>
  <c r="O297" i="5"/>
  <c r="BD307" i="4" s="1"/>
  <c r="O293" i="5"/>
  <c r="BD303" i="4" s="1"/>
  <c r="O289" i="5"/>
  <c r="BD299" i="4" s="1"/>
  <c r="O285" i="5"/>
  <c r="BD295" i="4" s="1"/>
  <c r="O281" i="5"/>
  <c r="BD291" i="4" s="1"/>
  <c r="O277" i="5"/>
  <c r="BD287" i="4" s="1"/>
  <c r="O273" i="5"/>
  <c r="BD283" i="4" s="1"/>
  <c r="O269" i="5"/>
  <c r="BD279" i="4" s="1"/>
  <c r="O265" i="5"/>
  <c r="BD275" i="4" s="1"/>
  <c r="O261" i="5"/>
  <c r="BD271" i="4" s="1"/>
  <c r="O257" i="5"/>
  <c r="BD267" i="4" s="1"/>
  <c r="O253" i="5"/>
  <c r="BD263" i="4" s="1"/>
  <c r="O249" i="5"/>
  <c r="BD259" i="4" s="1"/>
  <c r="O245" i="5"/>
  <c r="BD255" i="4" s="1"/>
  <c r="O241" i="5"/>
  <c r="BD251" i="4" s="1"/>
  <c r="O237" i="5"/>
  <c r="BD247" i="4" s="1"/>
  <c r="O233" i="5"/>
  <c r="BD243" i="4" s="1"/>
  <c r="O229" i="5"/>
  <c r="BD239" i="4" s="1"/>
  <c r="O225" i="5"/>
  <c r="BD235" i="4" s="1"/>
  <c r="O221" i="5"/>
  <c r="BD231" i="4" s="1"/>
  <c r="O217" i="5"/>
  <c r="BD227" i="4" s="1"/>
  <c r="O213" i="5"/>
  <c r="BD223" i="4" s="1"/>
  <c r="O209" i="5"/>
  <c r="BD219" i="4" s="1"/>
  <c r="O205" i="5"/>
  <c r="BD215" i="4" s="1"/>
  <c r="O201" i="5"/>
  <c r="BD211" i="4" s="1"/>
  <c r="O197" i="5"/>
  <c r="BD207" i="4" s="1"/>
  <c r="O193" i="5"/>
  <c r="BD203" i="4" s="1"/>
  <c r="O189" i="5"/>
  <c r="BD199" i="4" s="1"/>
  <c r="O185" i="5"/>
  <c r="BD195" i="4" s="1"/>
  <c r="O181" i="5"/>
  <c r="BD191" i="4" s="1"/>
  <c r="O177" i="5"/>
  <c r="BD187" i="4" s="1"/>
  <c r="O173" i="5"/>
  <c r="BD183" i="4" s="1"/>
  <c r="O169" i="5"/>
  <c r="BD179" i="4" s="1"/>
  <c r="O165" i="5"/>
  <c r="BD175" i="4" s="1"/>
  <c r="O161" i="5"/>
  <c r="BD171" i="4" s="1"/>
  <c r="O157" i="5"/>
  <c r="BD167" i="4" s="1"/>
  <c r="O153" i="5"/>
  <c r="BD163" i="4" s="1"/>
  <c r="O149" i="5"/>
  <c r="BD159" i="4" s="1"/>
  <c r="O145" i="5"/>
  <c r="BD155" i="4" s="1"/>
  <c r="O141" i="5"/>
  <c r="BD151" i="4" s="1"/>
  <c r="O137" i="5"/>
  <c r="BD147" i="4" s="1"/>
  <c r="O133" i="5"/>
  <c r="BD143" i="4" s="1"/>
  <c r="O129" i="5"/>
  <c r="BD139" i="4" s="1"/>
  <c r="O125" i="5"/>
  <c r="BD135" i="4" s="1"/>
  <c r="O121" i="5"/>
  <c r="BD131" i="4" s="1"/>
  <c r="O117" i="5"/>
  <c r="BD127" i="4" s="1"/>
  <c r="O113" i="5"/>
  <c r="BD123" i="4" s="1"/>
  <c r="O109" i="5"/>
  <c r="BD119" i="4" s="1"/>
  <c r="O105" i="5"/>
  <c r="BD115" i="4" s="1"/>
  <c r="O101" i="5"/>
  <c r="BD111" i="4" s="1"/>
  <c r="O97" i="5"/>
  <c r="BD107" i="4" s="1"/>
  <c r="O93" i="5"/>
  <c r="BD103" i="4" s="1"/>
  <c r="O89" i="5"/>
  <c r="BD99" i="4" s="1"/>
  <c r="O85" i="5"/>
  <c r="BD95" i="4" s="1"/>
  <c r="O81" i="5"/>
  <c r="BD91" i="4" s="1"/>
  <c r="O77" i="5"/>
  <c r="BD87" i="4" s="1"/>
  <c r="O73" i="5"/>
  <c r="BD83" i="4" s="1"/>
  <c r="O69" i="5"/>
  <c r="BD79" i="4" s="1"/>
  <c r="O30" i="5"/>
  <c r="BD40" i="4" s="1"/>
  <c r="O26" i="5"/>
  <c r="BD36" i="4" s="1"/>
  <c r="O22" i="5"/>
  <c r="BD32" i="4" s="1"/>
  <c r="O18" i="5"/>
  <c r="BD28" i="4" s="1"/>
  <c r="O14" i="5"/>
  <c r="BD24" i="4" s="1"/>
  <c r="O10" i="5"/>
  <c r="BD20" i="4" s="1"/>
  <c r="O6" i="5"/>
  <c r="BD16" i="4" s="1"/>
  <c r="B615" i="5"/>
  <c r="D615" s="1"/>
  <c r="O554"/>
  <c r="BD564" i="4" s="1"/>
  <c r="O550" i="5"/>
  <c r="BD560" i="4" s="1"/>
  <c r="O546" i="5"/>
  <c r="BD556" i="4" s="1"/>
  <c r="O542" i="5"/>
  <c r="BD552" i="4" s="1"/>
  <c r="O538" i="5"/>
  <c r="BD548" i="4" s="1"/>
  <c r="O534" i="5"/>
  <c r="BD544" i="4" s="1"/>
  <c r="O530" i="5"/>
  <c r="BD540" i="4" s="1"/>
  <c r="O526" i="5"/>
  <c r="BD536" i="4" s="1"/>
  <c r="O522" i="5"/>
  <c r="BD532" i="4" s="1"/>
  <c r="O518" i="5"/>
  <c r="BD528" i="4" s="1"/>
  <c r="O514" i="5"/>
  <c r="BD524" i="4" s="1"/>
  <c r="O510" i="5"/>
  <c r="BD520" i="4" s="1"/>
  <c r="O506" i="5"/>
  <c r="BD516" i="4" s="1"/>
  <c r="O502" i="5"/>
  <c r="BD512" i="4" s="1"/>
  <c r="O498" i="5"/>
  <c r="BD508" i="4" s="1"/>
  <c r="O494" i="5"/>
  <c r="BD504" i="4" s="1"/>
  <c r="O490" i="5"/>
  <c r="BD500" i="4" s="1"/>
  <c r="O486" i="5"/>
  <c r="BD496" i="4" s="1"/>
  <c r="O482" i="5"/>
  <c r="BD492" i="4" s="1"/>
  <c r="O478" i="5"/>
  <c r="BD488" i="4" s="1"/>
  <c r="O474" i="5"/>
  <c r="BD484" i="4" s="1"/>
  <c r="O470" i="5"/>
  <c r="BD480" i="4" s="1"/>
  <c r="O466" i="5"/>
  <c r="BD476" i="4" s="1"/>
  <c r="O462" i="5"/>
  <c r="BD472" i="4" s="1"/>
  <c r="O458" i="5"/>
  <c r="BD468" i="4" s="1"/>
  <c r="O454" i="5"/>
  <c r="BD464" i="4" s="1"/>
  <c r="O450" i="5"/>
  <c r="BD460" i="4" s="1"/>
  <c r="O446" i="5"/>
  <c r="BD456" i="4" s="1"/>
  <c r="O442" i="5"/>
  <c r="BD452" i="4" s="1"/>
  <c r="O438" i="5"/>
  <c r="BD448" i="4" s="1"/>
  <c r="O434" i="5"/>
  <c r="BD444" i="4" s="1"/>
  <c r="O430" i="5"/>
  <c r="BD440" i="4" s="1"/>
  <c r="O426" i="5"/>
  <c r="BD436" i="4" s="1"/>
  <c r="O422" i="5"/>
  <c r="BD432" i="4" s="1"/>
  <c r="O418" i="5"/>
  <c r="BD428" i="4" s="1"/>
  <c r="O414" i="5"/>
  <c r="BD424" i="4" s="1"/>
  <c r="O410" i="5"/>
  <c r="BD420" i="4" s="1"/>
  <c r="O406" i="5"/>
  <c r="BD416" i="4" s="1"/>
  <c r="O402" i="5"/>
  <c r="BD412" i="4" s="1"/>
  <c r="O398" i="5"/>
  <c r="BD408" i="4" s="1"/>
  <c r="O394" i="5"/>
  <c r="BD404" i="4" s="1"/>
  <c r="O390" i="5"/>
  <c r="BD400" i="4" s="1"/>
  <c r="O386" i="5"/>
  <c r="BD396" i="4" s="1"/>
  <c r="O382" i="5"/>
  <c r="BD392" i="4" s="1"/>
  <c r="O378" i="5"/>
  <c r="BD388" i="4" s="1"/>
  <c r="O374" i="5"/>
  <c r="BD384" i="4" s="1"/>
  <c r="O370" i="5"/>
  <c r="BD380" i="4" s="1"/>
  <c r="O366" i="5"/>
  <c r="BD376" i="4" s="1"/>
  <c r="O362" i="5"/>
  <c r="BD372" i="4" s="1"/>
  <c r="O358" i="5"/>
  <c r="BD368" i="4" s="1"/>
  <c r="O354" i="5"/>
  <c r="BD364" i="4" s="1"/>
  <c r="O350" i="5"/>
  <c r="BD360" i="4" s="1"/>
  <c r="O346" i="5"/>
  <c r="BD356" i="4" s="1"/>
  <c r="O342" i="5"/>
  <c r="BD352" i="4" s="1"/>
  <c r="O338" i="5"/>
  <c r="BD348" i="4" s="1"/>
  <c r="O334" i="5"/>
  <c r="BD344" i="4" s="1"/>
  <c r="O330" i="5"/>
  <c r="BD340" i="4" s="1"/>
  <c r="O326" i="5"/>
  <c r="BD336" i="4" s="1"/>
  <c r="O322" i="5"/>
  <c r="BD332" i="4" s="1"/>
  <c r="O318" i="5"/>
  <c r="BD328" i="4" s="1"/>
  <c r="O314" i="5"/>
  <c r="BD324" i="4" s="1"/>
  <c r="O310" i="5"/>
  <c r="BD320" i="4" s="1"/>
  <c r="O306" i="5"/>
  <c r="BD316" i="4" s="1"/>
  <c r="O302" i="5"/>
  <c r="BD312" i="4" s="1"/>
  <c r="O298" i="5"/>
  <c r="BD308" i="4" s="1"/>
  <c r="O294" i="5"/>
  <c r="BD304" i="4" s="1"/>
  <c r="O290" i="5"/>
  <c r="BD300" i="4" s="1"/>
  <c r="O286" i="5"/>
  <c r="BD296" i="4" s="1"/>
  <c r="O282" i="5"/>
  <c r="BD292" i="4" s="1"/>
  <c r="O278" i="5"/>
  <c r="BD288" i="4" s="1"/>
  <c r="O274" i="5"/>
  <c r="BD284" i="4" s="1"/>
  <c r="O270" i="5"/>
  <c r="BD280" i="4" s="1"/>
  <c r="O266" i="5"/>
  <c r="BD276" i="4" s="1"/>
  <c r="O262" i="5"/>
  <c r="BD272" i="4" s="1"/>
  <c r="O258" i="5"/>
  <c r="BD268" i="4" s="1"/>
  <c r="O254" i="5"/>
  <c r="BD264" i="4" s="1"/>
  <c r="O250" i="5"/>
  <c r="BD260" i="4" s="1"/>
  <c r="O246" i="5"/>
  <c r="BD256" i="4" s="1"/>
  <c r="O242" i="5"/>
  <c r="BD252" i="4" s="1"/>
  <c r="O238" i="5"/>
  <c r="BD248" i="4" s="1"/>
  <c r="O234" i="5"/>
  <c r="BD244" i="4" s="1"/>
  <c r="O230" i="5"/>
  <c r="BD240" i="4" s="1"/>
  <c r="O226" i="5"/>
  <c r="BD236" i="4" s="1"/>
  <c r="O222" i="5"/>
  <c r="BD232" i="4" s="1"/>
  <c r="O218" i="5"/>
  <c r="BD228" i="4" s="1"/>
  <c r="O214" i="5"/>
  <c r="BD224" i="4" s="1"/>
  <c r="O210" i="5"/>
  <c r="BD220" i="4" s="1"/>
  <c r="O206" i="5"/>
  <c r="BD216" i="4" s="1"/>
  <c r="O202" i="5"/>
  <c r="BD212" i="4" s="1"/>
  <c r="O198" i="5"/>
  <c r="BD208" i="4" s="1"/>
  <c r="O194" i="5"/>
  <c r="BD204" i="4" s="1"/>
  <c r="O190" i="5"/>
  <c r="BD200" i="4" s="1"/>
  <c r="O186" i="5"/>
  <c r="BD196" i="4" s="1"/>
  <c r="O182" i="5"/>
  <c r="BD192" i="4" s="1"/>
  <c r="O178" i="5"/>
  <c r="BD188" i="4" s="1"/>
  <c r="O174" i="5"/>
  <c r="BD184" i="4" s="1"/>
  <c r="O170" i="5"/>
  <c r="BD180" i="4" s="1"/>
  <c r="O166" i="5"/>
  <c r="BD176" i="4" s="1"/>
  <c r="O162" i="5"/>
  <c r="BD172" i="4" s="1"/>
  <c r="O158" i="5"/>
  <c r="BD168" i="4" s="1"/>
  <c r="O154" i="5"/>
  <c r="BD164" i="4" s="1"/>
  <c r="O150" i="5"/>
  <c r="BD160" i="4" s="1"/>
  <c r="O146" i="5"/>
  <c r="BD156" i="4" s="1"/>
  <c r="O142" i="5"/>
  <c r="BD152" i="4" s="1"/>
  <c r="O138" i="5"/>
  <c r="BD148" i="4" s="1"/>
  <c r="O134" i="5"/>
  <c r="BD144" i="4" s="1"/>
  <c r="O130" i="5"/>
  <c r="BD140" i="4" s="1"/>
  <c r="O126" i="5"/>
  <c r="BD136" i="4" s="1"/>
  <c r="O122" i="5"/>
  <c r="BD132" i="4" s="1"/>
  <c r="O118" i="5"/>
  <c r="BD128" i="4" s="1"/>
  <c r="O114" i="5"/>
  <c r="BD124" i="4" s="1"/>
  <c r="O110" i="5"/>
  <c r="BD120" i="4" s="1"/>
  <c r="O106" i="5"/>
  <c r="BD116" i="4" s="1"/>
  <c r="O102" i="5"/>
  <c r="BD112" i="4" s="1"/>
  <c r="O98" i="5"/>
  <c r="BD108" i="4" s="1"/>
  <c r="O94" i="5"/>
  <c r="BD104" i="4" s="1"/>
  <c r="O90" i="5"/>
  <c r="BD100" i="4" s="1"/>
  <c r="O86" i="5"/>
  <c r="BD96" i="4" s="1"/>
  <c r="O82" i="5"/>
  <c r="BD92" i="4" s="1"/>
  <c r="O78" i="5"/>
  <c r="BD88" i="4" s="1"/>
  <c r="O74" i="5"/>
  <c r="BD84" i="4" s="1"/>
  <c r="O70" i="5"/>
  <c r="BD80" i="4" s="1"/>
  <c r="O555" i="5"/>
  <c r="BD565" i="4" s="1"/>
  <c r="O551" i="5"/>
  <c r="BD561" i="4" s="1"/>
  <c r="O547" i="5"/>
  <c r="BD557" i="4" s="1"/>
  <c r="O543" i="5"/>
  <c r="BD553" i="4" s="1"/>
  <c r="O539" i="5"/>
  <c r="BD549" i="4" s="1"/>
  <c r="O535" i="5"/>
  <c r="BD545" i="4" s="1"/>
  <c r="O531" i="5"/>
  <c r="BD541" i="4" s="1"/>
  <c r="O527" i="5"/>
  <c r="BD537" i="4" s="1"/>
  <c r="O523" i="5"/>
  <c r="BD533" i="4" s="1"/>
  <c r="O519" i="5"/>
  <c r="BD529" i="4" s="1"/>
  <c r="O515" i="5"/>
  <c r="BD525" i="4" s="1"/>
  <c r="O511" i="5"/>
  <c r="BD521" i="4" s="1"/>
  <c r="O507" i="5"/>
  <c r="BD517" i="4" s="1"/>
  <c r="O503" i="5"/>
  <c r="BD513" i="4" s="1"/>
  <c r="O499" i="5"/>
  <c r="BD509" i="4" s="1"/>
  <c r="O495" i="5"/>
  <c r="BD505" i="4" s="1"/>
  <c r="O491" i="5"/>
  <c r="BD501" i="4" s="1"/>
  <c r="O487" i="5"/>
  <c r="BD497" i="4" s="1"/>
  <c r="O483" i="5"/>
  <c r="BD493" i="4" s="1"/>
  <c r="O479" i="5"/>
  <c r="BD489" i="4" s="1"/>
  <c r="O475" i="5"/>
  <c r="BD485" i="4" s="1"/>
  <c r="O471" i="5"/>
  <c r="BD481" i="4" s="1"/>
  <c r="O467" i="5"/>
  <c r="BD477" i="4" s="1"/>
  <c r="O463" i="5"/>
  <c r="BD473" i="4" s="1"/>
  <c r="O459" i="5"/>
  <c r="BD469" i="4" s="1"/>
  <c r="O455" i="5"/>
  <c r="BD465" i="4" s="1"/>
  <c r="O451" i="5"/>
  <c r="BD461" i="4" s="1"/>
  <c r="O447" i="5"/>
  <c r="BD457" i="4" s="1"/>
  <c r="O443" i="5"/>
  <c r="BD453" i="4" s="1"/>
  <c r="O439" i="5"/>
  <c r="BD449" i="4" s="1"/>
  <c r="O435" i="5"/>
  <c r="BD445" i="4" s="1"/>
  <c r="O431" i="5"/>
  <c r="BD441" i="4" s="1"/>
  <c r="O427" i="5"/>
  <c r="BD437" i="4" s="1"/>
  <c r="O423" i="5"/>
  <c r="BD433" i="4" s="1"/>
  <c r="O419" i="5"/>
  <c r="BD429" i="4" s="1"/>
  <c r="O415" i="5"/>
  <c r="BD425" i="4" s="1"/>
  <c r="O411" i="5"/>
  <c r="BD421" i="4" s="1"/>
  <c r="O407" i="5"/>
  <c r="BD417" i="4" s="1"/>
  <c r="O403" i="5"/>
  <c r="BD413" i="4" s="1"/>
  <c r="O399" i="5"/>
  <c r="BD409" i="4" s="1"/>
  <c r="O395" i="5"/>
  <c r="BD405" i="4" s="1"/>
  <c r="O391" i="5"/>
  <c r="BD401" i="4" s="1"/>
  <c r="O387" i="5"/>
  <c r="BD397" i="4" s="1"/>
  <c r="O383" i="5"/>
  <c r="BD393" i="4" s="1"/>
  <c r="O379" i="5"/>
  <c r="BD389" i="4" s="1"/>
  <c r="O375" i="5"/>
  <c r="BD385" i="4" s="1"/>
  <c r="O371" i="5"/>
  <c r="BD381" i="4" s="1"/>
  <c r="O367" i="5"/>
  <c r="BD377" i="4" s="1"/>
  <c r="O363" i="5"/>
  <c r="BD373" i="4" s="1"/>
  <c r="O359" i="5"/>
  <c r="BD369" i="4" s="1"/>
  <c r="O355" i="5"/>
  <c r="BD365" i="4" s="1"/>
  <c r="O351" i="5"/>
  <c r="BD361" i="4" s="1"/>
  <c r="O347" i="5"/>
  <c r="BD357" i="4" s="1"/>
  <c r="O343" i="5"/>
  <c r="BD353" i="4" s="1"/>
  <c r="O339" i="5"/>
  <c r="BD349" i="4" s="1"/>
  <c r="O335" i="5"/>
  <c r="BD345" i="4" s="1"/>
  <c r="O331" i="5"/>
  <c r="BD341" i="4" s="1"/>
  <c r="O327" i="5"/>
  <c r="BD337" i="4" s="1"/>
  <c r="O323" i="5"/>
  <c r="BD333" i="4" s="1"/>
  <c r="O319" i="5"/>
  <c r="BD329" i="4" s="1"/>
  <c r="O315" i="5"/>
  <c r="BD325" i="4" s="1"/>
  <c r="O311" i="5"/>
  <c r="BD321" i="4" s="1"/>
  <c r="O307" i="5"/>
  <c r="BD317" i="4" s="1"/>
  <c r="O303" i="5"/>
  <c r="BD313" i="4" s="1"/>
  <c r="O299" i="5"/>
  <c r="BD309" i="4" s="1"/>
  <c r="O295" i="5"/>
  <c r="BD305" i="4" s="1"/>
  <c r="O291" i="5"/>
  <c r="BD301" i="4" s="1"/>
  <c r="O287" i="5"/>
  <c r="BD297" i="4" s="1"/>
  <c r="O283" i="5"/>
  <c r="BD293" i="4" s="1"/>
  <c r="O279" i="5"/>
  <c r="BD289" i="4" s="1"/>
  <c r="O275" i="5"/>
  <c r="BD285" i="4" s="1"/>
  <c r="O271" i="5"/>
  <c r="BD281" i="4" s="1"/>
  <c r="O267" i="5"/>
  <c r="BD277" i="4" s="1"/>
  <c r="O263" i="5"/>
  <c r="BD273" i="4" s="1"/>
  <c r="O259" i="5"/>
  <c r="BD269" i="4" s="1"/>
  <c r="O255" i="5"/>
  <c r="BD265" i="4" s="1"/>
  <c r="O251" i="5"/>
  <c r="BD261" i="4" s="1"/>
  <c r="O247" i="5"/>
  <c r="BD257" i="4" s="1"/>
  <c r="O243" i="5"/>
  <c r="BD253" i="4" s="1"/>
  <c r="O239" i="5"/>
  <c r="BD249" i="4" s="1"/>
  <c r="O235" i="5"/>
  <c r="BD245" i="4" s="1"/>
  <c r="O231" i="5"/>
  <c r="BD241" i="4" s="1"/>
  <c r="O227" i="5"/>
  <c r="BD237" i="4" s="1"/>
  <c r="O223" i="5"/>
  <c r="BD233" i="4" s="1"/>
  <c r="O219" i="5"/>
  <c r="BD229" i="4" s="1"/>
  <c r="O215" i="5"/>
  <c r="BD225" i="4" s="1"/>
  <c r="O211" i="5"/>
  <c r="BD221" i="4" s="1"/>
  <c r="O207" i="5"/>
  <c r="BD217" i="4" s="1"/>
  <c r="O203" i="5"/>
  <c r="BD213" i="4" s="1"/>
  <c r="O199" i="5"/>
  <c r="BD209" i="4" s="1"/>
  <c r="O195" i="5"/>
  <c r="BD205" i="4" s="1"/>
  <c r="O191" i="5"/>
  <c r="BD201" i="4" s="1"/>
  <c r="O187" i="5"/>
  <c r="BD197" i="4" s="1"/>
  <c r="O183" i="5"/>
  <c r="BD193" i="4" s="1"/>
  <c r="O179" i="5"/>
  <c r="BD189" i="4" s="1"/>
  <c r="O175" i="5"/>
  <c r="BD185" i="4" s="1"/>
  <c r="O171" i="5"/>
  <c r="BD181" i="4" s="1"/>
  <c r="O167" i="5"/>
  <c r="BD177" i="4" s="1"/>
  <c r="O163" i="5"/>
  <c r="BD173" i="4" s="1"/>
  <c r="O159" i="5"/>
  <c r="BD169" i="4" s="1"/>
  <c r="O155" i="5"/>
  <c r="BD165" i="4" s="1"/>
  <c r="O151" i="5"/>
  <c r="BD161" i="4" s="1"/>
  <c r="O147" i="5"/>
  <c r="BD157" i="4" s="1"/>
  <c r="O143" i="5"/>
  <c r="BD153" i="4" s="1"/>
  <c r="O139" i="5"/>
  <c r="BD149" i="4" s="1"/>
  <c r="O135" i="5"/>
  <c r="BD145" i="4" s="1"/>
  <c r="O131" i="5"/>
  <c r="BD141" i="4" s="1"/>
  <c r="O127" i="5"/>
  <c r="BD137" i="4" s="1"/>
  <c r="O123" i="5"/>
  <c r="BD133" i="4" s="1"/>
  <c r="O119" i="5"/>
  <c r="BD129" i="4" s="1"/>
  <c r="O115" i="5"/>
  <c r="BD125" i="4" s="1"/>
  <c r="O111" i="5"/>
  <c r="BD121" i="4" s="1"/>
  <c r="O107" i="5"/>
  <c r="BD117" i="4" s="1"/>
  <c r="O103" i="5"/>
  <c r="BD113" i="4" s="1"/>
  <c r="O99" i="5"/>
  <c r="BD109" i="4" s="1"/>
  <c r="O95" i="5"/>
  <c r="BD105" i="4" s="1"/>
  <c r="O91" i="5"/>
  <c r="BD101" i="4" s="1"/>
  <c r="O87" i="5"/>
  <c r="BD97" i="4" s="1"/>
  <c r="O83" i="5"/>
  <c r="BD93" i="4" s="1"/>
  <c r="O79" i="5"/>
  <c r="BD89" i="4" s="1"/>
  <c r="O75" i="5"/>
  <c r="BD85" i="4" s="1"/>
  <c r="O71" i="5"/>
  <c r="BD81" i="4" s="1"/>
  <c r="O67" i="5"/>
  <c r="BD77" i="4" s="1"/>
  <c r="O28" i="5"/>
  <c r="BD38" i="4" s="1"/>
  <c r="O24" i="5"/>
  <c r="BD34" i="4" s="1"/>
  <c r="O20" i="5"/>
  <c r="BD30" i="4" s="1"/>
  <c r="O16" i="5"/>
  <c r="BD26" i="4" s="1"/>
  <c r="O12" i="5"/>
  <c r="BD22" i="4" s="1"/>
  <c r="O8" i="5"/>
  <c r="BD18" i="4" s="1"/>
  <c r="O31" i="5"/>
  <c r="BD41" i="4" s="1"/>
  <c r="O27" i="5"/>
  <c r="BD37" i="4" s="1"/>
  <c r="O23" i="5"/>
  <c r="BD33" i="4" s="1"/>
  <c r="O19" i="5"/>
  <c r="BD29" i="4" s="1"/>
  <c r="O15" i="5"/>
  <c r="BD25" i="4" s="1"/>
  <c r="O11" i="5"/>
  <c r="BD21" i="4" s="1"/>
  <c r="O7" i="5"/>
  <c r="BD17" i="4" s="1"/>
  <c r="F21" i="9"/>
  <c r="G20"/>
  <c r="F29"/>
  <c r="G18"/>
  <c r="F27"/>
  <c r="F23"/>
  <c r="F19"/>
  <c r="G27"/>
  <c r="G23"/>
  <c r="G19"/>
  <c r="H19"/>
  <c r="F25"/>
  <c r="G29"/>
  <c r="F26"/>
  <c r="F22"/>
  <c r="H18"/>
  <c r="G26"/>
  <c r="G22"/>
  <c r="H21"/>
  <c r="H22"/>
  <c r="BD15" i="4"/>
  <c r="B14" i="8" l="1"/>
  <c r="O14"/>
  <c r="A617" i="5"/>
  <c r="AY627" i="4" s="1"/>
  <c r="AX627" s="1"/>
  <c r="B616" i="5"/>
  <c r="D616" s="1"/>
  <c r="A15" i="8"/>
  <c r="I15" s="1"/>
  <c r="B15" l="1"/>
  <c r="O15"/>
  <c r="X3" s="1" a="1"/>
  <c r="A618" i="5"/>
  <c r="B617"/>
  <c r="D617" s="1"/>
  <c r="A16" i="8"/>
  <c r="I16" s="1"/>
  <c r="A10" i="4"/>
  <c r="A11"/>
  <c r="A12"/>
  <c r="A13"/>
  <c r="A14"/>
  <c r="A15"/>
  <c r="A16"/>
  <c r="A17"/>
  <c r="A18"/>
  <c r="A19"/>
  <c r="A20"/>
  <c r="A21"/>
  <c r="A22"/>
  <c r="A9"/>
  <c r="BA15"/>
  <c r="BA14"/>
  <c r="AS15"/>
  <c r="AZ14"/>
  <c r="AY14"/>
  <c r="AV863" l="1"/>
  <c r="AV879"/>
  <c r="AV889"/>
  <c r="AV873"/>
  <c r="AV892"/>
  <c r="AV878"/>
  <c r="AV870"/>
  <c r="AV862"/>
  <c r="AV872"/>
  <c r="AV874"/>
  <c r="AV883"/>
  <c r="AV867"/>
  <c r="AV891"/>
  <c r="AV877"/>
  <c r="AV894"/>
  <c r="AV864"/>
  <c r="AV882"/>
  <c r="AV888"/>
  <c r="AV887"/>
  <c r="AV871"/>
  <c r="AV861"/>
  <c r="AV881"/>
  <c r="AV865"/>
  <c r="AV893"/>
  <c r="AV875"/>
  <c r="AV895"/>
  <c r="AV885"/>
  <c r="AV869"/>
  <c r="AV886"/>
  <c r="AV876"/>
  <c r="AV868"/>
  <c r="AV890"/>
  <c r="AV880"/>
  <c r="AV884"/>
  <c r="AV866"/>
  <c r="AB3" i="8"/>
  <c r="Z3"/>
  <c r="AD3"/>
  <c r="AC3"/>
  <c r="X3"/>
  <c r="AA3"/>
  <c r="Y3"/>
  <c r="AV845" i="4"/>
  <c r="AV843"/>
  <c r="AV859"/>
  <c r="AV854"/>
  <c r="AV838"/>
  <c r="AV852"/>
  <c r="AV860"/>
  <c r="AV842"/>
  <c r="AV849"/>
  <c r="AV847"/>
  <c r="AV841"/>
  <c r="AV858"/>
  <c r="AV844"/>
  <c r="AV856"/>
  <c r="AV840"/>
  <c r="AV846"/>
  <c r="AV853"/>
  <c r="AV833"/>
  <c r="AV835"/>
  <c r="AV851"/>
  <c r="AV834"/>
  <c r="AV857"/>
  <c r="AV837"/>
  <c r="AV839"/>
  <c r="AV855"/>
  <c r="AV848"/>
  <c r="AV836"/>
  <c r="AV850"/>
  <c r="AV811"/>
  <c r="AV826"/>
  <c r="AV823"/>
  <c r="AV815"/>
  <c r="AV812"/>
  <c r="AV808"/>
  <c r="AV820"/>
  <c r="AV830"/>
  <c r="AV822"/>
  <c r="AV825"/>
  <c r="AV819"/>
  <c r="AV807"/>
  <c r="AV814"/>
  <c r="AV816"/>
  <c r="AV824"/>
  <c r="AV805"/>
  <c r="AV828"/>
  <c r="AV827"/>
  <c r="AV818"/>
  <c r="AV809"/>
  <c r="AV806"/>
  <c r="AV832"/>
  <c r="AV817"/>
  <c r="AV831"/>
  <c r="AV829"/>
  <c r="AV821"/>
  <c r="AV813"/>
  <c r="AV810"/>
  <c r="AV774"/>
  <c r="AV781"/>
  <c r="AV794"/>
  <c r="AV772"/>
  <c r="AV796"/>
  <c r="AV770"/>
  <c r="AV799"/>
  <c r="AV773"/>
  <c r="AV775"/>
  <c r="AV798"/>
  <c r="AV782"/>
  <c r="AV800"/>
  <c r="AV784"/>
  <c r="AV801"/>
  <c r="AV793"/>
  <c r="AV777"/>
  <c r="AV802"/>
  <c r="AV786"/>
  <c r="AV776"/>
  <c r="AV788"/>
  <c r="AV803"/>
  <c r="AV795"/>
  <c r="AV804"/>
  <c r="AV790"/>
  <c r="AV780"/>
  <c r="AV792"/>
  <c r="AV778"/>
  <c r="AV797"/>
  <c r="AV789"/>
  <c r="AV779"/>
  <c r="AV771"/>
  <c r="AV791"/>
  <c r="AV783"/>
  <c r="AV785"/>
  <c r="AV787"/>
  <c r="AV758"/>
  <c r="AV756"/>
  <c r="AV739"/>
  <c r="AV717"/>
  <c r="AV731"/>
  <c r="AV727"/>
  <c r="AV749"/>
  <c r="AV755"/>
  <c r="AV740"/>
  <c r="AV762"/>
  <c r="AV714"/>
  <c r="AV752"/>
  <c r="AV732"/>
  <c r="AV730"/>
  <c r="AV760"/>
  <c r="AV746"/>
  <c r="AV761"/>
  <c r="AV719"/>
  <c r="AV721"/>
  <c r="AV716"/>
  <c r="AV766"/>
  <c r="AV750"/>
  <c r="AV734"/>
  <c r="AV718"/>
  <c r="AV736"/>
  <c r="AV720"/>
  <c r="AV764"/>
  <c r="AV748"/>
  <c r="AV728"/>
  <c r="AV765"/>
  <c r="AV745"/>
  <c r="AV729"/>
  <c r="AV767"/>
  <c r="AV744"/>
  <c r="AV724"/>
  <c r="AV722"/>
  <c r="AV768"/>
  <c r="AV754"/>
  <c r="AV738"/>
  <c r="AV769"/>
  <c r="AV751"/>
  <c r="AV737"/>
  <c r="AV723"/>
  <c r="AV715"/>
  <c r="AV757"/>
  <c r="AV743"/>
  <c r="AV742"/>
  <c r="AV753"/>
  <c r="AV725"/>
  <c r="AV759"/>
  <c r="AV747"/>
  <c r="AV726"/>
  <c r="AV741"/>
  <c r="AV763"/>
  <c r="AV733"/>
  <c r="AV735"/>
  <c r="B16" i="8"/>
  <c r="AV144" i="4"/>
  <c r="AV216"/>
  <c r="AV18"/>
  <c r="AV22"/>
  <c r="AV26"/>
  <c r="AV30"/>
  <c r="AV34"/>
  <c r="AV38"/>
  <c r="AV42"/>
  <c r="AV46"/>
  <c r="AV50"/>
  <c r="AV54"/>
  <c r="AV58"/>
  <c r="AV62"/>
  <c r="AV66"/>
  <c r="AV70"/>
  <c r="AV74"/>
  <c r="AV78"/>
  <c r="AV82"/>
  <c r="AV86"/>
  <c r="AV90"/>
  <c r="AV94"/>
  <c r="AV98"/>
  <c r="AV114"/>
  <c r="AV126"/>
  <c r="AV160"/>
  <c r="AV166"/>
  <c r="AV184"/>
  <c r="AV190"/>
  <c r="AV199"/>
  <c r="AV219"/>
  <c r="AV221"/>
  <c r="AV232"/>
  <c r="AV235"/>
  <c r="AV237"/>
  <c r="AV247"/>
  <c r="AV249"/>
  <c r="AV252"/>
  <c r="AV264"/>
  <c r="AV684"/>
  <c r="AV119"/>
  <c r="AV207"/>
  <c r="AV279"/>
  <c r="AV284"/>
  <c r="AV349"/>
  <c r="AV365"/>
  <c r="AV285"/>
  <c r="AV300"/>
  <c r="AV317"/>
  <c r="AV381"/>
  <c r="AV442"/>
  <c r="AV458"/>
  <c r="AV491"/>
  <c r="AV505"/>
  <c r="AV563"/>
  <c r="AV585"/>
  <c r="AV590"/>
  <c r="AV634"/>
  <c r="AV311"/>
  <c r="AV329"/>
  <c r="AV410"/>
  <c r="AV332"/>
  <c r="AV357"/>
  <c r="AV378"/>
  <c r="AV450"/>
  <c r="AV490"/>
  <c r="AV546"/>
  <c r="AV635"/>
  <c r="AV639"/>
  <c r="AV297"/>
  <c r="AV343"/>
  <c r="AV346"/>
  <c r="AV405"/>
  <c r="AV426"/>
  <c r="AV433"/>
  <c r="AV475"/>
  <c r="AV531"/>
  <c r="AV537"/>
  <c r="AV555"/>
  <c r="AV571"/>
  <c r="AV575"/>
  <c r="AV627"/>
  <c r="AV642"/>
  <c r="AV655"/>
  <c r="AV570"/>
  <c r="AV280"/>
  <c r="AV482"/>
  <c r="AV474"/>
  <c r="AV283"/>
  <c r="AV427"/>
  <c r="AV650"/>
  <c r="AV637"/>
  <c r="AV477"/>
  <c r="AV313"/>
  <c r="AV231"/>
  <c r="AV183"/>
  <c r="AV707"/>
  <c r="AV691"/>
  <c r="AV449"/>
  <c r="AV437"/>
  <c r="AV290"/>
  <c r="AV192"/>
  <c r="AV672"/>
  <c r="AV656"/>
  <c r="AV580"/>
  <c r="AV425"/>
  <c r="AV388"/>
  <c r="AV200"/>
  <c r="AV678"/>
  <c r="AV568"/>
  <c r="AV434"/>
  <c r="AV348"/>
  <c r="AV265"/>
  <c r="AV111"/>
  <c r="AV356"/>
  <c r="AV272"/>
  <c r="AV147"/>
  <c r="AV702"/>
  <c r="AV686"/>
  <c r="AV304"/>
  <c r="AV206"/>
  <c r="AV244"/>
  <c r="AV96"/>
  <c r="AV80"/>
  <c r="AV64"/>
  <c r="AV48"/>
  <c r="AV32"/>
  <c r="AV258"/>
  <c r="AV197"/>
  <c r="AV97"/>
  <c r="AV81"/>
  <c r="AV65"/>
  <c r="AV49"/>
  <c r="AV33"/>
  <c r="AV16"/>
  <c r="AV700"/>
  <c r="AV713"/>
  <c r="AV697"/>
  <c r="AV681"/>
  <c r="AV548"/>
  <c r="AV499"/>
  <c r="AV677"/>
  <c r="AV625"/>
  <c r="AV610"/>
  <c r="AV595"/>
  <c r="AV547"/>
  <c r="AV604"/>
  <c r="AV524"/>
  <c r="AV557"/>
  <c r="AV665"/>
  <c r="AV630"/>
  <c r="AV601"/>
  <c r="AV587"/>
  <c r="AV566"/>
  <c r="AV526"/>
  <c r="AV567"/>
  <c r="AV502"/>
  <c r="AV623"/>
  <c r="AV598"/>
  <c r="AV569"/>
  <c r="AV545"/>
  <c r="AV507"/>
  <c r="AV355"/>
  <c r="AV305"/>
  <c r="AV536"/>
  <c r="AV511"/>
  <c r="AV494"/>
  <c r="AV472"/>
  <c r="AV447"/>
  <c r="AV430"/>
  <c r="AV414"/>
  <c r="AV385"/>
  <c r="AV368"/>
  <c r="AV350"/>
  <c r="AV312"/>
  <c r="AV367"/>
  <c r="AV362"/>
  <c r="AV363"/>
  <c r="AV294"/>
  <c r="AV624"/>
  <c r="AV592"/>
  <c r="AV560"/>
  <c r="AV535"/>
  <c r="AV517"/>
  <c r="AV496"/>
  <c r="AV471"/>
  <c r="AV453"/>
  <c r="AV432"/>
  <c r="AV408"/>
  <c r="AV390"/>
  <c r="AV361"/>
  <c r="AV331"/>
  <c r="AV407"/>
  <c r="AV325"/>
  <c r="AV483"/>
  <c r="AV465"/>
  <c r="AV435"/>
  <c r="AV404"/>
  <c r="AV370"/>
  <c r="AV136"/>
  <c r="AV188"/>
  <c r="AV314"/>
  <c r="AV282"/>
  <c r="AV257"/>
  <c r="AV239"/>
  <c r="AV211"/>
  <c r="AV179"/>
  <c r="AV262"/>
  <c r="AV208"/>
  <c r="AV161"/>
  <c r="AV196"/>
  <c r="AV339"/>
  <c r="AV307"/>
  <c r="AV277"/>
  <c r="AV259"/>
  <c r="AV238"/>
  <c r="AV218"/>
  <c r="AV191"/>
  <c r="AV100"/>
  <c r="AV87"/>
  <c r="AV71"/>
  <c r="AV55"/>
  <c r="AV165"/>
  <c r="AV140"/>
  <c r="AV123"/>
  <c r="AV109"/>
  <c r="AV135"/>
  <c r="AV118"/>
  <c r="AV104"/>
  <c r="AV189"/>
  <c r="AV164"/>
  <c r="AV146"/>
  <c r="AV125"/>
  <c r="AV101"/>
  <c r="AV47"/>
  <c r="AV31"/>
  <c r="AV663"/>
  <c r="AV578"/>
  <c r="AV373"/>
  <c r="AV523"/>
  <c r="AV522"/>
  <c r="AV397"/>
  <c r="AV457"/>
  <c r="AV654"/>
  <c r="AV618"/>
  <c r="AV420"/>
  <c r="AV333"/>
  <c r="AV253"/>
  <c r="AV204"/>
  <c r="AV711"/>
  <c r="AV695"/>
  <c r="AV452"/>
  <c r="AV364"/>
  <c r="AV295"/>
  <c r="AV236"/>
  <c r="AV676"/>
  <c r="AV660"/>
  <c r="AV602"/>
  <c r="AV470"/>
  <c r="AV394"/>
  <c r="AV301"/>
  <c r="AV680"/>
  <c r="AV644"/>
  <c r="AV466"/>
  <c r="AV469"/>
  <c r="AV281"/>
  <c r="AV142"/>
  <c r="AV396"/>
  <c r="AV274"/>
  <c r="AV209"/>
  <c r="AV706"/>
  <c r="AV690"/>
  <c r="AV306"/>
  <c r="AV240"/>
  <c r="AV683"/>
  <c r="AV131"/>
  <c r="AV84"/>
  <c r="AV68"/>
  <c r="AV52"/>
  <c r="AV36"/>
  <c r="AV20"/>
  <c r="AV224"/>
  <c r="AV113"/>
  <c r="AV85"/>
  <c r="AV69"/>
  <c r="AV53"/>
  <c r="AV37"/>
  <c r="AV21"/>
  <c r="AV704"/>
  <c r="AV688"/>
  <c r="AV701"/>
  <c r="AV685"/>
  <c r="AV615"/>
  <c r="AV510"/>
  <c r="AV641"/>
  <c r="AV653"/>
  <c r="AV612"/>
  <c r="AV600"/>
  <c r="AV553"/>
  <c r="AV506"/>
  <c r="AV550"/>
  <c r="AV486"/>
  <c r="AV669"/>
  <c r="AV643"/>
  <c r="AV606"/>
  <c r="AV591"/>
  <c r="AV579"/>
  <c r="AV532"/>
  <c r="AV572"/>
  <c r="AV508"/>
  <c r="AV626"/>
  <c r="AV611"/>
  <c r="AV574"/>
  <c r="AV559"/>
  <c r="AV513"/>
  <c r="AV371"/>
  <c r="AV310"/>
  <c r="AV541"/>
  <c r="AV520"/>
  <c r="AV495"/>
  <c r="AV478"/>
  <c r="AV456"/>
  <c r="AV431"/>
  <c r="AV416"/>
  <c r="AV398"/>
  <c r="AV369"/>
  <c r="AV352"/>
  <c r="AV315"/>
  <c r="AV383"/>
  <c r="AV309"/>
  <c r="AV379"/>
  <c r="AV321"/>
  <c r="AV629"/>
  <c r="AV597"/>
  <c r="AV565"/>
  <c r="AV544"/>
  <c r="AV519"/>
  <c r="AV501"/>
  <c r="AV480"/>
  <c r="AV454"/>
  <c r="AV438"/>
  <c r="AV409"/>
  <c r="AV392"/>
  <c r="AV374"/>
  <c r="AV338"/>
  <c r="AV296"/>
  <c r="AV359"/>
  <c r="AV492"/>
  <c r="AV467"/>
  <c r="AV444"/>
  <c r="AV418"/>
  <c r="AV372"/>
  <c r="AV171"/>
  <c r="AV186"/>
  <c r="AV319"/>
  <c r="AV287"/>
  <c r="AV266"/>
  <c r="AV241"/>
  <c r="AV223"/>
  <c r="AV185"/>
  <c r="AV267"/>
  <c r="AV213"/>
  <c r="AV187"/>
  <c r="AV201"/>
  <c r="AV139"/>
  <c r="AV318"/>
  <c r="AV286"/>
  <c r="AV261"/>
  <c r="AV243"/>
  <c r="AV222"/>
  <c r="AV193"/>
  <c r="AV159"/>
  <c r="AV91"/>
  <c r="AV75"/>
  <c r="AV59"/>
  <c r="AV170"/>
  <c r="AV149"/>
  <c r="AV124"/>
  <c r="AV110"/>
  <c r="AV145"/>
  <c r="AV120"/>
  <c r="AV103"/>
  <c r="AV194"/>
  <c r="AV173"/>
  <c r="AV148"/>
  <c r="AV130"/>
  <c r="AV102"/>
  <c r="AV51"/>
  <c r="AV35"/>
  <c r="AV19"/>
  <c r="AV667"/>
  <c r="AV561"/>
  <c r="AV441"/>
  <c r="AV529"/>
  <c r="AV605"/>
  <c r="AV443"/>
  <c r="AV659"/>
  <c r="AV662"/>
  <c r="AV632"/>
  <c r="AV468"/>
  <c r="AV340"/>
  <c r="AV263"/>
  <c r="AV214"/>
  <c r="AV152"/>
  <c r="AV699"/>
  <c r="AV679"/>
  <c r="AV380"/>
  <c r="AV316"/>
  <c r="AV251"/>
  <c r="AV674"/>
  <c r="AV664"/>
  <c r="AV648"/>
  <c r="AV489"/>
  <c r="AV412"/>
  <c r="AV308"/>
  <c r="AV127"/>
  <c r="AV658"/>
  <c r="AV538"/>
  <c r="AV389"/>
  <c r="AV288"/>
  <c r="AV233"/>
  <c r="AV479"/>
  <c r="AV292"/>
  <c r="AV228"/>
  <c r="AV710"/>
  <c r="AV694"/>
  <c r="AV336"/>
  <c r="AV242"/>
  <c r="AV682"/>
  <c r="AV167"/>
  <c r="AV88"/>
  <c r="AV72"/>
  <c r="AV56"/>
  <c r="AV40"/>
  <c r="AV24"/>
  <c r="AV226"/>
  <c r="AV182"/>
  <c r="AV89"/>
  <c r="AV73"/>
  <c r="AV57"/>
  <c r="AV41"/>
  <c r="AV25"/>
  <c r="AV708"/>
  <c r="AV692"/>
  <c r="AV705"/>
  <c r="AV689"/>
  <c r="AV620"/>
  <c r="AV516"/>
  <c r="AV646"/>
  <c r="AV661"/>
  <c r="AV617"/>
  <c r="AV603"/>
  <c r="AV573"/>
  <c r="AV515"/>
  <c r="AV556"/>
  <c r="AV498"/>
  <c r="AV638"/>
  <c r="AV649"/>
  <c r="AV609"/>
  <c r="AV594"/>
  <c r="AV584"/>
  <c r="AV583"/>
  <c r="AV631"/>
  <c r="AV534"/>
  <c r="AV628"/>
  <c r="AV616"/>
  <c r="AV577"/>
  <c r="AV562"/>
  <c r="AV530"/>
  <c r="AV387"/>
  <c r="AV337"/>
  <c r="AV543"/>
  <c r="AV525"/>
  <c r="AV504"/>
  <c r="AV488"/>
  <c r="AV462"/>
  <c r="AV440"/>
  <c r="AV417"/>
  <c r="AV400"/>
  <c r="AV382"/>
  <c r="AV353"/>
  <c r="AV322"/>
  <c r="AV399"/>
  <c r="AV341"/>
  <c r="AV395"/>
  <c r="AV326"/>
  <c r="AV640"/>
  <c r="AV608"/>
  <c r="AV576"/>
  <c r="AV549"/>
  <c r="AV528"/>
  <c r="AV503"/>
  <c r="AV485"/>
  <c r="AV455"/>
  <c r="AV439"/>
  <c r="AV421"/>
  <c r="AV393"/>
  <c r="AV376"/>
  <c r="AV358"/>
  <c r="AV299"/>
  <c r="AV375"/>
  <c r="AV497"/>
  <c r="AV476"/>
  <c r="AV451"/>
  <c r="AV419"/>
  <c r="AV386"/>
  <c r="AV177"/>
  <c r="AV151"/>
  <c r="AV330"/>
  <c r="AV298"/>
  <c r="AV271"/>
  <c r="AV250"/>
  <c r="AV225"/>
  <c r="AV176"/>
  <c r="AV278"/>
  <c r="AV230"/>
  <c r="AV212"/>
  <c r="AV137"/>
  <c r="AV163"/>
  <c r="AV323"/>
  <c r="AV291"/>
  <c r="AV270"/>
  <c r="AV245"/>
  <c r="AV227"/>
  <c r="AV198"/>
  <c r="AV168"/>
  <c r="AV95"/>
  <c r="AV79"/>
  <c r="AV63"/>
  <c r="AV172"/>
  <c r="AV154"/>
  <c r="AV133"/>
  <c r="AV117"/>
  <c r="AV108"/>
  <c r="AV129"/>
  <c r="AV105"/>
  <c r="AV205"/>
  <c r="AV178"/>
  <c r="AV157"/>
  <c r="AV132"/>
  <c r="AV115"/>
  <c r="AV17"/>
  <c r="AV39"/>
  <c r="AV23"/>
  <c r="AV675"/>
  <c r="AV651"/>
  <c r="AV554"/>
  <c r="AV593"/>
  <c r="AV459"/>
  <c r="AV473"/>
  <c r="AV671"/>
  <c r="AV666"/>
  <c r="AV614"/>
  <c r="AV484"/>
  <c r="AV461"/>
  <c r="AV269"/>
  <c r="AV220"/>
  <c r="AV158"/>
  <c r="AV703"/>
  <c r="AV687"/>
  <c r="AV445"/>
  <c r="AV320"/>
  <c r="AV268"/>
  <c r="AV128"/>
  <c r="AV668"/>
  <c r="AV652"/>
  <c r="AV514"/>
  <c r="AV422"/>
  <c r="AV345"/>
  <c r="AV175"/>
  <c r="AV670"/>
  <c r="AV558"/>
  <c r="AV413"/>
  <c r="AV327"/>
  <c r="AV248"/>
  <c r="AV436"/>
  <c r="AV324"/>
  <c r="AV260"/>
  <c r="AV143"/>
  <c r="AV698"/>
  <c r="AV429"/>
  <c r="AV276"/>
  <c r="AV121"/>
  <c r="AV215"/>
  <c r="AV92"/>
  <c r="AV76"/>
  <c r="AV60"/>
  <c r="AV44"/>
  <c r="AV28"/>
  <c r="AV256"/>
  <c r="AV195"/>
  <c r="AV93"/>
  <c r="AV77"/>
  <c r="AV61"/>
  <c r="AV45"/>
  <c r="AV29"/>
  <c r="AV712"/>
  <c r="AV696"/>
  <c r="AV709"/>
  <c r="AV693"/>
  <c r="AV636"/>
  <c r="AV542"/>
  <c r="AV647"/>
  <c r="AV673"/>
  <c r="AV622"/>
  <c r="AV607"/>
  <c r="AV582"/>
  <c r="AV521"/>
  <c r="AV599"/>
  <c r="AV518"/>
  <c r="AV645"/>
  <c r="AV657"/>
  <c r="AV621"/>
  <c r="AV596"/>
  <c r="AV586"/>
  <c r="AV588"/>
  <c r="AV500"/>
  <c r="AV540"/>
  <c r="AV633"/>
  <c r="AV619"/>
  <c r="AV589"/>
  <c r="AV564"/>
  <c r="AV539"/>
  <c r="AV403"/>
  <c r="AV342"/>
  <c r="AV552"/>
  <c r="AV527"/>
  <c r="AV509"/>
  <c r="AV493"/>
  <c r="AV463"/>
  <c r="AV446"/>
  <c r="AV424"/>
  <c r="AV401"/>
  <c r="AV384"/>
  <c r="AV366"/>
  <c r="AV344"/>
  <c r="AV415"/>
  <c r="AV351"/>
  <c r="AV411"/>
  <c r="AV347"/>
  <c r="AV289"/>
  <c r="AV613"/>
  <c r="AV581"/>
  <c r="AV551"/>
  <c r="AV533"/>
  <c r="AV512"/>
  <c r="AV487"/>
  <c r="AV464"/>
  <c r="AV448"/>
  <c r="AV423"/>
  <c r="AV406"/>
  <c r="AV377"/>
  <c r="AV360"/>
  <c r="AV328"/>
  <c r="AV391"/>
  <c r="AV293"/>
  <c r="AV481"/>
  <c r="AV460"/>
  <c r="AV428"/>
  <c r="AV402"/>
  <c r="AV354"/>
  <c r="AV150"/>
  <c r="AV335"/>
  <c r="AV303"/>
  <c r="AV273"/>
  <c r="AV255"/>
  <c r="AV234"/>
  <c r="AV202"/>
  <c r="AV153"/>
  <c r="AV246"/>
  <c r="AV217"/>
  <c r="AV155"/>
  <c r="AV169"/>
  <c r="AV334"/>
  <c r="AV302"/>
  <c r="AV275"/>
  <c r="AV254"/>
  <c r="AV229"/>
  <c r="AV203"/>
  <c r="AV174"/>
  <c r="AV112"/>
  <c r="AV83"/>
  <c r="AV67"/>
  <c r="AV181"/>
  <c r="AV156"/>
  <c r="AV138"/>
  <c r="AV122"/>
  <c r="AV107"/>
  <c r="AV134"/>
  <c r="AV106"/>
  <c r="AV210"/>
  <c r="AV180"/>
  <c r="AV162"/>
  <c r="AV141"/>
  <c r="AV116"/>
  <c r="AV99"/>
  <c r="AV43"/>
  <c r="AV27"/>
  <c r="A619" i="5"/>
  <c r="AY629" i="4" s="1"/>
  <c r="AX629" s="1"/>
  <c r="AY628"/>
  <c r="AX628" s="1"/>
  <c r="A23"/>
  <c r="C23" s="1"/>
  <c r="B618" i="5"/>
  <c r="D618" s="1"/>
  <c r="N15" i="8"/>
  <c r="A17"/>
  <c r="I17" s="1"/>
  <c r="AS14" i="4"/>
  <c r="AT15"/>
  <c r="I8"/>
  <c r="H2" s="1"/>
  <c r="C7"/>
  <c r="C9"/>
  <c r="D9"/>
  <c r="C20"/>
  <c r="D20"/>
  <c r="C16"/>
  <c r="D16"/>
  <c r="C12"/>
  <c r="D12"/>
  <c r="C21"/>
  <c r="D21"/>
  <c r="C17"/>
  <c r="D17"/>
  <c r="C13"/>
  <c r="D13"/>
  <c r="C22"/>
  <c r="D22"/>
  <c r="C18"/>
  <c r="D18"/>
  <c r="C14"/>
  <c r="D14"/>
  <c r="C10"/>
  <c r="D10"/>
  <c r="C19"/>
  <c r="D19"/>
  <c r="C15"/>
  <c r="D15"/>
  <c r="C11"/>
  <c r="D11"/>
  <c r="AV15"/>
  <c r="AT898" l="1"/>
  <c r="AT897"/>
  <c r="AT896"/>
  <c r="AT901"/>
  <c r="AT900"/>
  <c r="AT846"/>
  <c r="AT852"/>
  <c r="AT893"/>
  <c r="AT810"/>
  <c r="AT907"/>
  <c r="AT812"/>
  <c r="AT921"/>
  <c r="AT922"/>
  <c r="AT813"/>
  <c r="AT923"/>
  <c r="AT871"/>
  <c r="AT816"/>
  <c r="AT876"/>
  <c r="AT872"/>
  <c r="AT815"/>
  <c r="AT892"/>
  <c r="AT814"/>
  <c r="AT817"/>
  <c r="AT877"/>
  <c r="AT891"/>
  <c r="AT818"/>
  <c r="AT879"/>
  <c r="AT811"/>
  <c r="AT906"/>
  <c r="AT875"/>
  <c r="AT916"/>
  <c r="AT873"/>
  <c r="AT883"/>
  <c r="AT889"/>
  <c r="AT918"/>
  <c r="AT890"/>
  <c r="AT878"/>
  <c r="AT851"/>
  <c r="AT862"/>
  <c r="AT861"/>
  <c r="D23"/>
  <c r="AT809"/>
  <c r="AT808"/>
  <c r="AT190"/>
  <c r="AT729"/>
  <c r="AT774"/>
  <c r="AT756"/>
  <c r="AT800"/>
  <c r="AT750"/>
  <c r="AT728"/>
  <c r="AT732"/>
  <c r="AT736"/>
  <c r="AT783"/>
  <c r="AT727"/>
  <c r="AT788"/>
  <c r="AT758"/>
  <c r="AT799"/>
  <c r="AT716"/>
  <c r="AT731"/>
  <c r="AT734"/>
  <c r="AT730"/>
  <c r="AT796"/>
  <c r="AT782"/>
  <c r="AT720"/>
  <c r="AT735"/>
  <c r="AT721"/>
  <c r="AT801"/>
  <c r="AT795"/>
  <c r="AT752"/>
  <c r="AT787"/>
  <c r="AT737"/>
  <c r="AT733"/>
  <c r="AT784"/>
  <c r="AT722"/>
  <c r="AT723"/>
  <c r="AT714"/>
  <c r="AT749"/>
  <c r="AT798"/>
  <c r="AT757"/>
  <c r="AT789"/>
  <c r="AT738"/>
  <c r="AT751"/>
  <c r="AT786"/>
  <c r="B17" i="8"/>
  <c r="O17"/>
  <c r="AT478" i="4"/>
  <c r="AT628"/>
  <c r="AT341"/>
  <c r="AT692"/>
  <c r="AT594"/>
  <c r="AT182"/>
  <c r="AT493"/>
  <c r="AT537"/>
  <c r="AT702"/>
  <c r="AT247"/>
  <c r="AT575"/>
  <c r="AT326"/>
  <c r="AT559"/>
  <c r="AT423"/>
  <c r="AT374"/>
  <c r="AT271"/>
  <c r="AT654"/>
  <c r="AT569"/>
  <c r="AT362"/>
  <c r="AT179"/>
  <c r="AT129"/>
  <c r="AT367"/>
  <c r="AT549"/>
  <c r="AT706"/>
  <c r="AT373"/>
  <c r="AT530"/>
  <c r="AT655"/>
  <c r="AT275"/>
  <c r="AT590"/>
  <c r="AT612"/>
  <c r="AT689"/>
  <c r="AT137"/>
  <c r="AT328"/>
  <c r="AT178"/>
  <c r="AT682"/>
  <c r="AT86"/>
  <c r="AT617"/>
  <c r="AT327"/>
  <c r="AT232"/>
  <c r="AT363"/>
  <c r="AT639"/>
  <c r="AT121"/>
  <c r="AT640"/>
  <c r="AT336"/>
  <c r="AT593"/>
  <c r="AT142"/>
  <c r="AT109"/>
  <c r="AT339"/>
  <c r="AT685"/>
  <c r="AT177"/>
  <c r="AT402"/>
  <c r="AT321"/>
  <c r="AT195"/>
  <c r="AT504"/>
  <c r="AT703"/>
  <c r="AT666"/>
  <c r="AT181"/>
  <c r="AT95"/>
  <c r="AT531"/>
  <c r="AT503"/>
  <c r="AT176"/>
  <c r="AT58"/>
  <c r="AT501"/>
  <c r="AT557"/>
  <c r="AT33"/>
  <c r="AT322"/>
  <c r="AT187"/>
  <c r="AT502"/>
  <c r="AT600"/>
  <c r="AT83"/>
  <c r="AT128"/>
  <c r="AT215"/>
  <c r="AT138"/>
  <c r="AT166"/>
  <c r="AT683"/>
  <c r="AT445"/>
  <c r="AT701"/>
  <c r="AT280"/>
  <c r="AT595"/>
  <c r="AT253"/>
  <c r="AT455"/>
  <c r="AT384"/>
  <c r="AT679"/>
  <c r="AT295"/>
  <c r="AT149"/>
  <c r="AT592"/>
  <c r="AT618"/>
  <c r="AT242"/>
  <c r="AT684"/>
  <c r="AT60"/>
  <c r="AT88"/>
  <c r="AT216"/>
  <c r="AT37"/>
  <c r="AT691"/>
  <c r="AT319"/>
  <c r="AT208"/>
  <c r="AT596"/>
  <c r="AT558"/>
  <c r="AT688"/>
  <c r="AT175"/>
  <c r="AT659"/>
  <c r="AT183"/>
  <c r="AT81"/>
  <c r="AT482"/>
  <c r="AT194"/>
  <c r="AT217"/>
  <c r="AT616"/>
  <c r="AT56"/>
  <c r="AT572"/>
  <c r="AT553"/>
  <c r="AT554"/>
  <c r="AT401"/>
  <c r="AT54"/>
  <c r="AT552"/>
  <c r="AT371"/>
  <c r="AT281"/>
  <c r="AT700"/>
  <c r="AT599"/>
  <c r="AT172"/>
  <c r="AT538"/>
  <c r="AT158"/>
  <c r="AT385"/>
  <c r="AT205"/>
  <c r="AT686"/>
  <c r="AT84"/>
  <c r="AT571"/>
  <c r="AT598"/>
  <c r="AT444"/>
  <c r="AT611"/>
  <c r="AT140"/>
  <c r="AT122"/>
  <c r="AT165"/>
  <c r="AT456"/>
  <c r="AT494"/>
  <c r="AT337"/>
  <c r="AT144"/>
  <c r="AT568"/>
  <c r="AT238"/>
  <c r="AT690"/>
  <c r="AT226"/>
  <c r="AT424"/>
  <c r="AT514"/>
  <c r="AT255"/>
  <c r="AT55"/>
  <c r="AT325"/>
  <c r="AT180"/>
  <c r="AT324"/>
  <c r="AT547"/>
  <c r="AT576"/>
  <c r="AT481"/>
  <c r="AT70"/>
  <c r="AT589"/>
  <c r="AT234"/>
  <c r="AT262"/>
  <c r="AT526"/>
  <c r="AT475"/>
  <c r="AT258"/>
  <c r="AT447"/>
  <c r="AT145"/>
  <c r="AT201"/>
  <c r="AT586"/>
  <c r="AT265"/>
  <c r="AT323"/>
  <c r="AT98"/>
  <c r="AT560"/>
  <c r="AT198"/>
  <c r="AT283"/>
  <c r="AT25"/>
  <c r="AT469"/>
  <c r="AT210"/>
  <c r="AT543"/>
  <c r="AT451"/>
  <c r="AT604"/>
  <c r="AT229"/>
  <c r="AT693"/>
  <c r="AT67"/>
  <c r="AT584"/>
  <c r="AT555"/>
  <c r="AT457"/>
  <c r="AT191"/>
  <c r="AT21"/>
  <c r="AT364"/>
  <c r="AT239"/>
  <c r="AT544"/>
  <c r="AT159"/>
  <c r="AT30"/>
  <c r="AT368"/>
  <c r="AT292"/>
  <c r="AT164"/>
  <c r="AT638"/>
  <c r="AT454"/>
  <c r="AT160"/>
  <c r="AT289"/>
  <c r="AT660"/>
  <c r="AT72"/>
  <c r="AT317"/>
  <c r="AT525"/>
  <c r="AT282"/>
  <c r="AT42"/>
  <c r="AT314"/>
  <c r="AT509"/>
  <c r="AT162"/>
  <c r="AT694"/>
  <c r="AT408"/>
  <c r="AT470"/>
  <c r="AT511"/>
  <c r="AT354"/>
  <c r="AT583"/>
  <c r="AT459"/>
  <c r="AT152"/>
  <c r="AT274"/>
  <c r="AT297"/>
  <c r="AT153"/>
  <c r="AT708"/>
  <c r="AT581"/>
  <c r="AT288"/>
  <c r="AT77"/>
  <c r="AT695"/>
  <c r="AT357"/>
  <c r="AT189"/>
  <c r="AT335"/>
  <c r="AT135"/>
  <c r="AT417"/>
  <c r="AT606"/>
  <c r="AT527"/>
  <c r="AT249"/>
  <c r="AT523"/>
  <c r="AT709"/>
  <c r="AT329"/>
  <c r="AT40"/>
  <c r="AT419"/>
  <c r="AT574"/>
  <c r="AT434"/>
  <c r="AT119"/>
  <c r="AT651"/>
  <c r="AT267"/>
  <c r="AT433"/>
  <c r="AT73"/>
  <c r="AT561"/>
  <c r="AT268"/>
  <c r="AT631"/>
  <c r="AT713"/>
  <c r="AT656"/>
  <c r="AT712"/>
  <c r="AT516"/>
  <c r="AT248"/>
  <c r="AT508"/>
  <c r="AT483"/>
  <c r="AT546"/>
  <c r="AT353"/>
  <c r="AT69"/>
  <c r="AT397"/>
  <c r="AT272"/>
  <c r="AT633"/>
  <c r="AT186"/>
  <c r="AT78"/>
  <c r="AT405"/>
  <c r="AT196"/>
  <c r="AT636"/>
  <c r="AT406"/>
  <c r="AT294"/>
  <c r="AT471"/>
  <c r="AT211"/>
  <c r="AT652"/>
  <c r="AT657"/>
  <c r="AT542"/>
  <c r="AT578"/>
  <c r="AT332"/>
  <c r="AT90"/>
  <c r="AT348"/>
  <c r="AT674"/>
  <c r="AT331"/>
  <c r="AT49"/>
  <c r="AT545"/>
  <c r="AT193"/>
  <c r="AT313"/>
  <c r="AT156"/>
  <c r="AT305"/>
  <c r="AT257"/>
  <c r="AT333"/>
  <c r="AT92"/>
  <c r="AT620"/>
  <c r="AT627"/>
  <c r="AT672"/>
  <c r="AT312"/>
  <c r="AT334"/>
  <c r="AT130"/>
  <c r="AT711"/>
  <c r="AT404"/>
  <c r="AT231"/>
  <c r="AT429"/>
  <c r="AT202"/>
  <c r="AT485"/>
  <c r="AT420"/>
  <c r="AT120"/>
  <c r="AT428"/>
  <c r="AT273"/>
  <c r="AT548"/>
  <c r="AT661"/>
  <c r="AT551"/>
  <c r="AT676"/>
  <c r="AT603"/>
  <c r="AT453"/>
  <c r="AT218"/>
  <c r="AT667"/>
  <c r="AT426"/>
  <c r="AT517"/>
  <c r="AT89"/>
  <c r="AT625"/>
  <c r="AT315"/>
  <c r="AT342"/>
  <c r="AT427"/>
  <c r="AT80"/>
  <c r="AT414"/>
  <c r="AT486"/>
  <c r="AT431"/>
  <c r="AT308"/>
  <c r="AT116"/>
  <c r="AT649"/>
  <c r="AT388"/>
  <c r="AT101"/>
  <c r="AT562"/>
  <c r="AT307"/>
  <c r="AT126"/>
  <c r="AT291"/>
  <c r="AT94"/>
  <c r="AT425"/>
  <c r="AT222"/>
  <c r="AT588"/>
  <c r="AT697"/>
  <c r="AT213"/>
  <c r="AT107"/>
  <c r="AT192"/>
  <c r="AT644"/>
  <c r="AT439"/>
  <c r="AT518"/>
  <c r="AT626"/>
  <c r="AT441"/>
  <c r="AT110"/>
  <c r="AT474"/>
  <c r="AT134"/>
  <c r="AT392"/>
  <c r="AT65"/>
  <c r="AT585"/>
  <c r="AT52"/>
  <c r="AT647"/>
  <c r="AT111"/>
  <c r="AT415"/>
  <c r="AT23"/>
  <c r="AT99"/>
  <c r="AT579"/>
  <c r="AT630"/>
  <c r="AT124"/>
  <c r="AT436"/>
  <c r="AT43"/>
  <c r="AT450"/>
  <c r="AT154"/>
  <c r="AT29"/>
  <c r="AT480"/>
  <c r="AT263"/>
  <c r="AT513"/>
  <c r="AT240"/>
  <c r="AT658"/>
  <c r="AT266"/>
  <c r="AT112"/>
  <c r="AT623"/>
  <c r="AT668"/>
  <c r="AT261"/>
  <c r="AT340"/>
  <c r="AT285"/>
  <c r="AT345"/>
  <c r="AT228"/>
  <c r="AT225"/>
  <c r="AT496"/>
  <c r="AT299"/>
  <c r="AT698"/>
  <c r="AT512"/>
  <c r="AT105"/>
  <c r="AT252"/>
  <c r="AT645"/>
  <c r="AT365"/>
  <c r="AT309"/>
  <c r="AT203"/>
  <c r="AT673"/>
  <c r="AT148"/>
  <c r="AT580"/>
  <c r="AT204"/>
  <c r="AT169"/>
  <c r="AT550"/>
  <c r="AT435"/>
  <c r="AT437"/>
  <c r="AT141"/>
  <c r="AT613"/>
  <c r="AT320"/>
  <c r="AT223"/>
  <c r="AT416"/>
  <c r="AT114"/>
  <c r="AT707"/>
  <c r="AT349"/>
  <c r="AT567"/>
  <c r="AT535"/>
  <c r="AT63"/>
  <c r="AT534"/>
  <c r="AT696"/>
  <c r="AT452"/>
  <c r="AT487"/>
  <c r="AT347"/>
  <c r="AT366"/>
  <c r="AT466"/>
  <c r="AT151"/>
  <c r="AT675"/>
  <c r="AT284"/>
  <c r="AT448"/>
  <c r="AT117"/>
  <c r="AT602"/>
  <c r="AT224"/>
  <c r="AT648"/>
  <c r="AT677"/>
  <c r="AT391"/>
  <c r="AT524"/>
  <c r="AT646"/>
  <c r="AT350"/>
  <c r="AT438"/>
  <c r="AT346"/>
  <c r="AT407"/>
  <c r="AT277"/>
  <c r="AT529"/>
  <c r="AT243"/>
  <c r="AT45"/>
  <c r="AT678"/>
  <c r="AT316"/>
  <c r="AT577"/>
  <c r="AT300"/>
  <c r="AT22"/>
  <c r="AT287"/>
  <c r="A620" i="5"/>
  <c r="AY630" i="4" s="1"/>
  <c r="AX630" s="1"/>
  <c r="B619" i="5"/>
  <c r="D619" s="1"/>
  <c r="AT468" i="4"/>
  <c r="AT254"/>
  <c r="AT259"/>
  <c r="AT296"/>
  <c r="AT168"/>
  <c r="AT330"/>
  <c r="AT394"/>
  <c r="AT264"/>
  <c r="AT393"/>
  <c r="AT421"/>
  <c r="AT230"/>
  <c r="AT290"/>
  <c r="AT461"/>
  <c r="AT370"/>
  <c r="AT220"/>
  <c r="AT355"/>
  <c r="AT650"/>
  <c r="AT97"/>
  <c r="AT669"/>
  <c r="AT377"/>
  <c r="AT376"/>
  <c r="AT614"/>
  <c r="AT34"/>
  <c r="AT36"/>
  <c r="AT400"/>
  <c r="AT31"/>
  <c r="AT398"/>
  <c r="AT395"/>
  <c r="AT14"/>
  <c r="A18" i="8"/>
  <c r="I18" s="1"/>
  <c r="A24" i="4"/>
  <c r="H1"/>
  <c r="AH11" s="1"/>
  <c r="B5" i="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4"/>
  <c r="H13" i="4"/>
  <c r="A621" i="5" l="1"/>
  <c r="AY631" i="4" s="1"/>
  <c r="AX631" s="1"/>
  <c r="B620" i="5"/>
  <c r="D620" s="1"/>
  <c r="B18" i="8"/>
  <c r="O18"/>
  <c r="A19"/>
  <c r="I19" s="1"/>
  <c r="A25" i="4"/>
  <c r="D24"/>
  <c r="C24"/>
  <c r="AF14"/>
  <c r="AF15" s="1"/>
  <c r="AF16" s="1"/>
  <c r="AA13"/>
  <c r="U13"/>
  <c r="B621" i="5" l="1"/>
  <c r="D621" s="1"/>
  <c r="A622"/>
  <c r="AY632" i="4" s="1"/>
  <c r="AX632" s="1"/>
  <c r="B19" i="8"/>
  <c r="O19"/>
  <c r="A20"/>
  <c r="I20" s="1"/>
  <c r="A26" i="4"/>
  <c r="D25"/>
  <c r="C25"/>
  <c r="AF17"/>
  <c r="AJ17" s="1"/>
  <c r="AJ16"/>
  <c r="AJ15"/>
  <c r="AI16"/>
  <c r="AH15"/>
  <c r="AH16"/>
  <c r="AI15"/>
  <c r="A623" i="5" l="1"/>
  <c r="AY633" i="4" s="1"/>
  <c r="AX633" s="1"/>
  <c r="B622" i="5"/>
  <c r="D622" s="1"/>
  <c r="B20" i="8"/>
  <c r="O20"/>
  <c r="A21"/>
  <c r="I21" s="1"/>
  <c r="A27" i="4"/>
  <c r="C26"/>
  <c r="D26"/>
  <c r="AH17"/>
  <c r="AI17"/>
  <c r="AF18"/>
  <c r="AJ18" s="1"/>
  <c r="B623" i="5" l="1"/>
  <c r="D623" s="1"/>
  <c r="A624"/>
  <c r="AY634" i="4" s="1"/>
  <c r="AX634" s="1"/>
  <c r="B21" i="8"/>
  <c r="O21"/>
  <c r="A22"/>
  <c r="I22" s="1"/>
  <c r="A28" i="4"/>
  <c r="D27"/>
  <c r="C27"/>
  <c r="AI18"/>
  <c r="AH18"/>
  <c r="AF19"/>
  <c r="AJ19" s="1"/>
  <c r="A625" i="5" l="1"/>
  <c r="AY635" i="4" s="1"/>
  <c r="AX635" s="1"/>
  <c r="B624" i="5"/>
  <c r="D624" s="1"/>
  <c r="B22" i="8"/>
  <c r="C28" i="4"/>
  <c r="D28"/>
  <c r="A23" i="8"/>
  <c r="I23" s="1"/>
  <c r="A29" i="4"/>
  <c r="AI19"/>
  <c r="AF20"/>
  <c r="AJ20" s="1"/>
  <c r="AH19"/>
  <c r="A626" i="5" l="1"/>
  <c r="AY636" i="4" s="1"/>
  <c r="AX636" s="1"/>
  <c r="B625" i="5"/>
  <c r="D625" s="1"/>
  <c r="B23" i="8"/>
  <c r="O22"/>
  <c r="C29" i="4"/>
  <c r="D29"/>
  <c r="A24" i="8"/>
  <c r="I24" s="1"/>
  <c r="A30" i="4"/>
  <c r="AF21"/>
  <c r="AJ21" s="1"/>
  <c r="AI20"/>
  <c r="AH20"/>
  <c r="A627" i="5" l="1"/>
  <c r="AY637" i="4" s="1"/>
  <c r="AX637" s="1"/>
  <c r="B626" i="5"/>
  <c r="D626" s="1"/>
  <c r="B24" i="8"/>
  <c r="O24"/>
  <c r="D30" i="4"/>
  <c r="C30"/>
  <c r="A25" i="8"/>
  <c r="I25" s="1"/>
  <c r="A31" i="4"/>
  <c r="D31" s="1"/>
  <c r="O23" i="8"/>
  <c r="AF22" i="4"/>
  <c r="AJ22" s="1"/>
  <c r="AI21"/>
  <c r="AH21"/>
  <c r="A628" i="5"/>
  <c r="AY638" i="4" s="1"/>
  <c r="AX638" s="1"/>
  <c r="B627" i="5" l="1"/>
  <c r="D627" s="1"/>
  <c r="B25" i="8"/>
  <c r="A26"/>
  <c r="I26" s="1"/>
  <c r="A32" i="4"/>
  <c r="D32" s="1"/>
  <c r="AF23"/>
  <c r="AJ23" s="1"/>
  <c r="AI22"/>
  <c r="AH22"/>
  <c r="B628" i="5"/>
  <c r="A629"/>
  <c r="AY639" i="4" s="1"/>
  <c r="AX639" s="1"/>
  <c r="D628" i="5" l="1"/>
  <c r="B26" i="8"/>
  <c r="O26"/>
  <c r="A27"/>
  <c r="I27" s="1"/>
  <c r="A33" i="4"/>
  <c r="O25" i="8"/>
  <c r="AI23" i="4"/>
  <c r="AF24"/>
  <c r="AJ24" s="1"/>
  <c r="AH23"/>
  <c r="A630" i="5"/>
  <c r="AY640" i="4" s="1"/>
  <c r="AX640" s="1"/>
  <c r="B629" i="5"/>
  <c r="D629" s="1"/>
  <c r="B27" i="8" l="1"/>
  <c r="O27"/>
  <c r="D33" i="4"/>
  <c r="C33"/>
  <c r="A28" i="8"/>
  <c r="I28" s="1"/>
  <c r="A34" i="4"/>
  <c r="AH24"/>
  <c r="AF25"/>
  <c r="AJ25" s="1"/>
  <c r="AI24"/>
  <c r="B630" i="5"/>
  <c r="D630" s="1"/>
  <c r="A631"/>
  <c r="AY641" i="4" s="1"/>
  <c r="AX641" s="1"/>
  <c r="B28" i="8" l="1"/>
  <c r="O28"/>
  <c r="C34" i="4"/>
  <c r="D34"/>
  <c r="A29" i="8"/>
  <c r="A35" i="4"/>
  <c r="AH25"/>
  <c r="AF26"/>
  <c r="AJ26" s="1"/>
  <c r="AI25"/>
  <c r="A632" i="5"/>
  <c r="AY642" i="4" s="1"/>
  <c r="AX642" s="1"/>
  <c r="B631" i="5"/>
  <c r="D631" s="1"/>
  <c r="I29" i="8" l="1"/>
  <c r="B29"/>
  <c r="H5" i="4"/>
  <c r="D35"/>
  <c r="C35"/>
  <c r="A36"/>
  <c r="AF27"/>
  <c r="AJ27" s="1"/>
  <c r="AI26"/>
  <c r="AH26"/>
  <c r="B632" i="5"/>
  <c r="D632" s="1"/>
  <c r="A633"/>
  <c r="AY643" i="4" s="1"/>
  <c r="AX643" s="1"/>
  <c r="O30" i="8" l="1"/>
  <c r="N29"/>
  <c r="O29"/>
  <c r="X5" s="1" a="1"/>
  <c r="D36" i="4"/>
  <c r="C36"/>
  <c r="AI27"/>
  <c r="AF28"/>
  <c r="AJ28" s="1"/>
  <c r="AH27"/>
  <c r="A634" i="5"/>
  <c r="AY644" i="4" s="1"/>
  <c r="AX644" s="1"/>
  <c r="B633" i="5"/>
  <c r="D633" s="1"/>
  <c r="O31" i="8" l="1"/>
  <c r="AA5"/>
  <c r="AD5"/>
  <c r="AC5"/>
  <c r="Z5"/>
  <c r="Y5"/>
  <c r="AB5"/>
  <c r="X5"/>
  <c r="AI28" i="4"/>
  <c r="AF29"/>
  <c r="AJ29" s="1"/>
  <c r="AH28"/>
  <c r="B634" i="5"/>
  <c r="D634" s="1"/>
  <c r="A635"/>
  <c r="AY645" i="4" s="1"/>
  <c r="AX645" s="1"/>
  <c r="O32" i="8" l="1"/>
  <c r="AH29" i="4"/>
  <c r="AF30"/>
  <c r="AJ30" s="1"/>
  <c r="AI29"/>
  <c r="A636" i="5"/>
  <c r="AY646" i="4" s="1"/>
  <c r="AX646" s="1"/>
  <c r="B635" i="5"/>
  <c r="D635" s="1"/>
  <c r="O33" i="8" l="1"/>
  <c r="AH30" i="4"/>
  <c r="AF31"/>
  <c r="AJ31" s="1"/>
  <c r="AI30"/>
  <c r="B636" i="5"/>
  <c r="D636" s="1"/>
  <c r="A637"/>
  <c r="AY647" i="4" s="1"/>
  <c r="AX647" s="1"/>
  <c r="O34" i="8" l="1"/>
  <c r="AF32" i="4"/>
  <c r="AJ32" s="1"/>
  <c r="AH31"/>
  <c r="AI31"/>
  <c r="A638" i="5"/>
  <c r="AY648" i="4" s="1"/>
  <c r="AX648" s="1"/>
  <c r="B637" i="5"/>
  <c r="D637" s="1"/>
  <c r="O35" i="8" l="1"/>
  <c r="AI32" i="4"/>
  <c r="AF33"/>
  <c r="AJ33" s="1"/>
  <c r="AH32"/>
  <c r="B638" i="5"/>
  <c r="D638" s="1"/>
  <c r="A639"/>
  <c r="AY649" i="4" s="1"/>
  <c r="AX649" s="1"/>
  <c r="O36" i="8" l="1"/>
  <c r="X6" s="1" a="1"/>
  <c r="H9" i="4"/>
  <c r="AI11" s="1"/>
  <c r="H6"/>
  <c r="H4"/>
  <c r="H14" s="1"/>
  <c r="N14" s="1"/>
  <c r="AH33"/>
  <c r="AF34"/>
  <c r="AJ34" s="1"/>
  <c r="AI33"/>
  <c r="A640" i="5"/>
  <c r="AY650" i="4" s="1"/>
  <c r="AX650" s="1"/>
  <c r="B639" i="5"/>
  <c r="D639" s="1"/>
  <c r="AA6" i="8" l="1"/>
  <c r="AB6"/>
  <c r="Z6"/>
  <c r="X6"/>
  <c r="AD6"/>
  <c r="AC6"/>
  <c r="Y6"/>
  <c r="N36"/>
  <c r="AH34" i="4"/>
  <c r="AF35"/>
  <c r="AJ35" s="1"/>
  <c r="AI34"/>
  <c r="B640" i="5"/>
  <c r="D640" s="1"/>
  <c r="A641"/>
  <c r="AY651" i="4" s="1"/>
  <c r="AX651" s="1"/>
  <c r="AH35" l="1"/>
  <c r="AI35"/>
  <c r="AF36"/>
  <c r="AJ36" s="1"/>
  <c r="A642" i="5"/>
  <c r="AY652" i="4" s="1"/>
  <c r="AX652" s="1"/>
  <c r="B641" i="5"/>
  <c r="D641" s="1"/>
  <c r="AI36" i="4" l="1"/>
  <c r="AH36"/>
  <c r="AF37"/>
  <c r="AJ37" s="1"/>
  <c r="B642" i="5"/>
  <c r="D642" s="1"/>
  <c r="A643"/>
  <c r="AY653" i="4" s="1"/>
  <c r="AX653" s="1"/>
  <c r="AH37" l="1"/>
  <c r="AI37"/>
  <c r="AF38"/>
  <c r="AJ38" s="1"/>
  <c r="A644" i="5"/>
  <c r="AY654" i="4" s="1"/>
  <c r="AX654" s="1"/>
  <c r="B643" i="5"/>
  <c r="D643" s="1"/>
  <c r="AI38" i="4" l="1"/>
  <c r="AH38"/>
  <c r="AF39"/>
  <c r="AJ39" s="1"/>
  <c r="B644" i="5"/>
  <c r="D644" s="1"/>
  <c r="A645"/>
  <c r="AY655" i="4" s="1"/>
  <c r="AX655" s="1"/>
  <c r="AF40" l="1"/>
  <c r="AJ40" s="1"/>
  <c r="AI39"/>
  <c r="AH39"/>
  <c r="A646" i="5"/>
  <c r="AY656" i="4" s="1"/>
  <c r="AX656" s="1"/>
  <c r="B645" i="5"/>
  <c r="D645" s="1"/>
  <c r="AI40" i="4" l="1"/>
  <c r="AF41"/>
  <c r="AJ41" s="1"/>
  <c r="AH40"/>
  <c r="B646" i="5"/>
  <c r="D646" s="1"/>
  <c r="A647"/>
  <c r="AY657" i="4" s="1"/>
  <c r="AX657" s="1"/>
  <c r="AI41" l="1"/>
  <c r="AH41"/>
  <c r="AF42"/>
  <c r="AJ42" s="1"/>
  <c r="A648" i="5"/>
  <c r="AY658" i="4" s="1"/>
  <c r="AX658" s="1"/>
  <c r="B647" i="5"/>
  <c r="D647" s="1"/>
  <c r="AI42" i="4" l="1"/>
  <c r="AF43"/>
  <c r="AJ43" s="1"/>
  <c r="AH42"/>
  <c r="B648" i="5"/>
  <c r="D648" s="1"/>
  <c r="A649"/>
  <c r="AY659" i="4" s="1"/>
  <c r="AX659" s="1"/>
  <c r="AI43" l="1"/>
  <c r="AH43"/>
  <c r="AF44"/>
  <c r="AJ44" s="1"/>
  <c r="A650" i="5"/>
  <c r="AY660" i="4" s="1"/>
  <c r="AX660" s="1"/>
  <c r="B649" i="5"/>
  <c r="D649" s="1"/>
  <c r="AH44" i="4" l="1"/>
  <c r="AI44"/>
  <c r="AF45"/>
  <c r="AJ45" s="1"/>
  <c r="B650" i="5"/>
  <c r="D650" s="1"/>
  <c r="A651"/>
  <c r="AY661" i="4" s="1"/>
  <c r="AX661" s="1"/>
  <c r="AF46" l="1"/>
  <c r="AJ46" s="1"/>
  <c r="AI45"/>
  <c r="AH45"/>
  <c r="A652" i="5"/>
  <c r="AY662" i="4" s="1"/>
  <c r="AX662" s="1"/>
  <c r="B651" i="5"/>
  <c r="D651" s="1"/>
  <c r="AH46" i="4" l="1"/>
  <c r="AI46"/>
  <c r="AF47"/>
  <c r="B652" i="5"/>
  <c r="D652" s="1"/>
  <c r="A653"/>
  <c r="AY663" i="4" s="1"/>
  <c r="AX663" s="1"/>
  <c r="AJ47" l="1"/>
  <c r="AF48"/>
  <c r="AI47"/>
  <c r="AH47"/>
  <c r="A654" i="5"/>
  <c r="AY664" i="4" s="1"/>
  <c r="AX664" s="1"/>
  <c r="B653" i="5"/>
  <c r="D653" s="1"/>
  <c r="AH48" i="4" l="1"/>
  <c r="AJ48"/>
  <c r="AF49"/>
  <c r="AG48"/>
  <c r="AI48"/>
  <c r="B654" i="5"/>
  <c r="D654" s="1"/>
  <c r="A655"/>
  <c r="AY665" i="4" s="1"/>
  <c r="AX665" s="1"/>
  <c r="AH49" l="1"/>
  <c r="AF50"/>
  <c r="AI49"/>
  <c r="AJ49"/>
  <c r="AG49"/>
  <c r="AK48"/>
  <c r="AE48"/>
  <c r="A656" i="5"/>
  <c r="AY666" i="4" s="1"/>
  <c r="AX666" s="1"/>
  <c r="B655" i="5"/>
  <c r="D655" s="1"/>
  <c r="AJ50" i="4" l="1"/>
  <c r="AG50"/>
  <c r="AH50"/>
  <c r="AF51"/>
  <c r="AI50"/>
  <c r="AK49"/>
  <c r="AE49"/>
  <c r="B656" i="5"/>
  <c r="D656" s="1"/>
  <c r="A657"/>
  <c r="AY667" i="4" s="1"/>
  <c r="AX667" s="1"/>
  <c r="AG51" l="1"/>
  <c r="AH51"/>
  <c r="AF52"/>
  <c r="AI51"/>
  <c r="AJ51"/>
  <c r="AK50"/>
  <c r="AE50"/>
  <c r="A658" i="5"/>
  <c r="AY668" i="4" s="1"/>
  <c r="B657" i="5"/>
  <c r="D657" s="1"/>
  <c r="AH52" i="4" l="1"/>
  <c r="AF53"/>
  <c r="AI52"/>
  <c r="AJ52"/>
  <c r="AG52"/>
  <c r="AK51"/>
  <c r="AE51"/>
  <c r="AX668"/>
  <c r="B658" i="5"/>
  <c r="D658" s="1"/>
  <c r="A659"/>
  <c r="AY669" i="4" s="1"/>
  <c r="AX669" s="1"/>
  <c r="AE52" l="1"/>
  <c r="AK52"/>
  <c r="AI53"/>
  <c r="AJ53"/>
  <c r="AG53"/>
  <c r="AH53"/>
  <c r="AF54"/>
  <c r="A660" i="5"/>
  <c r="AY670" i="4" s="1"/>
  <c r="AX670" s="1"/>
  <c r="B659" i="5"/>
  <c r="D659" s="1"/>
  <c r="AF55" i="4" l="1"/>
  <c r="AI54"/>
  <c r="AJ54"/>
  <c r="AG54"/>
  <c r="AH54"/>
  <c r="AE53"/>
  <c r="AK53"/>
  <c r="B660" i="5"/>
  <c r="D660" s="1"/>
  <c r="A661"/>
  <c r="AY671" i="4" s="1"/>
  <c r="AX671" s="1"/>
  <c r="AK54" l="1"/>
  <c r="AE54"/>
  <c r="AG55"/>
  <c r="AH55"/>
  <c r="AF56"/>
  <c r="AI55"/>
  <c r="AJ55"/>
  <c r="A662" i="5"/>
  <c r="AY672" i="4" s="1"/>
  <c r="B661" i="5"/>
  <c r="D661" s="1"/>
  <c r="AI56" i="4" l="1"/>
  <c r="AH56"/>
  <c r="AF57"/>
  <c r="AJ56"/>
  <c r="AG56"/>
  <c r="AE55"/>
  <c r="AK55"/>
  <c r="AX672"/>
  <c r="B662" i="5"/>
  <c r="D662" s="1"/>
  <c r="A663"/>
  <c r="AY673" i="4" s="1"/>
  <c r="AX673" s="1"/>
  <c r="AI57" l="1"/>
  <c r="AJ57"/>
  <c r="AG57"/>
  <c r="AH57"/>
  <c r="AF58"/>
  <c r="AE56"/>
  <c r="AK56"/>
  <c r="A664" i="5"/>
  <c r="AY674" i="4" s="1"/>
  <c r="B663" i="5"/>
  <c r="D663" s="1"/>
  <c r="AK57" i="4" l="1"/>
  <c r="AE57"/>
  <c r="AJ58"/>
  <c r="AG58"/>
  <c r="AH58"/>
  <c r="AF59"/>
  <c r="AI58"/>
  <c r="AX674"/>
  <c r="AG47"/>
  <c r="B664" i="5"/>
  <c r="D664" s="1"/>
  <c r="A665"/>
  <c r="AY675" i="4" s="1"/>
  <c r="AI59" l="1"/>
  <c r="AJ59"/>
  <c r="AG59"/>
  <c r="AH59"/>
  <c r="AF60"/>
  <c r="AK58"/>
  <c r="AE58"/>
  <c r="AX675"/>
  <c r="AG46"/>
  <c r="AE47"/>
  <c r="AK47"/>
  <c r="A666" i="5"/>
  <c r="AY676" i="4" s="1"/>
  <c r="B665" i="5"/>
  <c r="D665" s="1"/>
  <c r="AK59" i="4" l="1"/>
  <c r="AE59"/>
  <c r="AI60"/>
  <c r="AH60"/>
  <c r="AF61"/>
  <c r="AJ60"/>
  <c r="AG60"/>
  <c r="AX676"/>
  <c r="AG45"/>
  <c r="AE46"/>
  <c r="AK46"/>
  <c r="B666" i="5"/>
  <c r="D666" s="1"/>
  <c r="A667"/>
  <c r="AY677" i="4" s="1"/>
  <c r="AI61" l="1"/>
  <c r="AJ61"/>
  <c r="AG61"/>
  <c r="AH61"/>
  <c r="AF62"/>
  <c r="AE60"/>
  <c r="AK60"/>
  <c r="AX677"/>
  <c r="AG44"/>
  <c r="AE45"/>
  <c r="AK45"/>
  <c r="A668" i="5"/>
  <c r="AY678" i="4" s="1"/>
  <c r="B667" i="5"/>
  <c r="D667" s="1"/>
  <c r="AF63" i="4" l="1"/>
  <c r="AI62"/>
  <c r="AJ62"/>
  <c r="AG62"/>
  <c r="AH62"/>
  <c r="AE61"/>
  <c r="AK61"/>
  <c r="AX678"/>
  <c r="AG43"/>
  <c r="AE44"/>
  <c r="AK44"/>
  <c r="B668" i="5"/>
  <c r="D668" s="1"/>
  <c r="A669"/>
  <c r="AY679" i="4" s="1"/>
  <c r="AF64" l="1"/>
  <c r="AG63"/>
  <c r="AI63"/>
  <c r="AJ63"/>
  <c r="AH63"/>
  <c r="AK62"/>
  <c r="AE62"/>
  <c r="AE43"/>
  <c r="AK43"/>
  <c r="AX679"/>
  <c r="AG42"/>
  <c r="A670" i="5"/>
  <c r="AY680" i="4" s="1"/>
  <c r="AX680" s="1"/>
  <c r="B669" i="5"/>
  <c r="D669" s="1"/>
  <c r="AE63" i="4" l="1"/>
  <c r="AK63"/>
  <c r="AJ64"/>
  <c r="AG64"/>
  <c r="AH64"/>
  <c r="AF65"/>
  <c r="AI64"/>
  <c r="AE42"/>
  <c r="AK42"/>
  <c r="B670" i="5"/>
  <c r="D670" s="1"/>
  <c r="A671"/>
  <c r="AY681" i="4" s="1"/>
  <c r="AX681" s="1"/>
  <c r="AH65" l="1"/>
  <c r="AF66"/>
  <c r="AI65"/>
  <c r="AJ65"/>
  <c r="AG65"/>
  <c r="AE64"/>
  <c r="AK64"/>
  <c r="A672" i="5"/>
  <c r="AY682" i="4" s="1"/>
  <c r="B671" i="5"/>
  <c r="D671" s="1"/>
  <c r="AK65" i="4" l="1"/>
  <c r="AE65"/>
  <c r="AI66"/>
  <c r="AJ66"/>
  <c r="AG66"/>
  <c r="AH66"/>
  <c r="AF67"/>
  <c r="AX682"/>
  <c r="AG41"/>
  <c r="B672" i="5"/>
  <c r="D672" s="1"/>
  <c r="A673"/>
  <c r="AY683" i="4" s="1"/>
  <c r="AK66" l="1"/>
  <c r="AE66"/>
  <c r="AI67"/>
  <c r="AJ67"/>
  <c r="AG67"/>
  <c r="AH67"/>
  <c r="AF68"/>
  <c r="AE41"/>
  <c r="AK41"/>
  <c r="AX683"/>
  <c r="AG40"/>
  <c r="A674" i="5"/>
  <c r="AY684" i="4" s="1"/>
  <c r="B673" i="5"/>
  <c r="D673" s="1"/>
  <c r="AE67" i="4" l="1"/>
  <c r="AK67"/>
  <c r="AJ68"/>
  <c r="AG68"/>
  <c r="AH68"/>
  <c r="AF69"/>
  <c r="AI68"/>
  <c r="AX684"/>
  <c r="AG39"/>
  <c r="AE40"/>
  <c r="AK40"/>
  <c r="B674" i="5"/>
  <c r="D674" s="1"/>
  <c r="A675"/>
  <c r="AY685" i="4" s="1"/>
  <c r="AH69" l="1"/>
  <c r="AF70"/>
  <c r="AG69"/>
  <c r="AI69"/>
  <c r="AJ69"/>
  <c r="AE68"/>
  <c r="AK68"/>
  <c r="AE39"/>
  <c r="AK39"/>
  <c r="AX685"/>
  <c r="AG38"/>
  <c r="A676" i="5"/>
  <c r="AY686" i="4" s="1"/>
  <c r="B675" i="5"/>
  <c r="D675" s="1"/>
  <c r="AJ70" i="4" l="1"/>
  <c r="AG70"/>
  <c r="AH70"/>
  <c r="AI70"/>
  <c r="AF71"/>
  <c r="AK69"/>
  <c r="AE69"/>
  <c r="AX686"/>
  <c r="AG37"/>
  <c r="AE38"/>
  <c r="AK38"/>
  <c r="B676" i="5"/>
  <c r="D676" s="1"/>
  <c r="A677"/>
  <c r="AY687" i="4" s="1"/>
  <c r="AX687" s="1"/>
  <c r="AJ71" l="1"/>
  <c r="AG71"/>
  <c r="AH71"/>
  <c r="AF72"/>
  <c r="AI71"/>
  <c r="AK70"/>
  <c r="AE70"/>
  <c r="AE37"/>
  <c r="AK37"/>
  <c r="A678" i="5"/>
  <c r="AY688" i="4" s="1"/>
  <c r="B677" i="5"/>
  <c r="D677" s="1"/>
  <c r="AH72" i="4" l="1"/>
  <c r="AF73"/>
  <c r="AI72"/>
  <c r="AJ72"/>
  <c r="AG72"/>
  <c r="AE71"/>
  <c r="AK71"/>
  <c r="AX688"/>
  <c r="AG36"/>
  <c r="B678" i="5"/>
  <c r="D678" s="1"/>
  <c r="A679"/>
  <c r="AY689" i="4" s="1"/>
  <c r="AE72" l="1"/>
  <c r="AK72"/>
  <c r="AH73"/>
  <c r="AF74"/>
  <c r="AJ73"/>
  <c r="AG73"/>
  <c r="AI73"/>
  <c r="AE36"/>
  <c r="AK36"/>
  <c r="AX689"/>
  <c r="AG35"/>
  <c r="A680" i="5"/>
  <c r="AY690" i="4" s="1"/>
  <c r="B679" i="5"/>
  <c r="D679" s="1"/>
  <c r="AK73" i="4" l="1"/>
  <c r="AE73"/>
  <c r="AJ74"/>
  <c r="AG74"/>
  <c r="AH74"/>
  <c r="AF75"/>
  <c r="AI74"/>
  <c r="AX690"/>
  <c r="AG34"/>
  <c r="AE35"/>
  <c r="AK35"/>
  <c r="B680" i="5"/>
  <c r="D680" s="1"/>
  <c r="A681"/>
  <c r="AY691" i="4" s="1"/>
  <c r="AK74" l="1"/>
  <c r="AE74"/>
  <c r="AI75"/>
  <c r="AJ75"/>
  <c r="AH75"/>
  <c r="AF76"/>
  <c r="AG75"/>
  <c r="AE34"/>
  <c r="AK34"/>
  <c r="AX691"/>
  <c r="AG33"/>
  <c r="B681" i="5"/>
  <c r="D681" s="1"/>
  <c r="A682"/>
  <c r="AY692" i="4" s="1"/>
  <c r="AJ76" l="1"/>
  <c r="AG76"/>
  <c r="AH76"/>
  <c r="AF77"/>
  <c r="AI76"/>
  <c r="AE75"/>
  <c r="AK75"/>
  <c r="AX692"/>
  <c r="AG32"/>
  <c r="AK33"/>
  <c r="AE33"/>
  <c r="A683" i="5"/>
  <c r="AY693" i="4" s="1"/>
  <c r="B682" i="5"/>
  <c r="D682" s="1"/>
  <c r="AH77" i="4" l="1"/>
  <c r="AF78"/>
  <c r="AJ77"/>
  <c r="AG77"/>
  <c r="AI77"/>
  <c r="AE76"/>
  <c r="AK76"/>
  <c r="AK32"/>
  <c r="AE32"/>
  <c r="AX693"/>
  <c r="AG31"/>
  <c r="A684" i="5"/>
  <c r="AY694" i="4" s="1"/>
  <c r="B683" i="5"/>
  <c r="D683" s="1"/>
  <c r="AK77" i="4" l="1"/>
  <c r="AE77"/>
  <c r="AJ78"/>
  <c r="AG78"/>
  <c r="AH78"/>
  <c r="AF79"/>
  <c r="AI78"/>
  <c r="AX694"/>
  <c r="AG30"/>
  <c r="AK31"/>
  <c r="AE31"/>
  <c r="B684" i="5"/>
  <c r="D684" s="1"/>
  <c r="A685"/>
  <c r="AY695" i="4" s="1"/>
  <c r="AG79" l="1"/>
  <c r="AH79"/>
  <c r="AF80"/>
  <c r="AI79"/>
  <c r="AJ79"/>
  <c r="AK78"/>
  <c r="AE78"/>
  <c r="AK30"/>
  <c r="AE30"/>
  <c r="AX695"/>
  <c r="AG29"/>
  <c r="B685" i="5"/>
  <c r="D685" s="1"/>
  <c r="A686"/>
  <c r="AY696" i="4" s="1"/>
  <c r="AE79" l="1"/>
  <c r="AK79"/>
  <c r="AJ80"/>
  <c r="AG80"/>
  <c r="AH80"/>
  <c r="AF81"/>
  <c r="AI80"/>
  <c r="AX696"/>
  <c r="AG28"/>
  <c r="AK29"/>
  <c r="AE29"/>
  <c r="A687" i="5"/>
  <c r="AY697" i="4" s="1"/>
  <c r="B686" i="5"/>
  <c r="D686" s="1"/>
  <c r="AH81" i="4" l="1"/>
  <c r="AF82"/>
  <c r="AJ81"/>
  <c r="AG81"/>
  <c r="AI81"/>
  <c r="AE80"/>
  <c r="AK80"/>
  <c r="AK28"/>
  <c r="AE28"/>
  <c r="AX697"/>
  <c r="AG27"/>
  <c r="A688" i="5"/>
  <c r="AY698" i="4" s="1"/>
  <c r="B687" i="5"/>
  <c r="D687" s="1"/>
  <c r="AJ82" i="4" l="1"/>
  <c r="AG82"/>
  <c r="AH82"/>
  <c r="AF83"/>
  <c r="AI82"/>
  <c r="AK81"/>
  <c r="AE81"/>
  <c r="AX698"/>
  <c r="AG26"/>
  <c r="AK27"/>
  <c r="AE27"/>
  <c r="B688" i="5"/>
  <c r="D688" s="1"/>
  <c r="A689"/>
  <c r="AY699" i="4" s="1"/>
  <c r="AX699" s="1"/>
  <c r="AK82" l="1"/>
  <c r="AE82"/>
  <c r="AG83"/>
  <c r="AH83"/>
  <c r="AF84"/>
  <c r="AI83"/>
  <c r="AJ83"/>
  <c r="AK26"/>
  <c r="AE26"/>
  <c r="B689" i="5"/>
  <c r="D689" s="1"/>
  <c r="A690"/>
  <c r="AY700" i="4" s="1"/>
  <c r="AH84" l="1"/>
  <c r="AF85"/>
  <c r="AI84"/>
  <c r="AJ84"/>
  <c r="AG84"/>
  <c r="AE83"/>
  <c r="AK83"/>
  <c r="AX700"/>
  <c r="AG25"/>
  <c r="A691" i="5"/>
  <c r="AY701" i="4" s="1"/>
  <c r="B690" i="5"/>
  <c r="D690" s="1"/>
  <c r="AE84" i="4" l="1"/>
  <c r="AK84"/>
  <c r="AH85"/>
  <c r="AF86"/>
  <c r="AG85"/>
  <c r="AI85"/>
  <c r="AJ85"/>
  <c r="AK25"/>
  <c r="AE25"/>
  <c r="AX701"/>
  <c r="AG24"/>
  <c r="A692" i="5"/>
  <c r="AY702" i="4" s="1"/>
  <c r="B691" i="5"/>
  <c r="D691" s="1"/>
  <c r="AK85" i="4" l="1"/>
  <c r="AE85"/>
  <c r="AF87"/>
  <c r="AI86"/>
  <c r="AG86"/>
  <c r="AH86"/>
  <c r="AJ86"/>
  <c r="AX702"/>
  <c r="AG23"/>
  <c r="AK24"/>
  <c r="AE24"/>
  <c r="B692" i="5"/>
  <c r="D692" s="1"/>
  <c r="A693"/>
  <c r="AY703" i="4" s="1"/>
  <c r="AK86" l="1"/>
  <c r="AE86"/>
  <c r="AI87"/>
  <c r="AJ87"/>
  <c r="AH87"/>
  <c r="AF88"/>
  <c r="AG87"/>
  <c r="AK23"/>
  <c r="AE23"/>
  <c r="AX703"/>
  <c r="AG22"/>
  <c r="B693" i="5"/>
  <c r="D693" s="1"/>
  <c r="A694"/>
  <c r="AY704" i="4" s="1"/>
  <c r="AX704" s="1"/>
  <c r="AJ88" l="1"/>
  <c r="AG88"/>
  <c r="AF89"/>
  <c r="AI88"/>
  <c r="AH88"/>
  <c r="AE87"/>
  <c r="AK87"/>
  <c r="AE22"/>
  <c r="AK22"/>
  <c r="A695" i="5"/>
  <c r="AY705" i="4" s="1"/>
  <c r="AX705" s="1"/>
  <c r="B694" i="5"/>
  <c r="D694" s="1"/>
  <c r="AE88" i="4" l="1"/>
  <c r="AK88"/>
  <c r="AH89"/>
  <c r="AF90"/>
  <c r="AJ89"/>
  <c r="AG89"/>
  <c r="AI89"/>
  <c r="A696" i="5"/>
  <c r="AY706" i="4" s="1"/>
  <c r="B695" i="5"/>
  <c r="D695" s="1"/>
  <c r="AK89" i="4" l="1"/>
  <c r="AE89"/>
  <c r="AJ90"/>
  <c r="AG90"/>
  <c r="AH90"/>
  <c r="AF91"/>
  <c r="AI90"/>
  <c r="AX706"/>
  <c r="AG21"/>
  <c r="B696" i="5"/>
  <c r="D696" s="1"/>
  <c r="A697"/>
  <c r="AY707" i="4" s="1"/>
  <c r="AI91" l="1"/>
  <c r="AJ91"/>
  <c r="AF92"/>
  <c r="AG91"/>
  <c r="AH91"/>
  <c r="AK90"/>
  <c r="AE90"/>
  <c r="AX707"/>
  <c r="AG20"/>
  <c r="AE21"/>
  <c r="AK21"/>
  <c r="B697" i="5"/>
  <c r="D697" s="1"/>
  <c r="A698"/>
  <c r="AY708" i="4" s="1"/>
  <c r="AJ92" l="1"/>
  <c r="AG92"/>
  <c r="AF93"/>
  <c r="AI92"/>
  <c r="AH92"/>
  <c r="AE91"/>
  <c r="AK91"/>
  <c r="AE20"/>
  <c r="AK20"/>
  <c r="AX708"/>
  <c r="A699" i="5"/>
  <c r="AY709" i="4" s="1"/>
  <c r="B698" i="5"/>
  <c r="D698" s="1"/>
  <c r="AE92" i="4" l="1"/>
  <c r="AK92"/>
  <c r="AH93"/>
  <c r="AF94"/>
  <c r="AG93"/>
  <c r="AI93"/>
  <c r="AJ93"/>
  <c r="AX709"/>
  <c r="A700" i="5"/>
  <c r="AY710" i="4" s="1"/>
  <c r="AX710" s="1"/>
  <c r="B699" i="5"/>
  <c r="D699" s="1"/>
  <c r="AK93" i="4" l="1"/>
  <c r="AE93"/>
  <c r="AJ94"/>
  <c r="AG94"/>
  <c r="AH94"/>
  <c r="AF95"/>
  <c r="AI94"/>
  <c r="B700" i="5"/>
  <c r="D700" s="1"/>
  <c r="A701"/>
  <c r="AY711" i="4" s="1"/>
  <c r="AG95" l="1"/>
  <c r="AH95"/>
  <c r="AF96"/>
  <c r="AI95"/>
  <c r="AJ95"/>
  <c r="AK94"/>
  <c r="AE94"/>
  <c r="AX711"/>
  <c r="B701" i="5"/>
  <c r="D701" s="1"/>
  <c r="A702"/>
  <c r="AY712" i="4" s="1"/>
  <c r="AE95" l="1"/>
  <c r="AK95"/>
  <c r="AH96"/>
  <c r="AF97"/>
  <c r="AI96"/>
  <c r="AJ96"/>
  <c r="AG96"/>
  <c r="AX712"/>
  <c r="A703" i="5"/>
  <c r="AY713" i="4" s="1"/>
  <c r="B702" i="5"/>
  <c r="D702" s="1"/>
  <c r="AE96" i="4" l="1"/>
  <c r="AK96"/>
  <c r="AH97"/>
  <c r="AF98"/>
  <c r="AG97"/>
  <c r="AI97"/>
  <c r="AJ97"/>
  <c r="AX713"/>
  <c r="B703" i="5"/>
  <c r="D703" s="1"/>
  <c r="A704"/>
  <c r="AY714" i="4" s="1"/>
  <c r="AX714" s="1"/>
  <c r="AK97" l="1"/>
  <c r="AE97"/>
  <c r="AF99"/>
  <c r="AI98"/>
  <c r="AG98"/>
  <c r="AH98"/>
  <c r="AJ98"/>
  <c r="A705" i="5"/>
  <c r="AY715" i="4" s="1"/>
  <c r="AX715" s="1"/>
  <c r="B704" i="5"/>
  <c r="D704" s="1"/>
  <c r="AK98" i="4" l="1"/>
  <c r="AE98"/>
  <c r="AI99"/>
  <c r="AJ99"/>
  <c r="AH99"/>
  <c r="AF100"/>
  <c r="AG99"/>
  <c r="A706" i="5"/>
  <c r="AY716" i="4" s="1"/>
  <c r="AX716" s="1"/>
  <c r="B705" i="5"/>
  <c r="D705" s="1"/>
  <c r="AJ100" i="4" l="1"/>
  <c r="AG100"/>
  <c r="AH100"/>
  <c r="AF101"/>
  <c r="AI100"/>
  <c r="AE99"/>
  <c r="AK99"/>
  <c r="A707" i="5"/>
  <c r="AY717" i="4" s="1"/>
  <c r="AX717" s="1"/>
  <c r="B706" i="5"/>
  <c r="D706" s="1"/>
  <c r="AH101" i="4" l="1"/>
  <c r="AF102"/>
  <c r="AJ101"/>
  <c r="AG101"/>
  <c r="AI101"/>
  <c r="AE100"/>
  <c r="AK100"/>
  <c r="A708" i="5"/>
  <c r="AY718" i="4" s="1"/>
  <c r="AX718" s="1"/>
  <c r="B707" i="5"/>
  <c r="D707" s="1"/>
  <c r="AJ102" i="4" l="1"/>
  <c r="AG102"/>
  <c r="AH102"/>
  <c r="AF103"/>
  <c r="AI102"/>
  <c r="AK101"/>
  <c r="AE101"/>
  <c r="A709" i="5"/>
  <c r="AY719" i="4" s="1"/>
  <c r="AX719" s="1"/>
  <c r="B708" i="5"/>
  <c r="D708" s="1"/>
  <c r="AG103" i="4" l="1"/>
  <c r="AH103"/>
  <c r="AF104"/>
  <c r="AI103"/>
  <c r="AJ103"/>
  <c r="AK102"/>
  <c r="AE102"/>
  <c r="A710" i="5"/>
  <c r="AY720" i="4" s="1"/>
  <c r="AX720" s="1"/>
  <c r="B709" i="5"/>
  <c r="D709" s="1"/>
  <c r="AE103" i="4" l="1"/>
  <c r="AK103"/>
  <c r="AH104"/>
  <c r="AF105"/>
  <c r="AI104"/>
  <c r="AJ104"/>
  <c r="AG104"/>
  <c r="A711" i="5"/>
  <c r="AY721" i="4" s="1"/>
  <c r="AX721" s="1"/>
  <c r="B710" i="5"/>
  <c r="D710" s="1"/>
  <c r="AH105" i="4" l="1"/>
  <c r="AF106"/>
  <c r="AJ105"/>
  <c r="AI105"/>
  <c r="AG105"/>
  <c r="AE104"/>
  <c r="AK104"/>
  <c r="A712" i="5"/>
  <c r="AY722" i="4" s="1"/>
  <c r="AX722" s="1"/>
  <c r="B711" i="5"/>
  <c r="D711" s="1"/>
  <c r="AK105" i="4" l="1"/>
  <c r="AE105"/>
  <c r="AJ106"/>
  <c r="AG106"/>
  <c r="AH106"/>
  <c r="AF107"/>
  <c r="AI106"/>
  <c r="A713" i="5"/>
  <c r="AY723" i="4" s="1"/>
  <c r="AX723" s="1"/>
  <c r="B712" i="5"/>
  <c r="D712" s="1"/>
  <c r="AG107" i="4" l="1"/>
  <c r="AH107"/>
  <c r="AF108"/>
  <c r="AI107"/>
  <c r="AJ107"/>
  <c r="AK106"/>
  <c r="AE106"/>
  <c r="A714" i="5"/>
  <c r="AY724" i="4" s="1"/>
  <c r="AX724" s="1"/>
  <c r="B713" i="5"/>
  <c r="D713" s="1"/>
  <c r="AE107" i="4" l="1"/>
  <c r="AK107"/>
  <c r="AH108"/>
  <c r="AF109"/>
  <c r="AI108"/>
  <c r="AJ108"/>
  <c r="AG108"/>
  <c r="A715" i="5"/>
  <c r="AY725" i="4" s="1"/>
  <c r="AX725" s="1"/>
  <c r="B714" i="5"/>
  <c r="D714" s="1"/>
  <c r="AH109" i="4" l="1"/>
  <c r="AF110"/>
  <c r="AJ109"/>
  <c r="AG109"/>
  <c r="AI109"/>
  <c r="AE108"/>
  <c r="AK108"/>
  <c r="A716" i="5"/>
  <c r="AY726" i="4" s="1"/>
  <c r="AX726" s="1"/>
  <c r="B715" i="5"/>
  <c r="D715" s="1"/>
  <c r="AF111" i="4" l="1"/>
  <c r="AI110"/>
  <c r="AG110"/>
  <c r="AH110"/>
  <c r="AJ110"/>
  <c r="AK109"/>
  <c r="AE109"/>
  <c r="A717" i="5"/>
  <c r="AY727" i="4" s="1"/>
  <c r="AX727" s="1"/>
  <c r="B716" i="5"/>
  <c r="D716" s="1"/>
  <c r="AI111" i="4" l="1"/>
  <c r="AJ111"/>
  <c r="AG111"/>
  <c r="AH111"/>
  <c r="AF112"/>
  <c r="AK110"/>
  <c r="AE110"/>
  <c r="A718" i="5"/>
  <c r="AY728" i="4" s="1"/>
  <c r="AX728" s="1"/>
  <c r="B717" i="5"/>
  <c r="D717" s="1"/>
  <c r="AE111" i="4" l="1"/>
  <c r="AK111"/>
  <c r="AJ112"/>
  <c r="AG112"/>
  <c r="AF113"/>
  <c r="AI112"/>
  <c r="AH112"/>
  <c r="A719" i="5"/>
  <c r="AY729" i="4" s="1"/>
  <c r="AX729" s="1"/>
  <c r="B718" i="5"/>
  <c r="D718" s="1"/>
  <c r="AH113" i="4" l="1"/>
  <c r="AF114"/>
  <c r="AI113"/>
  <c r="AJ113"/>
  <c r="AG113"/>
  <c r="AE112"/>
  <c r="AK112"/>
  <c r="A720" i="5"/>
  <c r="AY730" i="4" s="1"/>
  <c r="AX730" s="1"/>
  <c r="B719" i="5"/>
  <c r="D719" s="1"/>
  <c r="AK113" i="4" l="1"/>
  <c r="AE113"/>
  <c r="AJ114"/>
  <c r="AG114"/>
  <c r="AH114"/>
  <c r="AI114"/>
  <c r="AF115"/>
  <c r="A721" i="5"/>
  <c r="AY731" i="4" s="1"/>
  <c r="AX731" s="1"/>
  <c r="B720" i="5"/>
  <c r="D720" s="1"/>
  <c r="AG115" i="4" l="1"/>
  <c r="AH115"/>
  <c r="AF116"/>
  <c r="AI115"/>
  <c r="AJ115"/>
  <c r="AK114"/>
  <c r="AE114"/>
  <c r="A722" i="5"/>
  <c r="AY732" i="4" s="1"/>
  <c r="AX732" s="1"/>
  <c r="B721" i="5"/>
  <c r="D721" s="1"/>
  <c r="AE115" i="4" l="1"/>
  <c r="AK115"/>
  <c r="AJ116"/>
  <c r="AG116"/>
  <c r="AF117"/>
  <c r="AI116"/>
  <c r="AH116"/>
  <c r="A723" i="5"/>
  <c r="AY733" i="4" s="1"/>
  <c r="AX733" s="1"/>
  <c r="B722" i="5"/>
  <c r="D722" s="1"/>
  <c r="AH117" i="4" l="1"/>
  <c r="AF118"/>
  <c r="AG117"/>
  <c r="AI117"/>
  <c r="AJ117"/>
  <c r="AE116"/>
  <c r="AK116"/>
  <c r="A724" i="5"/>
  <c r="AY734" i="4" s="1"/>
  <c r="AX734" s="1"/>
  <c r="B723" i="5"/>
  <c r="D723" s="1"/>
  <c r="AF119" i="4" l="1"/>
  <c r="AI118"/>
  <c r="AJ118"/>
  <c r="AG118"/>
  <c r="AH118"/>
  <c r="AK117"/>
  <c r="AE117"/>
  <c r="A725" i="5"/>
  <c r="AY735" i="4" s="1"/>
  <c r="AX735" s="1"/>
  <c r="B724" i="5"/>
  <c r="D724" s="1"/>
  <c r="AI119" i="4" l="1"/>
  <c r="AJ119"/>
  <c r="AH119"/>
  <c r="AF120"/>
  <c r="AG119"/>
  <c r="AK118"/>
  <c r="AE118"/>
  <c r="A726" i="5"/>
  <c r="AY736" i="4" s="1"/>
  <c r="AX736" s="1"/>
  <c r="B725" i="5"/>
  <c r="D725" s="1"/>
  <c r="AE119" i="4" l="1"/>
  <c r="AK119"/>
  <c r="AJ120"/>
  <c r="AG120"/>
  <c r="AH120"/>
  <c r="AF121"/>
  <c r="AI120"/>
  <c r="A727" i="5"/>
  <c r="AY737" i="4" s="1"/>
  <c r="AX737" s="1"/>
  <c r="B726" i="5"/>
  <c r="D726" s="1"/>
  <c r="AH121" i="4" l="1"/>
  <c r="AF122"/>
  <c r="AJ121"/>
  <c r="AG121"/>
  <c r="AI121"/>
  <c r="AE120"/>
  <c r="AK120"/>
  <c r="A728" i="5"/>
  <c r="AY738" i="4" s="1"/>
  <c r="AX738" s="1"/>
  <c r="B727" i="5"/>
  <c r="D727" s="1"/>
  <c r="AI122" i="4" l="1"/>
  <c r="AG122"/>
  <c r="AH122"/>
  <c r="AJ122"/>
  <c r="AF123"/>
  <c r="AK121"/>
  <c r="AE121"/>
  <c r="A729" i="5"/>
  <c r="AY739" i="4" s="1"/>
  <c r="AX739" s="1"/>
  <c r="B728" i="5"/>
  <c r="D728" s="1"/>
  <c r="AF124" i="4" l="1"/>
  <c r="AI123"/>
  <c r="AJ123"/>
  <c r="AG123"/>
  <c r="AH123"/>
  <c r="AK122"/>
  <c r="AE122"/>
  <c r="A730" i="5"/>
  <c r="AY740" i="4" s="1"/>
  <c r="AX740" s="1"/>
  <c r="B729" i="5"/>
  <c r="D729" s="1"/>
  <c r="AI124" i="4" l="1"/>
  <c r="AJ124"/>
  <c r="AG124"/>
  <c r="AH124"/>
  <c r="AF125"/>
  <c r="AE123"/>
  <c r="AK123"/>
  <c r="A731" i="5"/>
  <c r="AY741" i="4" s="1"/>
  <c r="AX741" s="1"/>
  <c r="B730" i="5"/>
  <c r="D730" s="1"/>
  <c r="AE124" i="4" l="1"/>
  <c r="AK124"/>
  <c r="AG125"/>
  <c r="AH125"/>
  <c r="AF126"/>
  <c r="AJ125"/>
  <c r="AI125"/>
  <c r="A732" i="5"/>
  <c r="AY742" i="4" s="1"/>
  <c r="AX742" s="1"/>
  <c r="B731" i="5"/>
  <c r="D731" s="1"/>
  <c r="AI126" i="4" l="1"/>
  <c r="AJ126"/>
  <c r="AG126"/>
  <c r="AH126"/>
  <c r="AF127"/>
  <c r="AK125"/>
  <c r="AE125"/>
  <c r="A733" i="5"/>
  <c r="AY743" i="4" s="1"/>
  <c r="AX743" s="1"/>
  <c r="B732" i="5"/>
  <c r="D732" s="1"/>
  <c r="AI127" i="4" l="1"/>
  <c r="AJ127"/>
  <c r="AG127"/>
  <c r="AH127"/>
  <c r="AF128"/>
  <c r="AK126"/>
  <c r="AE126"/>
  <c r="A734" i="5"/>
  <c r="AY744" i="4" s="1"/>
  <c r="AX744" s="1"/>
  <c r="B733" i="5"/>
  <c r="D733" s="1"/>
  <c r="AG128" i="4" l="1"/>
  <c r="AH128"/>
  <c r="AF129"/>
  <c r="AI128"/>
  <c r="AJ128"/>
  <c r="AE127"/>
  <c r="AK127"/>
  <c r="A735" i="5"/>
  <c r="AY745" i="4" s="1"/>
  <c r="AX745" s="1"/>
  <c r="B734" i="5"/>
  <c r="D734" s="1"/>
  <c r="AE128" i="4" l="1"/>
  <c r="AK128"/>
  <c r="AG129"/>
  <c r="AH129"/>
  <c r="AF130"/>
  <c r="AI129"/>
  <c r="AJ129"/>
  <c r="A736" i="5"/>
  <c r="AY746" i="4" s="1"/>
  <c r="AX746" s="1"/>
  <c r="B735" i="5"/>
  <c r="D735" s="1"/>
  <c r="AF131" i="4" l="1"/>
  <c r="AI130"/>
  <c r="AJ130"/>
  <c r="AG130"/>
  <c r="AH130"/>
  <c r="AK129"/>
  <c r="AE129"/>
  <c r="A737" i="5"/>
  <c r="AY747" i="4" s="1"/>
  <c r="AX747" s="1"/>
  <c r="B736" i="5"/>
  <c r="D736" s="1"/>
  <c r="AJ131" i="4" l="1"/>
  <c r="AG131"/>
  <c r="AH131"/>
  <c r="AF132"/>
  <c r="AI131"/>
  <c r="AK130"/>
  <c r="AE130"/>
  <c r="A738" i="5"/>
  <c r="AY748" i="4" s="1"/>
  <c r="AX748" s="1"/>
  <c r="B737" i="5"/>
  <c r="D737" s="1"/>
  <c r="AK131" i="4" l="1"/>
  <c r="AE131"/>
  <c r="AI132"/>
  <c r="AJ132"/>
  <c r="AG132"/>
  <c r="AF133"/>
  <c r="AH132"/>
  <c r="B738" i="5"/>
  <c r="D738" s="1"/>
  <c r="A739"/>
  <c r="AY749" i="4" s="1"/>
  <c r="AX749" s="1"/>
  <c r="AE132" l="1"/>
  <c r="AK132"/>
  <c r="AH133"/>
  <c r="AI133"/>
  <c r="AF134"/>
  <c r="AJ133"/>
  <c r="AG133"/>
  <c r="A740" i="5"/>
  <c r="AY750" i="4" s="1"/>
  <c r="AX750" s="1"/>
  <c r="B739" i="5"/>
  <c r="D739" s="1"/>
  <c r="AG134" i="4" l="1"/>
  <c r="AH134"/>
  <c r="AF135"/>
  <c r="AI134"/>
  <c r="AJ134"/>
  <c r="AE133"/>
  <c r="AK133"/>
  <c r="B740" i="5"/>
  <c r="D740" s="1"/>
  <c r="A741"/>
  <c r="AY751" i="4" s="1"/>
  <c r="AX751" s="1"/>
  <c r="AK134" l="1"/>
  <c r="AE134"/>
  <c r="AJ135"/>
  <c r="AG135"/>
  <c r="AH135"/>
  <c r="AF136"/>
  <c r="AI135"/>
  <c r="B741" i="5"/>
  <c r="D741" s="1"/>
  <c r="A742"/>
  <c r="AY752" i="4" s="1"/>
  <c r="AX752" s="1"/>
  <c r="AI136" l="1"/>
  <c r="AJ136"/>
  <c r="AG136"/>
  <c r="AF137"/>
  <c r="AH136"/>
  <c r="AK135"/>
  <c r="AE135"/>
  <c r="A743" i="5"/>
  <c r="AY753" i="4" s="1"/>
  <c r="AX753" s="1"/>
  <c r="B742" i="5"/>
  <c r="D742" s="1"/>
  <c r="AE136" i="4" l="1"/>
  <c r="AK136"/>
  <c r="AH137"/>
  <c r="AF138"/>
  <c r="AI137"/>
  <c r="AJ137"/>
  <c r="AG137"/>
  <c r="B743" i="5"/>
  <c r="D743" s="1"/>
  <c r="A744"/>
  <c r="AY754" i="4" s="1"/>
  <c r="AX754" s="1"/>
  <c r="AE137" l="1"/>
  <c r="AK137"/>
  <c r="AG138"/>
  <c r="AH138"/>
  <c r="AF139"/>
  <c r="AI138"/>
  <c r="AJ138"/>
  <c r="B744" i="5"/>
  <c r="D744" s="1"/>
  <c r="A745"/>
  <c r="AY755" i="4" s="1"/>
  <c r="AX755" s="1"/>
  <c r="AJ139" l="1"/>
  <c r="AG139"/>
  <c r="AH139"/>
  <c r="AF140"/>
  <c r="AI139"/>
  <c r="AK138"/>
  <c r="AE138"/>
  <c r="A746" i="5"/>
  <c r="AY756" i="4" s="1"/>
  <c r="AX756" s="1"/>
  <c r="B745" i="5"/>
  <c r="D745" s="1"/>
  <c r="AK139" i="4" l="1"/>
  <c r="AE139"/>
  <c r="AI140"/>
  <c r="AJ140"/>
  <c r="AG140"/>
  <c r="AH140"/>
  <c r="AF141"/>
  <c r="A747" i="5"/>
  <c r="AY757" i="4" s="1"/>
  <c r="AX757" s="1"/>
  <c r="B746" i="5"/>
  <c r="D746" s="1"/>
  <c r="AE140" i="4" l="1"/>
  <c r="AK140"/>
  <c r="AH141"/>
  <c r="AF142"/>
  <c r="AI141"/>
  <c r="AJ141"/>
  <c r="AG141"/>
  <c r="A748" i="5"/>
  <c r="AY758" i="4" s="1"/>
  <c r="AX758" s="1"/>
  <c r="B747" i="5"/>
  <c r="D747" s="1"/>
  <c r="AE141" i="4" l="1"/>
  <c r="AK141"/>
  <c r="AH142"/>
  <c r="AF143"/>
  <c r="AI142"/>
  <c r="AG142"/>
  <c r="AJ142"/>
  <c r="B748" i="5"/>
  <c r="D748" s="1"/>
  <c r="A749"/>
  <c r="AY759" i="4" s="1"/>
  <c r="AX759" s="1"/>
  <c r="AK142" l="1"/>
  <c r="AE142"/>
  <c r="AH143"/>
  <c r="AF144"/>
  <c r="AI143"/>
  <c r="AG143"/>
  <c r="AJ143"/>
  <c r="B749" i="5"/>
  <c r="D749" s="1"/>
  <c r="A750"/>
  <c r="AY760" i="4" s="1"/>
  <c r="AX760" s="1"/>
  <c r="AI144" l="1"/>
  <c r="AJ144"/>
  <c r="AG144"/>
  <c r="AF145"/>
  <c r="AH144"/>
  <c r="AK143"/>
  <c r="AE143"/>
  <c r="A751" i="5"/>
  <c r="AY761" i="4" s="1"/>
  <c r="AX761" s="1"/>
  <c r="B750" i="5"/>
  <c r="D750" s="1"/>
  <c r="AG145" i="4" l="1"/>
  <c r="AI145"/>
  <c r="AF146"/>
  <c r="AJ145"/>
  <c r="AH145"/>
  <c r="AE144"/>
  <c r="AK144"/>
  <c r="B751" i="5"/>
  <c r="D751" s="1"/>
  <c r="A752"/>
  <c r="AY762" i="4" s="1"/>
  <c r="AX762" s="1"/>
  <c r="AK145" l="1"/>
  <c r="AE145"/>
  <c r="AG146"/>
  <c r="AH146"/>
  <c r="AF147"/>
  <c r="AI146"/>
  <c r="AJ146"/>
  <c r="B752" i="5"/>
  <c r="D752" s="1"/>
  <c r="A753"/>
  <c r="AY763" i="4" s="1"/>
  <c r="AX763" s="1"/>
  <c r="AI147" l="1"/>
  <c r="AJ147"/>
  <c r="AF148"/>
  <c r="AH147"/>
  <c r="AG147"/>
  <c r="AK146"/>
  <c r="AE146"/>
  <c r="A754" i="5"/>
  <c r="AY764" i="4" s="1"/>
  <c r="AX764" s="1"/>
  <c r="B753" i="5"/>
  <c r="D753" s="1"/>
  <c r="AK147" i="4" l="1"/>
  <c r="AE147"/>
  <c r="AG148"/>
  <c r="AH148"/>
  <c r="AJ148"/>
  <c r="AI148"/>
  <c r="AF149"/>
  <c r="AJ149" s="1"/>
  <c r="A755" i="5"/>
  <c r="AY765" i="4" s="1"/>
  <c r="AX765" s="1"/>
  <c r="B754" i="5"/>
  <c r="D754" s="1"/>
  <c r="AE148" i="4" l="1"/>
  <c r="AK148"/>
  <c r="AI149"/>
  <c r="AH149"/>
  <c r="AF150"/>
  <c r="AJ150" s="1"/>
  <c r="AG149"/>
  <c r="AE149" s="1"/>
  <c r="B755" i="5"/>
  <c r="D755" s="1"/>
  <c r="A756"/>
  <c r="AY766" i="4" s="1"/>
  <c r="AX766" s="1"/>
  <c r="AI150" l="1"/>
  <c r="AF151"/>
  <c r="AJ151" s="1"/>
  <c r="AH150"/>
  <c r="AG150"/>
  <c r="AE150" s="1"/>
  <c r="AK149"/>
  <c r="B756" i="5"/>
  <c r="D756" s="1"/>
  <c r="A757"/>
  <c r="AY767" i="4" s="1"/>
  <c r="AX767" s="1"/>
  <c r="AI151" l="1"/>
  <c r="AK150"/>
  <c r="AH151"/>
  <c r="AG151"/>
  <c r="AE151" s="1"/>
  <c r="AF152"/>
  <c r="AJ152" s="1"/>
  <c r="A758" i="5"/>
  <c r="AY768" i="4" s="1"/>
  <c r="AX768" s="1"/>
  <c r="B757" i="5"/>
  <c r="D757" s="1"/>
  <c r="AK151" i="4" l="1"/>
  <c r="AI152"/>
  <c r="AG152"/>
  <c r="AE152" s="1"/>
  <c r="AH152"/>
  <c r="AF153"/>
  <c r="AJ153" s="1"/>
  <c r="A759" i="5"/>
  <c r="A760" s="1"/>
  <c r="B758"/>
  <c r="D758" s="1"/>
  <c r="AI153" i="4" l="1"/>
  <c r="AK152"/>
  <c r="AF154"/>
  <c r="AJ154" s="1"/>
  <c r="AH153"/>
  <c r="AG153"/>
  <c r="AE153" s="1"/>
  <c r="AY770"/>
  <c r="AX770" s="1"/>
  <c r="A761" i="5"/>
  <c r="B760"/>
  <c r="B759"/>
  <c r="D759" s="1"/>
  <c r="AY769" i="4"/>
  <c r="AX769" s="1"/>
  <c r="AG154" l="1"/>
  <c r="AE154" s="1"/>
  <c r="AI154"/>
  <c r="AF155"/>
  <c r="AJ155" s="1"/>
  <c r="AH154"/>
  <c r="AK153"/>
  <c r="D760" i="5"/>
  <c r="AY771" i="4"/>
  <c r="AX771" s="1"/>
  <c r="B761" i="5"/>
  <c r="A762"/>
  <c r="AK154" i="4" l="1"/>
  <c r="AF156"/>
  <c r="AJ156" s="1"/>
  <c r="AG155"/>
  <c r="AE155" s="1"/>
  <c r="AH155"/>
  <c r="AI155"/>
  <c r="D761" i="5"/>
  <c r="A763"/>
  <c r="AY772" i="4"/>
  <c r="AX772" s="1"/>
  <c r="B762" i="5"/>
  <c r="AK155" i="4" l="1"/>
  <c r="AI156"/>
  <c r="AF157"/>
  <c r="AJ157" s="1"/>
  <c r="AG156"/>
  <c r="AE156" s="1"/>
  <c r="AH156"/>
  <c r="D762" i="5"/>
  <c r="A764"/>
  <c r="AY773" i="4"/>
  <c r="AX773" s="1"/>
  <c r="B763" i="5"/>
  <c r="AI157" i="4" l="1"/>
  <c r="AG157"/>
  <c r="AE157" s="1"/>
  <c r="AH157"/>
  <c r="AF158"/>
  <c r="AJ158" s="1"/>
  <c r="AK156"/>
  <c r="D763" i="5"/>
  <c r="A765"/>
  <c r="AY774" i="4"/>
  <c r="AX774" s="1"/>
  <c r="B764" i="5"/>
  <c r="AK157" i="4" l="1"/>
  <c r="AH158"/>
  <c r="AG158"/>
  <c r="AE158" s="1"/>
  <c r="AI158"/>
  <c r="AF159"/>
  <c r="AJ159" s="1"/>
  <c r="D764" i="5"/>
  <c r="A766"/>
  <c r="AY775" i="4"/>
  <c r="AX775" s="1"/>
  <c r="B765" i="5"/>
  <c r="AK158" i="4" l="1"/>
  <c r="AG159"/>
  <c r="AE159" s="1"/>
  <c r="AF160"/>
  <c r="AJ160" s="1"/>
  <c r="AI159"/>
  <c r="AH159"/>
  <c r="D765" i="5"/>
  <c r="A767"/>
  <c r="AY776" i="4"/>
  <c r="AX776" s="1"/>
  <c r="B766" i="5"/>
  <c r="AK159" i="4" l="1"/>
  <c r="AG160"/>
  <c r="AE160" s="1"/>
  <c r="AH160"/>
  <c r="AF161"/>
  <c r="AJ161" s="1"/>
  <c r="AI160"/>
  <c r="D766" i="5"/>
  <c r="A768"/>
  <c r="AY777" i="4"/>
  <c r="AX777" s="1"/>
  <c r="B767" i="5"/>
  <c r="AK160" i="4" l="1"/>
  <c r="AI161"/>
  <c r="AH161"/>
  <c r="AF162"/>
  <c r="AJ162" s="1"/>
  <c r="AG161"/>
  <c r="AK161" s="1"/>
  <c r="D767" i="5"/>
  <c r="A769"/>
  <c r="AY778" i="4"/>
  <c r="AX778" s="1"/>
  <c r="B768" i="5"/>
  <c r="AE161" i="4" l="1"/>
  <c r="AG162"/>
  <c r="AE162" s="1"/>
  <c r="AI162"/>
  <c r="AF163"/>
  <c r="AJ163" s="1"/>
  <c r="AH162"/>
  <c r="D768" i="5"/>
  <c r="A770"/>
  <c r="AY779" i="4"/>
  <c r="AX779" s="1"/>
  <c r="B769" i="5"/>
  <c r="AK162" i="4" l="1"/>
  <c r="AI163"/>
  <c r="AF164"/>
  <c r="AJ164" s="1"/>
  <c r="AH163"/>
  <c r="AG163"/>
  <c r="AE163" s="1"/>
  <c r="D769" i="5"/>
  <c r="A771"/>
  <c r="AY780" i="4"/>
  <c r="AX780" s="1"/>
  <c r="B770" i="5"/>
  <c r="AH164" i="4" l="1"/>
  <c r="AI164"/>
  <c r="AK163"/>
  <c r="AF165"/>
  <c r="AJ165" s="1"/>
  <c r="AG164"/>
  <c r="AE164" s="1"/>
  <c r="D770" i="5"/>
  <c r="A772"/>
  <c r="AY781" i="4"/>
  <c r="AX781" s="1"/>
  <c r="B771" i="5"/>
  <c r="AI165" i="4" l="1"/>
  <c r="AF166"/>
  <c r="AJ166" s="1"/>
  <c r="AH165"/>
  <c r="AK164"/>
  <c r="AG165"/>
  <c r="AE165" s="1"/>
  <c r="D771" i="5"/>
  <c r="A773"/>
  <c r="AY782" i="4"/>
  <c r="B772" i="5"/>
  <c r="AH166" i="4" l="1"/>
  <c r="AG166"/>
  <c r="AE166" s="1"/>
  <c r="AK165"/>
  <c r="AF167"/>
  <c r="AJ167" s="1"/>
  <c r="AI166"/>
  <c r="AX782"/>
  <c r="D772" i="5"/>
  <c r="A774"/>
  <c r="AY783" i="4"/>
  <c r="B773" i="5"/>
  <c r="AF168" i="4" l="1"/>
  <c r="AJ168" s="1"/>
  <c r="AH167"/>
  <c r="AG167"/>
  <c r="AE167" s="1"/>
  <c r="AI167"/>
  <c r="AK166"/>
  <c r="AX783"/>
  <c r="D773" i="5"/>
  <c r="A775"/>
  <c r="AY784" i="4"/>
  <c r="B774" i="5"/>
  <c r="AG168" i="4" l="1"/>
  <c r="AE168" s="1"/>
  <c r="AF169"/>
  <c r="AJ169" s="1"/>
  <c r="AI168"/>
  <c r="AH168"/>
  <c r="AK167"/>
  <c r="AX784"/>
  <c r="D774" i="5"/>
  <c r="A776"/>
  <c r="AY785" i="4"/>
  <c r="AX785" s="1"/>
  <c r="B775" i="5"/>
  <c r="AH169" i="4" l="1"/>
  <c r="AK168"/>
  <c r="AI169"/>
  <c r="AG169"/>
  <c r="AE169" s="1"/>
  <c r="AF170"/>
  <c r="AJ170" s="1"/>
  <c r="D775" i="5"/>
  <c r="A777"/>
  <c r="AY786" i="4"/>
  <c r="AX786" s="1"/>
  <c r="B776" i="5"/>
  <c r="AH170" i="4" l="1"/>
  <c r="AG170"/>
  <c r="AE170" s="1"/>
  <c r="AI170"/>
  <c r="AK169"/>
  <c r="AF171"/>
  <c r="AJ171" s="1"/>
  <c r="D776" i="5"/>
  <c r="A778"/>
  <c r="AY787" i="4"/>
  <c r="AX787" s="1"/>
  <c r="B777" i="5"/>
  <c r="AK170" i="4" l="1"/>
  <c r="AH171"/>
  <c r="AI171"/>
  <c r="AF172"/>
  <c r="AJ172" s="1"/>
  <c r="AG171"/>
  <c r="AE171" s="1"/>
  <c r="D777" i="5"/>
  <c r="A779"/>
  <c r="AY788" i="4"/>
  <c r="AX788" s="1"/>
  <c r="B778" i="5"/>
  <c r="AG172" i="4" l="1"/>
  <c r="AE172" s="1"/>
  <c r="AI172"/>
  <c r="AF173"/>
  <c r="AJ173" s="1"/>
  <c r="AH172"/>
  <c r="AK171"/>
  <c r="D778" i="5"/>
  <c r="A780"/>
  <c r="AY789" i="4"/>
  <c r="AX789" s="1"/>
  <c r="B779" i="5"/>
  <c r="D779" s="1"/>
  <c r="AK172" i="4" l="1"/>
  <c r="AG173"/>
  <c r="AE173" s="1"/>
  <c r="AH173"/>
  <c r="AF174"/>
  <c r="AJ174" s="1"/>
  <c r="AI173"/>
  <c r="A781" i="5"/>
  <c r="AY790" i="4"/>
  <c r="AX790" s="1"/>
  <c r="B780" i="5"/>
  <c r="D780" s="1"/>
  <c r="AI174" i="4" l="1"/>
  <c r="AF175"/>
  <c r="AJ175" s="1"/>
  <c r="AH174"/>
  <c r="AG174"/>
  <c r="AE174" s="1"/>
  <c r="AK173"/>
  <c r="A782" i="5"/>
  <c r="AY791" i="4"/>
  <c r="AX791" s="1"/>
  <c r="B781" i="5"/>
  <c r="D781" s="1"/>
  <c r="AG175" i="4" l="1"/>
  <c r="AE175" s="1"/>
  <c r="AH175"/>
  <c r="AF176"/>
  <c r="AJ176" s="1"/>
  <c r="AI175"/>
  <c r="AK174"/>
  <c r="A783" i="5"/>
  <c r="AY792" i="4"/>
  <c r="AX792" s="1"/>
  <c r="B782" i="5"/>
  <c r="D782" s="1"/>
  <c r="AK175" i="4" l="1"/>
  <c r="AG176"/>
  <c r="AE176" s="1"/>
  <c r="AH176"/>
  <c r="AI176"/>
  <c r="AF177"/>
  <c r="AJ177" s="1"/>
  <c r="A784" i="5"/>
  <c r="AY793" i="4"/>
  <c r="AX793" s="1"/>
  <c r="B783" i="5"/>
  <c r="D783" s="1"/>
  <c r="AG177" i="4" l="1"/>
  <c r="AK177" s="1"/>
  <c r="AK176"/>
  <c r="AF178"/>
  <c r="AJ178" s="1"/>
  <c r="AI177"/>
  <c r="AH177"/>
  <c r="A785" i="5"/>
  <c r="AY794" i="4"/>
  <c r="AX794" s="1"/>
  <c r="B784" i="5"/>
  <c r="D784" s="1"/>
  <c r="AE177" i="4" l="1"/>
  <c r="AI178"/>
  <c r="AF179"/>
  <c r="AJ179" s="1"/>
  <c r="AH178"/>
  <c r="AG178"/>
  <c r="AE178" s="1"/>
  <c r="A786" i="5"/>
  <c r="AY795" i="4"/>
  <c r="AX795" s="1"/>
  <c r="B785" i="5"/>
  <c r="D785" s="1"/>
  <c r="AK178" i="4" l="1"/>
  <c r="AI179"/>
  <c r="AH179"/>
  <c r="AF180"/>
  <c r="AJ180" s="1"/>
  <c r="AG179"/>
  <c r="AE179" s="1"/>
  <c r="A787" i="5"/>
  <c r="AY796" i="4"/>
  <c r="AX796" s="1"/>
  <c r="B786" i="5"/>
  <c r="D786" s="1"/>
  <c r="AG180" i="4" l="1"/>
  <c r="AE180" s="1"/>
  <c r="AH180"/>
  <c r="AK179"/>
  <c r="AF181"/>
  <c r="AJ181" s="1"/>
  <c r="AI180"/>
  <c r="A788" i="5"/>
  <c r="AY797" i="4"/>
  <c r="AX797" s="1"/>
  <c r="B787" i="5"/>
  <c r="D787" s="1"/>
  <c r="AF182" i="4" l="1"/>
  <c r="AJ182" s="1"/>
  <c r="AI181"/>
  <c r="AH181"/>
  <c r="AK180"/>
  <c r="AG181"/>
  <c r="AE181" s="1"/>
  <c r="A789" i="5"/>
  <c r="AY798" i="4"/>
  <c r="AX798" s="1"/>
  <c r="B788" i="5"/>
  <c r="D788" s="1"/>
  <c r="AG182" i="4" l="1"/>
  <c r="AE182" s="1"/>
  <c r="AK181"/>
  <c r="AF183"/>
  <c r="AJ183" s="1"/>
  <c r="AI182"/>
  <c r="AH182"/>
  <c r="A790" i="5"/>
  <c r="AY799" i="4"/>
  <c r="AX799" s="1"/>
  <c r="B789" i="5"/>
  <c r="D789" s="1"/>
  <c r="AK182" i="4" l="1"/>
  <c r="AF184"/>
  <c r="AJ184" s="1"/>
  <c r="AI183"/>
  <c r="AH183"/>
  <c r="AG183"/>
  <c r="AE183" s="1"/>
  <c r="A791" i="5"/>
  <c r="AY800" i="4"/>
  <c r="AX800" s="1"/>
  <c r="B790" i="5"/>
  <c r="D790" s="1"/>
  <c r="AF185" i="4" l="1"/>
  <c r="AJ185" s="1"/>
  <c r="AI184"/>
  <c r="AG184"/>
  <c r="AE184" s="1"/>
  <c r="AH184"/>
  <c r="AK183"/>
  <c r="A792" i="5"/>
  <c r="AY801" i="4"/>
  <c r="AX801" s="1"/>
  <c r="B791" i="5"/>
  <c r="D791" s="1"/>
  <c r="AG185" i="4" l="1"/>
  <c r="AE185" s="1"/>
  <c r="AH185"/>
  <c r="AF186"/>
  <c r="AJ186" s="1"/>
  <c r="AI185"/>
  <c r="AK184"/>
  <c r="A793" i="5"/>
  <c r="AY802" i="4"/>
  <c r="AX802" s="1"/>
  <c r="B792" i="5"/>
  <c r="D792" s="1"/>
  <c r="AK185" i="4" l="1"/>
  <c r="AG186"/>
  <c r="AE186" s="1"/>
  <c r="AH186"/>
  <c r="AI186"/>
  <c r="AF187"/>
  <c r="AJ187" s="1"/>
  <c r="A794" i="5"/>
  <c r="A795" s="1"/>
  <c r="AY803" i="4"/>
  <c r="AX803" s="1"/>
  <c r="B793" i="5"/>
  <c r="D793" s="1"/>
  <c r="AF188" i="4" l="1"/>
  <c r="AJ188" s="1"/>
  <c r="AH187"/>
  <c r="AG187"/>
  <c r="AE187" s="1"/>
  <c r="AI187"/>
  <c r="AK186"/>
  <c r="AY805"/>
  <c r="AX805" s="1"/>
  <c r="B795" i="5"/>
  <c r="A796"/>
  <c r="AY804" i="4"/>
  <c r="AX804" s="1"/>
  <c r="B794" i="5"/>
  <c r="D794" s="1"/>
  <c r="AG188" i="4" l="1"/>
  <c r="AE188" s="1"/>
  <c r="AH188"/>
  <c r="AI188"/>
  <c r="AK187"/>
  <c r="AF189"/>
  <c r="AJ189" s="1"/>
  <c r="AY806"/>
  <c r="AX806" s="1"/>
  <c r="A797" i="5"/>
  <c r="B796"/>
  <c r="D796" s="1"/>
  <c r="AK188" i="4" l="1"/>
  <c r="AI189"/>
  <c r="AG189"/>
  <c r="AE189" s="1"/>
  <c r="AF190"/>
  <c r="AJ190" s="1"/>
  <c r="AH189"/>
  <c r="AY807"/>
  <c r="AX807" s="1"/>
  <c r="A798" i="5"/>
  <c r="B797"/>
  <c r="D797" s="1"/>
  <c r="AH190" i="4" l="1"/>
  <c r="AK189"/>
  <c r="AI190"/>
  <c r="AG190"/>
  <c r="AE190" s="1"/>
  <c r="AF191"/>
  <c r="AJ191" s="1"/>
  <c r="B798" i="5"/>
  <c r="D798" s="1"/>
  <c r="AY808" i="4"/>
  <c r="A799" i="5"/>
  <c r="AG19" i="4" l="1"/>
  <c r="AF192"/>
  <c r="AJ192" s="1"/>
  <c r="AH191"/>
  <c r="AI191"/>
  <c r="AK190"/>
  <c r="AG191"/>
  <c r="AE191" s="1"/>
  <c r="AX808"/>
  <c r="B799" i="5"/>
  <c r="D799" s="1"/>
  <c r="AY809" i="4"/>
  <c r="AG18" s="1"/>
  <c r="A800" i="5"/>
  <c r="AK191" i="4" l="1"/>
  <c r="AE19"/>
  <c r="AK19"/>
  <c r="AE18"/>
  <c r="AK18"/>
  <c r="AH192"/>
  <c r="AI192"/>
  <c r="AF193"/>
  <c r="AJ193" s="1"/>
  <c r="AG192"/>
  <c r="AK192" s="1"/>
  <c r="AX809"/>
  <c r="A801" i="5"/>
  <c r="AY810" i="4"/>
  <c r="AX810" s="1"/>
  <c r="B800" i="5"/>
  <c r="D800" s="1"/>
  <c r="AH193" i="4" l="1"/>
  <c r="AG193"/>
  <c r="AE193" s="1"/>
  <c r="AI193"/>
  <c r="AE192"/>
  <c r="AF194"/>
  <c r="AJ194" s="1"/>
  <c r="AY811"/>
  <c r="AX811" s="1"/>
  <c r="B801" i="5"/>
  <c r="D801" s="1"/>
  <c r="A802"/>
  <c r="AK193" i="4" l="1"/>
  <c r="AI194"/>
  <c r="AF195"/>
  <c r="AJ195" s="1"/>
  <c r="AH194"/>
  <c r="AG194"/>
  <c r="AE194" s="1"/>
  <c r="AY812"/>
  <c r="AX812" s="1"/>
  <c r="A803" i="5"/>
  <c r="B802"/>
  <c r="D802" s="1"/>
  <c r="AK194" i="4" l="1"/>
  <c r="AH195"/>
  <c r="AG195"/>
  <c r="AE195" s="1"/>
  <c r="AI195"/>
  <c r="AF196"/>
  <c r="AJ196" s="1"/>
  <c r="AY813"/>
  <c r="AX813" s="1"/>
  <c r="A804" i="5"/>
  <c r="B803"/>
  <c r="D803" s="1"/>
  <c r="AI196" i="4" l="1"/>
  <c r="AH196"/>
  <c r="AK195"/>
  <c r="AG196"/>
  <c r="AE196" s="1"/>
  <c r="AF197"/>
  <c r="AJ197" s="1"/>
  <c r="AY814"/>
  <c r="AX814" s="1"/>
  <c r="B804" i="5"/>
  <c r="D804" s="1"/>
  <c r="A805"/>
  <c r="AK196" i="4" l="1"/>
  <c r="AG197"/>
  <c r="AE197" s="1"/>
  <c r="AF198"/>
  <c r="AJ198" s="1"/>
  <c r="AI197"/>
  <c r="AH197"/>
  <c r="AY815"/>
  <c r="AX815" s="1"/>
  <c r="B805" i="5"/>
  <c r="D805" s="1"/>
  <c r="A806"/>
  <c r="AF199" i="4" l="1"/>
  <c r="AJ199" s="1"/>
  <c r="AH198"/>
  <c r="AG198"/>
  <c r="AE198" s="1"/>
  <c r="AI198"/>
  <c r="AK197"/>
  <c r="AY816"/>
  <c r="AX816" s="1"/>
  <c r="A807" i="5"/>
  <c r="B806"/>
  <c r="D806" s="1"/>
  <c r="AK198" i="4" l="1"/>
  <c r="AI199"/>
  <c r="AG199"/>
  <c r="AE199" s="1"/>
  <c r="AF200"/>
  <c r="AJ200" s="1"/>
  <c r="AH199"/>
  <c r="AY817"/>
  <c r="AX817" s="1"/>
  <c r="A808" i="5"/>
  <c r="B807"/>
  <c r="D807" s="1"/>
  <c r="AK199" i="4" l="1"/>
  <c r="AG200"/>
  <c r="AE200" s="1"/>
  <c r="AI200"/>
  <c r="AF201"/>
  <c r="AJ201" s="1"/>
  <c r="AH200"/>
  <c r="AY818"/>
  <c r="AX818" s="1"/>
  <c r="B808" i="5"/>
  <c r="D808" s="1"/>
  <c r="A809"/>
  <c r="AI201" i="4" l="1"/>
  <c r="AH201"/>
  <c r="AF202"/>
  <c r="AJ202" s="1"/>
  <c r="AG201"/>
  <c r="AE201" s="1"/>
  <c r="AK200"/>
  <c r="AY819"/>
  <c r="AX819" s="1"/>
  <c r="A810" i="5"/>
  <c r="B809"/>
  <c r="D809" s="1"/>
  <c r="AH202" i="4" l="1"/>
  <c r="AF203"/>
  <c r="AJ203" s="1"/>
  <c r="AI202"/>
  <c r="AG202"/>
  <c r="AE202" s="1"/>
  <c r="AK201"/>
  <c r="AY820"/>
  <c r="AX820" s="1"/>
  <c r="A811" i="5"/>
  <c r="B810"/>
  <c r="D810" s="1"/>
  <c r="AK202" i="4" l="1"/>
  <c r="AF204"/>
  <c r="AJ204" s="1"/>
  <c r="AI203"/>
  <c r="AG203"/>
  <c r="AE203" s="1"/>
  <c r="AH203"/>
  <c r="AY821"/>
  <c r="AX821" s="1"/>
  <c r="A812" i="5"/>
  <c r="B811"/>
  <c r="D811" s="1"/>
  <c r="AG204" i="4" l="1"/>
  <c r="AK204" s="1"/>
  <c r="AF205"/>
  <c r="AJ205" s="1"/>
  <c r="AI204"/>
  <c r="AH204"/>
  <c r="AK203"/>
  <c r="AY822"/>
  <c r="AX822" s="1"/>
  <c r="B812" i="5"/>
  <c r="D812" s="1"/>
  <c r="A813"/>
  <c r="AE204" i="4" l="1"/>
  <c r="AF206"/>
  <c r="AJ206" s="1"/>
  <c r="AG205"/>
  <c r="AE205" s="1"/>
  <c r="AI205"/>
  <c r="AH205"/>
  <c r="AY823"/>
  <c r="AX823" s="1"/>
  <c r="B813" i="5"/>
  <c r="D813" s="1"/>
  <c r="A814"/>
  <c r="AK205" i="4" l="1"/>
  <c r="AI206"/>
  <c r="AF207"/>
  <c r="AJ207" s="1"/>
  <c r="AG206"/>
  <c r="AE206" s="1"/>
  <c r="AH206"/>
  <c r="AY824"/>
  <c r="AX824" s="1"/>
  <c r="B814" i="5"/>
  <c r="D814" s="1"/>
  <c r="A815"/>
  <c r="AI207" i="4" l="1"/>
  <c r="AH207"/>
  <c r="AF208"/>
  <c r="AJ208" s="1"/>
  <c r="AG207"/>
  <c r="AE207" s="1"/>
  <c r="AK206"/>
  <c r="AY825"/>
  <c r="AX825" s="1"/>
  <c r="A816" i="5"/>
  <c r="B815"/>
  <c r="D815" s="1"/>
  <c r="AG208" i="4" l="1"/>
  <c r="AE208" s="1"/>
  <c r="AH208"/>
  <c r="AI208"/>
  <c r="AF209"/>
  <c r="AJ209" s="1"/>
  <c r="AK207"/>
  <c r="AY826"/>
  <c r="AX826" s="1"/>
  <c r="B816" i="5"/>
  <c r="D816" s="1"/>
  <c r="A817"/>
  <c r="AK208" i="4" l="1"/>
  <c r="AI209"/>
  <c r="AG209"/>
  <c r="AK209" s="1"/>
  <c r="AH209"/>
  <c r="AF210"/>
  <c r="AJ210" s="1"/>
  <c r="AY827"/>
  <c r="AX827" s="1"/>
  <c r="A818" i="5"/>
  <c r="B817"/>
  <c r="D817" s="1"/>
  <c r="AE209" i="4" l="1"/>
  <c r="AG210"/>
  <c r="AE210" s="1"/>
  <c r="AH210"/>
  <c r="AI210"/>
  <c r="AF211"/>
  <c r="AJ211" s="1"/>
  <c r="AY828"/>
  <c r="AX828" s="1"/>
  <c r="A819" i="5"/>
  <c r="B818"/>
  <c r="D818" s="1"/>
  <c r="AK210" i="4" l="1"/>
  <c r="AI211"/>
  <c r="AH211"/>
  <c r="AG211"/>
  <c r="AE211" s="1"/>
  <c r="AF212"/>
  <c r="AJ212" s="1"/>
  <c r="AY829"/>
  <c r="AX829" s="1"/>
  <c r="A820" i="5"/>
  <c r="B819"/>
  <c r="D819" s="1"/>
  <c r="AG212" i="4" l="1"/>
  <c r="AE212" s="1"/>
  <c r="AI212"/>
  <c r="AK211"/>
  <c r="AH212"/>
  <c r="AF213"/>
  <c r="AJ213" s="1"/>
  <c r="B820" i="5"/>
  <c r="D820" s="1"/>
  <c r="AY830" i="4"/>
  <c r="AX830" s="1"/>
  <c r="A821" i="5"/>
  <c r="AK212" i="4" l="1"/>
  <c r="AH213"/>
  <c r="AG213"/>
  <c r="AE213" s="1"/>
  <c r="AF214"/>
  <c r="AJ214" s="1"/>
  <c r="AI213"/>
  <c r="AY831"/>
  <c r="AX831" s="1"/>
  <c r="A822" i="5"/>
  <c r="A823" s="1"/>
  <c r="AY833" i="4" s="1"/>
  <c r="AX833" s="1"/>
  <c r="B821" i="5"/>
  <c r="D821" s="1"/>
  <c r="AI214" i="4" l="1"/>
  <c r="AF215"/>
  <c r="AJ215" s="1"/>
  <c r="AH214"/>
  <c r="AG214"/>
  <c r="AK214" s="1"/>
  <c r="AK213"/>
  <c r="B823" i="5"/>
  <c r="A824"/>
  <c r="AY834" i="4" s="1"/>
  <c r="AX834" s="1"/>
  <c r="B822" i="5"/>
  <c r="D822" s="1"/>
  <c r="AY832" i="4"/>
  <c r="AX832" s="1"/>
  <c r="AE214" l="1"/>
  <c r="AI215"/>
  <c r="AH215"/>
  <c r="AG215"/>
  <c r="AE215" s="1"/>
  <c r="AF216"/>
  <c r="AJ216" s="1"/>
  <c r="D823" i="5"/>
  <c r="B824"/>
  <c r="A825"/>
  <c r="AY835" i="4" s="1"/>
  <c r="AX835" s="1"/>
  <c r="AI216" l="1"/>
  <c r="AG216"/>
  <c r="AK216" s="1"/>
  <c r="AK215"/>
  <c r="AH216"/>
  <c r="AF217"/>
  <c r="AJ217" s="1"/>
  <c r="D824" i="5"/>
  <c r="B825"/>
  <c r="D825" s="1"/>
  <c r="A826"/>
  <c r="AY836" i="4" s="1"/>
  <c r="AX836" s="1"/>
  <c r="AE216" l="1"/>
  <c r="AI217"/>
  <c r="AH217"/>
  <c r="AG217"/>
  <c r="AE217" s="1"/>
  <c r="AF218"/>
  <c r="AJ218" s="1"/>
  <c r="A827" i="5"/>
  <c r="AY837" i="4" s="1"/>
  <c r="AX837" s="1"/>
  <c r="B826" i="5"/>
  <c r="D826" s="1"/>
  <c r="AK217" i="4" l="1"/>
  <c r="AI218"/>
  <c r="AF219"/>
  <c r="AJ219" s="1"/>
  <c r="AH218"/>
  <c r="AG218"/>
  <c r="AK218" s="1"/>
  <c r="A828" i="5"/>
  <c r="AY838" i="4" s="1"/>
  <c r="AX838" s="1"/>
  <c r="B827" i="5"/>
  <c r="D827" s="1"/>
  <c r="AE218" i="4" l="1"/>
  <c r="AI219"/>
  <c r="AH219"/>
  <c r="AF220"/>
  <c r="AJ220" s="1"/>
  <c r="AG219"/>
  <c r="AE219" s="1"/>
  <c r="A829" i="5"/>
  <c r="AY839" i="4" s="1"/>
  <c r="AX839" s="1"/>
  <c r="B828" i="5"/>
  <c r="D828" s="1"/>
  <c r="AK219" i="4" l="1"/>
  <c r="AH220"/>
  <c r="AI220"/>
  <c r="AF221"/>
  <c r="AJ221" s="1"/>
  <c r="AG220"/>
  <c r="AE220" s="1"/>
  <c r="B829" i="5"/>
  <c r="D829" s="1"/>
  <c r="A830"/>
  <c r="AY840" i="4" s="1"/>
  <c r="AX840" s="1"/>
  <c r="AK220" l="1"/>
  <c r="AH221"/>
  <c r="AF222"/>
  <c r="AJ222" s="1"/>
  <c r="AI221"/>
  <c r="AG221"/>
  <c r="AE221" s="1"/>
  <c r="B830" i="5"/>
  <c r="D830" s="1"/>
  <c r="A831"/>
  <c r="AY841" i="4" s="1"/>
  <c r="AX841" s="1"/>
  <c r="AK221" l="1"/>
  <c r="AI222"/>
  <c r="AG222"/>
  <c r="AE222" s="1"/>
  <c r="AF223"/>
  <c r="AJ223" s="1"/>
  <c r="AH222"/>
  <c r="A832" i="5"/>
  <c r="AY842" i="4" s="1"/>
  <c r="AX842" s="1"/>
  <c r="B831" i="5"/>
  <c r="D831" s="1"/>
  <c r="AI223" i="4" l="1"/>
  <c r="AK222"/>
  <c r="AG223"/>
  <c r="AE223" s="1"/>
  <c r="AF224"/>
  <c r="AJ224" s="1"/>
  <c r="AH223"/>
  <c r="B832" i="5"/>
  <c r="D832" s="1"/>
  <c r="A833"/>
  <c r="AY843" i="4" s="1"/>
  <c r="AX843" s="1"/>
  <c r="AK223" l="1"/>
  <c r="AI224"/>
  <c r="AG224"/>
  <c r="AE224" s="1"/>
  <c r="AH224"/>
  <c r="AF225"/>
  <c r="AJ225" s="1"/>
  <c r="B833" i="5"/>
  <c r="D833" s="1"/>
  <c r="A834"/>
  <c r="AY844" i="4" s="1"/>
  <c r="AX844" s="1"/>
  <c r="AH225" l="1"/>
  <c r="AG225"/>
  <c r="AE225" s="1"/>
  <c r="AI225"/>
  <c r="AF226"/>
  <c r="AJ226" s="1"/>
  <c r="AK224"/>
  <c r="B834" i="5"/>
  <c r="D834" s="1"/>
  <c r="A835"/>
  <c r="AY845" i="4" s="1"/>
  <c r="AX845" s="1"/>
  <c r="AK225" l="1"/>
  <c r="AI226"/>
  <c r="AF227"/>
  <c r="AJ227" s="1"/>
  <c r="AH226"/>
  <c r="AG226"/>
  <c r="AE226" s="1"/>
  <c r="A836" i="5"/>
  <c r="AY846" i="4" s="1"/>
  <c r="AX846" s="1"/>
  <c r="B835" i="5"/>
  <c r="D835" s="1"/>
  <c r="AI227" i="4" l="1"/>
  <c r="AH227"/>
  <c r="AF228"/>
  <c r="AJ228" s="1"/>
  <c r="AK226"/>
  <c r="AG227"/>
  <c r="AK227" s="1"/>
  <c r="B836" i="5"/>
  <c r="D836" s="1"/>
  <c r="A837"/>
  <c r="AY847" i="4" s="1"/>
  <c r="AX847" s="1"/>
  <c r="AI228" l="1"/>
  <c r="AF229"/>
  <c r="AJ229" s="1"/>
  <c r="AH228"/>
  <c r="AG228"/>
  <c r="AE228" s="1"/>
  <c r="AE227"/>
  <c r="B837" i="5"/>
  <c r="D837" s="1"/>
  <c r="A838"/>
  <c r="AY848" i="4" s="1"/>
  <c r="AX848" s="1"/>
  <c r="AK228" l="1"/>
  <c r="AF230"/>
  <c r="AJ230" s="1"/>
  <c r="AG229"/>
  <c r="AE229" s="1"/>
  <c r="AI229"/>
  <c r="AH229"/>
  <c r="B838" i="5"/>
  <c r="D838" s="1"/>
  <c r="A839"/>
  <c r="AY849" i="4" s="1"/>
  <c r="AX849" s="1"/>
  <c r="AX14"/>
  <c r="AF231" l="1"/>
  <c r="AJ231" s="1"/>
  <c r="AI230"/>
  <c r="AG230"/>
  <c r="AK230" s="1"/>
  <c r="AK229"/>
  <c r="AH230"/>
  <c r="A840" i="5"/>
  <c r="AY850" i="4" s="1"/>
  <c r="AX850" s="1"/>
  <c r="B839" i="5"/>
  <c r="D839" s="1"/>
  <c r="AX15" i="4"/>
  <c r="AW834" l="1"/>
  <c r="AW899"/>
  <c r="AW896"/>
  <c r="AW919"/>
  <c r="AW905"/>
  <c r="AW922"/>
  <c r="AW898"/>
  <c r="AW909"/>
  <c r="AW915"/>
  <c r="AW901"/>
  <c r="AW914"/>
  <c r="AW900"/>
  <c r="AW907"/>
  <c r="AW911"/>
  <c r="AW921"/>
  <c r="AW902"/>
  <c r="AW917"/>
  <c r="AW906"/>
  <c r="AW916"/>
  <c r="AW897"/>
  <c r="AW923"/>
  <c r="AW913"/>
  <c r="AW918"/>
  <c r="AW912"/>
  <c r="AW920"/>
  <c r="AW903"/>
  <c r="AW904"/>
  <c r="AW910"/>
  <c r="AW908"/>
  <c r="AI231"/>
  <c r="AE230"/>
  <c r="AF232"/>
  <c r="AJ232" s="1"/>
  <c r="AH231"/>
  <c r="AG231"/>
  <c r="AW850"/>
  <c r="AW841"/>
  <c r="AW837"/>
  <c r="AW833"/>
  <c r="AW846"/>
  <c r="AW842"/>
  <c r="AW838"/>
  <c r="AW41"/>
  <c r="AW848"/>
  <c r="AW845"/>
  <c r="AW847"/>
  <c r="AW843"/>
  <c r="AW839"/>
  <c r="AW835"/>
  <c r="AW849"/>
  <c r="AW844"/>
  <c r="AW840"/>
  <c r="AW836"/>
  <c r="B840" i="5"/>
  <c r="D840" s="1"/>
  <c r="A841"/>
  <c r="AY851" i="4" s="1"/>
  <c r="AG17" s="1"/>
  <c r="AW829"/>
  <c r="AW825"/>
  <c r="AW821"/>
  <c r="AW817"/>
  <c r="AW813"/>
  <c r="AW809"/>
  <c r="AW805"/>
  <c r="AW830"/>
  <c r="AW826"/>
  <c r="AW822"/>
  <c r="AW818"/>
  <c r="AW814"/>
  <c r="AW810"/>
  <c r="AW806"/>
  <c r="AW831"/>
  <c r="AW827"/>
  <c r="AW823"/>
  <c r="AW819"/>
  <c r="AW815"/>
  <c r="AW811"/>
  <c r="AW807"/>
  <c r="AW832"/>
  <c r="AW828"/>
  <c r="AW824"/>
  <c r="AW820"/>
  <c r="AW816"/>
  <c r="AW812"/>
  <c r="AW808"/>
  <c r="AW793"/>
  <c r="AW798"/>
  <c r="AW804"/>
  <c r="AW800"/>
  <c r="AW794"/>
  <c r="AW785"/>
  <c r="AW801"/>
  <c r="AW796"/>
  <c r="AW789"/>
  <c r="AW802"/>
  <c r="AW797"/>
  <c r="AW792"/>
  <c r="AW790"/>
  <c r="AW786"/>
  <c r="AW782"/>
  <c r="AW778"/>
  <c r="AW774"/>
  <c r="AW770"/>
  <c r="AW803"/>
  <c r="AW799"/>
  <c r="AW795"/>
  <c r="AW791"/>
  <c r="AW787"/>
  <c r="AW783"/>
  <c r="AW779"/>
  <c r="AW775"/>
  <c r="AW771"/>
  <c r="AW788"/>
  <c r="AW784"/>
  <c r="AW780"/>
  <c r="AW776"/>
  <c r="AW772"/>
  <c r="AW781"/>
  <c r="AW777"/>
  <c r="AW773"/>
  <c r="AW752"/>
  <c r="AW722"/>
  <c r="AW725"/>
  <c r="AW748"/>
  <c r="AW766"/>
  <c r="AW743"/>
  <c r="AW765"/>
  <c r="AW760"/>
  <c r="AW733"/>
  <c r="AW756"/>
  <c r="AW726"/>
  <c r="AW731"/>
  <c r="AW730"/>
  <c r="AW741"/>
  <c r="AW720"/>
  <c r="AW714"/>
  <c r="AW721"/>
  <c r="AW732"/>
  <c r="AW738"/>
  <c r="AW735"/>
  <c r="AW729"/>
  <c r="AW744"/>
  <c r="AW763"/>
  <c r="AW724"/>
  <c r="AW740"/>
  <c r="AW723"/>
  <c r="AW755"/>
  <c r="AW737"/>
  <c r="AW768"/>
  <c r="AW746"/>
  <c r="AW761"/>
  <c r="AW716"/>
  <c r="AW767"/>
  <c r="AW727"/>
  <c r="AW742"/>
  <c r="AW745"/>
  <c r="AW734"/>
  <c r="AW757"/>
  <c r="AW762"/>
  <c r="AW715"/>
  <c r="AW747"/>
  <c r="AW717"/>
  <c r="AW736"/>
  <c r="AW718"/>
  <c r="AW750"/>
  <c r="AW749"/>
  <c r="AW764"/>
  <c r="AW719"/>
  <c r="AW751"/>
  <c r="AW769"/>
  <c r="AW728"/>
  <c r="AW753"/>
  <c r="AW759"/>
  <c r="AW754"/>
  <c r="AW739"/>
  <c r="AW758"/>
  <c r="AW156"/>
  <c r="AW216"/>
  <c r="AW102"/>
  <c r="AW702"/>
  <c r="AW129"/>
  <c r="AW683"/>
  <c r="AW57"/>
  <c r="AW121"/>
  <c r="AW176"/>
  <c r="AW227"/>
  <c r="AW291"/>
  <c r="AW355"/>
  <c r="AW412"/>
  <c r="AW506"/>
  <c r="AW631"/>
  <c r="AW32"/>
  <c r="AW96"/>
  <c r="AW165"/>
  <c r="AW245"/>
  <c r="AW311"/>
  <c r="AW378"/>
  <c r="AW445"/>
  <c r="AW505"/>
  <c r="AW567"/>
  <c r="AW626"/>
  <c r="AW566"/>
  <c r="AW698"/>
  <c r="AW69"/>
  <c r="AW141"/>
  <c r="AW197"/>
  <c r="AW264"/>
  <c r="AW330"/>
  <c r="AW392"/>
  <c r="AW455"/>
  <c r="AW540"/>
  <c r="AW680"/>
  <c r="AW52"/>
  <c r="AW112"/>
  <c r="AW181"/>
  <c r="AW242"/>
  <c r="AW300"/>
  <c r="AW372"/>
  <c r="AW434"/>
  <c r="AW483"/>
  <c r="AW532"/>
  <c r="AW599"/>
  <c r="AW667"/>
  <c r="AW594"/>
  <c r="AW648"/>
  <c r="AW35"/>
  <c r="AW99"/>
  <c r="AW153"/>
  <c r="AW209"/>
  <c r="AW265"/>
  <c r="AW331"/>
  <c r="AW390"/>
  <c r="AW473"/>
  <c r="AW579"/>
  <c r="AW703"/>
  <c r="AW74"/>
  <c r="AW144"/>
  <c r="AW213"/>
  <c r="AW290"/>
  <c r="AW354"/>
  <c r="AW421"/>
  <c r="AW492"/>
  <c r="AW547"/>
  <c r="AW602"/>
  <c r="AW669"/>
  <c r="AW676"/>
  <c r="AW47"/>
  <c r="AW113"/>
  <c r="AW184"/>
  <c r="AW244"/>
  <c r="AW313"/>
  <c r="AW365"/>
  <c r="AW436"/>
  <c r="AW520"/>
  <c r="AW650"/>
  <c r="AW30"/>
  <c r="AW94"/>
  <c r="AW157"/>
  <c r="AW229"/>
  <c r="AW283"/>
  <c r="AW352"/>
  <c r="AW415"/>
  <c r="AW463"/>
  <c r="AW516"/>
  <c r="AW583"/>
  <c r="AW649"/>
  <c r="AW541"/>
  <c r="AW638"/>
  <c r="AW710"/>
  <c r="AW81"/>
  <c r="AW135"/>
  <c r="AW193"/>
  <c r="AW248"/>
  <c r="AW309"/>
  <c r="AW376"/>
  <c r="AW428"/>
  <c r="AW569"/>
  <c r="AW685"/>
  <c r="AW56"/>
  <c r="AW119"/>
  <c r="AW189"/>
  <c r="AW267"/>
  <c r="AW328"/>
  <c r="AW402"/>
  <c r="AW469"/>
  <c r="AW524"/>
  <c r="AW585"/>
  <c r="AW646"/>
  <c r="AW639"/>
  <c r="AW29"/>
  <c r="AW93"/>
  <c r="AW164"/>
  <c r="AW220"/>
  <c r="AW285"/>
  <c r="AW347"/>
  <c r="AW416"/>
  <c r="AW488"/>
  <c r="AW619"/>
  <c r="AW705"/>
  <c r="AW76"/>
  <c r="AW137"/>
  <c r="AW206"/>
  <c r="AW270"/>
  <c r="AW333"/>
  <c r="AW391"/>
  <c r="AW450"/>
  <c r="AW504"/>
  <c r="AW555"/>
  <c r="AW627"/>
  <c r="AW476"/>
  <c r="AW611"/>
  <c r="AW688"/>
  <c r="AW59"/>
  <c r="AW123"/>
  <c r="AW177"/>
  <c r="AW228"/>
  <c r="AW292"/>
  <c r="AW357"/>
  <c r="AW414"/>
  <c r="AW510"/>
  <c r="AW632"/>
  <c r="AW34"/>
  <c r="AW98"/>
  <c r="AW168"/>
  <c r="AW246"/>
  <c r="AW314"/>
  <c r="AW387"/>
  <c r="AW449"/>
  <c r="AW509"/>
  <c r="AW568"/>
  <c r="AW630"/>
  <c r="AW570"/>
  <c r="AW700"/>
  <c r="AW71"/>
  <c r="AW147"/>
  <c r="AW200"/>
  <c r="AW268"/>
  <c r="AW334"/>
  <c r="AW395"/>
  <c r="AW464"/>
  <c r="AW543"/>
  <c r="AW686"/>
  <c r="AW54"/>
  <c r="AW114"/>
  <c r="AW187"/>
  <c r="AW252"/>
  <c r="AW305"/>
  <c r="AW374"/>
  <c r="AW438"/>
  <c r="AW484"/>
  <c r="AW535"/>
  <c r="AW600"/>
  <c r="AW673"/>
  <c r="AW598"/>
  <c r="AW662"/>
  <c r="AW269"/>
  <c r="AW399"/>
  <c r="AW475"/>
  <c r="AW580"/>
  <c r="AW709"/>
  <c r="AW80"/>
  <c r="AW145"/>
  <c r="AW223"/>
  <c r="AW297"/>
  <c r="AW360"/>
  <c r="AW430"/>
  <c r="AW495"/>
  <c r="AW548"/>
  <c r="AW605"/>
  <c r="AW671"/>
  <c r="AW681"/>
  <c r="AW53"/>
  <c r="AW115"/>
  <c r="AW185"/>
  <c r="AW247"/>
  <c r="AW317"/>
  <c r="AW369"/>
  <c r="AW439"/>
  <c r="AW526"/>
  <c r="AW652"/>
  <c r="AW36"/>
  <c r="AW100"/>
  <c r="AW163"/>
  <c r="AW230"/>
  <c r="AW287"/>
  <c r="AW356"/>
  <c r="AW419"/>
  <c r="AW467"/>
  <c r="AW519"/>
  <c r="AW584"/>
  <c r="AW651"/>
  <c r="AW545"/>
  <c r="AW641"/>
  <c r="AW712"/>
  <c r="AW83"/>
  <c r="AW139"/>
  <c r="AW199"/>
  <c r="AW254"/>
  <c r="AW310"/>
  <c r="AW379"/>
  <c r="AW431"/>
  <c r="AW571"/>
  <c r="AW687"/>
  <c r="AW58"/>
  <c r="AW122"/>
  <c r="AW198"/>
  <c r="AW272"/>
  <c r="AW332"/>
  <c r="AW408"/>
  <c r="AW478"/>
  <c r="AW527"/>
  <c r="AW586"/>
  <c r="AW653"/>
  <c r="AW645"/>
  <c r="AW31"/>
  <c r="AW95"/>
  <c r="AW167"/>
  <c r="AW225"/>
  <c r="AW288"/>
  <c r="AW349"/>
  <c r="AW424"/>
  <c r="AW494"/>
  <c r="AW620"/>
  <c r="AW707"/>
  <c r="AW78"/>
  <c r="AW140"/>
  <c r="AW210"/>
  <c r="AW275"/>
  <c r="AW339"/>
  <c r="AW394"/>
  <c r="AW454"/>
  <c r="AW507"/>
  <c r="AW556"/>
  <c r="AW628"/>
  <c r="AW479"/>
  <c r="AW612"/>
  <c r="AW694"/>
  <c r="AW65"/>
  <c r="AW126"/>
  <c r="AW180"/>
  <c r="AW231"/>
  <c r="AW295"/>
  <c r="AW361"/>
  <c r="AW418"/>
  <c r="AW514"/>
  <c r="AW654"/>
  <c r="AW40"/>
  <c r="AW101"/>
  <c r="AW169"/>
  <c r="AW250"/>
  <c r="AW318"/>
  <c r="AW389"/>
  <c r="AW456"/>
  <c r="AW513"/>
  <c r="AW573"/>
  <c r="AW634"/>
  <c r="AW575"/>
  <c r="AW706"/>
  <c r="AW77"/>
  <c r="AW151"/>
  <c r="AW201"/>
  <c r="AW271"/>
  <c r="AW336"/>
  <c r="AW397"/>
  <c r="AW472"/>
  <c r="AW546"/>
  <c r="AW689"/>
  <c r="AW60"/>
  <c r="AW118"/>
  <c r="AW190"/>
  <c r="AW255"/>
  <c r="AW315"/>
  <c r="AW377"/>
  <c r="AW441"/>
  <c r="AW487"/>
  <c r="AW538"/>
  <c r="AW607"/>
  <c r="AW675"/>
  <c r="AW603"/>
  <c r="AW664"/>
  <c r="AW43"/>
  <c r="AW111"/>
  <c r="AW159"/>
  <c r="AW217"/>
  <c r="AW273"/>
  <c r="AW338"/>
  <c r="AW403"/>
  <c r="AW482"/>
  <c r="AW582"/>
  <c r="AW711"/>
  <c r="AW82"/>
  <c r="AW148"/>
  <c r="AW226"/>
  <c r="AW301"/>
  <c r="AW364"/>
  <c r="AW433"/>
  <c r="AW499"/>
  <c r="AW551"/>
  <c r="AW613"/>
  <c r="AW677"/>
  <c r="AW684"/>
  <c r="AW55"/>
  <c r="AW125"/>
  <c r="AW188"/>
  <c r="AW249"/>
  <c r="AW323"/>
  <c r="AW375"/>
  <c r="AW448"/>
  <c r="AW529"/>
  <c r="AW666"/>
  <c r="AW38"/>
  <c r="AW103"/>
  <c r="AW166"/>
  <c r="AW234"/>
  <c r="AW293"/>
  <c r="AW358"/>
  <c r="AW420"/>
  <c r="AW468"/>
  <c r="AW522"/>
  <c r="AW590"/>
  <c r="AW657"/>
  <c r="AW552"/>
  <c r="AW643"/>
  <c r="AW25"/>
  <c r="AW89"/>
  <c r="AW142"/>
  <c r="AW202"/>
  <c r="AW259"/>
  <c r="AW312"/>
  <c r="AW381"/>
  <c r="AW437"/>
  <c r="AW572"/>
  <c r="AW693"/>
  <c r="AW64"/>
  <c r="AW130"/>
  <c r="AW204"/>
  <c r="AW280"/>
  <c r="AW337"/>
  <c r="AW411"/>
  <c r="AW485"/>
  <c r="AW530"/>
  <c r="AW589"/>
  <c r="AW655"/>
  <c r="AW658"/>
  <c r="AW37"/>
  <c r="AW104"/>
  <c r="AW171"/>
  <c r="AW232"/>
  <c r="AW299"/>
  <c r="AW353"/>
  <c r="AW426"/>
  <c r="AW498"/>
  <c r="AW622"/>
  <c r="AW713"/>
  <c r="AW84"/>
  <c r="AW143"/>
  <c r="AW214"/>
  <c r="AW276"/>
  <c r="AW340"/>
  <c r="AW400"/>
  <c r="AW457"/>
  <c r="AW508"/>
  <c r="AW559"/>
  <c r="AW633"/>
  <c r="AW486"/>
  <c r="AW615"/>
  <c r="AW696"/>
  <c r="AW67"/>
  <c r="AW128"/>
  <c r="AW183"/>
  <c r="AW233"/>
  <c r="AW298"/>
  <c r="AW367"/>
  <c r="AW422"/>
  <c r="AW518"/>
  <c r="AW656"/>
  <c r="AW42"/>
  <c r="AW105"/>
  <c r="AW172"/>
  <c r="AW253"/>
  <c r="AW320"/>
  <c r="AW393"/>
  <c r="AW458"/>
  <c r="AW517"/>
  <c r="AW576"/>
  <c r="AW637"/>
  <c r="AW591"/>
  <c r="AW708"/>
  <c r="AW79"/>
  <c r="AW154"/>
  <c r="AW211"/>
  <c r="AW277"/>
  <c r="AW341"/>
  <c r="AW401"/>
  <c r="AW474"/>
  <c r="AW550"/>
  <c r="AW691"/>
  <c r="AW62"/>
  <c r="AW124"/>
  <c r="AW194"/>
  <c r="AW261"/>
  <c r="AW319"/>
  <c r="AW380"/>
  <c r="AW443"/>
  <c r="AW490"/>
  <c r="AW542"/>
  <c r="AW617"/>
  <c r="AW446"/>
  <c r="AW604"/>
  <c r="AW670"/>
  <c r="AW49"/>
  <c r="AW117"/>
  <c r="AW162"/>
  <c r="AW219"/>
  <c r="AW274"/>
  <c r="AW345"/>
  <c r="AW405"/>
  <c r="AW496"/>
  <c r="AW587"/>
  <c r="AW24"/>
  <c r="AW88"/>
  <c r="AW155"/>
  <c r="AW236"/>
  <c r="AW307"/>
  <c r="AW366"/>
  <c r="AW440"/>
  <c r="AW500"/>
  <c r="AW554"/>
  <c r="AW614"/>
  <c r="AW560"/>
  <c r="AW690"/>
  <c r="AW61"/>
  <c r="AW127"/>
  <c r="AW191"/>
  <c r="AW251"/>
  <c r="AW324"/>
  <c r="AW383"/>
  <c r="AW451"/>
  <c r="AW536"/>
  <c r="AW668"/>
  <c r="AW44"/>
  <c r="AW106"/>
  <c r="AW170"/>
  <c r="AW237"/>
  <c r="AW294"/>
  <c r="AW362"/>
  <c r="AW423"/>
  <c r="AW471"/>
  <c r="AW525"/>
  <c r="AW595"/>
  <c r="AW659"/>
  <c r="AW563"/>
  <c r="AW644"/>
  <c r="AW27"/>
  <c r="AW91"/>
  <c r="AW149"/>
  <c r="AW205"/>
  <c r="AW260"/>
  <c r="AW316"/>
  <c r="AW384"/>
  <c r="AW462"/>
  <c r="AW574"/>
  <c r="AW695"/>
  <c r="AW66"/>
  <c r="AW134"/>
  <c r="AW207"/>
  <c r="AW286"/>
  <c r="AW348"/>
  <c r="AW413"/>
  <c r="AW489"/>
  <c r="AW533"/>
  <c r="AW592"/>
  <c r="AW661"/>
  <c r="AW660"/>
  <c r="AW39"/>
  <c r="AW107"/>
  <c r="AW178"/>
  <c r="AW238"/>
  <c r="AW303"/>
  <c r="AW359"/>
  <c r="AW429"/>
  <c r="AW501"/>
  <c r="AW625"/>
  <c r="AW22"/>
  <c r="AW86"/>
  <c r="AW146"/>
  <c r="AW222"/>
  <c r="AW279"/>
  <c r="AW343"/>
  <c r="AW404"/>
  <c r="AW459"/>
  <c r="AW511"/>
  <c r="AW561"/>
  <c r="AW635"/>
  <c r="AW534"/>
  <c r="AW616"/>
  <c r="AW335"/>
  <c r="AW73"/>
  <c r="AW186"/>
  <c r="AW235"/>
  <c r="AW302"/>
  <c r="AW371"/>
  <c r="AW425"/>
  <c r="AW528"/>
  <c r="AW679"/>
  <c r="AW48"/>
  <c r="AW108"/>
  <c r="AW175"/>
  <c r="AW257"/>
  <c r="AW325"/>
  <c r="AW396"/>
  <c r="AW461"/>
  <c r="AW521"/>
  <c r="AW578"/>
  <c r="AW640"/>
  <c r="AW593"/>
  <c r="AW21"/>
  <c r="AW85"/>
  <c r="AW160"/>
  <c r="AW215"/>
  <c r="AW278"/>
  <c r="AW342"/>
  <c r="AW407"/>
  <c r="AW477"/>
  <c r="AW608"/>
  <c r="AW697"/>
  <c r="AW68"/>
  <c r="AW132"/>
  <c r="AW195"/>
  <c r="AW262"/>
  <c r="AW322"/>
  <c r="AW382"/>
  <c r="AW444"/>
  <c r="AW493"/>
  <c r="AW549"/>
  <c r="AW618"/>
  <c r="AW453"/>
  <c r="AW606"/>
  <c r="AW672"/>
  <c r="AW51"/>
  <c r="AW120"/>
  <c r="AW173"/>
  <c r="AW221"/>
  <c r="AW284"/>
  <c r="AW351"/>
  <c r="AW409"/>
  <c r="AW503"/>
  <c r="AW588"/>
  <c r="AW26"/>
  <c r="AW90"/>
  <c r="AW158"/>
  <c r="AW239"/>
  <c r="AW308"/>
  <c r="AW370"/>
  <c r="AW442"/>
  <c r="AW502"/>
  <c r="AW557"/>
  <c r="AW623"/>
  <c r="AW562"/>
  <c r="AW692"/>
  <c r="AW63"/>
  <c r="AW133"/>
  <c r="AW196"/>
  <c r="AW256"/>
  <c r="AW327"/>
  <c r="AW386"/>
  <c r="AW452"/>
  <c r="AW539"/>
  <c r="AW678"/>
  <c r="AW46"/>
  <c r="AW109"/>
  <c r="AW174"/>
  <c r="AW241"/>
  <c r="AW296"/>
  <c r="AW368"/>
  <c r="AW432"/>
  <c r="AW480"/>
  <c r="AW531"/>
  <c r="AW596"/>
  <c r="AW665"/>
  <c r="AW564"/>
  <c r="AW647"/>
  <c r="AW33"/>
  <c r="AW97"/>
  <c r="AW152"/>
  <c r="AW208"/>
  <c r="AW263"/>
  <c r="AW321"/>
  <c r="AW388"/>
  <c r="AW466"/>
  <c r="AW577"/>
  <c r="AW701"/>
  <c r="AW72"/>
  <c r="AW138"/>
  <c r="AW212"/>
  <c r="AW289"/>
  <c r="AW350"/>
  <c r="AW417"/>
  <c r="AW491"/>
  <c r="AW544"/>
  <c r="AW597"/>
  <c r="AW663"/>
  <c r="AW674"/>
  <c r="AW45"/>
  <c r="AW110"/>
  <c r="AW182"/>
  <c r="AW243"/>
  <c r="AW306"/>
  <c r="AW363"/>
  <c r="AW435"/>
  <c r="AW512"/>
  <c r="AW629"/>
  <c r="AW28"/>
  <c r="AW92"/>
  <c r="AW150"/>
  <c r="AW224"/>
  <c r="AW281"/>
  <c r="AW346"/>
  <c r="AW406"/>
  <c r="AW460"/>
  <c r="AW515"/>
  <c r="AW565"/>
  <c r="AW636"/>
  <c r="AW537"/>
  <c r="AW624"/>
  <c r="AW704"/>
  <c r="AW75"/>
  <c r="AW131"/>
  <c r="AW192"/>
  <c r="AW240"/>
  <c r="AW304"/>
  <c r="AW373"/>
  <c r="AW427"/>
  <c r="AW558"/>
  <c r="AW682"/>
  <c r="AW50"/>
  <c r="AW116"/>
  <c r="AW179"/>
  <c r="AW258"/>
  <c r="AW326"/>
  <c r="AW398"/>
  <c r="AW465"/>
  <c r="AW523"/>
  <c r="AW581"/>
  <c r="AW642"/>
  <c r="AW601"/>
  <c r="AW23"/>
  <c r="AW87"/>
  <c r="AW161"/>
  <c r="AW218"/>
  <c r="AW282"/>
  <c r="AW344"/>
  <c r="AW410"/>
  <c r="AW481"/>
  <c r="AW610"/>
  <c r="AW699"/>
  <c r="AW70"/>
  <c r="AW136"/>
  <c r="AW203"/>
  <c r="AW266"/>
  <c r="AW329"/>
  <c r="AW385"/>
  <c r="AW447"/>
  <c r="AW497"/>
  <c r="AW553"/>
  <c r="AW621"/>
  <c r="AW470"/>
  <c r="AW609"/>
  <c r="AK231"/>
  <c r="AE231"/>
  <c r="AF233"/>
  <c r="AJ233" s="1"/>
  <c r="AI232"/>
  <c r="AG232"/>
  <c r="AH232"/>
  <c r="AE17" l="1"/>
  <c r="AK17"/>
  <c r="AX851"/>
  <c r="AW851" s="1"/>
  <c r="B841" i="5"/>
  <c r="D841" s="1"/>
  <c r="A842"/>
  <c r="AY852" i="4" s="1"/>
  <c r="AX852" s="1"/>
  <c r="AW852" s="1"/>
  <c r="S15" a="1"/>
  <c r="S15" s="1"/>
  <c r="AK232"/>
  <c r="AE232"/>
  <c r="AF234"/>
  <c r="AJ234" s="1"/>
  <c r="AI233"/>
  <c r="AG233"/>
  <c r="AH233"/>
  <c r="B842" i="5" l="1"/>
  <c r="D842" s="1"/>
  <c r="A843"/>
  <c r="AY853" i="4" s="1"/>
  <c r="AX853" s="1"/>
  <c r="AW853" s="1"/>
  <c r="AK233"/>
  <c r="AE233"/>
  <c r="AF235"/>
  <c r="AJ235" s="1"/>
  <c r="AH234"/>
  <c r="AI234"/>
  <c r="AG234"/>
  <c r="B843" i="5" l="1"/>
  <c r="D843" s="1"/>
  <c r="A844"/>
  <c r="AY854" i="4" s="1"/>
  <c r="AX854" s="1"/>
  <c r="AW854" s="1"/>
  <c r="AK234"/>
  <c r="AE234"/>
  <c r="AF236"/>
  <c r="AJ236" s="1"/>
  <c r="AH235"/>
  <c r="AI235"/>
  <c r="AG235"/>
  <c r="AE235" s="1"/>
  <c r="A845" i="5" l="1"/>
  <c r="AY855" i="4" s="1"/>
  <c r="AX855" s="1"/>
  <c r="AW855" s="1"/>
  <c r="B844" i="5"/>
  <c r="D844" s="1"/>
  <c r="AK235" i="4"/>
  <c r="AF237"/>
  <c r="AJ237" s="1"/>
  <c r="AH236"/>
  <c r="AG236"/>
  <c r="AE236" s="1"/>
  <c r="AI236"/>
  <c r="A846" i="5" l="1"/>
  <c r="AY856" i="4" s="1"/>
  <c r="AX856" s="1"/>
  <c r="AW856" s="1"/>
  <c r="B845" i="5"/>
  <c r="D845" s="1"/>
  <c r="AK236" i="4"/>
  <c r="AF238"/>
  <c r="AJ238" s="1"/>
  <c r="AI237"/>
  <c r="AH237"/>
  <c r="AG237"/>
  <c r="AE237" s="1"/>
  <c r="A847" i="5" l="1"/>
  <c r="AY857" i="4" s="1"/>
  <c r="AX857" s="1"/>
  <c r="AW857" s="1"/>
  <c r="B846" i="5"/>
  <c r="D846" s="1"/>
  <c r="AK237" i="4"/>
  <c r="AF239"/>
  <c r="AJ239" s="1"/>
  <c r="AG238"/>
  <c r="AE238" s="1"/>
  <c r="AH238"/>
  <c r="AI238"/>
  <c r="B847" i="5" l="1"/>
  <c r="D847" s="1"/>
  <c r="A848"/>
  <c r="AY858" i="4" s="1"/>
  <c r="AX858" s="1"/>
  <c r="AW858" s="1"/>
  <c r="AK238"/>
  <c r="AF240"/>
  <c r="AJ240" s="1"/>
  <c r="AI239"/>
  <c r="AH239"/>
  <c r="AG239"/>
  <c r="AE239" s="1"/>
  <c r="B848" i="5" l="1"/>
  <c r="D848" s="1"/>
  <c r="A849"/>
  <c r="AY859" i="4" s="1"/>
  <c r="AX859" s="1"/>
  <c r="AW859" s="1"/>
  <c r="AK239"/>
  <c r="AF241"/>
  <c r="AJ241" s="1"/>
  <c r="AG240"/>
  <c r="AH240"/>
  <c r="AI240"/>
  <c r="A850" i="5" l="1"/>
  <c r="AY860" i="4" s="1"/>
  <c r="AX860" s="1"/>
  <c r="AW860" s="1"/>
  <c r="B849" i="5"/>
  <c r="D849" s="1"/>
  <c r="AK240" i="4"/>
  <c r="AE240"/>
  <c r="AF242"/>
  <c r="AJ242" s="1"/>
  <c r="AI241"/>
  <c r="AH241"/>
  <c r="AG241"/>
  <c r="B850" i="5" l="1"/>
  <c r="D850" s="1"/>
  <c r="A851"/>
  <c r="AY861" i="4" s="1"/>
  <c r="AK241"/>
  <c r="AE241"/>
  <c r="AF243"/>
  <c r="AJ243" s="1"/>
  <c r="AH242"/>
  <c r="AG242"/>
  <c r="AI242"/>
  <c r="AX861" l="1"/>
  <c r="AW861" s="1"/>
  <c r="AG16"/>
  <c r="B851" i="5"/>
  <c r="D851" s="1"/>
  <c r="A852"/>
  <c r="AY862" i="4" s="1"/>
  <c r="AK242"/>
  <c r="AE242"/>
  <c r="AF244"/>
  <c r="AJ244" s="1"/>
  <c r="AI243"/>
  <c r="AH243"/>
  <c r="AG243"/>
  <c r="AX862" l="1"/>
  <c r="AW862" s="1"/>
  <c r="AG15"/>
  <c r="AE16"/>
  <c r="AK16"/>
  <c r="A853" i="5"/>
  <c r="AY863" i="4" s="1"/>
  <c r="AX863" s="1"/>
  <c r="AW863" s="1"/>
  <c r="B852" i="5"/>
  <c r="D852" s="1"/>
  <c r="AK243" i="4"/>
  <c r="AE243"/>
  <c r="AF245"/>
  <c r="AJ245" s="1"/>
  <c r="AG244"/>
  <c r="AH244"/>
  <c r="AI244"/>
  <c r="AE15" l="1"/>
  <c r="AK15"/>
  <c r="A854" i="5"/>
  <c r="AY864" i="4" s="1"/>
  <c r="AX864" s="1"/>
  <c r="AW864" s="1"/>
  <c r="B853" i="5"/>
  <c r="D853" s="1"/>
  <c r="AK244" i="4"/>
  <c r="AE244"/>
  <c r="AF246"/>
  <c r="AJ246" s="1"/>
  <c r="AI245"/>
  <c r="AH245"/>
  <c r="AG245"/>
  <c r="B854" i="5" l="1"/>
  <c r="D854" s="1"/>
  <c r="A855"/>
  <c r="AK245" i="4"/>
  <c r="AE245"/>
  <c r="AF247"/>
  <c r="AJ247" s="1"/>
  <c r="AG246"/>
  <c r="AH246"/>
  <c r="AI246"/>
  <c r="B855" i="5" l="1"/>
  <c r="D855" s="1"/>
  <c r="AY865" i="4"/>
  <c r="AX865" s="1"/>
  <c r="AW865" s="1"/>
  <c r="A856" i="5"/>
  <c r="AK246" i="4"/>
  <c r="AE246"/>
  <c r="AF248"/>
  <c r="AJ248" s="1"/>
  <c r="AH247"/>
  <c r="AI247"/>
  <c r="AG247"/>
  <c r="AE247" s="1"/>
  <c r="A857" i="5" l="1"/>
  <c r="AY866" i="4"/>
  <c r="AX866" s="1"/>
  <c r="AW866" s="1"/>
  <c r="B856" i="5"/>
  <c r="D856" s="1"/>
  <c r="AK247" i="4"/>
  <c r="AF249"/>
  <c r="AJ249" s="1"/>
  <c r="AI248"/>
  <c r="AH248"/>
  <c r="AG248"/>
  <c r="AY867" l="1"/>
  <c r="AX867" s="1"/>
  <c r="AW867" s="1"/>
  <c r="B857" i="5"/>
  <c r="D857" s="1"/>
  <c r="A858"/>
  <c r="AK248" i="4"/>
  <c r="AE248"/>
  <c r="AF250"/>
  <c r="AJ250" s="1"/>
  <c r="AI249"/>
  <c r="AG249"/>
  <c r="AH249"/>
  <c r="AY868" l="1"/>
  <c r="AX868" s="1"/>
  <c r="AW868" s="1"/>
  <c r="A859" i="5"/>
  <c r="B858"/>
  <c r="D858" s="1"/>
  <c r="AK249" i="4"/>
  <c r="AE249"/>
  <c r="AF251"/>
  <c r="AJ251" s="1"/>
  <c r="AH250"/>
  <c r="AI250"/>
  <c r="AG250"/>
  <c r="AE250" s="1"/>
  <c r="AY869" l="1"/>
  <c r="AX869" s="1"/>
  <c r="AW869" s="1"/>
  <c r="A860" i="5"/>
  <c r="B859"/>
  <c r="D859" s="1"/>
  <c r="AK250" i="4"/>
  <c r="AF252"/>
  <c r="AJ252" s="1"/>
  <c r="AH251"/>
  <c r="AI251"/>
  <c r="AG251"/>
  <c r="AE251" s="1"/>
  <c r="AY870" l="1"/>
  <c r="AX870" s="1"/>
  <c r="AW870" s="1"/>
  <c r="A861" i="5"/>
  <c r="B860"/>
  <c r="D860" s="1"/>
  <c r="AK251" i="4"/>
  <c r="AF253"/>
  <c r="AJ253" s="1"/>
  <c r="AG252"/>
  <c r="AH252"/>
  <c r="AI252"/>
  <c r="AY871" l="1"/>
  <c r="AX871" s="1"/>
  <c r="AW871" s="1"/>
  <c r="B861" i="5"/>
  <c r="D861" s="1"/>
  <c r="A862"/>
  <c r="AK252" i="4"/>
  <c r="AE252"/>
  <c r="AF254"/>
  <c r="AJ254" s="1"/>
  <c r="AI253"/>
  <c r="AG253"/>
  <c r="AH253"/>
  <c r="AY872" l="1"/>
  <c r="AX872" s="1"/>
  <c r="AW872" s="1"/>
  <c r="A863" i="5"/>
  <c r="B862"/>
  <c r="D862" s="1"/>
  <c r="AK253" i="4"/>
  <c r="AE253"/>
  <c r="AF255"/>
  <c r="AJ255" s="1"/>
  <c r="AG254"/>
  <c r="AE254" s="1"/>
  <c r="AI254"/>
  <c r="AH254"/>
  <c r="AY873" l="1"/>
  <c r="AX873" s="1"/>
  <c r="AW873" s="1"/>
  <c r="A864" i="5"/>
  <c r="B863"/>
  <c r="D863" s="1"/>
  <c r="AK254" i="4"/>
  <c r="AF256"/>
  <c r="AJ256" s="1"/>
  <c r="AH255"/>
  <c r="AI255"/>
  <c r="AG255"/>
  <c r="AE255" s="1"/>
  <c r="AY874" l="1"/>
  <c r="AX874" s="1"/>
  <c r="AW874" s="1"/>
  <c r="B864" i="5"/>
  <c r="D864" s="1"/>
  <c r="A865"/>
  <c r="AK255" i="4"/>
  <c r="AF257"/>
  <c r="AJ257" s="1"/>
  <c r="AG256"/>
  <c r="AH256"/>
  <c r="AI256"/>
  <c r="AY875" l="1"/>
  <c r="AX875" s="1"/>
  <c r="AW875" s="1"/>
  <c r="B865" i="5"/>
  <c r="D865" s="1"/>
  <c r="A866"/>
  <c r="AK256" i="4"/>
  <c r="AE256"/>
  <c r="AF258"/>
  <c r="AJ258" s="1"/>
  <c r="AI257"/>
  <c r="AG257"/>
  <c r="AH257"/>
  <c r="AY876" l="1"/>
  <c r="AX876" s="1"/>
  <c r="AW876" s="1"/>
  <c r="A867" i="5"/>
  <c r="B866"/>
  <c r="D866" s="1"/>
  <c r="AK257" i="4"/>
  <c r="AE257"/>
  <c r="AF259"/>
  <c r="AJ259" s="1"/>
  <c r="AH258"/>
  <c r="AG258"/>
  <c r="AE258" s="1"/>
  <c r="AI258"/>
  <c r="AY877" l="1"/>
  <c r="AX877" s="1"/>
  <c r="AW877" s="1"/>
  <c r="A868" i="5"/>
  <c r="B867"/>
  <c r="D867" s="1"/>
  <c r="AK258" i="4"/>
  <c r="AF260"/>
  <c r="AJ260" s="1"/>
  <c r="AH259"/>
  <c r="AG259"/>
  <c r="AI259"/>
  <c r="AY878" l="1"/>
  <c r="AX878" s="1"/>
  <c r="AW878" s="1"/>
  <c r="B868" i="5"/>
  <c r="D868" s="1"/>
  <c r="A869"/>
  <c r="AK259" i="4"/>
  <c r="AE259"/>
  <c r="AF261"/>
  <c r="AJ261" s="1"/>
  <c r="AG260"/>
  <c r="AI260"/>
  <c r="AH260"/>
  <c r="AY879" l="1"/>
  <c r="AX879" s="1"/>
  <c r="AW879" s="1"/>
  <c r="B869" i="5"/>
  <c r="D869" s="1"/>
  <c r="A870"/>
  <c r="AK260" i="4"/>
  <c r="AE260"/>
  <c r="AF262"/>
  <c r="AJ262" s="1"/>
  <c r="AI261"/>
  <c r="AH261"/>
  <c r="AG261"/>
  <c r="AY880" l="1"/>
  <c r="AX880" s="1"/>
  <c r="AW880" s="1"/>
  <c r="A871" i="5"/>
  <c r="B870"/>
  <c r="D870" s="1"/>
  <c r="AK261" i="4"/>
  <c r="AE261"/>
  <c r="AF263"/>
  <c r="AJ263" s="1"/>
  <c r="AI262"/>
  <c r="AG262"/>
  <c r="AH262"/>
  <c r="AY881" l="1"/>
  <c r="AX881" s="1"/>
  <c r="AW881" s="1"/>
  <c r="A872" i="5"/>
  <c r="B871"/>
  <c r="D871" s="1"/>
  <c r="AK262" i="4"/>
  <c r="AE262"/>
  <c r="AF264"/>
  <c r="AJ264" s="1"/>
  <c r="AH263"/>
  <c r="AG263"/>
  <c r="AI263"/>
  <c r="AY882" l="1"/>
  <c r="AX882" s="1"/>
  <c r="AW882" s="1"/>
  <c r="B872" i="5"/>
  <c r="D872" s="1"/>
  <c r="A873"/>
  <c r="AK263" i="4"/>
  <c r="AE263"/>
  <c r="AF265"/>
  <c r="AJ265" s="1"/>
  <c r="AI264"/>
  <c r="AG264"/>
  <c r="AH264"/>
  <c r="AY883" l="1"/>
  <c r="AX883" s="1"/>
  <c r="AW883" s="1"/>
  <c r="B873" i="5"/>
  <c r="D873" s="1"/>
  <c r="A874"/>
  <c r="AK264" i="4"/>
  <c r="AE264"/>
  <c r="AF266"/>
  <c r="AJ266" s="1"/>
  <c r="AI265"/>
  <c r="AH265"/>
  <c r="AG265"/>
  <c r="AY884" l="1"/>
  <c r="AX884" s="1"/>
  <c r="AW884" s="1"/>
  <c r="A875" i="5"/>
  <c r="B874"/>
  <c r="D874" s="1"/>
  <c r="AK265" i="4"/>
  <c r="AE265"/>
  <c r="AF267"/>
  <c r="AJ267" s="1"/>
  <c r="AH266"/>
  <c r="AG266"/>
  <c r="AI266"/>
  <c r="B875" i="5" l="1"/>
  <c r="D875" s="1"/>
  <c r="AY885" i="4"/>
  <c r="AX885" s="1"/>
  <c r="AW885" s="1"/>
  <c r="A876" i="5"/>
  <c r="AK266" i="4"/>
  <c r="AE266"/>
  <c r="AF268"/>
  <c r="AJ268" s="1"/>
  <c r="AH267"/>
  <c r="AG267"/>
  <c r="AI267"/>
  <c r="A877" i="5" l="1"/>
  <c r="AY886" i="4"/>
  <c r="AX886" s="1"/>
  <c r="AW886" s="1"/>
  <c r="B876" i="5"/>
  <c r="D876" s="1"/>
  <c r="AK267" i="4"/>
  <c r="AE267"/>
  <c r="AF269"/>
  <c r="AJ269" s="1"/>
  <c r="AI268"/>
  <c r="AG268"/>
  <c r="AH268"/>
  <c r="AY887" l="1"/>
  <c r="AX887" s="1"/>
  <c r="AW887" s="1"/>
  <c r="A878" i="5"/>
  <c r="B877"/>
  <c r="D877" s="1"/>
  <c r="AK268" i="4"/>
  <c r="AE268"/>
  <c r="AF270"/>
  <c r="AJ270" s="1"/>
  <c r="AH269"/>
  <c r="AG269"/>
  <c r="AI269"/>
  <c r="AY888" l="1"/>
  <c r="AX888" s="1"/>
  <c r="AW888" s="1"/>
  <c r="B878" i="5"/>
  <c r="D878" s="1"/>
  <c r="A879"/>
  <c r="AK269" i="4"/>
  <c r="AE269"/>
  <c r="AF271"/>
  <c r="AJ271" s="1"/>
  <c r="AI270"/>
  <c r="AH270"/>
  <c r="AG270"/>
  <c r="AY889" l="1"/>
  <c r="AX889" s="1"/>
  <c r="AW889" s="1"/>
  <c r="B879" i="5"/>
  <c r="D879" s="1"/>
  <c r="A880"/>
  <c r="AK270" i="4"/>
  <c r="AE270"/>
  <c r="AF272"/>
  <c r="AJ272" s="1"/>
  <c r="AH271"/>
  <c r="AG271"/>
  <c r="AI271"/>
  <c r="AY890" l="1"/>
  <c r="AX890" s="1"/>
  <c r="AW890" s="1"/>
  <c r="B880" i="5"/>
  <c r="D880" s="1"/>
  <c r="A881"/>
  <c r="AK271" i="4"/>
  <c r="AE271"/>
  <c r="AF273"/>
  <c r="AJ273" s="1"/>
  <c r="AG272"/>
  <c r="AI272"/>
  <c r="AH272"/>
  <c r="AY891" l="1"/>
  <c r="AX891" s="1"/>
  <c r="AW891" s="1"/>
  <c r="A882" i="5"/>
  <c r="B881"/>
  <c r="D881" s="1"/>
  <c r="AK272" i="4"/>
  <c r="AE272"/>
  <c r="AF274"/>
  <c r="AJ274" s="1"/>
  <c r="AG273"/>
  <c r="AH273"/>
  <c r="AI273"/>
  <c r="AY892" l="1"/>
  <c r="AX892" s="1"/>
  <c r="AW892" s="1"/>
  <c r="A883" i="5"/>
  <c r="B882"/>
  <c r="D882" s="1"/>
  <c r="AK273" i="4"/>
  <c r="AE273"/>
  <c r="AF275"/>
  <c r="AJ275" s="1"/>
  <c r="AH274"/>
  <c r="AG274"/>
  <c r="AI274"/>
  <c r="AY893" l="1"/>
  <c r="AX893" s="1"/>
  <c r="AW893" s="1"/>
  <c r="A884" i="5"/>
  <c r="B883"/>
  <c r="D883" s="1"/>
  <c r="AK274" i="4"/>
  <c r="AE274"/>
  <c r="AF276"/>
  <c r="AJ276" s="1"/>
  <c r="AH275"/>
  <c r="AI275"/>
  <c r="AG275"/>
  <c r="AY894" l="1"/>
  <c r="AX894" s="1"/>
  <c r="AW894" s="1"/>
  <c r="A885" i="5"/>
  <c r="B884"/>
  <c r="D884" s="1"/>
  <c r="AK275" i="4"/>
  <c r="AE275"/>
  <c r="AF277"/>
  <c r="AJ277" s="1"/>
  <c r="AH276"/>
  <c r="AG276"/>
  <c r="AI276"/>
  <c r="B885" i="5" l="1"/>
  <c r="D885" s="1"/>
  <c r="AY895" i="4"/>
  <c r="AX895" s="1"/>
  <c r="AW895" s="1"/>
  <c r="AK276"/>
  <c r="AE276"/>
  <c r="AF278"/>
  <c r="AJ278" s="1"/>
  <c r="AH277"/>
  <c r="AG277"/>
  <c r="AI277"/>
  <c r="T117" l="1"/>
  <c r="T123"/>
  <c r="T130"/>
  <c r="T126"/>
  <c r="T122"/>
  <c r="T124"/>
  <c r="T121"/>
  <c r="T116"/>
  <c r="T129"/>
  <c r="T128"/>
  <c r="T127"/>
  <c r="T120"/>
  <c r="T118"/>
  <c r="T119"/>
  <c r="T125"/>
  <c r="I72"/>
  <c r="I70"/>
  <c r="I78"/>
  <c r="I76"/>
  <c r="I74"/>
  <c r="I65"/>
  <c r="I69"/>
  <c r="I79"/>
  <c r="I67"/>
  <c r="I80"/>
  <c r="I64"/>
  <c r="I82"/>
  <c r="I77"/>
  <c r="I75"/>
  <c r="I81"/>
  <c r="I73"/>
  <c r="I66"/>
  <c r="I68"/>
  <c r="I63"/>
  <c r="I71"/>
  <c r="AK277"/>
  <c r="AE277"/>
  <c r="AF279"/>
  <c r="AJ279" s="1"/>
  <c r="AH278"/>
  <c r="AI278"/>
  <c r="AG278"/>
  <c r="W118" l="1"/>
  <c r="V118"/>
  <c r="U118"/>
  <c r="U129"/>
  <c r="V129"/>
  <c r="W129"/>
  <c r="W122"/>
  <c r="V122"/>
  <c r="U122"/>
  <c r="W117"/>
  <c r="V117"/>
  <c r="U117"/>
  <c r="W119"/>
  <c r="V119"/>
  <c r="U119"/>
  <c r="U128"/>
  <c r="V128"/>
  <c r="W128"/>
  <c r="W124"/>
  <c r="U124"/>
  <c r="V124"/>
  <c r="U123"/>
  <c r="W123"/>
  <c r="V123"/>
  <c r="W125"/>
  <c r="V125"/>
  <c r="U125"/>
  <c r="W127"/>
  <c r="U127"/>
  <c r="V127"/>
  <c r="U121"/>
  <c r="V121"/>
  <c r="W121"/>
  <c r="V130"/>
  <c r="U130"/>
  <c r="W130"/>
  <c r="U120"/>
  <c r="V120"/>
  <c r="W120"/>
  <c r="V116"/>
  <c r="W116"/>
  <c r="U116"/>
  <c r="U126"/>
  <c r="W126"/>
  <c r="V126"/>
  <c r="AK278"/>
  <c r="AE278"/>
  <c r="AF280"/>
  <c r="AJ280" s="1"/>
  <c r="AI279"/>
  <c r="AH279"/>
  <c r="AG279"/>
  <c r="AK279" l="1"/>
  <c r="AE279"/>
  <c r="AF281"/>
  <c r="AJ281" s="1"/>
  <c r="AG280"/>
  <c r="AI280"/>
  <c r="AH280"/>
  <c r="AK280" l="1"/>
  <c r="AE280"/>
  <c r="AF282"/>
  <c r="AJ282" s="1"/>
  <c r="AI281"/>
  <c r="AH281"/>
  <c r="AG281"/>
  <c r="AK281" l="1"/>
  <c r="AE281"/>
  <c r="AF283"/>
  <c r="AJ283" s="1"/>
  <c r="AH282"/>
  <c r="AI282"/>
  <c r="AG282"/>
  <c r="AK282" l="1"/>
  <c r="AE282"/>
  <c r="AF284"/>
  <c r="AJ284" s="1"/>
  <c r="AH283"/>
  <c r="AG283"/>
  <c r="AI283"/>
  <c r="AK283" l="1"/>
  <c r="AE283"/>
  <c r="AF285"/>
  <c r="AJ285" s="1"/>
  <c r="AG284"/>
  <c r="AI284"/>
  <c r="AH284"/>
  <c r="AK284" l="1"/>
  <c r="AE284"/>
  <c r="AF286"/>
  <c r="AJ286" s="1"/>
  <c r="AH285"/>
  <c r="AG285"/>
  <c r="AI285"/>
  <c r="AK285" l="1"/>
  <c r="AE285"/>
  <c r="AF287"/>
  <c r="AJ287" s="1"/>
  <c r="AH286"/>
  <c r="AG286"/>
  <c r="AI286"/>
  <c r="AK286" l="1"/>
  <c r="AE286"/>
  <c r="AF288"/>
  <c r="AJ288" s="1"/>
  <c r="AH287"/>
  <c r="AG287"/>
  <c r="AI287"/>
  <c r="AK287" l="1"/>
  <c r="AE287"/>
  <c r="AF289"/>
  <c r="AJ289" s="1"/>
  <c r="AI288"/>
  <c r="AH288"/>
  <c r="AG288"/>
  <c r="AK288" l="1"/>
  <c r="AE288"/>
  <c r="AF290"/>
  <c r="AJ290" s="1"/>
  <c r="AH289"/>
  <c r="AI289"/>
  <c r="AG289"/>
  <c r="AK289" l="1"/>
  <c r="AE289"/>
  <c r="AF291"/>
  <c r="AJ291" s="1"/>
  <c r="AH290"/>
  <c r="AG290"/>
  <c r="AI290"/>
  <c r="AK290" l="1"/>
  <c r="AE290"/>
  <c r="AF292"/>
  <c r="AJ292" s="1"/>
  <c r="AH291"/>
  <c r="AI291"/>
  <c r="AG291"/>
  <c r="AK291" l="1"/>
  <c r="AE291"/>
  <c r="AF293"/>
  <c r="AJ293" s="1"/>
  <c r="AI292"/>
  <c r="AH292"/>
  <c r="AG292"/>
  <c r="AK292" l="1"/>
  <c r="AE292"/>
  <c r="AF294"/>
  <c r="AJ294" s="1"/>
  <c r="AH293"/>
  <c r="AG293"/>
  <c r="AI293"/>
  <c r="AK293" l="1"/>
  <c r="AE293"/>
  <c r="AF295"/>
  <c r="AJ295" s="1"/>
  <c r="AH294"/>
  <c r="AI294"/>
  <c r="AG294"/>
  <c r="AE294" s="1"/>
  <c r="AK294" l="1"/>
  <c r="AF296"/>
  <c r="AJ296" s="1"/>
  <c r="AH295"/>
  <c r="AG295"/>
  <c r="AI295"/>
  <c r="AK295" l="1"/>
  <c r="AE295"/>
  <c r="AF297"/>
  <c r="AJ297" s="1"/>
  <c r="AI296"/>
  <c r="AG296"/>
  <c r="AH296"/>
  <c r="AK296" l="1"/>
  <c r="AE296"/>
  <c r="AF298"/>
  <c r="AJ298" s="1"/>
  <c r="AH297"/>
  <c r="AI297"/>
  <c r="AG297"/>
  <c r="AK297" l="1"/>
  <c r="AE297"/>
  <c r="AF299"/>
  <c r="AJ299" s="1"/>
  <c r="AH298"/>
  <c r="AG298"/>
  <c r="AI298"/>
  <c r="AK298" l="1"/>
  <c r="AE298"/>
  <c r="AF300"/>
  <c r="AJ300" s="1"/>
  <c r="AI299"/>
  <c r="AH299"/>
  <c r="AG299"/>
  <c r="AK299" l="1"/>
  <c r="AE299"/>
  <c r="AF301"/>
  <c r="AJ301" s="1"/>
  <c r="AG300"/>
  <c r="AE300" s="1"/>
  <c r="AH300"/>
  <c r="AI300"/>
  <c r="AK300" l="1"/>
  <c r="AF302"/>
  <c r="AJ302" s="1"/>
  <c r="AH301"/>
  <c r="AG301"/>
  <c r="AE301" s="1"/>
  <c r="AI301"/>
  <c r="AK301" l="1"/>
  <c r="AF303"/>
  <c r="AJ303" s="1"/>
  <c r="AH302"/>
  <c r="AI302"/>
  <c r="AG302"/>
  <c r="AK302" l="1"/>
  <c r="AE302"/>
  <c r="AF304"/>
  <c r="AJ304" s="1"/>
  <c r="AH303"/>
  <c r="AG303"/>
  <c r="AI303"/>
  <c r="AK303" l="1"/>
  <c r="AE303"/>
  <c r="AF305"/>
  <c r="AJ305" s="1"/>
  <c r="AH304"/>
  <c r="AG304"/>
  <c r="AI304"/>
  <c r="AK304" l="1"/>
  <c r="AE304"/>
  <c r="AF306"/>
  <c r="AJ306" s="1"/>
  <c r="AH305"/>
  <c r="AG305"/>
  <c r="AI305"/>
  <c r="AK305" l="1"/>
  <c r="AE305"/>
  <c r="AF307"/>
  <c r="AJ307" s="1"/>
  <c r="AH306"/>
  <c r="AG306"/>
  <c r="AI306"/>
  <c r="AK306" l="1"/>
  <c r="AE306"/>
  <c r="AF308"/>
  <c r="AJ308" s="1"/>
  <c r="AH307"/>
  <c r="AG307"/>
  <c r="AI307"/>
  <c r="AK307" l="1"/>
  <c r="AE307"/>
  <c r="AF309"/>
  <c r="AJ309" s="1"/>
  <c r="AI308"/>
  <c r="AH308"/>
  <c r="AG308"/>
  <c r="AK308" l="1"/>
  <c r="AE308"/>
  <c r="AF310"/>
  <c r="AJ310" s="1"/>
  <c r="AI309"/>
  <c r="AH309"/>
  <c r="AG309"/>
  <c r="AK309" l="1"/>
  <c r="AE309"/>
  <c r="AF311"/>
  <c r="AJ311" s="1"/>
  <c r="AH310"/>
  <c r="AG310"/>
  <c r="AI310"/>
  <c r="AK310" l="1"/>
  <c r="AE310"/>
  <c r="AF312"/>
  <c r="AJ312" s="1"/>
  <c r="AH311"/>
  <c r="AG311"/>
  <c r="AI311"/>
  <c r="AK311" l="1"/>
  <c r="AE311"/>
  <c r="AF313"/>
  <c r="AJ313" s="1"/>
  <c r="AG312"/>
  <c r="AH312"/>
  <c r="AI312"/>
  <c r="AK312" l="1"/>
  <c r="AE312"/>
  <c r="AF314"/>
  <c r="AJ314" s="1"/>
  <c r="AH313"/>
  <c r="AG313"/>
  <c r="AI313"/>
  <c r="AK313" l="1"/>
  <c r="AE313"/>
  <c r="AF315"/>
  <c r="AJ315" s="1"/>
  <c r="AH314"/>
  <c r="AG314"/>
  <c r="AI314"/>
  <c r="AK314" l="1"/>
  <c r="AE314"/>
  <c r="AF316"/>
  <c r="AJ316" s="1"/>
  <c r="AI315"/>
  <c r="AH315"/>
  <c r="AG315"/>
  <c r="AK315" l="1"/>
  <c r="AE315"/>
  <c r="AF317"/>
  <c r="AJ317" s="1"/>
  <c r="AG316"/>
  <c r="AI316"/>
  <c r="AH316"/>
  <c r="AK316" l="1"/>
  <c r="AE316"/>
  <c r="AF318"/>
  <c r="AJ318" s="1"/>
  <c r="AH317"/>
  <c r="AI317"/>
  <c r="AG317"/>
  <c r="AK317" l="1"/>
  <c r="AE317"/>
  <c r="AF319"/>
  <c r="AJ319" s="1"/>
  <c r="AH318"/>
  <c r="AI318"/>
  <c r="AG318"/>
  <c r="AK318" l="1"/>
  <c r="AE318"/>
  <c r="AF320"/>
  <c r="AJ320" s="1"/>
  <c r="AI319"/>
  <c r="AH319"/>
  <c r="AG319"/>
  <c r="AK319" l="1"/>
  <c r="AE319"/>
  <c r="AF321"/>
  <c r="AJ321" s="1"/>
  <c r="AH320"/>
  <c r="AI320"/>
  <c r="AG320"/>
  <c r="AK320" l="1"/>
  <c r="AE320"/>
  <c r="AF322"/>
  <c r="AJ322" s="1"/>
  <c r="AI321"/>
  <c r="AH321"/>
  <c r="AG321"/>
  <c r="AK321" l="1"/>
  <c r="AE321"/>
  <c r="AF323"/>
  <c r="AJ323" s="1"/>
  <c r="AH322"/>
  <c r="AG322"/>
  <c r="AI322"/>
  <c r="AK322" l="1"/>
  <c r="AE322"/>
  <c r="AF324"/>
  <c r="AJ324" s="1"/>
  <c r="AH323"/>
  <c r="AI323"/>
  <c r="AG323"/>
  <c r="AK323" l="1"/>
  <c r="AE323"/>
  <c r="AF325"/>
  <c r="AJ325" s="1"/>
  <c r="AH324"/>
  <c r="AG324"/>
  <c r="AI324"/>
  <c r="AK324" l="1"/>
  <c r="AE324"/>
  <c r="AF326"/>
  <c r="AJ326" s="1"/>
  <c r="AH325"/>
  <c r="AG325"/>
  <c r="AI325"/>
  <c r="AK325" l="1"/>
  <c r="AE325"/>
  <c r="AF327"/>
  <c r="AJ327" s="1"/>
  <c r="AI326"/>
  <c r="AH326"/>
  <c r="AG326"/>
  <c r="AK326" l="1"/>
  <c r="AE326"/>
  <c r="AF328"/>
  <c r="AJ328" s="1"/>
  <c r="AH327"/>
  <c r="AI327"/>
  <c r="AG327"/>
  <c r="AK327" l="1"/>
  <c r="AE327"/>
  <c r="AF329"/>
  <c r="AJ329" s="1"/>
  <c r="AI328"/>
  <c r="AG328"/>
  <c r="AH328"/>
  <c r="AK328" l="1"/>
  <c r="AE328"/>
  <c r="AF330"/>
  <c r="AJ330" s="1"/>
  <c r="AH329"/>
  <c r="AG329"/>
  <c r="AI329"/>
  <c r="AK329" l="1"/>
  <c r="AE329"/>
  <c r="AF331"/>
  <c r="AJ331" s="1"/>
  <c r="AI330"/>
  <c r="AH330"/>
  <c r="AG330"/>
  <c r="AK330" l="1"/>
  <c r="AE330"/>
  <c r="AF332"/>
  <c r="AJ332" s="1"/>
  <c r="AH331"/>
  <c r="AG331"/>
  <c r="AI331"/>
  <c r="AK331" l="1"/>
  <c r="AE331"/>
  <c r="AF333"/>
  <c r="AJ333" s="1"/>
  <c r="AI332"/>
  <c r="AG332"/>
  <c r="AH332"/>
  <c r="AK332" l="1"/>
  <c r="AE332"/>
  <c r="AF334"/>
  <c r="AJ334" s="1"/>
  <c r="AI333"/>
  <c r="AH333"/>
  <c r="AG333"/>
  <c r="AK333" l="1"/>
  <c r="AE333"/>
  <c r="AF335"/>
  <c r="AJ335" s="1"/>
  <c r="AI334"/>
  <c r="AH334"/>
  <c r="AG334"/>
  <c r="AK334" l="1"/>
  <c r="AE334"/>
  <c r="AF336"/>
  <c r="AJ336" s="1"/>
  <c r="AH335"/>
  <c r="AG335"/>
  <c r="AI335"/>
  <c r="AK335" l="1"/>
  <c r="AE335"/>
  <c r="AF337"/>
  <c r="AJ337" s="1"/>
  <c r="AH336"/>
  <c r="AI336"/>
  <c r="AG336"/>
  <c r="AK336" l="1"/>
  <c r="AE336"/>
  <c r="AF338"/>
  <c r="AJ338" s="1"/>
  <c r="AH337"/>
  <c r="AG337"/>
  <c r="AI337"/>
  <c r="AK337" l="1"/>
  <c r="AE337"/>
  <c r="AF339"/>
  <c r="AJ339" s="1"/>
  <c r="AI338"/>
  <c r="AH338"/>
  <c r="AG338"/>
  <c r="AK338" l="1"/>
  <c r="AE338"/>
  <c r="AF340"/>
  <c r="AJ340" s="1"/>
  <c r="AH339"/>
  <c r="AG339"/>
  <c r="AI339"/>
  <c r="AK339" l="1"/>
  <c r="AE339"/>
  <c r="AF341"/>
  <c r="AJ341" s="1"/>
  <c r="AG340"/>
  <c r="AH340"/>
  <c r="AI340"/>
  <c r="AK340" l="1"/>
  <c r="AE340"/>
  <c r="AF342"/>
  <c r="AJ342" s="1"/>
  <c r="AI341"/>
  <c r="AH341"/>
  <c r="AG341"/>
  <c r="AK341" l="1"/>
  <c r="AE341"/>
  <c r="AF343"/>
  <c r="AJ343" s="1"/>
  <c r="AI342"/>
  <c r="AH342"/>
  <c r="AG342"/>
  <c r="AK342" l="1"/>
  <c r="AE342"/>
  <c r="AF344"/>
  <c r="AJ344" s="1"/>
  <c r="AH343"/>
  <c r="AG343"/>
  <c r="AI343"/>
  <c r="AK343" l="1"/>
  <c r="AE343"/>
  <c r="AF345"/>
  <c r="AJ345" s="1"/>
  <c r="AI344"/>
  <c r="AG344"/>
  <c r="AH344"/>
  <c r="AK344" l="1"/>
  <c r="AE344"/>
  <c r="AF346"/>
  <c r="AJ346" s="1"/>
  <c r="AH345"/>
  <c r="AG345"/>
  <c r="AI345"/>
  <c r="AK345" l="1"/>
  <c r="AE345"/>
  <c r="AF347"/>
  <c r="AJ347" s="1"/>
  <c r="AH346"/>
  <c r="AG346"/>
  <c r="AI346"/>
  <c r="AK346" l="1"/>
  <c r="AE346"/>
  <c r="AF348"/>
  <c r="AJ348" s="1"/>
  <c r="AI347"/>
  <c r="AH347"/>
  <c r="AG347"/>
  <c r="AK347" l="1"/>
  <c r="AE347"/>
  <c r="AF349"/>
  <c r="AJ349" s="1"/>
  <c r="AI348"/>
  <c r="AG348"/>
  <c r="AH348"/>
  <c r="AK348" l="1"/>
  <c r="AE348"/>
  <c r="AF350"/>
  <c r="AJ350" s="1"/>
  <c r="AI349"/>
  <c r="AH349"/>
  <c r="AG349"/>
  <c r="AK349" l="1"/>
  <c r="AE349"/>
  <c r="AF351"/>
  <c r="AJ351" s="1"/>
  <c r="AH350"/>
  <c r="AG350"/>
  <c r="AI350"/>
  <c r="AK350" l="1"/>
  <c r="AE350"/>
  <c r="AF352"/>
  <c r="AJ352" s="1"/>
  <c r="AI351"/>
  <c r="AH351"/>
  <c r="AG351"/>
  <c r="AK351" l="1"/>
  <c r="AE351"/>
  <c r="AF353"/>
  <c r="AJ353" s="1"/>
  <c r="AI352"/>
  <c r="AH352"/>
  <c r="AG352"/>
  <c r="AK352" l="1"/>
  <c r="AE352"/>
  <c r="AF354"/>
  <c r="AJ354" s="1"/>
  <c r="AH353"/>
  <c r="AG353"/>
  <c r="AI353"/>
  <c r="AK353" l="1"/>
  <c r="AE353"/>
  <c r="AF355"/>
  <c r="AJ355" s="1"/>
  <c r="AI354"/>
  <c r="AH354"/>
  <c r="AG354"/>
  <c r="AK354" l="1"/>
  <c r="AE354"/>
  <c r="AF356"/>
  <c r="AJ356" s="1"/>
  <c r="AI355"/>
  <c r="AH355"/>
  <c r="AG355"/>
  <c r="AK355" l="1"/>
  <c r="AE355"/>
  <c r="AF357"/>
  <c r="AJ357" s="1"/>
  <c r="AI356"/>
  <c r="AG356"/>
  <c r="AH356"/>
  <c r="AK356" l="1"/>
  <c r="AE356"/>
  <c r="AF358"/>
  <c r="AJ358" s="1"/>
  <c r="AI357"/>
  <c r="AH357"/>
  <c r="AG357"/>
  <c r="AK357" l="1"/>
  <c r="AE357"/>
  <c r="AF359"/>
  <c r="AJ359" s="1"/>
  <c r="AI358"/>
  <c r="AH358"/>
  <c r="AG358"/>
  <c r="AK358" l="1"/>
  <c r="AE358"/>
  <c r="AF360"/>
  <c r="AJ360" s="1"/>
  <c r="AI359"/>
  <c r="AH359"/>
  <c r="AG359"/>
  <c r="AK359" l="1"/>
  <c r="AE359"/>
  <c r="AF361"/>
  <c r="AJ361" s="1"/>
  <c r="AI360"/>
  <c r="AG360"/>
  <c r="AH360"/>
  <c r="AK360" l="1"/>
  <c r="AE360"/>
  <c r="AF362"/>
  <c r="AJ362" s="1"/>
  <c r="AH361"/>
  <c r="AG361"/>
  <c r="AI361"/>
  <c r="AK361" l="1"/>
  <c r="AE361"/>
  <c r="AF363"/>
  <c r="AJ363" s="1"/>
  <c r="AH362"/>
  <c r="AG362"/>
  <c r="AI362"/>
  <c r="AK362" l="1"/>
  <c r="AE362"/>
  <c r="AF364"/>
  <c r="AJ364" s="1"/>
  <c r="AH363"/>
  <c r="AG363"/>
  <c r="AI363"/>
  <c r="AK363" l="1"/>
  <c r="AE363"/>
  <c r="AF365"/>
  <c r="AJ365" s="1"/>
  <c r="AG364"/>
  <c r="AK364" s="1"/>
  <c r="AI364"/>
  <c r="AH364"/>
  <c r="AF366" l="1"/>
  <c r="AJ366" s="1"/>
  <c r="AH365"/>
  <c r="AI365"/>
  <c r="AG365"/>
  <c r="AK365" s="1"/>
  <c r="AF367" l="1"/>
  <c r="AJ367" s="1"/>
  <c r="AI366"/>
  <c r="AH366"/>
  <c r="AG366"/>
  <c r="AK366" s="1"/>
  <c r="AF368" l="1"/>
  <c r="AJ368" s="1"/>
  <c r="AH367"/>
  <c r="AG367"/>
  <c r="AK367" s="1"/>
  <c r="AI367"/>
  <c r="AF369" l="1"/>
  <c r="AJ369" s="1"/>
  <c r="AH368"/>
  <c r="AG368"/>
  <c r="AK368" s="1"/>
  <c r="AI368"/>
  <c r="AF370" l="1"/>
  <c r="AJ370" s="1"/>
  <c r="AH369"/>
  <c r="AG369"/>
  <c r="AK369" s="1"/>
  <c r="AI369"/>
  <c r="AF371" l="1"/>
  <c r="AJ371" s="1"/>
  <c r="AH370"/>
  <c r="AG370"/>
  <c r="AK370" s="1"/>
  <c r="AI370"/>
  <c r="AF372" l="1"/>
  <c r="AJ372" s="1"/>
  <c r="AI371"/>
  <c r="AH371"/>
  <c r="AG371"/>
  <c r="AK371" s="1"/>
  <c r="AF373" l="1"/>
  <c r="AJ373" s="1"/>
  <c r="AG372"/>
  <c r="AK372" s="1"/>
  <c r="AI372"/>
  <c r="AH372"/>
  <c r="AF374" l="1"/>
  <c r="AJ374" s="1"/>
  <c r="AI373"/>
  <c r="AH373"/>
  <c r="AG373"/>
  <c r="AK373" s="1"/>
  <c r="AF375" l="1"/>
  <c r="AJ375" s="1"/>
  <c r="AI374"/>
  <c r="AH374"/>
  <c r="AG374"/>
  <c r="AK374" s="1"/>
  <c r="AF376" l="1"/>
  <c r="AJ376" s="1"/>
  <c r="AH375"/>
  <c r="AG375"/>
  <c r="AK375" s="1"/>
  <c r="AI375"/>
  <c r="AF377" l="1"/>
  <c r="AJ377" s="1"/>
  <c r="AI376"/>
  <c r="AG376"/>
  <c r="AK376" s="1"/>
  <c r="AH376"/>
  <c r="AF378" l="1"/>
  <c r="AJ378" s="1"/>
  <c r="AH377"/>
  <c r="AG377"/>
  <c r="AK377" s="1"/>
  <c r="AI377"/>
  <c r="AF379" l="1"/>
  <c r="AJ379" s="1"/>
  <c r="AI378"/>
  <c r="AH378"/>
  <c r="AG378"/>
  <c r="AK378" s="1"/>
  <c r="AF380" l="1"/>
  <c r="AJ380" s="1"/>
  <c r="AI379"/>
  <c r="AH379"/>
  <c r="AG379"/>
  <c r="AK379" s="1"/>
  <c r="AF381" l="1"/>
  <c r="AJ381" s="1"/>
  <c r="AG380"/>
  <c r="AK380" s="1"/>
  <c r="AH380"/>
  <c r="AI380"/>
  <c r="AF382" l="1"/>
  <c r="AJ382" s="1"/>
  <c r="AI381"/>
  <c r="AH381"/>
  <c r="AG381"/>
  <c r="AK381" s="1"/>
  <c r="AF383" l="1"/>
  <c r="AJ383" s="1"/>
  <c r="AH382"/>
  <c r="AG382"/>
  <c r="AK382" s="1"/>
  <c r="AI382"/>
  <c r="AF384" l="1"/>
  <c r="AJ384" s="1"/>
  <c r="AI383"/>
  <c r="AH383"/>
  <c r="AG383"/>
  <c r="AK383" s="1"/>
  <c r="AF385" l="1"/>
  <c r="AJ385" s="1"/>
  <c r="AI384"/>
  <c r="AH384"/>
  <c r="AG384"/>
  <c r="AK384" s="1"/>
  <c r="AF386" l="1"/>
  <c r="AJ386" s="1"/>
  <c r="AI385"/>
  <c r="AH385"/>
  <c r="AG385"/>
  <c r="AK385" s="1"/>
  <c r="AF387" l="1"/>
  <c r="AJ387" s="1"/>
  <c r="AH386"/>
  <c r="AG386"/>
  <c r="AK386" s="1"/>
  <c r="AI386"/>
  <c r="AF388" l="1"/>
  <c r="AJ388" s="1"/>
  <c r="AI387"/>
  <c r="AH387"/>
  <c r="AG387"/>
  <c r="AK387" s="1"/>
  <c r="AF389" l="1"/>
  <c r="AJ389" s="1"/>
  <c r="AG388"/>
  <c r="AK388" s="1"/>
  <c r="AI388"/>
  <c r="AH388"/>
  <c r="AF390" l="1"/>
  <c r="AJ390" s="1"/>
  <c r="AI389"/>
  <c r="AH389"/>
  <c r="AG389"/>
  <c r="AK389" s="1"/>
  <c r="AF391" l="1"/>
  <c r="AJ391" s="1"/>
  <c r="AH390"/>
  <c r="AG390"/>
  <c r="AK390" s="1"/>
  <c r="AI390"/>
  <c r="AF392" l="1"/>
  <c r="AJ392" s="1"/>
  <c r="AI391"/>
  <c r="AH391"/>
  <c r="AG391"/>
  <c r="AK391" s="1"/>
  <c r="AF393" l="1"/>
  <c r="AJ393" s="1"/>
  <c r="AG392"/>
  <c r="AK392" s="1"/>
  <c r="AH392"/>
  <c r="AI392"/>
  <c r="AF394" l="1"/>
  <c r="AJ394" s="1"/>
  <c r="AI393"/>
  <c r="AH393"/>
  <c r="AG393"/>
  <c r="AK393" s="1"/>
  <c r="AF395" l="1"/>
  <c r="AJ395" s="1"/>
  <c r="AI394"/>
  <c r="AH394"/>
  <c r="AG394"/>
  <c r="AK394" s="1"/>
  <c r="AF396" l="1"/>
  <c r="AJ396" s="1"/>
  <c r="AI395"/>
  <c r="AH395"/>
  <c r="AG395"/>
  <c r="AK395" s="1"/>
  <c r="AF397" l="1"/>
  <c r="AJ397" s="1"/>
  <c r="AI396"/>
  <c r="AG396"/>
  <c r="AK396" s="1"/>
  <c r="AH396"/>
  <c r="AF398" l="1"/>
  <c r="AJ398" s="1"/>
  <c r="AI397"/>
  <c r="AH397"/>
  <c r="AG397"/>
  <c r="AK397" s="1"/>
  <c r="AF399" l="1"/>
  <c r="AJ399" s="1"/>
  <c r="AI398"/>
  <c r="AH398"/>
  <c r="AG398"/>
  <c r="AK398" s="1"/>
  <c r="AF400" l="1"/>
  <c r="AJ400" s="1"/>
  <c r="AI399"/>
  <c r="AH399"/>
  <c r="AG399"/>
  <c r="AK399" s="1"/>
  <c r="AF401" l="1"/>
  <c r="AJ401" s="1"/>
  <c r="AI400"/>
  <c r="AH400"/>
  <c r="AG400"/>
  <c r="AK400" s="1"/>
  <c r="AF402" l="1"/>
  <c r="AJ402" s="1"/>
  <c r="AI401"/>
  <c r="AH401"/>
  <c r="AG401"/>
  <c r="AK401" s="1"/>
  <c r="AF403" l="1"/>
  <c r="AJ403" s="1"/>
  <c r="AI402"/>
  <c r="AH402"/>
  <c r="AG402"/>
  <c r="AK402" s="1"/>
  <c r="AF404" l="1"/>
  <c r="AJ404" s="1"/>
  <c r="AI403"/>
  <c r="AH403"/>
  <c r="AG403"/>
  <c r="AK403" s="1"/>
  <c r="AF405" l="1"/>
  <c r="AJ405" s="1"/>
  <c r="AG404"/>
  <c r="AK404" s="1"/>
  <c r="AH404"/>
  <c r="AI404"/>
  <c r="AF406" l="1"/>
  <c r="AJ406" s="1"/>
  <c r="AI405"/>
  <c r="AH405"/>
  <c r="AG405"/>
  <c r="AK405" s="1"/>
  <c r="AF407" l="1"/>
  <c r="AJ407" s="1"/>
  <c r="AI406"/>
  <c r="AH406"/>
  <c r="AG406"/>
  <c r="AK406" s="1"/>
  <c r="AF408" l="1"/>
  <c r="AJ408" s="1"/>
  <c r="AH407"/>
  <c r="AG407"/>
  <c r="AK407" s="1"/>
  <c r="AI407"/>
  <c r="AF409" l="1"/>
  <c r="AJ409" s="1"/>
  <c r="AI408"/>
  <c r="AG408"/>
  <c r="AK408" s="1"/>
  <c r="AH408"/>
  <c r="AF410" l="1"/>
  <c r="AJ410" s="1"/>
  <c r="AI409"/>
  <c r="AH409"/>
  <c r="AG409"/>
  <c r="AK409" l="1"/>
  <c r="AE409"/>
  <c r="AF411"/>
  <c r="AJ411" s="1"/>
  <c r="AI410"/>
  <c r="AH410"/>
  <c r="AG410"/>
  <c r="AK410" l="1"/>
  <c r="AE410"/>
  <c r="AF412"/>
  <c r="AJ412" s="1"/>
  <c r="AH411"/>
  <c r="AG411"/>
  <c r="AI411"/>
  <c r="AK411" l="1"/>
  <c r="AE411"/>
  <c r="AF413"/>
  <c r="AJ413" s="1"/>
  <c r="AI412"/>
  <c r="AG412"/>
  <c r="AK412" s="1"/>
  <c r="AH412"/>
  <c r="AF414" l="1"/>
  <c r="AJ414" s="1"/>
  <c r="AI413"/>
  <c r="AH413"/>
  <c r="AG413"/>
  <c r="AK413" s="1"/>
  <c r="AF415" l="1"/>
  <c r="AJ415" s="1"/>
  <c r="AI414"/>
  <c r="AH414"/>
  <c r="AG414"/>
  <c r="AK414" s="1"/>
  <c r="AF416" l="1"/>
  <c r="AJ416" s="1"/>
  <c r="AH415"/>
  <c r="AI415"/>
  <c r="AG415"/>
  <c r="AK415" s="1"/>
  <c r="AF417" l="1"/>
  <c r="AJ417" s="1"/>
  <c r="AI416"/>
  <c r="AH416"/>
  <c r="AG416"/>
  <c r="AK416" s="1"/>
  <c r="AF418" l="1"/>
  <c r="AJ418" s="1"/>
  <c r="AI417"/>
  <c r="AH417"/>
  <c r="AG417"/>
  <c r="AK417" s="1"/>
  <c r="AF419" l="1"/>
  <c r="AJ419" s="1"/>
  <c r="AI418"/>
  <c r="AH418"/>
  <c r="AG418"/>
  <c r="AK418" s="1"/>
  <c r="AF420" l="1"/>
  <c r="AJ420" s="1"/>
  <c r="AI419"/>
  <c r="AH419"/>
  <c r="AG419"/>
  <c r="AK419" s="1"/>
  <c r="AF421" l="1"/>
  <c r="AJ421" s="1"/>
  <c r="AI420"/>
  <c r="AG420"/>
  <c r="AK420" s="1"/>
  <c r="AH420"/>
  <c r="AF422" l="1"/>
  <c r="AJ422" s="1"/>
  <c r="AI421"/>
  <c r="AH421"/>
  <c r="AG421"/>
  <c r="AK421" s="1"/>
  <c r="AF423" l="1"/>
  <c r="AJ423" s="1"/>
  <c r="AI422"/>
  <c r="AH422"/>
  <c r="AG422"/>
  <c r="AK422" s="1"/>
  <c r="AF424" l="1"/>
  <c r="AJ424" s="1"/>
  <c r="AH423"/>
  <c r="AG423"/>
  <c r="AK423" s="1"/>
  <c r="AI423"/>
  <c r="AF425" l="1"/>
  <c r="AJ425" s="1"/>
  <c r="AI424"/>
  <c r="AG424"/>
  <c r="AK424" s="1"/>
  <c r="AH424"/>
  <c r="AF426" l="1"/>
  <c r="AJ426" s="1"/>
  <c r="AI425"/>
  <c r="AH425"/>
  <c r="AG425"/>
  <c r="AK425" s="1"/>
  <c r="AF427" l="1"/>
  <c r="AJ427" s="1"/>
  <c r="AI426"/>
  <c r="AH426"/>
  <c r="AG426"/>
  <c r="AK426" s="1"/>
  <c r="AF428" l="1"/>
  <c r="AJ428" s="1"/>
  <c r="AG427"/>
  <c r="AK427" s="1"/>
  <c r="AI427"/>
  <c r="AH427"/>
  <c r="AF429" l="1"/>
  <c r="AJ429" s="1"/>
  <c r="AI428"/>
  <c r="AG428"/>
  <c r="AK428" s="1"/>
  <c r="AH428"/>
  <c r="AF430" l="1"/>
  <c r="AJ430" s="1"/>
  <c r="AI429"/>
  <c r="AH429"/>
  <c r="AG429"/>
  <c r="AK429" s="1"/>
  <c r="AF431" l="1"/>
  <c r="AJ431" s="1"/>
  <c r="AI430"/>
  <c r="AG430"/>
  <c r="AK430" s="1"/>
  <c r="AH430"/>
  <c r="AF432" l="1"/>
  <c r="AJ432" s="1"/>
  <c r="AI431"/>
  <c r="AH431"/>
  <c r="AG431"/>
  <c r="AK431" s="1"/>
  <c r="AF433" l="1"/>
  <c r="AJ433" s="1"/>
  <c r="AI432"/>
  <c r="AG432"/>
  <c r="AK432" s="1"/>
  <c r="AH432"/>
  <c r="AF434" l="1"/>
  <c r="AJ434" s="1"/>
  <c r="AI433"/>
  <c r="AH433"/>
  <c r="AG433"/>
  <c r="AK433" s="1"/>
  <c r="AF435" l="1"/>
  <c r="AJ435" s="1"/>
  <c r="AI434"/>
  <c r="AH434"/>
  <c r="AG434"/>
  <c r="AK434" s="1"/>
  <c r="AF436" l="1"/>
  <c r="AJ436" s="1"/>
  <c r="AI435"/>
  <c r="AH435"/>
  <c r="AG435"/>
  <c r="AK435" s="1"/>
  <c r="AF437" l="1"/>
  <c r="AJ437" s="1"/>
  <c r="AG436"/>
  <c r="AK436" s="1"/>
  <c r="AI436"/>
  <c r="AH436"/>
  <c r="AF438" l="1"/>
  <c r="AJ438" s="1"/>
  <c r="AI437"/>
  <c r="AH437"/>
  <c r="AG437"/>
  <c r="AK437" s="1"/>
  <c r="AF439" l="1"/>
  <c r="AJ439" s="1"/>
  <c r="AI438"/>
  <c r="AH438"/>
  <c r="AG438"/>
  <c r="AK438" s="1"/>
  <c r="AF440" l="1"/>
  <c r="AJ440" s="1"/>
  <c r="AH439"/>
  <c r="AG439"/>
  <c r="AK439" s="1"/>
  <c r="AI439"/>
  <c r="AF441" l="1"/>
  <c r="AJ441" s="1"/>
  <c r="AG440"/>
  <c r="AK440" s="1"/>
  <c r="AH440"/>
  <c r="AI440"/>
  <c r="AF442" l="1"/>
  <c r="AJ442" s="1"/>
  <c r="AH441"/>
  <c r="AG441"/>
  <c r="AK441" s="1"/>
  <c r="AI441"/>
  <c r="AF443" l="1"/>
  <c r="AJ443" s="1"/>
  <c r="AH442"/>
  <c r="AG442"/>
  <c r="AK442" s="1"/>
  <c r="AI442"/>
  <c r="AF444" l="1"/>
  <c r="AJ444" s="1"/>
  <c r="AH443"/>
  <c r="AG443"/>
  <c r="AK443" s="1"/>
  <c r="AI443"/>
  <c r="AF445" l="1"/>
  <c r="AJ445" s="1"/>
  <c r="AG444"/>
  <c r="AK444" s="1"/>
  <c r="AI444"/>
  <c r="AH444"/>
  <c r="AF446" l="1"/>
  <c r="AJ446" s="1"/>
  <c r="AH445"/>
  <c r="AG445"/>
  <c r="AK445" s="1"/>
  <c r="AI445"/>
  <c r="AF447" l="1"/>
  <c r="AJ447" s="1"/>
  <c r="AH446"/>
  <c r="AI446"/>
  <c r="AG446"/>
  <c r="AK446" s="1"/>
  <c r="AF448" l="1"/>
  <c r="AJ448" s="1"/>
  <c r="AI447"/>
  <c r="AH447"/>
  <c r="AG447"/>
  <c r="AK447" s="1"/>
  <c r="AF449" l="1"/>
  <c r="AJ449" s="1"/>
  <c r="AH448"/>
  <c r="AG448"/>
  <c r="AK448" s="1"/>
  <c r="AI448"/>
  <c r="AF450" l="1"/>
  <c r="AJ450" s="1"/>
  <c r="AI449"/>
  <c r="AH449"/>
  <c r="AG449"/>
  <c r="AK449" s="1"/>
  <c r="AF451" l="1"/>
  <c r="AJ451" s="1"/>
  <c r="AH450"/>
  <c r="AG450"/>
  <c r="AK450" s="1"/>
  <c r="AI450"/>
  <c r="AF452" l="1"/>
  <c r="AJ452" s="1"/>
  <c r="AH451"/>
  <c r="AG451"/>
  <c r="AK451" s="1"/>
  <c r="AI451"/>
  <c r="AF453" l="1"/>
  <c r="AJ453" s="1"/>
  <c r="AH452"/>
  <c r="AI452"/>
  <c r="AG452"/>
  <c r="AK452" s="1"/>
  <c r="AF454" l="1"/>
  <c r="AJ454" s="1"/>
  <c r="AH453"/>
  <c r="AG453"/>
  <c r="AK453" s="1"/>
  <c r="AI453"/>
  <c r="AF455" l="1"/>
  <c r="AJ455" s="1"/>
  <c r="AH454"/>
  <c r="AG454"/>
  <c r="AK454" s="1"/>
  <c r="AI454"/>
  <c r="AF456" l="1"/>
  <c r="AJ456" s="1"/>
  <c r="AH455"/>
  <c r="AG455"/>
  <c r="AK455" s="1"/>
  <c r="AI455"/>
  <c r="AF457" l="1"/>
  <c r="AJ457" s="1"/>
  <c r="AG456"/>
  <c r="AK456" s="1"/>
  <c r="AH456"/>
  <c r="AI456"/>
  <c r="AF458" l="1"/>
  <c r="AJ458" s="1"/>
  <c r="AH457"/>
  <c r="AG457"/>
  <c r="AK457" s="1"/>
  <c r="AI457"/>
  <c r="AF459" l="1"/>
  <c r="AJ459" s="1"/>
  <c r="AH458"/>
  <c r="AG458"/>
  <c r="AK458" s="1"/>
  <c r="AI458"/>
  <c r="AF460" l="1"/>
  <c r="AJ460" s="1"/>
  <c r="AH459"/>
  <c r="AG459"/>
  <c r="AK459" s="1"/>
  <c r="AI459"/>
  <c r="AF461" l="1"/>
  <c r="AJ461" s="1"/>
  <c r="AG460"/>
  <c r="AK460" s="1"/>
  <c r="AH460"/>
  <c r="AI460"/>
  <c r="AF462" l="1"/>
  <c r="AJ462" s="1"/>
  <c r="AI461"/>
  <c r="AH461"/>
  <c r="AG461"/>
  <c r="AK461" s="1"/>
  <c r="AF463" l="1"/>
  <c r="AJ463" s="1"/>
  <c r="AH462"/>
  <c r="AG462"/>
  <c r="AK462" s="1"/>
  <c r="AI462"/>
  <c r="AF464" l="1"/>
  <c r="AJ464" s="1"/>
  <c r="AH463"/>
  <c r="AG463"/>
  <c r="AK463" s="1"/>
  <c r="AI463"/>
  <c r="AF465" l="1"/>
  <c r="AJ465" s="1"/>
  <c r="AH464"/>
  <c r="AG464"/>
  <c r="AK464" s="1"/>
  <c r="AI464"/>
  <c r="AF466" l="1"/>
  <c r="AJ466" s="1"/>
  <c r="AH465"/>
  <c r="AG465"/>
  <c r="AK465" s="1"/>
  <c r="AI465"/>
  <c r="AF467" l="1"/>
  <c r="AJ467" s="1"/>
  <c r="AH466"/>
  <c r="AG466"/>
  <c r="AK466" s="1"/>
  <c r="AI466"/>
  <c r="AF468" l="1"/>
  <c r="AJ468" s="1"/>
  <c r="AH467"/>
  <c r="AG467"/>
  <c r="AK467" s="1"/>
  <c r="AI467"/>
  <c r="AF469" l="1"/>
  <c r="AJ469" s="1"/>
  <c r="AH468"/>
  <c r="AI468"/>
  <c r="AG468"/>
  <c r="AK468" s="1"/>
  <c r="AF470" l="1"/>
  <c r="AJ470" s="1"/>
  <c r="AH469"/>
  <c r="AG469"/>
  <c r="AK469" s="1"/>
  <c r="AI469"/>
  <c r="AF471" l="1"/>
  <c r="AJ471" s="1"/>
  <c r="AH470"/>
  <c r="AG470"/>
  <c r="AK470" s="1"/>
  <c r="AI470"/>
  <c r="AF472" l="1"/>
  <c r="AJ472" s="1"/>
  <c r="AH471"/>
  <c r="AG471"/>
  <c r="AK471" s="1"/>
  <c r="AI471"/>
  <c r="AF473" l="1"/>
  <c r="AJ473" s="1"/>
  <c r="AG472"/>
  <c r="AK472" s="1"/>
  <c r="AH472"/>
  <c r="AI472"/>
  <c r="AF474" l="1"/>
  <c r="AJ474" s="1"/>
  <c r="AH473"/>
  <c r="AG473"/>
  <c r="AK473" s="1"/>
  <c r="AI473"/>
  <c r="AF475" l="1"/>
  <c r="AJ475" s="1"/>
  <c r="AH474"/>
  <c r="AG474"/>
  <c r="AK474" s="1"/>
  <c r="AI474"/>
  <c r="AF476" l="1"/>
  <c r="AJ476" s="1"/>
  <c r="AH475"/>
  <c r="AG475"/>
  <c r="AK475" s="1"/>
  <c r="AI475"/>
  <c r="AF477" l="1"/>
  <c r="AJ477" s="1"/>
  <c r="AI476"/>
  <c r="AG476"/>
  <c r="AK476" s="1"/>
  <c r="AH476"/>
  <c r="AF478" l="1"/>
  <c r="AJ478" s="1"/>
  <c r="AI477"/>
  <c r="AH477"/>
  <c r="AG477"/>
  <c r="AK477" s="1"/>
  <c r="AF479" l="1"/>
  <c r="AJ479" s="1"/>
  <c r="AH478"/>
  <c r="AG478"/>
  <c r="AK478" s="1"/>
  <c r="AI478"/>
  <c r="AF480" l="1"/>
  <c r="AJ480" s="1"/>
  <c r="AI479"/>
  <c r="AH479"/>
  <c r="AG479"/>
  <c r="AK479" s="1"/>
  <c r="AF481" l="1"/>
  <c r="AJ481" s="1"/>
  <c r="AH480"/>
  <c r="AI480"/>
  <c r="AG480"/>
  <c r="AK480" s="1"/>
  <c r="AF482" l="1"/>
  <c r="AJ482" s="1"/>
  <c r="AI481"/>
  <c r="AH481"/>
  <c r="AG481"/>
  <c r="AK481" s="1"/>
  <c r="AF483" l="1"/>
  <c r="AJ483" s="1"/>
  <c r="AI482"/>
  <c r="AH482"/>
  <c r="AG482"/>
  <c r="AK482" s="1"/>
  <c r="AF484" l="1"/>
  <c r="AJ484" s="1"/>
  <c r="AH483"/>
  <c r="AG483"/>
  <c r="AK483" s="1"/>
  <c r="AI483"/>
  <c r="AF485" l="1"/>
  <c r="AJ485" s="1"/>
  <c r="AI484"/>
  <c r="AG484"/>
  <c r="AK484" s="1"/>
  <c r="AH484"/>
  <c r="AF486" l="1"/>
  <c r="AJ486" s="1"/>
  <c r="AH485"/>
  <c r="AG485"/>
  <c r="AK485" s="1"/>
  <c r="AI485"/>
  <c r="AF487" l="1"/>
  <c r="AJ487" s="1"/>
  <c r="AI486"/>
  <c r="AH486"/>
  <c r="AG486"/>
  <c r="AK486" s="1"/>
  <c r="AF488" l="1"/>
  <c r="AJ488" s="1"/>
  <c r="AH487"/>
  <c r="AG487"/>
  <c r="AK487" s="1"/>
  <c r="AI487"/>
  <c r="AF489" l="1"/>
  <c r="AJ489" s="1"/>
  <c r="AG488"/>
  <c r="AK488" s="1"/>
  <c r="AH488"/>
  <c r="AI488"/>
  <c r="AF490" l="1"/>
  <c r="AJ490" s="1"/>
  <c r="AI489"/>
  <c r="AH489"/>
  <c r="AG489"/>
  <c r="AK489" s="1"/>
  <c r="AF491" l="1"/>
  <c r="AJ491" s="1"/>
  <c r="AI490"/>
  <c r="AH490"/>
  <c r="AG490"/>
  <c r="AK490" s="1"/>
  <c r="AH491" l="1"/>
  <c r="AG491"/>
  <c r="AK491" s="1"/>
  <c r="AI491"/>
  <c r="L15" l="1" a="1"/>
  <c r="L15" s="1"/>
  <c r="L16" l="1"/>
  <c r="M16" l="1"/>
  <c r="S16"/>
  <c r="T16" s="1"/>
  <c r="L17"/>
  <c r="U16" l="1"/>
  <c r="W16"/>
  <c r="O16"/>
  <c r="P16"/>
  <c r="V16"/>
  <c r="M17"/>
  <c r="S17"/>
  <c r="T17" s="1"/>
  <c r="W17" s="1"/>
  <c r="N16"/>
  <c r="K16" s="1"/>
  <c r="L18"/>
  <c r="O17" l="1"/>
  <c r="P17"/>
  <c r="U17"/>
  <c r="V17"/>
  <c r="M18"/>
  <c r="S18"/>
  <c r="T18" s="1"/>
  <c r="W18" s="1"/>
  <c r="N17"/>
  <c r="K17" s="1"/>
  <c r="L19"/>
  <c r="P18" l="1"/>
  <c r="O18"/>
  <c r="U18"/>
  <c r="V18"/>
  <c r="M19"/>
  <c r="R16"/>
  <c r="R17"/>
  <c r="S19"/>
  <c r="T19" s="1"/>
  <c r="W19" s="1"/>
  <c r="N18"/>
  <c r="K18" s="1"/>
  <c r="L20"/>
  <c r="O19" l="1"/>
  <c r="P19"/>
  <c r="U19"/>
  <c r="V19"/>
  <c r="M20"/>
  <c r="R18"/>
  <c r="S20"/>
  <c r="T20" s="1"/>
  <c r="W20" s="1"/>
  <c r="N19"/>
  <c r="K19" s="1"/>
  <c r="L21"/>
  <c r="O20" l="1"/>
  <c r="P20"/>
  <c r="U20"/>
  <c r="V20"/>
  <c r="M21"/>
  <c r="R19"/>
  <c r="S21"/>
  <c r="T21" s="1"/>
  <c r="W21" s="1"/>
  <c r="N20"/>
  <c r="K20" s="1"/>
  <c r="L22"/>
  <c r="O21" l="1"/>
  <c r="P21"/>
  <c r="U21"/>
  <c r="V21"/>
  <c r="M22"/>
  <c r="R20"/>
  <c r="S22"/>
  <c r="T22" s="1"/>
  <c r="W22" s="1"/>
  <c r="N21"/>
  <c r="K21" s="1"/>
  <c r="L23"/>
  <c r="O22" l="1"/>
  <c r="P22"/>
  <c r="V22"/>
  <c r="U22"/>
  <c r="M23"/>
  <c r="R21"/>
  <c r="S23"/>
  <c r="T23" s="1"/>
  <c r="W23" s="1"/>
  <c r="N22"/>
  <c r="K22" s="1"/>
  <c r="L24"/>
  <c r="O23" l="1"/>
  <c r="P23"/>
  <c r="U23"/>
  <c r="V23"/>
  <c r="M24"/>
  <c r="R22"/>
  <c r="S24"/>
  <c r="T24" s="1"/>
  <c r="W24" s="1"/>
  <c r="N23"/>
  <c r="K23" s="1"/>
  <c r="L25"/>
  <c r="O24" l="1"/>
  <c r="P24"/>
  <c r="U24"/>
  <c r="V24"/>
  <c r="M25"/>
  <c r="R23"/>
  <c r="S25"/>
  <c r="T25" s="1"/>
  <c r="W25" s="1"/>
  <c r="N24"/>
  <c r="K24" s="1"/>
  <c r="L26"/>
  <c r="O25" l="1"/>
  <c r="P25"/>
  <c r="U25"/>
  <c r="V25"/>
  <c r="M26"/>
  <c r="R24"/>
  <c r="S26"/>
  <c r="T26" s="1"/>
  <c r="W26" s="1"/>
  <c r="N25"/>
  <c r="K25" s="1"/>
  <c r="L27"/>
  <c r="M27" s="1"/>
  <c r="P27" l="1"/>
  <c r="N27"/>
  <c r="O27"/>
  <c r="O26"/>
  <c r="P26"/>
  <c r="V26"/>
  <c r="U26"/>
  <c r="R25"/>
  <c r="S27"/>
  <c r="T27" s="1"/>
  <c r="W27" s="1"/>
  <c r="N26"/>
  <c r="K26" s="1"/>
  <c r="L28"/>
  <c r="M28" s="1"/>
  <c r="P28" l="1"/>
  <c r="N28"/>
  <c r="O28"/>
  <c r="U27"/>
  <c r="V27"/>
  <c r="R26"/>
  <c r="S28"/>
  <c r="T28" s="1"/>
  <c r="W28" s="1"/>
  <c r="K27"/>
  <c r="L29"/>
  <c r="M29" s="1"/>
  <c r="P29" l="1"/>
  <c r="N29"/>
  <c r="O29"/>
  <c r="U28"/>
  <c r="V28"/>
  <c r="R27"/>
  <c r="S29"/>
  <c r="T29" s="1"/>
  <c r="W29" s="1"/>
  <c r="K28"/>
  <c r="L30"/>
  <c r="M30" s="1"/>
  <c r="P30" l="1"/>
  <c r="N30"/>
  <c r="O30"/>
  <c r="U29"/>
  <c r="V29"/>
  <c r="R28"/>
  <c r="S30"/>
  <c r="T30" s="1"/>
  <c r="W30" s="1"/>
  <c r="K29"/>
  <c r="L31"/>
  <c r="M31" s="1"/>
  <c r="P31" l="1"/>
  <c r="O31"/>
  <c r="N31"/>
  <c r="V30"/>
  <c r="U30"/>
  <c r="R29"/>
  <c r="S31"/>
  <c r="T31" s="1"/>
  <c r="W31" s="1"/>
  <c r="K30"/>
  <c r="L32"/>
  <c r="M32" s="1"/>
  <c r="P32" l="1"/>
  <c r="N32"/>
  <c r="O32"/>
  <c r="U31"/>
  <c r="V31"/>
  <c r="R30"/>
  <c r="S32"/>
  <c r="T32" s="1"/>
  <c r="W32" s="1"/>
  <c r="K31"/>
  <c r="L33"/>
  <c r="M33" s="1"/>
  <c r="P33" l="1"/>
  <c r="N33"/>
  <c r="O33"/>
  <c r="U32"/>
  <c r="V32"/>
  <c r="R31"/>
  <c r="S33"/>
  <c r="T33" s="1"/>
  <c r="W33" s="1"/>
  <c r="K32"/>
  <c r="L34"/>
  <c r="M34" s="1"/>
  <c r="P34" l="1"/>
  <c r="N34"/>
  <c r="O34"/>
  <c r="U33"/>
  <c r="V33"/>
  <c r="R32"/>
  <c r="S34"/>
  <c r="T34" s="1"/>
  <c r="W34" s="1"/>
  <c r="K33"/>
  <c r="L35"/>
  <c r="M35" s="1"/>
  <c r="P35" l="1"/>
  <c r="N35"/>
  <c r="O35"/>
  <c r="V34"/>
  <c r="U34"/>
  <c r="R33"/>
  <c r="S35"/>
  <c r="T35" s="1"/>
  <c r="W35" s="1"/>
  <c r="K34"/>
  <c r="L36"/>
  <c r="M36" s="1"/>
  <c r="P36" l="1"/>
  <c r="N36"/>
  <c r="O36"/>
  <c r="U35"/>
  <c r="V35"/>
  <c r="R34"/>
  <c r="S36"/>
  <c r="T36" s="1"/>
  <c r="W36" s="1"/>
  <c r="K35"/>
  <c r="L37"/>
  <c r="M37" s="1"/>
  <c r="P37" l="1"/>
  <c r="N37"/>
  <c r="O37"/>
  <c r="U36"/>
  <c r="V36"/>
  <c r="S37"/>
  <c r="R35"/>
  <c r="K36"/>
  <c r="L38"/>
  <c r="M38" s="1"/>
  <c r="P38" l="1"/>
  <c r="N38"/>
  <c r="O38"/>
  <c r="T37"/>
  <c r="W37" s="1"/>
  <c r="S38"/>
  <c r="R36"/>
  <c r="K37"/>
  <c r="L39"/>
  <c r="M39" s="1"/>
  <c r="P39" l="1"/>
  <c r="O39"/>
  <c r="N39"/>
  <c r="T38"/>
  <c r="W38" s="1"/>
  <c r="U37"/>
  <c r="R37" s="1"/>
  <c r="V37"/>
  <c r="S39"/>
  <c r="K38"/>
  <c r="L40"/>
  <c r="M40" s="1"/>
  <c r="P40" l="1"/>
  <c r="N40"/>
  <c r="O40"/>
  <c r="T39"/>
  <c r="W39" s="1"/>
  <c r="V38"/>
  <c r="U38"/>
  <c r="R38" s="1"/>
  <c r="S40"/>
  <c r="S41" s="1"/>
  <c r="K39"/>
  <c r="L41"/>
  <c r="M41" s="1"/>
  <c r="P41" l="1"/>
  <c r="N41"/>
  <c r="O41"/>
  <c r="U39"/>
  <c r="R39" s="1"/>
  <c r="V39"/>
  <c r="T41"/>
  <c r="W41" s="1"/>
  <c r="T40"/>
  <c r="W40" s="1"/>
  <c r="S42"/>
  <c r="K40"/>
  <c r="L42"/>
  <c r="M42" s="1"/>
  <c r="P42" l="1"/>
  <c r="N42"/>
  <c r="O42"/>
  <c r="T42"/>
  <c r="W42" s="1"/>
  <c r="U40"/>
  <c r="R40" s="1"/>
  <c r="V40"/>
  <c r="U41"/>
  <c r="V41"/>
  <c r="S43"/>
  <c r="K41"/>
  <c r="L43"/>
  <c r="M43" s="1"/>
  <c r="P43" l="1"/>
  <c r="N43"/>
  <c r="O43"/>
  <c r="R41"/>
  <c r="V42"/>
  <c r="U42"/>
  <c r="R42" s="1"/>
  <c r="T43"/>
  <c r="W43" s="1"/>
  <c r="S44"/>
  <c r="K42"/>
  <c r="L44"/>
  <c r="M44" s="1"/>
  <c r="P44" l="1"/>
  <c r="N44"/>
  <c r="O44"/>
  <c r="U43"/>
  <c r="R43" s="1"/>
  <c r="V43"/>
  <c r="T44"/>
  <c r="W44" s="1"/>
  <c r="S45"/>
  <c r="K43"/>
  <c r="L45"/>
  <c r="M45" s="1"/>
  <c r="P45" l="1"/>
  <c r="N45"/>
  <c r="O45"/>
  <c r="T45"/>
  <c r="W45" s="1"/>
  <c r="V44"/>
  <c r="U44"/>
  <c r="R44" s="1"/>
  <c r="S46"/>
  <c r="K44"/>
  <c r="L46"/>
  <c r="M46" s="1"/>
  <c r="P46" l="1"/>
  <c r="N46"/>
  <c r="O46"/>
  <c r="U45"/>
  <c r="R45" s="1"/>
  <c r="V45"/>
  <c r="T46"/>
  <c r="W46" s="1"/>
  <c r="S47"/>
  <c r="K45"/>
  <c r="L47"/>
  <c r="T47" l="1"/>
  <c r="W47" s="1"/>
  <c r="V46"/>
  <c r="U46"/>
  <c r="R46" s="1"/>
  <c r="M47"/>
  <c r="S48"/>
  <c r="K46"/>
  <c r="L48"/>
  <c r="O47" l="1"/>
  <c r="P47"/>
  <c r="U47"/>
  <c r="R47" s="1"/>
  <c r="V47"/>
  <c r="T48"/>
  <c r="W48" s="1"/>
  <c r="M48"/>
  <c r="S49"/>
  <c r="N47"/>
  <c r="K47" s="1"/>
  <c r="L49"/>
  <c r="O48" l="1"/>
  <c r="P48"/>
  <c r="T49"/>
  <c r="W49" s="1"/>
  <c r="V48"/>
  <c r="U48"/>
  <c r="R48" s="1"/>
  <c r="M49"/>
  <c r="S50"/>
  <c r="N48"/>
  <c r="K48" s="1"/>
  <c r="L50"/>
  <c r="O49" l="1"/>
  <c r="P49"/>
  <c r="U49"/>
  <c r="R49" s="1"/>
  <c r="V49"/>
  <c r="T50"/>
  <c r="W50" s="1"/>
  <c r="M50"/>
  <c r="S51"/>
  <c r="N49"/>
  <c r="K49" s="1"/>
  <c r="L51"/>
  <c r="O50" l="1"/>
  <c r="P50"/>
  <c r="T51"/>
  <c r="W51" s="1"/>
  <c r="V50"/>
  <c r="U50"/>
  <c r="R50" s="1"/>
  <c r="M51"/>
  <c r="S52"/>
  <c r="N50"/>
  <c r="K50" s="1"/>
  <c r="L52"/>
  <c r="O51" l="1"/>
  <c r="P51"/>
  <c r="U51"/>
  <c r="R51" s="1"/>
  <c r="V51"/>
  <c r="T52"/>
  <c r="W52" s="1"/>
  <c r="M52"/>
  <c r="S53"/>
  <c r="N51"/>
  <c r="K51" s="1"/>
  <c r="L53"/>
  <c r="O52" l="1"/>
  <c r="P52"/>
  <c r="T53"/>
  <c r="W53" s="1"/>
  <c r="V52"/>
  <c r="U52"/>
  <c r="R52" s="1"/>
  <c r="M53"/>
  <c r="S54"/>
  <c r="N52"/>
  <c r="K52" s="1"/>
  <c r="L54"/>
  <c r="O53" l="1"/>
  <c r="P53"/>
  <c r="U53"/>
  <c r="R53" s="1"/>
  <c r="V53"/>
  <c r="T54"/>
  <c r="W54" s="1"/>
  <c r="M54"/>
  <c r="S55"/>
  <c r="N53"/>
  <c r="K53" s="1"/>
  <c r="L55"/>
  <c r="O54" l="1"/>
  <c r="P54"/>
  <c r="T55"/>
  <c r="W55" s="1"/>
  <c r="V54"/>
  <c r="U54"/>
  <c r="R54" s="1"/>
  <c r="M55"/>
  <c r="S56"/>
  <c r="N54"/>
  <c r="K54" s="1"/>
  <c r="L56"/>
  <c r="O55" l="1"/>
  <c r="P55"/>
  <c r="V55"/>
  <c r="U55"/>
  <c r="R55" s="1"/>
  <c r="T56"/>
  <c r="W56" s="1"/>
  <c r="M56"/>
  <c r="S57"/>
  <c r="N55"/>
  <c r="K55" s="1"/>
  <c r="L57"/>
  <c r="O56" l="1"/>
  <c r="P56"/>
  <c r="T57"/>
  <c r="W57" s="1"/>
  <c r="V56"/>
  <c r="U56"/>
  <c r="R56" s="1"/>
  <c r="M57"/>
  <c r="S58"/>
  <c r="N56"/>
  <c r="K56" s="1"/>
  <c r="L58"/>
  <c r="O57" l="1"/>
  <c r="P57"/>
  <c r="U57"/>
  <c r="R57" s="1"/>
  <c r="V57"/>
  <c r="T58"/>
  <c r="W58" s="1"/>
  <c r="M58"/>
  <c r="S59"/>
  <c r="N57"/>
  <c r="K57" s="1"/>
  <c r="L59"/>
  <c r="O58" l="1"/>
  <c r="P58"/>
  <c r="T59"/>
  <c r="W59" s="1"/>
  <c r="V58"/>
  <c r="U58"/>
  <c r="R58" s="1"/>
  <c r="M59"/>
  <c r="S60"/>
  <c r="N58"/>
  <c r="K58" s="1"/>
  <c r="L60"/>
  <c r="O59" l="1"/>
  <c r="P59"/>
  <c r="U59"/>
  <c r="R59" s="1"/>
  <c r="V59"/>
  <c r="T60"/>
  <c r="W60" s="1"/>
  <c r="M60"/>
  <c r="S61"/>
  <c r="N59"/>
  <c r="K59" s="1"/>
  <c r="L61"/>
  <c r="O60" l="1"/>
  <c r="P60"/>
  <c r="T61"/>
  <c r="W61" s="1"/>
  <c r="V60"/>
  <c r="U60"/>
  <c r="R60" s="1"/>
  <c r="M61"/>
  <c r="S62"/>
  <c r="L62"/>
  <c r="N60"/>
  <c r="K60" s="1"/>
  <c r="O61" l="1"/>
  <c r="P61"/>
  <c r="U61"/>
  <c r="R61" s="1"/>
  <c r="V61"/>
  <c r="T62"/>
  <c r="W62" s="1"/>
  <c r="M62"/>
  <c r="S63"/>
  <c r="L63"/>
  <c r="N61"/>
  <c r="K61" s="1"/>
  <c r="O62" l="1"/>
  <c r="P62"/>
  <c r="T63"/>
  <c r="W63" s="1"/>
  <c r="V62"/>
  <c r="U62"/>
  <c r="R62" s="1"/>
  <c r="M63"/>
  <c r="S64"/>
  <c r="N62"/>
  <c r="K62" s="1"/>
  <c r="L64"/>
  <c r="O63" l="1"/>
  <c r="P63"/>
  <c r="U63"/>
  <c r="R63" s="1"/>
  <c r="V63"/>
  <c r="T64"/>
  <c r="W64" s="1"/>
  <c r="M64"/>
  <c r="S65"/>
  <c r="L65"/>
  <c r="N63"/>
  <c r="K63" s="1"/>
  <c r="O64" l="1"/>
  <c r="P64"/>
  <c r="T65"/>
  <c r="W65" s="1"/>
  <c r="V64"/>
  <c r="U64"/>
  <c r="R64" s="1"/>
  <c r="M65"/>
  <c r="S66"/>
  <c r="L66"/>
  <c r="N64"/>
  <c r="K64" s="1"/>
  <c r="O65" l="1"/>
  <c r="P65"/>
  <c r="U65"/>
  <c r="R65" s="1"/>
  <c r="V65"/>
  <c r="T66"/>
  <c r="W66" s="1"/>
  <c r="M66"/>
  <c r="S67"/>
  <c r="L67"/>
  <c r="N65"/>
  <c r="K65" s="1"/>
  <c r="O66" l="1"/>
  <c r="P66"/>
  <c r="T67"/>
  <c r="W67" s="1"/>
  <c r="V66"/>
  <c r="U66"/>
  <c r="R66" s="1"/>
  <c r="M67"/>
  <c r="S68"/>
  <c r="L68"/>
  <c r="N66"/>
  <c r="K66" s="1"/>
  <c r="O67" l="1"/>
  <c r="P67"/>
  <c r="U67"/>
  <c r="R67" s="1"/>
  <c r="V67"/>
  <c r="T68"/>
  <c r="W68" s="1"/>
  <c r="M68"/>
  <c r="S69"/>
  <c r="L69"/>
  <c r="N67"/>
  <c r="K67" s="1"/>
  <c r="O68" l="1"/>
  <c r="P68"/>
  <c r="T69"/>
  <c r="W69" s="1"/>
  <c r="V68"/>
  <c r="U68"/>
  <c r="R68" s="1"/>
  <c r="M69"/>
  <c r="S70"/>
  <c r="L70"/>
  <c r="N68"/>
  <c r="K68" s="1"/>
  <c r="O69" l="1"/>
  <c r="P69"/>
  <c r="U69"/>
  <c r="R69" s="1"/>
  <c r="V69"/>
  <c r="T70"/>
  <c r="W70" s="1"/>
  <c r="M70"/>
  <c r="S71"/>
  <c r="L71"/>
  <c r="N69"/>
  <c r="K69" s="1"/>
  <c r="O70" l="1"/>
  <c r="P70"/>
  <c r="T71"/>
  <c r="W71" s="1"/>
  <c r="V70"/>
  <c r="U70"/>
  <c r="R70" s="1"/>
  <c r="M71"/>
  <c r="S72"/>
  <c r="L72"/>
  <c r="N70"/>
  <c r="K70" s="1"/>
  <c r="O71" l="1"/>
  <c r="P71"/>
  <c r="V71"/>
  <c r="U71"/>
  <c r="R71" s="1"/>
  <c r="T72"/>
  <c r="W72" s="1"/>
  <c r="M72"/>
  <c r="S73"/>
  <c r="L73"/>
  <c r="N71"/>
  <c r="K71" s="1"/>
  <c r="O72" l="1"/>
  <c r="P72"/>
  <c r="T73"/>
  <c r="W73" s="1"/>
  <c r="V72"/>
  <c r="U72"/>
  <c r="R72" s="1"/>
  <c r="M73"/>
  <c r="S74"/>
  <c r="L74"/>
  <c r="N72"/>
  <c r="K72" s="1"/>
  <c r="O73" l="1"/>
  <c r="P73"/>
  <c r="U73"/>
  <c r="V73"/>
  <c r="T74"/>
  <c r="W74" s="1"/>
  <c r="M74"/>
  <c r="S75"/>
  <c r="R73"/>
  <c r="L75"/>
  <c r="N73"/>
  <c r="K73" s="1"/>
  <c r="O74" l="1"/>
  <c r="P74"/>
  <c r="T75"/>
  <c r="W75" s="1"/>
  <c r="V74"/>
  <c r="U74"/>
  <c r="R74" s="1"/>
  <c r="M75"/>
  <c r="S76"/>
  <c r="L76"/>
  <c r="N74"/>
  <c r="K74" s="1"/>
  <c r="O75" l="1"/>
  <c r="P75"/>
  <c r="U75"/>
  <c r="R75" s="1"/>
  <c r="V75"/>
  <c r="T76"/>
  <c r="W76" s="1"/>
  <c r="M76"/>
  <c r="S77"/>
  <c r="L77"/>
  <c r="N75"/>
  <c r="K75" s="1"/>
  <c r="O76" l="1"/>
  <c r="P76"/>
  <c r="T77"/>
  <c r="W77" s="1"/>
  <c r="V76"/>
  <c r="U76"/>
  <c r="R76" s="1"/>
  <c r="M77"/>
  <c r="S78"/>
  <c r="L78"/>
  <c r="N76"/>
  <c r="K76" s="1"/>
  <c r="O77" l="1"/>
  <c r="P77"/>
  <c r="U77"/>
  <c r="R77" s="1"/>
  <c r="V77"/>
  <c r="T78"/>
  <c r="W78" s="1"/>
  <c r="M78"/>
  <c r="S79"/>
  <c r="L79"/>
  <c r="N77"/>
  <c r="K77" s="1"/>
  <c r="O78" l="1"/>
  <c r="P78"/>
  <c r="T79"/>
  <c r="W79" s="1"/>
  <c r="V78"/>
  <c r="U78"/>
  <c r="R78" s="1"/>
  <c r="M79"/>
  <c r="S80"/>
  <c r="L80"/>
  <c r="N78"/>
  <c r="K78" s="1"/>
  <c r="O79" l="1"/>
  <c r="P79"/>
  <c r="U79"/>
  <c r="R79" s="1"/>
  <c r="V79"/>
  <c r="T80"/>
  <c r="W80" s="1"/>
  <c r="M80"/>
  <c r="S81"/>
  <c r="L81"/>
  <c r="N79"/>
  <c r="K79" s="1"/>
  <c r="O80" l="1"/>
  <c r="P80"/>
  <c r="T81"/>
  <c r="W81" s="1"/>
  <c r="V80"/>
  <c r="U80"/>
  <c r="R80" s="1"/>
  <c r="M81"/>
  <c r="S82"/>
  <c r="L82"/>
  <c r="N80"/>
  <c r="K80" s="1"/>
  <c r="O81" l="1"/>
  <c r="P81"/>
  <c r="U81"/>
  <c r="R81" s="1"/>
  <c r="V81"/>
  <c r="T82"/>
  <c r="W82" s="1"/>
  <c r="M82"/>
  <c r="S83"/>
  <c r="L83"/>
  <c r="N81"/>
  <c r="K81" s="1"/>
  <c r="O82" l="1"/>
  <c r="P82"/>
  <c r="V82"/>
  <c r="U82"/>
  <c r="R82" s="1"/>
  <c r="T83"/>
  <c r="W83" s="1"/>
  <c r="M83"/>
  <c r="S84"/>
  <c r="L84"/>
  <c r="N82"/>
  <c r="K82" s="1"/>
  <c r="O83" l="1"/>
  <c r="P83"/>
  <c r="T84"/>
  <c r="W84" s="1"/>
  <c r="U83"/>
  <c r="V83"/>
  <c r="M84"/>
  <c r="R83"/>
  <c r="S85"/>
  <c r="L85"/>
  <c r="N83"/>
  <c r="K83" s="1"/>
  <c r="O84" l="1"/>
  <c r="P84"/>
  <c r="V84"/>
  <c r="U84"/>
  <c r="R84" s="1"/>
  <c r="T85"/>
  <c r="W85" s="1"/>
  <c r="M85"/>
  <c r="S86"/>
  <c r="L86"/>
  <c r="N84"/>
  <c r="K84" s="1"/>
  <c r="O85" l="1"/>
  <c r="P85"/>
  <c r="T86"/>
  <c r="W86" s="1"/>
  <c r="U85"/>
  <c r="V85"/>
  <c r="M86"/>
  <c r="R85"/>
  <c r="S87"/>
  <c r="L87"/>
  <c r="N85"/>
  <c r="K85" s="1"/>
  <c r="O86" l="1"/>
  <c r="P86"/>
  <c r="V86"/>
  <c r="U86"/>
  <c r="R86" s="1"/>
  <c r="T87"/>
  <c r="W87" s="1"/>
  <c r="M87"/>
  <c r="S88"/>
  <c r="L88"/>
  <c r="N86"/>
  <c r="K86" s="1"/>
  <c r="O87" l="1"/>
  <c r="P87"/>
  <c r="T88"/>
  <c r="W88" s="1"/>
  <c r="V87"/>
  <c r="U87"/>
  <c r="R87" s="1"/>
  <c r="M88"/>
  <c r="S89"/>
  <c r="L89"/>
  <c r="N87"/>
  <c r="K87" s="1"/>
  <c r="O88" l="1"/>
  <c r="P88"/>
  <c r="V88"/>
  <c r="U88"/>
  <c r="R88" s="1"/>
  <c r="T89"/>
  <c r="W89" s="1"/>
  <c r="M89"/>
  <c r="S90"/>
  <c r="L90"/>
  <c r="N88"/>
  <c r="K88" s="1"/>
  <c r="O89" l="1"/>
  <c r="P89"/>
  <c r="T90"/>
  <c r="W90" s="1"/>
  <c r="U89"/>
  <c r="R89" s="1"/>
  <c r="V89"/>
  <c r="M90"/>
  <c r="S91"/>
  <c r="L91"/>
  <c r="N89"/>
  <c r="K89" s="1"/>
  <c r="O90" l="1"/>
  <c r="P90"/>
  <c r="V90"/>
  <c r="U90"/>
  <c r="R90" s="1"/>
  <c r="T91"/>
  <c r="W91" s="1"/>
  <c r="M91"/>
  <c r="S92"/>
  <c r="L92"/>
  <c r="N90"/>
  <c r="K90" s="1"/>
  <c r="O91" l="1"/>
  <c r="P91"/>
  <c r="S93"/>
  <c r="T93" s="1"/>
  <c r="W93" s="1"/>
  <c r="T92"/>
  <c r="W92" s="1"/>
  <c r="U91"/>
  <c r="R91" s="1"/>
  <c r="V91"/>
  <c r="M92"/>
  <c r="L93"/>
  <c r="N91"/>
  <c r="K91" s="1"/>
  <c r="O92" l="1"/>
  <c r="P92"/>
  <c r="S94"/>
  <c r="T94" s="1"/>
  <c r="U93"/>
  <c r="V93"/>
  <c r="V92"/>
  <c r="U92"/>
  <c r="R92" s="1"/>
  <c r="Y15" s="1" a="1"/>
  <c r="Y15" s="1"/>
  <c r="Z15" s="1"/>
  <c r="M93"/>
  <c r="L94"/>
  <c r="N92"/>
  <c r="K92" s="1"/>
  <c r="AC15" l="1"/>
  <c r="AB15"/>
  <c r="U94"/>
  <c r="W94"/>
  <c r="O93"/>
  <c r="P93"/>
  <c r="V94"/>
  <c r="S95"/>
  <c r="T95" s="1"/>
  <c r="M94"/>
  <c r="R93"/>
  <c r="R94"/>
  <c r="Y16"/>
  <c r="Z16" s="1"/>
  <c r="AA15"/>
  <c r="L95"/>
  <c r="N93"/>
  <c r="K93" s="1"/>
  <c r="AC16" l="1"/>
  <c r="AB16"/>
  <c r="V95"/>
  <c r="W95"/>
  <c r="O94"/>
  <c r="P94"/>
  <c r="U95"/>
  <c r="R95" s="1"/>
  <c r="S96"/>
  <c r="T96" s="1"/>
  <c r="M95"/>
  <c r="Y17"/>
  <c r="Z17" s="1"/>
  <c r="AA16"/>
  <c r="L96"/>
  <c r="N94"/>
  <c r="K94" s="1"/>
  <c r="AC17" l="1"/>
  <c r="AB17"/>
  <c r="S97"/>
  <c r="T97" s="1"/>
  <c r="W97" s="1"/>
  <c r="U96"/>
  <c r="W96"/>
  <c r="O95"/>
  <c r="P95"/>
  <c r="V96"/>
  <c r="M96"/>
  <c r="S98"/>
  <c r="T98" s="1"/>
  <c r="W98" s="1"/>
  <c r="R96"/>
  <c r="Y18"/>
  <c r="Z18" s="1"/>
  <c r="AA17"/>
  <c r="L97"/>
  <c r="N95"/>
  <c r="K95" s="1"/>
  <c r="AC18" l="1"/>
  <c r="U97"/>
  <c r="V97"/>
  <c r="O96"/>
  <c r="P96"/>
  <c r="V98"/>
  <c r="U98"/>
  <c r="M97"/>
  <c r="S99"/>
  <c r="T99" s="1"/>
  <c r="W99" s="1"/>
  <c r="R97"/>
  <c r="Y19"/>
  <c r="Z19" s="1"/>
  <c r="AA18"/>
  <c r="L98"/>
  <c r="N96"/>
  <c r="K96" s="1"/>
  <c r="AC19" l="1"/>
  <c r="O97"/>
  <c r="P97"/>
  <c r="U99"/>
  <c r="V99"/>
  <c r="M98"/>
  <c r="S100"/>
  <c r="T100" s="1"/>
  <c r="W100" s="1"/>
  <c r="R98"/>
  <c r="Y20"/>
  <c r="Z20" s="1"/>
  <c r="AA19"/>
  <c r="L99"/>
  <c r="N97"/>
  <c r="K97" s="1"/>
  <c r="AC20" l="1"/>
  <c r="O98"/>
  <c r="P98"/>
  <c r="V100"/>
  <c r="U100"/>
  <c r="M99"/>
  <c r="S101"/>
  <c r="T101" s="1"/>
  <c r="W101" s="1"/>
  <c r="R99"/>
  <c r="Y21"/>
  <c r="Z21" s="1"/>
  <c r="AA20"/>
  <c r="L100"/>
  <c r="N98"/>
  <c r="K98" s="1"/>
  <c r="AC21" l="1"/>
  <c r="O99"/>
  <c r="P99"/>
  <c r="U101"/>
  <c r="V101"/>
  <c r="M100"/>
  <c r="S102"/>
  <c r="T102" s="1"/>
  <c r="W102" s="1"/>
  <c r="R100"/>
  <c r="Y22"/>
  <c r="Z22" s="1"/>
  <c r="AA21"/>
  <c r="L101"/>
  <c r="N99"/>
  <c r="K99" s="1"/>
  <c r="AC22" l="1"/>
  <c r="O100"/>
  <c r="P100"/>
  <c r="V102"/>
  <c r="U102"/>
  <c r="M101"/>
  <c r="S103"/>
  <c r="T103" s="1"/>
  <c r="W103" s="1"/>
  <c r="R101"/>
  <c r="AA22"/>
  <c r="Y23"/>
  <c r="Z23" s="1"/>
  <c r="L102"/>
  <c r="N100"/>
  <c r="K100" s="1"/>
  <c r="AC23" l="1"/>
  <c r="O101"/>
  <c r="P101"/>
  <c r="V103"/>
  <c r="U103"/>
  <c r="M102"/>
  <c r="S104"/>
  <c r="T104" s="1"/>
  <c r="W104" s="1"/>
  <c r="R102"/>
  <c r="AA23"/>
  <c r="Y24"/>
  <c r="Z24" s="1"/>
  <c r="L103"/>
  <c r="N101"/>
  <c r="K101" s="1"/>
  <c r="AC24" l="1"/>
  <c r="O102"/>
  <c r="P102"/>
  <c r="V104"/>
  <c r="U104"/>
  <c r="M103"/>
  <c r="S105"/>
  <c r="T105" s="1"/>
  <c r="W105" s="1"/>
  <c r="R103"/>
  <c r="Y25"/>
  <c r="Z25" s="1"/>
  <c r="AA24"/>
  <c r="L104"/>
  <c r="N102"/>
  <c r="K102" s="1"/>
  <c r="AC25" l="1"/>
  <c r="O103"/>
  <c r="P103"/>
  <c r="U105"/>
  <c r="V105"/>
  <c r="M104"/>
  <c r="S106"/>
  <c r="T106" s="1"/>
  <c r="W106" s="1"/>
  <c r="R104"/>
  <c r="AA25"/>
  <c r="Y26"/>
  <c r="Z26" s="1"/>
  <c r="L105"/>
  <c r="N103"/>
  <c r="K103" s="1"/>
  <c r="AC26" l="1"/>
  <c r="O104"/>
  <c r="P104"/>
  <c r="V106"/>
  <c r="U106"/>
  <c r="M105"/>
  <c r="R105"/>
  <c r="S107"/>
  <c r="T107" s="1"/>
  <c r="W107" s="1"/>
  <c r="AA26"/>
  <c r="Y27"/>
  <c r="Z27" s="1"/>
  <c r="L106"/>
  <c r="N104"/>
  <c r="K104" s="1"/>
  <c r="AC27" l="1"/>
  <c r="O105"/>
  <c r="P105"/>
  <c r="U107"/>
  <c r="V107"/>
  <c r="M106"/>
  <c r="S108"/>
  <c r="T108" s="1"/>
  <c r="W108" s="1"/>
  <c r="R106"/>
  <c r="Y28"/>
  <c r="Z28" s="1"/>
  <c r="AA27"/>
  <c r="L107"/>
  <c r="N105"/>
  <c r="K105" s="1"/>
  <c r="AC28" l="1"/>
  <c r="O106"/>
  <c r="P106"/>
  <c r="V108"/>
  <c r="U108"/>
  <c r="M107"/>
  <c r="S109"/>
  <c r="T109" s="1"/>
  <c r="W109" s="1"/>
  <c r="R107"/>
  <c r="Y29"/>
  <c r="Z29" s="1"/>
  <c r="AA28"/>
  <c r="L108"/>
  <c r="N106"/>
  <c r="K106" s="1"/>
  <c r="AC29" l="1"/>
  <c r="O107"/>
  <c r="P107"/>
  <c r="U109"/>
  <c r="V109"/>
  <c r="M108"/>
  <c r="S110"/>
  <c r="T110" s="1"/>
  <c r="W110" s="1"/>
  <c r="R108"/>
  <c r="AA29"/>
  <c r="Y30"/>
  <c r="Z30" s="1"/>
  <c r="L109"/>
  <c r="N107"/>
  <c r="K107" s="1"/>
  <c r="AC30" l="1"/>
  <c r="O108"/>
  <c r="P108"/>
  <c r="V110"/>
  <c r="U110"/>
  <c r="M109"/>
  <c r="S111"/>
  <c r="T111" s="1"/>
  <c r="W111" s="1"/>
  <c r="R109"/>
  <c r="AA30"/>
  <c r="Y31"/>
  <c r="Z31" s="1"/>
  <c r="L110"/>
  <c r="N108"/>
  <c r="K108" s="1"/>
  <c r="AC31" l="1"/>
  <c r="O109"/>
  <c r="P109"/>
  <c r="U111"/>
  <c r="V111"/>
  <c r="M110"/>
  <c r="S112"/>
  <c r="T112" s="1"/>
  <c r="W112" s="1"/>
  <c r="R110"/>
  <c r="AA31"/>
  <c r="Y32"/>
  <c r="Z32" s="1"/>
  <c r="N109"/>
  <c r="K109" s="1"/>
  <c r="G16" s="1"/>
  <c r="I16" s="1"/>
  <c r="AC32" l="1"/>
  <c r="O110"/>
  <c r="P110"/>
  <c r="U112"/>
  <c r="V112"/>
  <c r="N110"/>
  <c r="K110" s="1"/>
  <c r="F14" s="1"/>
  <c r="F17" s="1"/>
  <c r="H16"/>
  <c r="S113"/>
  <c r="T113" s="1"/>
  <c r="W113" s="1"/>
  <c r="R111"/>
  <c r="AA32"/>
  <c r="Y33"/>
  <c r="Z33" s="1"/>
  <c r="AC33" l="1"/>
  <c r="U113"/>
  <c r="V113"/>
  <c r="F18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G37" s="1"/>
  <c r="I37" s="1"/>
  <c r="G17"/>
  <c r="I17" s="1"/>
  <c r="S114"/>
  <c r="T114" s="1"/>
  <c r="W114" s="1"/>
  <c r="R112"/>
  <c r="AA33"/>
  <c r="Y34"/>
  <c r="Z34" s="1"/>
  <c r="AC34" l="1"/>
  <c r="V114"/>
  <c r="U114"/>
  <c r="F38"/>
  <c r="F39" s="1"/>
  <c r="H17"/>
  <c r="R113"/>
  <c r="S115"/>
  <c r="T115" s="1"/>
  <c r="W115" s="1"/>
  <c r="H37"/>
  <c r="AA34"/>
  <c r="Y35"/>
  <c r="Z35" s="1"/>
  <c r="G18"/>
  <c r="I18" s="1"/>
  <c r="AB30" l="1"/>
  <c r="AB32"/>
  <c r="AB34"/>
  <c r="AB33"/>
  <c r="AB31"/>
  <c r="AC35"/>
  <c r="AB35"/>
  <c r="U115"/>
  <c r="V115"/>
  <c r="G38"/>
  <c r="I38" s="1"/>
  <c r="R114"/>
  <c r="H18"/>
  <c r="AA35"/>
  <c r="Y36"/>
  <c r="Z36" s="1"/>
  <c r="F40"/>
  <c r="G39"/>
  <c r="I39" s="1"/>
  <c r="G19"/>
  <c r="I19" s="1"/>
  <c r="AB18" l="1"/>
  <c r="AB19"/>
  <c r="AB20"/>
  <c r="AB21"/>
  <c r="AB22"/>
  <c r="AB23"/>
  <c r="AB24"/>
  <c r="AB25"/>
  <c r="AB26"/>
  <c r="AB27"/>
  <c r="AB28"/>
  <c r="AB29"/>
  <c r="AC36"/>
  <c r="AB36"/>
  <c r="R115"/>
  <c r="H38"/>
  <c r="H19"/>
  <c r="H39"/>
  <c r="AA36"/>
  <c r="F41"/>
  <c r="G40"/>
  <c r="I40" s="1"/>
  <c r="G20"/>
  <c r="I20" s="1"/>
  <c r="H40" l="1"/>
  <c r="H20"/>
  <c r="F42"/>
  <c r="G41"/>
  <c r="I41" s="1"/>
  <c r="G21"/>
  <c r="I21" s="1"/>
  <c r="H21" l="1"/>
  <c r="H41"/>
  <c r="F43"/>
  <c r="G42"/>
  <c r="I42" s="1"/>
  <c r="G22"/>
  <c r="I22" s="1"/>
  <c r="H22" l="1"/>
  <c r="H42"/>
  <c r="F44"/>
  <c r="G43"/>
  <c r="I43" s="1"/>
  <c r="G23"/>
  <c r="I23" s="1"/>
  <c r="H43" l="1"/>
  <c r="F45"/>
  <c r="G44"/>
  <c r="I44" s="1"/>
  <c r="G24"/>
  <c r="I24" s="1"/>
  <c r="H24" l="1"/>
  <c r="H44"/>
  <c r="F46"/>
  <c r="G45"/>
  <c r="I45" s="1"/>
  <c r="G25"/>
  <c r="I25" s="1"/>
  <c r="H25" l="1"/>
  <c r="H45"/>
  <c r="F47"/>
  <c r="G46"/>
  <c r="I46" s="1"/>
  <c r="G26"/>
  <c r="I26" s="1"/>
  <c r="H26" l="1"/>
  <c r="H46"/>
  <c r="F48"/>
  <c r="G47"/>
  <c r="I47" s="1"/>
  <c r="G27"/>
  <c r="I27" s="1"/>
  <c r="H27" l="1"/>
  <c r="H47"/>
  <c r="F49"/>
  <c r="G48"/>
  <c r="I48" s="1"/>
  <c r="G28"/>
  <c r="I28" s="1"/>
  <c r="H28" l="1"/>
  <c r="H48"/>
  <c r="F50"/>
  <c r="G49"/>
  <c r="I49" s="1"/>
  <c r="G29"/>
  <c r="I29" s="1"/>
  <c r="H29" l="1"/>
  <c r="H49"/>
  <c r="F51"/>
  <c r="G50"/>
  <c r="I50" s="1"/>
  <c r="G30"/>
  <c r="I30" s="1"/>
  <c r="H30" l="1"/>
  <c r="H50"/>
  <c r="F52"/>
  <c r="G51"/>
  <c r="I51" s="1"/>
  <c r="G31"/>
  <c r="I31" s="1"/>
  <c r="H31" l="1"/>
  <c r="H51"/>
  <c r="F53"/>
  <c r="G52"/>
  <c r="I52" s="1"/>
  <c r="G32"/>
  <c r="I32" s="1"/>
  <c r="H32" l="1"/>
  <c r="H52"/>
  <c r="F54"/>
  <c r="G53"/>
  <c r="I53" s="1"/>
  <c r="G33"/>
  <c r="I33" s="1"/>
  <c r="H33" l="1"/>
  <c r="H53"/>
  <c r="F55"/>
  <c r="G54"/>
  <c r="I54" s="1"/>
  <c r="G34"/>
  <c r="I34" s="1"/>
  <c r="H34" l="1"/>
  <c r="H54"/>
  <c r="F56"/>
  <c r="G55"/>
  <c r="I55" s="1"/>
  <c r="G35"/>
  <c r="I35" s="1"/>
  <c r="H35" l="1"/>
  <c r="H55"/>
  <c r="F57"/>
  <c r="G56"/>
  <c r="I56" s="1"/>
  <c r="G36"/>
  <c r="I36" s="1"/>
  <c r="H36" l="1"/>
  <c r="H56"/>
  <c r="F58"/>
  <c r="G57"/>
  <c r="I57" s="1"/>
  <c r="H57" l="1"/>
  <c r="F59"/>
  <c r="G58"/>
  <c r="I58" s="1"/>
  <c r="H58" l="1"/>
  <c r="F60"/>
  <c r="G59"/>
  <c r="I59" s="1"/>
  <c r="H59" l="1"/>
  <c r="F61"/>
  <c r="G60"/>
  <c r="I60" s="1"/>
  <c r="H60" l="1"/>
  <c r="F62"/>
  <c r="G62" s="1"/>
  <c r="I62" s="1"/>
  <c r="G61"/>
  <c r="I61" s="1"/>
  <c r="H61" l="1"/>
  <c r="H62"/>
  <c r="B36" l="1"/>
  <c r="B28"/>
  <c r="B29"/>
  <c r="B18"/>
  <c r="B31"/>
  <c r="B11"/>
  <c r="B15" l="1"/>
  <c r="B12"/>
  <c r="B14"/>
  <c r="B25"/>
  <c r="B34"/>
  <c r="B32"/>
  <c r="B13"/>
  <c r="B30"/>
  <c r="B35"/>
  <c r="B10"/>
  <c r="B19"/>
  <c r="B16"/>
  <c r="B20"/>
  <c r="B24"/>
  <c r="B27"/>
  <c r="B26"/>
  <c r="B22"/>
  <c r="B21" l="1"/>
  <c r="B9"/>
  <c r="B33"/>
  <c r="B17"/>
  <c r="R51" i="8" l="1"/>
  <c r="B23" i="4" l="1"/>
  <c r="N22" i="8"/>
  <c r="N39" s="1"/>
  <c r="I39"/>
  <c r="H12" i="9" s="1"/>
  <c r="O16" i="8"/>
  <c r="H3" i="4"/>
  <c r="O39" i="8" l="1"/>
  <c r="X4" a="1"/>
  <c r="AB4" l="1"/>
  <c r="AA4"/>
  <c r="AD4"/>
  <c r="AC4"/>
  <c r="Z4"/>
  <c r="Y4"/>
  <c r="X4"/>
</calcChain>
</file>

<file path=xl/sharedStrings.xml><?xml version="1.0" encoding="utf-8"?>
<sst xmlns="http://schemas.openxmlformats.org/spreadsheetml/2006/main" count="4989" uniqueCount="1247">
  <si>
    <t>Date</t>
  </si>
  <si>
    <t>FC</t>
  </si>
  <si>
    <t>Historical Data</t>
  </si>
  <si>
    <t>S.No</t>
  </si>
  <si>
    <t>Promo Count</t>
  </si>
  <si>
    <t>Dow Count</t>
  </si>
  <si>
    <t>Day</t>
  </si>
  <si>
    <t>Promotion group</t>
  </si>
  <si>
    <t>Offered</t>
  </si>
  <si>
    <t>Forecast</t>
  </si>
  <si>
    <t>No Email Drop</t>
  </si>
  <si>
    <t>DATE</t>
  </si>
  <si>
    <t>Promotion</t>
  </si>
  <si>
    <t>DAY</t>
  </si>
  <si>
    <t>ALL DAY</t>
  </si>
  <si>
    <t>ALL Promotion</t>
  </si>
  <si>
    <t>OFFERED</t>
  </si>
  <si>
    <t>Free Ship No Min</t>
  </si>
  <si>
    <t>Treat Thursday</t>
  </si>
  <si>
    <t>Bonus Week</t>
  </si>
  <si>
    <t>FP</t>
  </si>
  <si>
    <t>FW</t>
  </si>
  <si>
    <t>Suth Tag</t>
  </si>
  <si>
    <t>Email Drop 1</t>
  </si>
  <si>
    <t>Email Drop 2</t>
  </si>
  <si>
    <t>Email Drop 3</t>
  </si>
  <si>
    <t>Non-Petco.com</t>
  </si>
  <si>
    <t>13 FP 11</t>
  </si>
  <si>
    <t>FW 44</t>
  </si>
  <si>
    <t>Black Friday</t>
  </si>
  <si>
    <t>20-50% off online disappears tonight!</t>
  </si>
  <si>
    <t>Last chance to save 2- 5%! Ends at midnight!</t>
  </si>
  <si>
    <t>Cyber Savings</t>
  </si>
  <si>
    <t>30% off TODAY ONLY!  Start saving now!</t>
  </si>
  <si>
    <t>Last chance for 3% off!  Savings will disappear at midnight!</t>
  </si>
  <si>
    <t>Cyber Savings continue - Save 25% through Thursday!</t>
  </si>
  <si>
    <t/>
  </si>
  <si>
    <t>Last day for Cyber Savings! Ends at 11:59pm PST!</t>
  </si>
  <si>
    <t>Final hours for Cyber Savings! Ends at midnight!</t>
  </si>
  <si>
    <t>FW 45</t>
  </si>
  <si>
    <t>10% off eGCs,FS on $49</t>
  </si>
  <si>
    <t>Perfect for everyone on your list - 10% off all eGift Cards!</t>
  </si>
  <si>
    <t>10% off eGCs,$15 Off,FS on $75</t>
  </si>
  <si>
    <t>Make your Monday brighter &amp; save $15! Hurry, today only!</t>
  </si>
  <si>
    <t>Go gift crazy! Shop our best stocking stuffers under $10.</t>
  </si>
  <si>
    <t>Check out CRAZY deals for every pet on your list!</t>
  </si>
  <si>
    <t>This weekend only: Get FREE shipping on all orders!</t>
  </si>
  <si>
    <t>FW 46</t>
  </si>
  <si>
    <t>25% Off,FS on $49</t>
  </si>
  <si>
    <t>25% off for 72 hours!  Save on Last Minute Gifts</t>
  </si>
  <si>
    <t xml:space="preserve"> ❸ days to save 25% + free holiday shipping ends Wednesday!</t>
  </si>
  <si>
    <t>Save 25% + hurry to get your gifts there for FREE!</t>
  </si>
  <si>
    <t xml:space="preserve"> ❷ days left to save 25% + free holiday shipping ends tomorrow!</t>
  </si>
  <si>
    <t>Last Day For Standard Ship</t>
  </si>
  <si>
    <t xml:space="preserve"> ① day left to save 25% + free holiday shipping ends at noon!</t>
  </si>
  <si>
    <t>Last chance to save 25%!</t>
  </si>
  <si>
    <t>2-Day, Overnight Ship</t>
  </si>
  <si>
    <t>$10 off your order TODAY ONLY!</t>
  </si>
  <si>
    <t>$10 Off,FS on $49</t>
  </si>
  <si>
    <t xml:space="preserve">Time is running out! Get $10 off your order TODAY! </t>
  </si>
  <si>
    <t>Our gift to you! Additional $1 off your order TODAY ONLY!</t>
  </si>
  <si>
    <t xml:space="preserve"> Last Chance to get $1 off your order – ends at midnight!</t>
  </si>
  <si>
    <t>Last Day For 2-Day Shipping</t>
  </si>
  <si>
    <t>FW 47</t>
  </si>
  <si>
    <t>Overnight Shipping</t>
  </si>
  <si>
    <t>Gift yourself: Buy one $25 eGift Card &amp; get a $5 eGift Card FREE!</t>
  </si>
  <si>
    <t>Last Day For Overnight Ship</t>
  </si>
  <si>
    <t>FREE $5 eGift Card! Last chance to get yours!</t>
  </si>
  <si>
    <t>Buy $25, Get $5,FS on $49</t>
  </si>
  <si>
    <t>Season's Greetings from Petco - A Message from CEO, Jim Myers</t>
  </si>
  <si>
    <t>Christmas Day - No Operations</t>
  </si>
  <si>
    <t>Last day to get a FREE $5 eGift Card!</t>
  </si>
  <si>
    <t>Up To 65% Off,FS on $49</t>
  </si>
  <si>
    <t xml:space="preserve"> Don’t miss out on our year-end clearance - Deals up to 65% off!</t>
  </si>
  <si>
    <t>14 FP 01</t>
  </si>
  <si>
    <t>FW 01</t>
  </si>
  <si>
    <t>Groundhog Day,20% Off,FS on $49</t>
  </si>
  <si>
    <t>Groundhogs are emerging and so are your deals - 20% off!</t>
  </si>
  <si>
    <t>20% Off,FS on $49</t>
  </si>
  <si>
    <t xml:space="preserve"> Fetch your super savings – 20% off including food!</t>
  </si>
  <si>
    <t>Time is running out - Get 20% off with Super Savings!</t>
  </si>
  <si>
    <t>LAST CHANCE - 2% off + free shipping ends at midnight!</t>
  </si>
  <si>
    <t>Treat Thursday,FS on $49</t>
  </si>
  <si>
    <t>TREAT ME THURSDAY! Crazy savings + free shipping on special treats offers!</t>
  </si>
  <si>
    <t>Today only - Save $10 plus FREE shipping!</t>
  </si>
  <si>
    <t>FW 02</t>
  </si>
  <si>
    <t>Double Points,FS on $49</t>
  </si>
  <si>
    <t>Limited time, DOUBLE rewards on natural food!</t>
  </si>
  <si>
    <t>Ending soon, DOUBLE rewards on natural food!</t>
  </si>
  <si>
    <t>TREAT ME THURSDAY! Crazy savings on special treat offers</t>
  </si>
  <si>
    <t>Valentine's Day,25% Off on Supplies,FS on $49</t>
  </si>
  <si>
    <t xml:space="preserve"> ❤ Happy Valentine's Day - additional 25% off + free shipping!</t>
  </si>
  <si>
    <t xml:space="preserve"> ❤ Last chance for an extra 25% off!</t>
  </si>
  <si>
    <t>FW 03</t>
  </si>
  <si>
    <t>President's Day,20% Off,FS on $49</t>
  </si>
  <si>
    <t xml:space="preserve"> President’s Day savings start now!  20% off + free shipping</t>
  </si>
  <si>
    <t>Last day for 20% off + FREE shipping!</t>
  </si>
  <si>
    <t>TREAT ME THURSDAY! Big savings + free shipping on our favorite treat.</t>
  </si>
  <si>
    <t>RD Event,20% Off on Food,FS on $49</t>
  </si>
  <si>
    <t>Try it today - Save time &amp; money with Repeat Delivery!</t>
  </si>
  <si>
    <t>FW 04</t>
  </si>
  <si>
    <t>Free Ship No Min,20% Off</t>
  </si>
  <si>
    <t>2 days only - FREE Shipping no min on all orders + 20% off!</t>
  </si>
  <si>
    <t>Last chance to get 20% off &amp; FREE shipping, no min on all orders!</t>
  </si>
  <si>
    <t>15% Off,FS on $60</t>
  </si>
  <si>
    <t xml:space="preserve"> ★ Today only: Get an additional 15% off! ★</t>
  </si>
  <si>
    <t xml:space="preserve"> Expires at midnight! Get an additional 15% off! ★</t>
  </si>
  <si>
    <t>TREAT ME THURSDAY! Get amazing discounts on your favorite treats.</t>
  </si>
  <si>
    <t>14 FP 02</t>
  </si>
  <si>
    <t>FW 05</t>
  </si>
  <si>
    <t>Up To 20% Off,FS on $49</t>
  </si>
  <si>
    <t>Save up to 20% on natural food and treats!</t>
  </si>
  <si>
    <t>Ends soon: save up to 20% on natural food &amp; treats!</t>
  </si>
  <si>
    <t>Treat Thursday,Buy $25 get $5 eGC ,</t>
  </si>
  <si>
    <t>TREAT ME THURSDAY! Get a $5 eGift Card plus FREE shipping!</t>
  </si>
  <si>
    <t>Get complete flea &amp; tick control - low prices &amp; free shipping on top brands!</t>
  </si>
  <si>
    <t>Last chance to save up to 20% on natural food &amp; treats!</t>
  </si>
  <si>
    <t>FW 06</t>
  </si>
  <si>
    <t>Save 25% + free shipping! Your daylight SAVINGS start now!</t>
  </si>
  <si>
    <t>Hurry to save 25% + free shipping with daylight SAVINGS!</t>
  </si>
  <si>
    <t>TREAT ME THURSDAY! Amazing discounts on green goodies for your pet!</t>
  </si>
  <si>
    <t>Lucky Saving,17% Off,FS on $49</t>
  </si>
  <si>
    <t>Lucky savings start NOW --&gt; Save an extra 17% (even on sale items)!</t>
  </si>
  <si>
    <t>FW 07</t>
  </si>
  <si>
    <t>Hurry, your extra 17% off lucky savings ends tomorrow!</t>
  </si>
  <si>
    <t xml:space="preserve"> Celebrate St. Paddy’s Day with an additional 17% off!</t>
  </si>
  <si>
    <t xml:space="preserve"> ★ TODAY ONLY! ★  Special bonus offer inside!</t>
  </si>
  <si>
    <t>EXTENDED! Your special bonus offer expires at midnight!</t>
  </si>
  <si>
    <t>TREAT ME THURSDAY! Save 25% on all apparel! Woof-woof!</t>
  </si>
  <si>
    <t>FREE shipping on all orders + up to 20% off!  3, 2, 1...GO!</t>
  </si>
  <si>
    <t>FW 08</t>
  </si>
  <si>
    <t>Reveal Your Deal Promo,20, 25, 30% Off,FS on $75</t>
  </si>
  <si>
    <t>Exclusive savings just for ! Open to reveal your deal.</t>
  </si>
  <si>
    <t>Hurry , final hours to reveal your deal!</t>
  </si>
  <si>
    <t xml:space="preserve"> ★ Gift inside: Get $10 off + free shipping! ★</t>
  </si>
  <si>
    <t xml:space="preserve"> Your $10 gift has been extended! 1 day left… don’t miss out!</t>
  </si>
  <si>
    <t>Treat Thursday,Double Points,Up to 40% Off,FS on $49</t>
  </si>
  <si>
    <t>TREAT ME THURSDAY! Earn double rewards on your order!</t>
  </si>
  <si>
    <t>Fresh ideas for spring are here. Shop today &amp; save!</t>
  </si>
  <si>
    <t>14 FP 03</t>
  </si>
  <si>
    <t>FW 09</t>
  </si>
  <si>
    <t>Flash Sale,30% Off,FS on $49</t>
  </si>
  <si>
    <t>FLASH SALE: 30% off starts NOW!</t>
  </si>
  <si>
    <t>30% off &amp; free shipping continues... No foolin'!</t>
  </si>
  <si>
    <t>Treat Thursday,12 Items,FS on $49</t>
  </si>
  <si>
    <t>TREAT ME THURSDAY!</t>
  </si>
  <si>
    <t>$20 Off,FS on $80</t>
  </si>
  <si>
    <t>Take $20 off your purchase!</t>
  </si>
  <si>
    <t>FW 10</t>
  </si>
  <si>
    <t>Last day to save $20!</t>
  </si>
  <si>
    <t>Save up to 20% + free shipping on pest control!</t>
  </si>
  <si>
    <t>One day only...</t>
  </si>
  <si>
    <t>Treat Thursday,12 Treats,FS on $49</t>
  </si>
  <si>
    <t>TREAT ME THURSDAY! Save big, today only!</t>
  </si>
  <si>
    <t>20% savings are in bloom!</t>
  </si>
  <si>
    <t>FW 11</t>
  </si>
  <si>
    <t>LAST DAY. 20% savings ends at midnight!</t>
  </si>
  <si>
    <t>$15 Off,FS on $49</t>
  </si>
  <si>
    <t>TODAY ONLY: $15 off your order!</t>
  </si>
  <si>
    <t>Treat Thursday,Up to 50% on Select Items,20% Off,FS on $49</t>
  </si>
  <si>
    <t>TREAT ME THURSDAY! Take 20% off Planet Petco products!</t>
  </si>
  <si>
    <t>15% Off,FS on $75</t>
  </si>
  <si>
    <t>Seize the deal! 15% off &amp; free shipping!</t>
  </si>
  <si>
    <t>LAST DAY for 15% off savings + free shipping!</t>
  </si>
  <si>
    <t>FW 12</t>
  </si>
  <si>
    <t>Up To 40% Off,FS on $49</t>
  </si>
  <si>
    <t>Hop on over &amp; save up to 40%!</t>
  </si>
  <si>
    <t>Earthy savings to make you and Mother Nature smile!</t>
  </si>
  <si>
    <t>Treat Thursday,$5 Off,FS on $49</t>
  </si>
  <si>
    <t>Today only - Save $5 + free shipping! It's TREAT ME THURSDAY!</t>
  </si>
  <si>
    <t>Free Ship No Min,Up To 40% Off</t>
  </si>
  <si>
    <t>Happy Friday! Enjoy FREE shipping on us!</t>
  </si>
  <si>
    <t>Hurry Pet Parent, last day for FREE shipping &amp; big savings!</t>
  </si>
  <si>
    <t xml:space="preserve">Final hours for FREE SHIPPING on all orders! </t>
  </si>
  <si>
    <t>FW 13</t>
  </si>
  <si>
    <t>Up To 50% Off,FS on $49</t>
  </si>
  <si>
    <t>SAVINGS ALERT: 30-50% off top supplies!</t>
  </si>
  <si>
    <t xml:space="preserve"> Catch it while it’s hot – sale ends soon!</t>
  </si>
  <si>
    <t>TREAT ME THURSDAY! Amazing discounts on your favorite treats!</t>
  </si>
  <si>
    <t xml:space="preserve"> From us to you…</t>
  </si>
  <si>
    <t>This is not a mirage (but it will disappear soon).</t>
  </si>
  <si>
    <t>14 FP 04</t>
  </si>
  <si>
    <t>FW 14</t>
  </si>
  <si>
    <t>RD Event,Up To 15% Off,FS on $49</t>
  </si>
  <si>
    <t>Want up to 15% OFF every order? Find out how!</t>
  </si>
  <si>
    <t>25% Off on Supplies,FS on $49</t>
  </si>
  <si>
    <t xml:space="preserve"> ¡Caliente deals, TODAY only!</t>
  </si>
  <si>
    <t>Treat Thursday,$10 Off,</t>
  </si>
  <si>
    <t xml:space="preserve"> TREAT ME THURSDAY! $10 treat inside…</t>
  </si>
  <si>
    <t>Ship, ship, hooray!</t>
  </si>
  <si>
    <t>FW 15</t>
  </si>
  <si>
    <t>$30 Off,FS on $100</t>
  </si>
  <si>
    <t xml:space="preserve"> Hey M♥m! We know you’ll L♥VE this gift…</t>
  </si>
  <si>
    <t>$30 off? This Monday just got better!</t>
  </si>
  <si>
    <t>Tick-tock... time is running out to save $30!</t>
  </si>
  <si>
    <t>Use it or lose it.</t>
  </si>
  <si>
    <t>$5 Off Purina Bag,FS on $49</t>
  </si>
  <si>
    <t>Is your dog making a difference? Take the Purina ONE 28-Day Challenge!</t>
  </si>
  <si>
    <t>TREAT ME THURSDAY! Treats for you, and you, and YOU!</t>
  </si>
  <si>
    <t>Save $10 on your order (even on FOOD)!</t>
  </si>
  <si>
    <t>The sun is setting, but the savings are still up!</t>
  </si>
  <si>
    <t xml:space="preserve"> Saturday Savings… get shoppin’!</t>
  </si>
  <si>
    <t>FW 16</t>
  </si>
  <si>
    <t xml:space="preserve"> There’s still time - but not much!</t>
  </si>
  <si>
    <t>ENDS TODAY! $10 off + free shipping. GO!</t>
  </si>
  <si>
    <t>Going, going, savings almost gone!</t>
  </si>
  <si>
    <t>Treat Thursday,Up To 30% Off on Toys,FS on $49</t>
  </si>
  <si>
    <t xml:space="preserve"> TREAT ME THURSDAY! Up to 30% off your pet’s favorite toys!</t>
  </si>
  <si>
    <t>$5 Off,FS on $25</t>
  </si>
  <si>
    <t>Start your long weekend with an extra $5 off!</t>
  </si>
  <si>
    <t xml:space="preserve"> The countdown is on…these savings expire soon!</t>
  </si>
  <si>
    <t>FW 17</t>
  </si>
  <si>
    <t>30-50% Off,FS on $49</t>
  </si>
  <si>
    <t xml:space="preserve"> ★ Stars, Stripes &amp; Savings start NOW! ★</t>
  </si>
  <si>
    <t>Up To 5% Last Day</t>
  </si>
  <si>
    <t>Flash Sale,Free Ship No Min,FSNM</t>
  </si>
  <si>
    <t xml:space="preserve"> 3, 2, 1…FLASH Sale!!</t>
  </si>
  <si>
    <t xml:space="preserve"> ☼ Get these savings while they’re HOT ☼ </t>
  </si>
  <si>
    <t>Final day to fetch great deals!</t>
  </si>
  <si>
    <t>Treat Thursday,30-50% Off,FS on $49</t>
  </si>
  <si>
    <t>Just extended! 1 final day to save up to 50%.</t>
  </si>
  <si>
    <t>Fetch your Friday $10 deal!</t>
  </si>
  <si>
    <t>Saturday savings...today just got more awesome.</t>
  </si>
  <si>
    <t>14 FP 05</t>
  </si>
  <si>
    <t>FW 18</t>
  </si>
  <si>
    <t>Warm up to HOT deals - take an EXTRA 20% off!</t>
  </si>
  <si>
    <t xml:space="preserve"> Don’t procrastinate! There’s still time… </t>
  </si>
  <si>
    <t>These savings disappear at midnight!</t>
  </si>
  <si>
    <t>TREAT ME THURSDAY: Time to stock up &amp; save!</t>
  </si>
  <si>
    <t>Free Ship No Min,Up To 20% Off</t>
  </si>
  <si>
    <t xml:space="preserve"> FREE SHIPPING for pet l♥vers. </t>
  </si>
  <si>
    <t xml:space="preserve"> Use it or lose it, pet l♥ver.</t>
  </si>
  <si>
    <t>FW 19</t>
  </si>
  <si>
    <t>30% Off,FS on $75</t>
  </si>
  <si>
    <t>30% off + free shipping on $75 = PETastic savings!</t>
  </si>
  <si>
    <t xml:space="preserve"> Savings end at midnight…</t>
  </si>
  <si>
    <t>Savings worth staying up for!</t>
  </si>
  <si>
    <t>Wahoo! It's TREAT ME THURSDAY time!</t>
  </si>
  <si>
    <t>$13 Off,FS on $49</t>
  </si>
  <si>
    <t xml:space="preserve"> $13 off on the 13th – it’s your LUCKY day!</t>
  </si>
  <si>
    <t>Only hours left for your special LUCKY savings!</t>
  </si>
  <si>
    <t>FW 20</t>
  </si>
  <si>
    <t>3, 2, 1... Time to save!</t>
  </si>
  <si>
    <t>The awesomeness continues! Get 25% off your purchase.</t>
  </si>
  <si>
    <t>Last day of awesomeness! Hurry to get 25% off your purchase.</t>
  </si>
  <si>
    <t>Tick, tock... 25% off disappears at midnight!</t>
  </si>
  <si>
    <t>Friday FUN! $10 off + free shipping!</t>
  </si>
  <si>
    <t>Longer days = Bigger savings!</t>
  </si>
  <si>
    <t>FW 21</t>
  </si>
  <si>
    <t>Sunday Funday starts now!</t>
  </si>
  <si>
    <t>6 hours to save starts NOW!</t>
  </si>
  <si>
    <t xml:space="preserve"> 30% savings extended…but not for long!</t>
  </si>
  <si>
    <t>RD Event</t>
  </si>
  <si>
    <t>4 days only! 20% off for our Friends &amp; Family start NOW!</t>
  </si>
  <si>
    <t>The clock is ticking on these exclusive Friends &amp; Family savings...</t>
  </si>
  <si>
    <t>Only 2 days left to save BIG during our Friends &amp; Family event!</t>
  </si>
  <si>
    <t>Last chance! 20% off for our Friends &amp; Family end TODAY!</t>
  </si>
  <si>
    <t>14 FP 06</t>
  </si>
  <si>
    <t>FW 22</t>
  </si>
  <si>
    <t>Reveal Your Deal Promo,15, 20, 30% Off,</t>
  </si>
  <si>
    <t>Reveal your exclusive savings!</t>
  </si>
  <si>
    <t>Hurry Pet Parent! Your exclusive savings end soon!</t>
  </si>
  <si>
    <t>Exclusive savings end today!</t>
  </si>
  <si>
    <t xml:space="preserve"> Early bird gets the worm…and the savings!</t>
  </si>
  <si>
    <t>Swoop up the savings, night owl!</t>
  </si>
  <si>
    <t xml:space="preserve">eGC qualifier from 6/22 - expires 7/19 (TBD) </t>
  </si>
  <si>
    <t>$15 eGC,Up To 40% Off,FS on $49</t>
  </si>
  <si>
    <t>1 Day ONLY - Get a $15 eGift Card + FREE shipping!</t>
  </si>
  <si>
    <t xml:space="preserve"> ★ Up to 40% off for the 4th! ★</t>
  </si>
  <si>
    <t>Order, schedule, save, repeat!</t>
  </si>
  <si>
    <t>FW 23</t>
  </si>
  <si>
    <t>Free Ship Flash Sale,Up To 40% Off,FS on $49</t>
  </si>
  <si>
    <t>Last chance for star spangled savings!</t>
  </si>
  <si>
    <t>Free Shipping FLASH SALE to end the holiday weekend!</t>
  </si>
  <si>
    <t>Kick start your week with $30 off!</t>
  </si>
  <si>
    <t>Last chance to save $30 + free shipping!</t>
  </si>
  <si>
    <t xml:space="preserve"> Final hours to shop more &amp; save more…</t>
  </si>
  <si>
    <t>TREAT ME THURSDAY: so many treats, so little time!</t>
  </si>
  <si>
    <t xml:space="preserve"> FREE SHIPPING – what’s not to l♥ve?</t>
  </si>
  <si>
    <t>FREE shipping ends at midnight!</t>
  </si>
  <si>
    <t>FW 24</t>
  </si>
  <si>
    <t>FS on $49</t>
  </si>
  <si>
    <t>Everything your furry, feathered, or scaled friend wants!</t>
  </si>
  <si>
    <t xml:space="preserve"> Tic-toc tic-toc…Flash Sale starts NOW!</t>
  </si>
  <si>
    <t>LAST CHANCE - 30% savings are waiting for you!</t>
  </si>
  <si>
    <t>30% Off,FS on $49</t>
  </si>
  <si>
    <t xml:space="preserve"> Surprise! ❶ more day of 30% off!</t>
  </si>
  <si>
    <t>Treat Thursday,$5 Off,FS on $35</t>
  </si>
  <si>
    <t>TREAT ME THURSDAY: $5 off + free shipping!</t>
  </si>
  <si>
    <t xml:space="preserve"> ➔ B L A C K   F R I D A Y   I N   J U L Y...</t>
  </si>
  <si>
    <t>FW 25</t>
  </si>
  <si>
    <t>T O D A Y   O N L Y - the early bird saves $10!</t>
  </si>
  <si>
    <t xml:space="preserve"> Who gets $10 off tonight? Night owls, that’s who!</t>
  </si>
  <si>
    <t>20-40% Off,FS on $49</t>
  </si>
  <si>
    <t>Save up to 40% with BLOWOUT deals!</t>
  </si>
  <si>
    <t>TREAT ME THURSDAY: sun's up, deals are out!</t>
  </si>
  <si>
    <t>Free Shipping + MEGA mid-summer savings!</t>
  </si>
  <si>
    <t>20-40% savings + last chance for FREE SHIPPING!</t>
  </si>
  <si>
    <t>FW 26</t>
  </si>
  <si>
    <t xml:space="preserve"> ☀ Stay cool with 20% (or more) summer savings! ☀</t>
  </si>
  <si>
    <t xml:space="preserve"> Save $10 + up to 40% off – stack ‘em TODAY ONLY!</t>
  </si>
  <si>
    <t>RD Event,Double Points</t>
  </si>
  <si>
    <t xml:space="preserve"> → 1 MORE DAY to stack 'em!  ⇉</t>
  </si>
  <si>
    <t>$5 Off,FS on $35</t>
  </si>
  <si>
    <t>Savings on top of savings! 5 bucks off + our summer site sale...</t>
  </si>
  <si>
    <t>Sign up and save!</t>
  </si>
  <si>
    <t>Last chance for BLOWOUT prices + FREE shipping today only!</t>
  </si>
  <si>
    <t xml:space="preserve">Biggest  S A L E  of the summer ends at midnight! </t>
  </si>
  <si>
    <t>14 FP 07</t>
  </si>
  <si>
    <t>FW 27</t>
  </si>
  <si>
    <t>Sign up for Repeat Delivery, earn 20 Reward Dollars!</t>
  </si>
  <si>
    <t>Flash Sale,25% Off,FS on $49</t>
  </si>
  <si>
    <t xml:space="preserve"> &gt;&gt; TODAY ONLY: 25% off…ready, set, GO!</t>
  </si>
  <si>
    <t xml:space="preserve"> It’s now or never! 25% off ends tonight!  &gt;&gt;</t>
  </si>
  <si>
    <t>Surprise! 1 more day to save!</t>
  </si>
  <si>
    <t>Did someone say SALE? We did!</t>
  </si>
  <si>
    <t>Last chance to earn 20 Reward Dollars!</t>
  </si>
  <si>
    <t>Absolute. Last. Chance.</t>
  </si>
  <si>
    <t>FW 28</t>
  </si>
  <si>
    <t>7 DOD, 50% Dog</t>
  </si>
  <si>
    <t>7 Days of Deals START NOW (and it's a doozy)!</t>
  </si>
  <si>
    <t>7 DOD, 40% Cat, $100 up</t>
  </si>
  <si>
    <t xml:space="preserve"> 7 Days of Deals - save some scratch with our Day ❷ offer!</t>
  </si>
  <si>
    <t>7 DOD, 50% Midwest</t>
  </si>
  <si>
    <t xml:space="preserve"> 7 Days of Deals - just try to contain our Day ➌ offer…</t>
  </si>
  <si>
    <t>7 DOD, TBD Electronic</t>
  </si>
  <si>
    <t xml:space="preserve"> 7 Days of Deals - safety first with our Day ➍ deal!</t>
  </si>
  <si>
    <t>7 DOD, Double Pals</t>
  </si>
  <si>
    <t xml:space="preserve"> 7 Days of Deals - Get ready to PLAY with our Day  ❺ offer!</t>
  </si>
  <si>
    <t>7 DOD, $39.99 Carefresh</t>
  </si>
  <si>
    <t xml:space="preserve"> Day ➏ just got better – SHIP it for FREE!</t>
  </si>
  <si>
    <t>7 DOD, Up to 30% Dog</t>
  </si>
  <si>
    <t xml:space="preserve"> 7 Days of Deals ENDS TODAY…</t>
  </si>
  <si>
    <t>EXTRA $5 off when you order before midnight!</t>
  </si>
  <si>
    <t>FW 29</t>
  </si>
  <si>
    <t>Make a splash with up to 50% off savings!</t>
  </si>
  <si>
    <t>Savings on every order? Tell me more!</t>
  </si>
  <si>
    <t>Open me for your Tuesday TREAT!</t>
  </si>
  <si>
    <t xml:space="preserve"> Our Tuesday Treat ($15 off) won’t STAY - FETCH it now!</t>
  </si>
  <si>
    <t>No need to pay full price with this SALE (up to 50% off!)</t>
  </si>
  <si>
    <t>2x the savings - save up to 50% AND ship it for free!</t>
  </si>
  <si>
    <t>Last chance to ship it for free!</t>
  </si>
  <si>
    <t>FW 30</t>
  </si>
  <si>
    <t>Stack the savings with $5 off!</t>
  </si>
  <si>
    <t xml:space="preserve"> $5 off your $35 order…</t>
  </si>
  <si>
    <t xml:space="preserve"> Extra $5 off…get it while it lasts</t>
  </si>
  <si>
    <t>Up to 50% off (all the good stuff)!</t>
  </si>
  <si>
    <t>Best of Summer SALE ENDS tonight!</t>
  </si>
  <si>
    <t>15% Off,FS on $49</t>
  </si>
  <si>
    <t>Start the holiday weekend early - 15% off your order!</t>
  </si>
  <si>
    <t>Stop working &amp; start saving (with an extra 15% off!)</t>
  </si>
  <si>
    <t>14 FP 08</t>
  </si>
  <si>
    <t>FW 31</t>
  </si>
  <si>
    <t>15% off! Check out Sunday FUNday savings!</t>
  </si>
  <si>
    <t>There's still time to save 25% for Labor Day!</t>
  </si>
  <si>
    <t>Shop before midnight and save 25% &amp; get free shipping!</t>
  </si>
  <si>
    <t>SALE EXTENDED! Get 25% off your order before it fizzles out!</t>
  </si>
  <si>
    <t>Want to spend more time with your pet?</t>
  </si>
  <si>
    <t>Online Exclusive: Stock up sale... up to 40% off!</t>
  </si>
  <si>
    <t>30% Off,FS on $100</t>
  </si>
  <si>
    <t>Want $30 off and free shipping? Done!</t>
  </si>
  <si>
    <t xml:space="preserve"> Don’t miss your chance - $30 off plus free shipping!</t>
  </si>
  <si>
    <t>FW 32</t>
  </si>
  <si>
    <t>Peek inside to see what you'll save...</t>
  </si>
  <si>
    <t>$10 Off,FS on $49 Mobile</t>
  </si>
  <si>
    <t>Reading this on your phone? We've got a deal just for you!</t>
  </si>
  <si>
    <t>A $20 eGift Card is waiting... join Repeat Delivery today!</t>
  </si>
  <si>
    <t>10% Off,FS on $49</t>
  </si>
  <si>
    <t xml:space="preserve">$ale on $ale - TODAY ONLY! </t>
  </si>
  <si>
    <t>Up To 40% Off plus $5 FS on $10, FS on $49</t>
  </si>
  <si>
    <t>2 deals - 2day ONLY!</t>
  </si>
  <si>
    <t>Up to 40% off SUPER SALE ends tonight!</t>
  </si>
  <si>
    <t>FW 33</t>
  </si>
  <si>
    <t xml:space="preserve">Your BONUS WEEK starts right...NOW! </t>
  </si>
  <si>
    <t>Bonus Week- FSNM</t>
  </si>
  <si>
    <t xml:space="preserve">BONUS WEEK Day 2: Free shipping on food &amp; treats! </t>
  </si>
  <si>
    <t xml:space="preserve"> BONUS WEEK Day 3: Stack your savings with today's mystery bonus</t>
  </si>
  <si>
    <t xml:space="preserve"> BONUS WEEK Day 4: Spoiler alert…………….</t>
  </si>
  <si>
    <t>Bonus Week- 50% off plus $5 on $35, FS on $49</t>
  </si>
  <si>
    <t>BONUS WEEK: Stack 'em! Sales across the site + $5 off!</t>
  </si>
  <si>
    <t xml:space="preserve"> BONUS WEEK: Don’t miss today's mystery bonus (it’s a good one!)</t>
  </si>
  <si>
    <t>Bonus Week- 50% off plus $5 on $25, FS on $49</t>
  </si>
  <si>
    <t>The Really BIG Sale starts...NOW!</t>
  </si>
  <si>
    <t>BONUS WEEK ends today - ready to save BIG?</t>
  </si>
  <si>
    <t>FW 34</t>
  </si>
  <si>
    <t xml:space="preserve">Ready, set, SAVE (up to 50%)!!! </t>
  </si>
  <si>
    <t xml:space="preserve"> 1,000s of items on sale now…what are you waiting for?</t>
  </si>
  <si>
    <t>24hrs of Free Shipping (on all orders)!</t>
  </si>
  <si>
    <t>Ready to save really big (like up to 50% off big)...</t>
  </si>
  <si>
    <t xml:space="preserve"> Tick-tock…our Really BIG Sale ends tonight.</t>
  </si>
  <si>
    <t>14 FP 09</t>
  </si>
  <si>
    <t>FW 35</t>
  </si>
  <si>
    <t>It's BACK! The Petco Anniversary Sale starts NOW!</t>
  </si>
  <si>
    <t>It's our anniversary. Our gift to you? HUGE SAVINGS!</t>
  </si>
  <si>
    <t>Shop spooky savings with 20% off our Halloween BOOtique!</t>
  </si>
  <si>
    <t>20% Off on Food, FS on $49</t>
  </si>
  <si>
    <t>The wait is over, FOOD is on SALE!</t>
  </si>
  <si>
    <t>$5 Off, FS on $50</t>
  </si>
  <si>
    <t>Up to 50% off + $5 off = Anniversary Sale Savings!</t>
  </si>
  <si>
    <t xml:space="preserve"> Too hot to handle…</t>
  </si>
  <si>
    <t>$5 off your next purchase - our gift to you!</t>
  </si>
  <si>
    <t>FW 36</t>
  </si>
  <si>
    <t xml:space="preserve"> Food's on sale PLUS we're giving you an extra $5…</t>
  </si>
  <si>
    <t xml:space="preserve"> Feed 'em the good stuff (and save 20%)…</t>
  </si>
  <si>
    <t>$5 off in-store and online through Saturday</t>
  </si>
  <si>
    <t>STOCK UP (food is on SALE)</t>
  </si>
  <si>
    <t>Up to 50% off in-store during our Anniversary Sale!</t>
  </si>
  <si>
    <t xml:space="preserve"> Don’t miss these hot buys + extra $5 off!</t>
  </si>
  <si>
    <t xml:space="preserve"> Hurry – 2 days left for $5 off!</t>
  </si>
  <si>
    <t>Last Chance! $5 off in-store or online!</t>
  </si>
  <si>
    <t>FW 37</t>
  </si>
  <si>
    <t>Take an EXTRA 10% off your order!</t>
  </si>
  <si>
    <t>RD Event, Earn $20</t>
  </si>
  <si>
    <t xml:space="preserve"> Sign up &amp; Save! Earn 20 Reward Dollars today…</t>
  </si>
  <si>
    <t>20% Off on Halloween, FS on $49</t>
  </si>
  <si>
    <t>Save 20% on everything Halloween.</t>
  </si>
  <si>
    <t xml:space="preserve"> Our gift 2 U ➔ 10% off your order!</t>
  </si>
  <si>
    <t>Double the savings &gt;&gt; Take an EXTRA 10% off your order!</t>
  </si>
  <si>
    <t>Going...going...the FLASH SALE is almost gone...</t>
  </si>
  <si>
    <t>F  L  A  S  H      S  A  L  E    !!!</t>
  </si>
  <si>
    <t xml:space="preserve"> ★ LAST CHANCE - TAKE AN extra 10% OFF! ★</t>
  </si>
  <si>
    <t>FW 38</t>
  </si>
  <si>
    <t xml:space="preserve"> A gift you'll actually use…</t>
  </si>
  <si>
    <t>Last chance to save in-store during our Anniversary Sale!</t>
  </si>
  <si>
    <t>SAVE on FOOD (&amp; get a $15eGC while you're at it!)</t>
  </si>
  <si>
    <t>Adverts Only</t>
  </si>
  <si>
    <t>Join our costume contest and dress to impress!</t>
  </si>
  <si>
    <t>Apple Pay is now available at Petco!</t>
  </si>
  <si>
    <t>Spend now, save later...</t>
  </si>
  <si>
    <t>TREAT ME THURSDAY --&gt; Now online and in-store!</t>
  </si>
  <si>
    <t>LAST CALL: Save some now &amp; get $15 for later!</t>
  </si>
  <si>
    <t>Up To 25% Off, FS on $49</t>
  </si>
  <si>
    <t>The clock is running out on Anniversary savings...</t>
  </si>
  <si>
    <t>It's now or never...</t>
  </si>
  <si>
    <t>FW 39</t>
  </si>
  <si>
    <t>Ship it on us.</t>
  </si>
  <si>
    <t>Big or small... ship it for FREE!</t>
  </si>
  <si>
    <t xml:space="preserve"> Head’s up! Friends &amp; Family event starts online NOW, in-store tomorrow!</t>
  </si>
  <si>
    <t>It's on! 20% off in-store and online starts today!</t>
  </si>
  <si>
    <t>3 more days - 20% in-store and online!</t>
  </si>
  <si>
    <t>Use it or lose it! 20% off for 2 more days!</t>
  </si>
  <si>
    <t>25% off supplies &amp; 10% off food (5.5M)</t>
  </si>
  <si>
    <t>14 FP 10</t>
  </si>
  <si>
    <t>FW 40</t>
  </si>
  <si>
    <t>'Tis the season to save!</t>
  </si>
  <si>
    <t>In-store savings start now!</t>
  </si>
  <si>
    <t>Reveal Your Deal - 3 versions AM (5.5M)</t>
  </si>
  <si>
    <t>Reveal Your Deal - 3 versions PM (5.5M)</t>
  </si>
  <si>
    <t>Reveal Your Deal Extended - last chance AM (5.5M)</t>
  </si>
  <si>
    <t>Reveal Your Deal Extended - last chance PM (5.5M)</t>
  </si>
  <si>
    <t>Repeat Delivery eGC promotion (5.5M)</t>
  </si>
  <si>
    <t>FW 41</t>
  </si>
  <si>
    <t>20% Off,FS on $49 Omni</t>
  </si>
  <si>
    <t>20% off omnichannel (5.5M)</t>
  </si>
  <si>
    <t>Free Ship, No Min AM (5.5M)</t>
  </si>
  <si>
    <t>Free Ship, No Min PM (5.5M)</t>
  </si>
  <si>
    <t>FSNM for tablet/mobile (5.5M)</t>
  </si>
  <si>
    <t>TMT banner + Treatery (5.5M)</t>
  </si>
  <si>
    <t>$5 Off,FS on $10</t>
  </si>
  <si>
    <t>$5 off $10 (5.5M)</t>
  </si>
  <si>
    <t>FW 42</t>
  </si>
  <si>
    <t>Reactivation series (TBD)</t>
  </si>
  <si>
    <t>One Time Shopper series (TBD)</t>
  </si>
  <si>
    <t>10% off including food AM (5.5M)</t>
  </si>
  <si>
    <t>10% off including food PM (5.5M)</t>
  </si>
  <si>
    <t>Refer-A-Friend (TBD)</t>
  </si>
  <si>
    <t>$15 eGC Visa Checkout,FS on $49</t>
  </si>
  <si>
    <t>Visa Checkout eGC Promotion (5.5M)</t>
  </si>
  <si>
    <t>FW 43</t>
  </si>
  <si>
    <t>$5 Off Natural Dog and Cat Food,FS on $49</t>
  </si>
  <si>
    <t>$5 off food (5.5M)</t>
  </si>
  <si>
    <t>Thanksgiving</t>
  </si>
  <si>
    <t>BF Presale &amp; FSNM - AM (5.5M)</t>
  </si>
  <si>
    <t>2 Day Black Friday Sale  (5.5M)</t>
  </si>
  <si>
    <t>14 FP 11</t>
  </si>
  <si>
    <t>Cyber Starts NOW with shops (5.5M)</t>
  </si>
  <si>
    <t>CM 30% off + bonus eGC (5.5M) AM</t>
  </si>
  <si>
    <t>CM 30% off + bonus eGC - last chance (5.5M) PM</t>
  </si>
  <si>
    <t xml:space="preserve">Cyber Savings Cont - up to 50% off | versioned  (5.5M) </t>
  </si>
  <si>
    <t>Email Exclusive: up to 50% off + 10% off (5.5M) AM</t>
  </si>
  <si>
    <t>Email Exclusive: up to 50% off + 10% off (5.5M) PM</t>
  </si>
  <si>
    <t>Extended: up to 50% off + 10% off (5.5M)  AM</t>
  </si>
  <si>
    <t>Extended: up to 50% off + 10% off (5.5M)  PM</t>
  </si>
  <si>
    <t xml:space="preserve">up to 50% off ends w/ shops | versioned  (5.5M) </t>
  </si>
  <si>
    <t>$15 Off,FS on $75</t>
  </si>
  <si>
    <t xml:space="preserve">$15 off $75  (2M) </t>
  </si>
  <si>
    <t xml:space="preserve">Shutterfly $20 Gift | expires 12/26  (TBD) </t>
  </si>
  <si>
    <t xml:space="preserve">$15 off $75 w/ products  (2M) </t>
  </si>
  <si>
    <t>Tiered Promo</t>
  </si>
  <si>
    <t>Tiered offer: $10, $25 and $50 off (5.5M)</t>
  </si>
  <si>
    <t>11/2-29 Nov RD $20 eGC qualifier | exp 1/31 (12K)</t>
  </si>
  <si>
    <t>Ext tiered offer w/ shops - last chance (5.5M)</t>
  </si>
  <si>
    <t>Extended tiered offer - last chance PM (5.5M)</t>
  </si>
  <si>
    <t>Up To 15% Off,FS on $49</t>
  </si>
  <si>
    <t xml:space="preserve">Sale Product Categories | versioned (5.5M) </t>
  </si>
  <si>
    <t>FSNM with shipping shedule banner (5.5M) AM</t>
  </si>
  <si>
    <t>FSNM - last chance (5.5M) PM</t>
  </si>
  <si>
    <t>FSNM extended (5.5M) AM</t>
  </si>
  <si>
    <t>20% Off on Supplies,FS on $49</t>
  </si>
  <si>
    <t xml:space="preserve">20% with products  (4M) </t>
  </si>
  <si>
    <t xml:space="preserve">20% with shipping schedule banner  (4M) </t>
  </si>
  <si>
    <t xml:space="preserve">RD Awareness (5.5M) </t>
  </si>
  <si>
    <t>RD Awareness with VIP sponsor (5.5M)</t>
  </si>
  <si>
    <t>Free $20 eGC with $100 | shipping bnr (5.5M) AM</t>
  </si>
  <si>
    <t>$20 eGC  | ship bnr | last minute gifts (5.5M) AM</t>
  </si>
  <si>
    <t>25% off | shipping bnr - 2day &amp; overnight (5.5M) AM</t>
  </si>
  <si>
    <t>25% off | shipping bnr - 2day &amp; overnight (5.5M) PM</t>
  </si>
  <si>
    <t>25% off - last chance | GOGO promo (5.5M) AM</t>
  </si>
  <si>
    <t>25% off - last chance | GOGO promo (5.5M) PM</t>
  </si>
  <si>
    <t>There's still time before the 25th | GOGO (5.5M)</t>
  </si>
  <si>
    <t>GOGO | overnight by 12/22 at noon PST (5.5M)</t>
  </si>
  <si>
    <t>$15 off $75| last chance for overnight (5.5M)</t>
  </si>
  <si>
    <t>Extended: $15 off $75 | GOGO (5.5M) AM</t>
  </si>
  <si>
    <t>Extended: $15 off $75 (5.5M) PM</t>
  </si>
  <si>
    <t>GOGO (5.5M)</t>
  </si>
  <si>
    <t>50% Off,FS on $49</t>
  </si>
  <si>
    <t xml:space="preserve">Year End Clearance w/ products | versioned (5.5M) </t>
  </si>
  <si>
    <t>12/17 $20 eGC qualifier | exp 1/2 (TBD)</t>
  </si>
  <si>
    <t xml:space="preserve">Year End Clearance | RD Awareness bnr  (3.3M) </t>
  </si>
  <si>
    <t>14 FP 12</t>
  </si>
  <si>
    <t>FW 48</t>
  </si>
  <si>
    <t>SALES + a BONUS coupon = so many ways to SAVE!</t>
  </si>
  <si>
    <t>In-store savings for the new year start now!</t>
  </si>
  <si>
    <t>There's still time to save up to 40% in 2014!</t>
  </si>
  <si>
    <t>Up To 35% Off,FS on $49</t>
  </si>
  <si>
    <t>SALE EXTENDED! Discounts across the site!!</t>
  </si>
  <si>
    <t>Bye bye 2014 ► FREE SHIPPING on ALL ORDERS!</t>
  </si>
  <si>
    <t>New Pals Rewards benefits you will love!</t>
  </si>
  <si>
    <t>Omnichannel Promo</t>
  </si>
  <si>
    <t>Start 2015 with SAVINGS! Up to $15 off in-store or online</t>
  </si>
  <si>
    <t>Your $15 are waiting - save big in-store and online in 2015!</t>
  </si>
  <si>
    <t>2 days left to save $15 in-store or online.</t>
  </si>
  <si>
    <t>FW 49</t>
  </si>
  <si>
    <t>LAST CHANCE: Save up to $15 dollars on today's in-store or online purchase!</t>
  </si>
  <si>
    <t>Your Pals Rewards statement, plus activate your monthly bonus offers</t>
  </si>
  <si>
    <t>SAVE 25% or more &gt;&gt; ready, set, GO!</t>
  </si>
  <si>
    <t>24hr BONUS: $15 for you when you spend $60!</t>
  </si>
  <si>
    <t>Cold weather + HOT prices = shopping made easy!</t>
  </si>
  <si>
    <t>Everything you need to keep them happy is 25% (or MORE) off!</t>
  </si>
  <si>
    <t>Are you shipping me? All orders SHIP FREE TODAY!</t>
  </si>
  <si>
    <t>Going, going, FREE SHIPPING almost gone!</t>
  </si>
  <si>
    <t>25% off across the site!</t>
  </si>
  <si>
    <t>FW 50</t>
  </si>
  <si>
    <t>Training SALE!! Up to 35% off what you need to train your pup</t>
  </si>
  <si>
    <t>Sign up for Repeat Delivery, earn 20 Reward Dollars.</t>
  </si>
  <si>
    <t>Flash Sale,$10 Off,FS on $49</t>
  </si>
  <si>
    <t>F L A S H    S A L E</t>
  </si>
  <si>
    <t>Use it or lose it - your $10 expires tonight.</t>
  </si>
  <si>
    <t>Oops! The FLASH SALE is back on for 1 MORE day!</t>
  </si>
  <si>
    <t>48hrs only &gt;&gt; crates &amp; kennels on SALE!</t>
  </si>
  <si>
    <t>LAST DAY to save up to 40% + a special bonus coupon inside...</t>
  </si>
  <si>
    <t>ENDING SOON: Sign up for Repeat Delivery, earn 20 Reward Dollars.</t>
  </si>
  <si>
    <t>FW 51</t>
  </si>
  <si>
    <t>The Winter Sale STARTS NOW!</t>
  </si>
  <si>
    <t>★ 24hr BONUS - $15 just for you ★</t>
  </si>
  <si>
    <t>Pet accessories for your home on SALE!</t>
  </si>
  <si>
    <t>We’re shreddin' prices ► up to 50% off your pet's faves!</t>
  </si>
  <si>
    <t>Free Shipping Friday is BACK!</t>
  </si>
  <si>
    <t>FREE SHIPPING ends at midnight</t>
  </si>
  <si>
    <t>Get active with up to 50% off online!</t>
  </si>
  <si>
    <t>FW 52</t>
  </si>
  <si>
    <t>LAST CHANCE for up to 50% off across the site.</t>
  </si>
  <si>
    <t xml:space="preserve">★ SUPER SAVINGS start MEOW! ★ </t>
  </si>
  <si>
    <t>Going...going...the Super Savings Sale is almost gone.</t>
  </si>
  <si>
    <t>Take an EXTRA 20% off your order...what are you waiting for?</t>
  </si>
  <si>
    <t>72hrs left &gt;&gt; take an EXTRA 20% off your order!</t>
  </si>
  <si>
    <t>Your winter offer is melting FAST!</t>
  </si>
  <si>
    <t>15 FP 1</t>
  </si>
  <si>
    <t>Gameday prep starts now! Save on EVERYTHING for your player.</t>
  </si>
  <si>
    <t>Just what the doctors ordered!</t>
  </si>
  <si>
    <t>Flash Sale,$20 Off,FS on $49</t>
  </si>
  <si>
    <t>FLASH SALE ► $20 off starts now!</t>
  </si>
  <si>
    <t>Your Pals Rewards statement, plus earn double rewards 2/1-2/8!</t>
  </si>
  <si>
    <t>Lucky you ► FLASH SALE extended one more day!</t>
  </si>
  <si>
    <t>We're seriously serious...your $20 offer expires tonight!</t>
  </si>
  <si>
    <t>24hrs of FREE SHIPPING!</t>
  </si>
  <si>
    <t xml:space="preserve">FREE SHIPPING ends at midnight! </t>
  </si>
  <si>
    <t>Your $20 eGift Card is waiting...</t>
  </si>
  <si>
    <t>RD Wellness $25 eGC promo (TBD) versioned</t>
  </si>
  <si>
    <t>There's a SAVINGS STORM ahead!</t>
  </si>
  <si>
    <t>Petco welcomes Doctors Foster and Smith!</t>
  </si>
  <si>
    <t>48 hrs only --&gt; get $20 when you shop!</t>
  </si>
  <si>
    <t>Your bonus offer is ending soon...</t>
  </si>
  <si>
    <t>ENDS TONIGHT: $20 just for you!</t>
  </si>
  <si>
    <t>Final chance to get your $20!</t>
  </si>
  <si>
    <t>Sale. Ends. At. Midnight.</t>
  </si>
  <si>
    <t>Nothing says we ♥ you like 50% off savings!</t>
  </si>
  <si>
    <t>Fall in L♥VE with today's SALE!</t>
  </si>
  <si>
    <t>❷ day online exclusive &gt;&gt; take an extra $10 off your order!</t>
  </si>
  <si>
    <t>★ Your $10 online bonus expires TONIGHT ★</t>
  </si>
  <si>
    <t>★ LAST CHANCE: your $10 online bonus expires at midnight! ★</t>
  </si>
  <si>
    <t>Warm up with our Winter Savings SALE!</t>
  </si>
  <si>
    <t>Tick tock. Winter Savings SALE ends at midnight!</t>
  </si>
  <si>
    <t>Today only ► SHIP it for FREE!</t>
  </si>
  <si>
    <t>Ends at midnight ► SHIP it for FREE!</t>
  </si>
  <si>
    <t>Get $20 back with our hassle free Repeat Delivery program!</t>
  </si>
  <si>
    <t>Buy More, Save More...STARTS NOW!</t>
  </si>
  <si>
    <t>$50 off your order!</t>
  </si>
  <si>
    <t>Save $10, $25 or $50!</t>
  </si>
  <si>
    <t>★ LAST CHANCE: up to $50 off your order ★</t>
  </si>
  <si>
    <t>★ Buy More, Save More...ENDS at MIDNIGHT ★</t>
  </si>
  <si>
    <t>Let it snow with savings!</t>
  </si>
  <si>
    <t>Last chance for a $20 eGift Card!</t>
  </si>
  <si>
    <t>15 FP 2</t>
  </si>
  <si>
    <t>72hr sale STARTS NOW!</t>
  </si>
  <si>
    <t>Take an EXTRA $30 off!</t>
  </si>
  <si>
    <t>This offer expires at midnight!</t>
  </si>
  <si>
    <t>Use it or lose it!</t>
  </si>
  <si>
    <t>Sale. Starts. NOW!</t>
  </si>
  <si>
    <t>★ Food is on SALE ★</t>
  </si>
  <si>
    <t>The best protection is good pest prevention.</t>
  </si>
  <si>
    <t>TODAY ONLY: Ship it on us!</t>
  </si>
  <si>
    <t>$10 Off Promo</t>
  </si>
  <si>
    <t>Spend $50, keep $10!</t>
  </si>
  <si>
    <t>Last chance for $10 off your order!</t>
  </si>
  <si>
    <t>March into {up to 40% off} Savings!</t>
  </si>
  <si>
    <t>OPEN THIS for your lucky Friday the 13th savings!</t>
  </si>
  <si>
    <t>Your luck is about to run out!</t>
  </si>
  <si>
    <t>Online savings EXPIRE at midnight!</t>
  </si>
  <si>
    <t>10% off your Doctors Foster &amp; Smith online order!</t>
  </si>
  <si>
    <t xml:space="preserve">✉ Open to REVEAL YOUR DEAL ✉ </t>
  </si>
  <si>
    <t>Your mystery savings expire at midnight!</t>
  </si>
  <si>
    <t>It’s your lucky day!</t>
  </si>
  <si>
    <t xml:space="preserve">Your lucks running out! </t>
  </si>
  <si>
    <t>You're in luck! 1 more day to save!</t>
  </si>
  <si>
    <t>Online exclusive deals going on NOW!</t>
  </si>
  <si>
    <t xml:space="preserve">SPRING into savings with FREE shipping! </t>
  </si>
  <si>
    <t>…but wait! Free shipping has been EXTENDED!</t>
  </si>
  <si>
    <t>Shop till you drop!</t>
  </si>
  <si>
    <t>Tick, tock, tick, tock…</t>
  </si>
  <si>
    <t>RD Winback March Touch 2 (TBD)</t>
  </si>
  <si>
    <t>Shhhhhhh! Today only. Exclusive offer just for you...</t>
  </si>
  <si>
    <t>Don’t miss your exclusive $10 offer ► Ends at midnight!</t>
  </si>
  <si>
    <t>Offer EXTENDED! Exclusive savings for 1 more day!!</t>
  </si>
  <si>
    <t>SALE. ENDS. TONIGHT. Do we have your attention?</t>
  </si>
  <si>
    <t>15 FP 3</t>
  </si>
  <si>
    <t>Have an itch? We've got your back!</t>
  </si>
  <si>
    <t>The word of the day is ► FREE</t>
  </si>
  <si>
    <t>You should hurry...</t>
  </si>
  <si>
    <t>This is no joke...</t>
  </si>
  <si>
    <t>Get Ready...Save $15 In-Store And Online Tomorrow!</t>
  </si>
  <si>
    <t>Save $15 in-store or online - 3 days only!</t>
  </si>
  <si>
    <t>Hurry – only two days left to save!</t>
  </si>
  <si>
    <t>Last chance: $15 off in-store or online expires today!</t>
  </si>
  <si>
    <t>On the hunt for a deal?</t>
  </si>
  <si>
    <t>★ FOOD is on SALE ★</t>
  </si>
  <si>
    <t>I thought you'd enjoy $10 off at petco.com!</t>
  </si>
  <si>
    <t>$30 off your online purchase - BOOM!</t>
  </si>
  <si>
    <t>You have 'til midnight before it ends…</t>
  </si>
  <si>
    <t>FINAL HOURS to save $30!</t>
  </si>
  <si>
    <t>We ♥ Flash Sales.</t>
  </si>
  <si>
    <t>It's now or never! FLASH SALE Extended.</t>
  </si>
  <si>
    <t>ONLINE EXCLUSIVE: up to 40% off!</t>
  </si>
  <si>
    <t>Because we like you...</t>
  </si>
  <si>
    <t>It's the final countdown!</t>
  </si>
  <si>
    <t>10% Off Promo</t>
  </si>
  <si>
    <t>The weekend is here &amp; so are the savings!</t>
  </si>
  <si>
    <t>The Online Weekend Event is going on now!</t>
  </si>
  <si>
    <t>✉ Open for Sunday Funday SAVINGS ✉</t>
  </si>
  <si>
    <t>Hassle-free pet food shopping!</t>
  </si>
  <si>
    <t>The best prices for your best friend- Promo Email (6M)</t>
  </si>
  <si>
    <t>Today only  ► Ship it for FREE!</t>
  </si>
  <si>
    <t>★ FREE SHIPPING - Ends at Midnight ★</t>
  </si>
  <si>
    <t>Just for you, 40% off ONLINE SALE.</t>
  </si>
  <si>
    <t>Take an ADDITIONAL 15% off (including FOOD)!</t>
  </si>
  <si>
    <t>Saturday SAVINGS are here!</t>
  </si>
  <si>
    <t>Don't. Miss. Out.</t>
  </si>
  <si>
    <t>All your favorites, 20% (or more) off!</t>
  </si>
  <si>
    <t>☀ Don't let these savings SPRING by ☀</t>
  </si>
  <si>
    <t>For pet's sake, don't miss this SALE!</t>
  </si>
  <si>
    <t>We saved the last chance for you!</t>
  </si>
  <si>
    <t>Reward yourself . . .</t>
  </si>
  <si>
    <t>Take an EXTRA $10 off (even on food!)</t>
  </si>
  <si>
    <t>Absolute last chance for bonus coupons + $10 off!</t>
  </si>
  <si>
    <t>15 FP 4</t>
  </si>
  <si>
    <t>★ ★ The force is strong with you and your pet! ★ ★</t>
  </si>
  <si>
    <t xml:space="preserve"> ¡Caliente FLASH SALE - 5 hours only!</t>
  </si>
  <si>
    <t>¡This fiesta goes on 'til midnight!</t>
  </si>
  <si>
    <t>Keep the fiesta going!</t>
  </si>
  <si>
    <t>Pest free pets are simply the best.</t>
  </si>
  <si>
    <t>TODAY ONLY &gt;&gt; $30 off + FREE shipping!</t>
  </si>
  <si>
    <t>RD/Pals 20 Bonus Rewards (6M)</t>
  </si>
  <si>
    <t>It's so good, we brought it back for 1 more day...</t>
  </si>
  <si>
    <t>Mum's the word on this FREEBIE...</t>
  </si>
  <si>
    <t>Everyone deserves a 2nd chance. . .</t>
  </si>
  <si>
    <t xml:space="preserve">In case you missed it. . . </t>
  </si>
  <si>
    <t>ONE day. EXTRA 20% off. GO for it.</t>
  </si>
  <si>
    <t>✿ May must-haves are on SALE ✿</t>
  </si>
  <si>
    <t>Let the countdown begin &gt; 3... 2... 1...</t>
  </si>
  <si>
    <t>☼ The forecast: 30-50% OFF ☼</t>
  </si>
  <si>
    <t>Simplify your life &amp; get $20!</t>
  </si>
  <si>
    <t>You have until the stroke of midnight!</t>
  </si>
  <si>
    <t>HOURS LEFT!!!</t>
  </si>
  <si>
    <t>We see $10 off in your future . . .</t>
  </si>
  <si>
    <t>How does $10 off sound?</t>
  </si>
  <si>
    <t>Savings on the house!</t>
  </si>
  <si>
    <t>This one's a no-brainer...</t>
  </si>
  <si>
    <t>48hrs of online exclusive savings!</t>
  </si>
  <si>
    <t>The stuff they ❤ is on SALE</t>
  </si>
  <si>
    <t>★ ★ Memorial Day Sale STARTS NOW! ★ ★</t>
  </si>
  <si>
    <t xml:space="preserve"> ★ Jump on the Memorial Day Sale bandwagon! ★</t>
  </si>
  <si>
    <t>★ Use it or lose it ★</t>
  </si>
  <si>
    <t>Sale ends in ❸ . . . ❷ . . . ❶ . . .</t>
  </si>
  <si>
    <t>Open for our 2-day SALE!</t>
  </si>
  <si>
    <t>Get 10% off your pet's prescription!</t>
  </si>
  <si>
    <t>Get your $15!</t>
  </si>
  <si>
    <t>Shop now, save later!</t>
  </si>
  <si>
    <t xml:space="preserve">LAST CHANCE to put $15 in your pocket! </t>
  </si>
  <si>
    <t>Your $20 eGift Card is waiting for you...</t>
  </si>
  <si>
    <t>15 FP 5</t>
  </si>
  <si>
    <t>Sunday Funday SAVINGS start NOW!</t>
  </si>
  <si>
    <t>BOOM: extra 20% off!</t>
  </si>
  <si>
    <t>Don't open this email...</t>
  </si>
  <si>
    <t>Time's running out ⌛...</t>
  </si>
  <si>
    <t>It's back! BIG or small, it ships for FREE!</t>
  </si>
  <si>
    <t xml:space="preserve">✉ FREE SHIPPING ends tonight! </t>
  </si>
  <si>
    <t>Sign up ✔ Save ✔ Repeat ✔</t>
  </si>
  <si>
    <t>Fleas don't stand a chance!</t>
  </si>
  <si>
    <t>40% off ends tonight!</t>
  </si>
  <si>
    <t>Promo Email (6M) AM: $10 off $50</t>
  </si>
  <si>
    <t>Promo Email (6M) PM: $10 off $50</t>
  </si>
  <si>
    <t>Promo Email (6M): Extended! $10 off $50</t>
  </si>
  <si>
    <t xml:space="preserve">Promo Email (6M): $20 eGC on $75 or more </t>
  </si>
  <si>
    <t>Promo Email (6M) AM: up to 40%</t>
  </si>
  <si>
    <t>Promo Email (6M): up to 30% off across the site!</t>
  </si>
  <si>
    <t>Friends &amp; Family Event- 20% Off</t>
  </si>
  <si>
    <t>Promo Email (6M) F&amp;F: 20% off in-store or 20% off on $50</t>
  </si>
  <si>
    <t>Wed</t>
  </si>
  <si>
    <t>Thu</t>
  </si>
  <si>
    <t>Fri</t>
  </si>
  <si>
    <t>suth tag</t>
  </si>
  <si>
    <t># email</t>
  </si>
  <si>
    <t>Acc%</t>
  </si>
  <si>
    <t>Final FC</t>
  </si>
  <si>
    <t>AVG FC Day Not available</t>
  </si>
  <si>
    <t>Vol from Other Promo</t>
  </si>
  <si>
    <t>Alternet Promo</t>
  </si>
  <si>
    <t># Email Drops</t>
  </si>
  <si>
    <t>$10 Off,FS on $75</t>
  </si>
  <si>
    <t>$20 Off,FS on $75</t>
  </si>
  <si>
    <t>Reveal Your Deal Promo,15, 20% Off</t>
  </si>
  <si>
    <t>Promo Email (6M) - up to 40% off</t>
  </si>
  <si>
    <t xml:space="preserve">Promo Email (6M) - eGC Promotion: $15 eGC on your order of $50 or more </t>
  </si>
  <si>
    <t>Promo Email (6M) - Promo Code: $10 off your $60 purchase</t>
  </si>
  <si>
    <t>Promo Email (6M) - Online Savings Event! Take an additional $5 off every $25 you spend - max discount of $50</t>
  </si>
  <si>
    <t>Promo Email (6M) AM PM Send - Flash Sale: 30% off across the site</t>
  </si>
  <si>
    <t>Promo Email (6M) - Up to 40% off</t>
  </si>
  <si>
    <t>Promo Email (6M) - July Bonus Coupon Weekend, Free Shipping Friday!</t>
  </si>
  <si>
    <t>Promo Email (6M) - July Bonus Coupon Weekend</t>
  </si>
  <si>
    <t>Promo Email (6M) AM PM Send - Promo Code: Today Only! Extra $15 off $75</t>
  </si>
  <si>
    <t>Black Friday in July</t>
  </si>
  <si>
    <t>Promo Email (6M) AM PM Send - Black Friday in July! 25% on supplies or 10% on food</t>
  </si>
  <si>
    <t>Promo Email (6M) - Promo Code: $30 off $100</t>
  </si>
  <si>
    <t>Promo Email (6M) - Bonus Coupon Event - last days to save</t>
  </si>
  <si>
    <t>15 FP 6</t>
  </si>
  <si>
    <t>7 days of deals! $30 off $100 or $50 off $150 - AM</t>
  </si>
  <si>
    <t>7 days of deals! 40% off dog beds + 40% off bully sticks</t>
  </si>
  <si>
    <t>7 days of deals! 40% off all crates, kennels &amp; carriers +  up to 40% off all collars, leads &amp; harnesses</t>
  </si>
  <si>
    <t>7 days of deals! Bonus FSNM + 40% off all dog toys - AM</t>
  </si>
  <si>
    <t>7 days of deals! 20% off your entire order - AM</t>
  </si>
  <si>
    <t>up to 40% off + travel products</t>
  </si>
  <si>
    <t>Today Only! $30 off your $100 + F&amp;T banner - AM</t>
  </si>
  <si>
    <t>Extended! $30 off your $100 + RD $20 eGC banner - AM</t>
  </si>
  <si>
    <t>today &amp; tomorrow! FSNM includes food - AM</t>
  </si>
  <si>
    <t>last chance! FSNM includes food - AM</t>
  </si>
  <si>
    <t>25-40% off across the site + F&amp;T banner - AM</t>
  </si>
  <si>
    <t>25-40% off - 3 versions (cat will have VIP Purina banner)</t>
  </si>
  <si>
    <t>Extra 10% off dog food &amp; supplies + 25-40% off - AM</t>
  </si>
  <si>
    <t>25-40% off across the site</t>
  </si>
  <si>
    <t>25-40% off across the site + VIP Nutro banner</t>
  </si>
  <si>
    <t>Up to 40% off (5.1M)</t>
  </si>
  <si>
    <t>24-Hour Flash Sale! 25% off across the site</t>
  </si>
  <si>
    <t>Labor Day Weekend Event - 20% off</t>
  </si>
  <si>
    <t>Enterprise Offer: Labor Day Weekend Event 20% off your purchase</t>
  </si>
  <si>
    <t>Enterprise Offer: Labor Day Weekend Event - 20% off your purchase</t>
  </si>
  <si>
    <t>Comment</t>
  </si>
  <si>
    <t>Dec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</si>
  <si>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</si>
  <si>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</si>
  <si>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</si>
  <si>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</si>
  <si>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</si>
  <si>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</si>
  <si>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</si>
  <si>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</si>
  <si>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</si>
  <si>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</si>
  <si>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Jan</t>
  </si>
  <si>
    <t>Years</t>
  </si>
  <si>
    <t>Total</t>
  </si>
  <si>
    <t>13-14</t>
  </si>
  <si>
    <t>14-15</t>
  </si>
  <si>
    <t>Month</t>
  </si>
  <si>
    <t>15-16</t>
  </si>
  <si>
    <t>Comments</t>
  </si>
  <si>
    <t># Email drop</t>
  </si>
  <si>
    <t># Email Drop</t>
  </si>
  <si>
    <t>Growth Rate</t>
  </si>
  <si>
    <t>Altenet Promo used</t>
  </si>
  <si>
    <t>Other Promo</t>
  </si>
  <si>
    <t>Select other promo</t>
  </si>
  <si>
    <t>Taken from other day</t>
  </si>
  <si>
    <t>Considered  otherday</t>
  </si>
  <si>
    <t>Recent 5 avg</t>
  </si>
  <si>
    <t xml:space="preserve">Flash Sale,30% Off,FS on $49 
</t>
  </si>
  <si>
    <t>Same?</t>
  </si>
  <si>
    <t>Table 2</t>
  </si>
  <si>
    <t>Table 1</t>
  </si>
  <si>
    <t>Table 3</t>
  </si>
  <si>
    <t>Table 4</t>
  </si>
  <si>
    <t>holiday impact</t>
  </si>
  <si>
    <t>5th May</t>
  </si>
  <si>
    <t>400-500</t>
  </si>
  <si>
    <t>decress &lt;300</t>
  </si>
  <si>
    <t>Taking generic  vs FS $</t>
  </si>
  <si>
    <t>9 am to 1 pm</t>
  </si>
  <si>
    <t>full Day</t>
  </si>
  <si>
    <t>other days</t>
  </si>
  <si>
    <t>$ amound</t>
  </si>
  <si>
    <t>Fsale vs sale</t>
  </si>
  <si>
    <t xml:space="preserve">Down time </t>
  </si>
  <si>
    <t>Hold as there is no much impact</t>
  </si>
  <si>
    <t>Looking at current trend</t>
  </si>
  <si>
    <t>Holiday impact</t>
  </si>
  <si>
    <t>Tag4</t>
  </si>
  <si>
    <t>Tag 2</t>
  </si>
  <si>
    <t>Tag 3</t>
  </si>
  <si>
    <t>Tag 4</t>
  </si>
  <si>
    <t>Tag 5</t>
  </si>
  <si>
    <t>Tag 6</t>
  </si>
  <si>
    <t>Tag 7</t>
  </si>
  <si>
    <t>Tag 8</t>
  </si>
  <si>
    <t>Tag 9</t>
  </si>
  <si>
    <t>Tag 10</t>
  </si>
  <si>
    <t>10% off eGCs</t>
  </si>
  <si>
    <t>$15 Off</t>
  </si>
  <si>
    <t>FS on $75</t>
  </si>
  <si>
    <t>25% Off</t>
  </si>
  <si>
    <t>2-Day</t>
  </si>
  <si>
    <t xml:space="preserve"> Overnight Ship</t>
  </si>
  <si>
    <t>$10 Off</t>
  </si>
  <si>
    <t>Buy $25</t>
  </si>
  <si>
    <t xml:space="preserve"> Get $5</t>
  </si>
  <si>
    <t>Up To 65% Off</t>
  </si>
  <si>
    <t>Groundhog Day</t>
  </si>
  <si>
    <t>20% Off</t>
  </si>
  <si>
    <t>Double Points</t>
  </si>
  <si>
    <t>Valentine's Day</t>
  </si>
  <si>
    <t>25% Off on Supplies</t>
  </si>
  <si>
    <t>President's Day</t>
  </si>
  <si>
    <t>20% Off on Food</t>
  </si>
  <si>
    <t>15% Off</t>
  </si>
  <si>
    <t>FS on $60</t>
  </si>
  <si>
    <t>Up To 20% Off</t>
  </si>
  <si>
    <t xml:space="preserve">Buy $25 get $5 eGC </t>
  </si>
  <si>
    <t>Lucky Saving</t>
  </si>
  <si>
    <t>17% Off</t>
  </si>
  <si>
    <t>Reveal Your Deal Promo</t>
  </si>
  <si>
    <t xml:space="preserve"> 30% Off</t>
  </si>
  <si>
    <t>Up to 40% Off</t>
  </si>
  <si>
    <t>Flash Sale</t>
  </si>
  <si>
    <t>30% Off</t>
  </si>
  <si>
    <t>12 Items</t>
  </si>
  <si>
    <t>$20 Off</t>
  </si>
  <si>
    <t>FS on $80</t>
  </si>
  <si>
    <t>12 Treats</t>
  </si>
  <si>
    <t>Up to 50% on Select Items</t>
  </si>
  <si>
    <t>Up To 40% Off</t>
  </si>
  <si>
    <t>$5 Off</t>
  </si>
  <si>
    <t>Up To 50% Off</t>
  </si>
  <si>
    <t>Up To 15% Off</t>
  </si>
  <si>
    <t>$30 Off</t>
  </si>
  <si>
    <t>FS on $100</t>
  </si>
  <si>
    <t>$5 Off Purina Bag</t>
  </si>
  <si>
    <t>Up To 30% Off on Toys</t>
  </si>
  <si>
    <t>FS on $25</t>
  </si>
  <si>
    <t>30-50% Off</t>
  </si>
  <si>
    <t>FSNM</t>
  </si>
  <si>
    <t>$13 Off</t>
  </si>
  <si>
    <t>$15 eGC</t>
  </si>
  <si>
    <t>Free Ship Flash Sale</t>
  </si>
  <si>
    <t>FS on $35</t>
  </si>
  <si>
    <t>20-40% Off</t>
  </si>
  <si>
    <t>7 DOD</t>
  </si>
  <si>
    <t xml:space="preserve"> 50% Dog</t>
  </si>
  <si>
    <t xml:space="preserve"> 40% Cat</t>
  </si>
  <si>
    <t xml:space="preserve"> $100 up</t>
  </si>
  <si>
    <t xml:space="preserve"> 50% Midwest</t>
  </si>
  <si>
    <t xml:space="preserve"> TBD Electronic</t>
  </si>
  <si>
    <t xml:space="preserve"> Double Pals</t>
  </si>
  <si>
    <t xml:space="preserve"> $39.99 Carefresh</t>
  </si>
  <si>
    <t xml:space="preserve"> Up to 30% Dog</t>
  </si>
  <si>
    <t>FS on $49 Mobile</t>
  </si>
  <si>
    <t>10% Off</t>
  </si>
  <si>
    <t>Up To 40% Off plus $5 FS on $10</t>
  </si>
  <si>
    <t xml:space="preserve"> FS on $49</t>
  </si>
  <si>
    <t>Bonus Week- 50% off plus $5 on $35</t>
  </si>
  <si>
    <t>Bonus Week- 50% off plus $5 on $25</t>
  </si>
  <si>
    <t xml:space="preserve"> FS on $50</t>
  </si>
  <si>
    <t xml:space="preserve"> Earn $20</t>
  </si>
  <si>
    <t>20% Off on Halloween</t>
  </si>
  <si>
    <t>Up To 25% Off</t>
  </si>
  <si>
    <t xml:space="preserve"> 20% Off</t>
  </si>
  <si>
    <t>FS on $49 Omni</t>
  </si>
  <si>
    <t>FS on $10</t>
  </si>
  <si>
    <t>$15 eGC Visa Checkout</t>
  </si>
  <si>
    <t>$5 Off Natural Dog and Cat Food</t>
  </si>
  <si>
    <t>20% Off on Supplies</t>
  </si>
  <si>
    <t>50% Off</t>
  </si>
  <si>
    <t>Up To 35% Off</t>
  </si>
  <si>
    <t>$</t>
  </si>
  <si>
    <t>%</t>
  </si>
  <si>
    <t>DOD</t>
  </si>
  <si>
    <t>DOG</t>
  </si>
  <si>
    <t>Event</t>
  </si>
  <si>
    <t>Reveal</t>
  </si>
  <si>
    <t>RD</t>
  </si>
  <si>
    <t>Friends &amp; Family Event</t>
  </si>
  <si>
    <t>Holiday/Season</t>
  </si>
  <si>
    <t>Special day</t>
  </si>
  <si>
    <t># Email drops</t>
  </si>
  <si>
    <t>Select</t>
  </si>
  <si>
    <t>Reveal Your Deal, $10, $15, $20 Off</t>
  </si>
  <si>
    <t>Feeling Lucky? Reveal your deal, $10, $15, $20 Off</t>
  </si>
  <si>
    <t xml:space="preserve">Extended one more day, Feeling Lucky? Reveal your deal, $10, $15, $20 Off </t>
  </si>
  <si>
    <t>Promo Email (6M): up to 30% off across the site! + Extra 10% off for online Order</t>
  </si>
  <si>
    <t>Repeat Delivery, $20 Off</t>
  </si>
  <si>
    <t>Limited Time Offer, 10% Off regular Priced Item Site wide</t>
  </si>
  <si>
    <t>Promo Email (6M) - eGC Promotion: $15 eGC on your order of $50 or more</t>
  </si>
  <si>
    <t>Up To 25% Off,FS on $49</t>
  </si>
  <si>
    <t>Email Exclusive: Blk Fri offer live at 8pm (6M) PM send - Up to 10% &amp; 25% off</t>
  </si>
  <si>
    <t>15 FP 7</t>
  </si>
  <si>
    <t>15 FP 8</t>
  </si>
  <si>
    <t>15 FP 9</t>
  </si>
  <si>
    <t>$10 Off,FS on $60</t>
  </si>
  <si>
    <t>$50 off $150</t>
  </si>
  <si>
    <t>$15 eGC on your order of $50 or more</t>
  </si>
  <si>
    <t>Petco Anniversary Sale - up to 40% off</t>
  </si>
  <si>
    <t>25% off your $75 online purchase</t>
  </si>
  <si>
    <t>June</t>
  </si>
  <si>
    <t>Table 5</t>
  </si>
  <si>
    <t>Upto 75% offer</t>
  </si>
  <si>
    <t>Up to 75% off summer stuff!</t>
  </si>
  <si>
    <t>Upto 75% offer + Email Exclusive: 20% off supplies + Summer Clearance</t>
  </si>
  <si>
    <t>Email Exclusive: 20% off w/ prod + Summer Clearance - AM + Upto 75% offer</t>
  </si>
  <si>
    <t>Upto 75% offer + Email Exclusive: 20% off w/ prod + Summer Clearance - AM</t>
  </si>
  <si>
    <t>Up to 75% off Clearance Items</t>
  </si>
  <si>
    <t>$20 eGC on $80 - includes food + Summer Clearance - AM + upto 75% clearance</t>
  </si>
  <si>
    <t>Extra $30 off your $100 + F&amp;T banner - AM</t>
  </si>
  <si>
    <t>10% Off, Save money and time with Drs. Foster &amp; Smith!</t>
  </si>
  <si>
    <t>25-40% off +Up to 20% off on Cat &amp; dog food</t>
  </si>
  <si>
    <t>25-40% off + Extra 10% off dog food &amp; Supplies</t>
  </si>
  <si>
    <t>Extra 10% off dog food &amp; supplies + 25-40% off - PM</t>
  </si>
  <si>
    <t>RD $30 eGC - AM</t>
  </si>
  <si>
    <t>Up To</t>
  </si>
  <si>
    <t>$30 Off,FS on $49</t>
  </si>
  <si>
    <t>20% Off,FS on $50</t>
  </si>
  <si>
    <t>20% Off, FS on $49</t>
  </si>
  <si>
    <t>Get a $10 eGC on your $75 online purchase + circ food offer banner (10% off Nautral Balance)</t>
  </si>
  <si>
    <t>Get $30 PLUS lower prices on your Natural Balance faves!</t>
  </si>
  <si>
    <t>FORCE FRIDAY™! All new editions to the Star Wars™ Pet Fans Collection!</t>
  </si>
  <si>
    <t>Online Bonus - today only! $15 eGC on your $75 order + 20% off $50</t>
  </si>
  <si>
    <t>Up to 40% off + Products</t>
  </si>
  <si>
    <t>Up to 40% off + $20 eGC banner</t>
  </si>
  <si>
    <t>Free Shipping on all orders. No minimum purchase + circ food offer (10% off select L.I.D.) - AM</t>
  </si>
  <si>
    <t>Free Shipping on all orders. No minimum purchase (Last Chance FSNM + RaF banner)</t>
  </si>
  <si>
    <t xml:space="preserve">Ends tonight -take an extra $15 off </t>
  </si>
  <si>
    <t>up to 40% off + 25% off RD</t>
  </si>
  <si>
    <t>25% off across the site</t>
  </si>
  <si>
    <t>Sign up  for RD and get $30 eGift card</t>
  </si>
  <si>
    <t>today only FSNM + WWFTM banner - AM + Last chance FSNM + RD $20 eGC banner - PM</t>
  </si>
  <si>
    <t>It's your lucky day! Free shipping has been extended!</t>
  </si>
  <si>
    <t>Up to 40% off + 15% RD + FS on 49</t>
  </si>
  <si>
    <t>last chance - reveal your deal | AM + Drs promo email 9/21-9/25 | PM</t>
  </si>
  <si>
    <t xml:space="preserve"> 20% off in-store and online!  + FS on $49</t>
  </si>
  <si>
    <t>Flash Sale, 25% off across the site</t>
  </si>
  <si>
    <t>4 words: Free. Shipping. No. Minimum.</t>
  </si>
  <si>
    <t>Last chance to save 25%! FLASH!</t>
  </si>
  <si>
    <t xml:space="preserve">Now’s the time to take 20% off in-store and online! </t>
  </si>
  <si>
    <t xml:space="preserve">Make tonight the night of savings with 20% off! </t>
  </si>
  <si>
    <t>ENDS TODAY: Sign up, save &amp; get 20 Reward Dollars!</t>
  </si>
  <si>
    <t>Last Day</t>
  </si>
  <si>
    <t>15 FP 10</t>
  </si>
  <si>
    <t>10% Off, FS on $49</t>
  </si>
  <si>
    <t>Petco Anniversary Sale - Shopping Pass $5 off $50 or $15 off $75</t>
  </si>
  <si>
    <t>Petco Anniversary Sale - Shopping Pass  $15 off $75</t>
  </si>
  <si>
    <t>Petco Anniversary Sale - Shopping Pass  only 3 more days to celebrate</t>
  </si>
  <si>
    <t>Petco Anniversary Sale - Shopping Pass - wrapping up the celebration tomorrow</t>
  </si>
  <si>
    <t>Petco Anniversary Sale - Shopping Pass -  50th Anniversary ends today</t>
  </si>
  <si>
    <t>Halloween Sale (savings on apparel, toys &amp; treats) + save 25-40%</t>
  </si>
  <si>
    <t>Flash Sale One day only, ends at mid night 25% across the Site</t>
  </si>
  <si>
    <t>Take an extra $ 50 off</t>
  </si>
  <si>
    <t>Free shiping on all orders</t>
  </si>
  <si>
    <t>National Cat Day, Extra 10% off  +  20% off for cat food &amp; Treats</t>
  </si>
  <si>
    <t>30% off  with pals rewards + 20 off  pals rewards for dog &amp; Cat</t>
  </si>
  <si>
    <t xml:space="preserve">Up to 50% off online! </t>
  </si>
  <si>
    <t>Prepare for excellent savings with $5 off $50 or $15 off $75!</t>
  </si>
  <si>
    <t>Save up to 50% off across the site</t>
  </si>
  <si>
    <t>50th Anniversary deals ends tonight</t>
  </si>
  <si>
    <t>ends tonight $50 off $150</t>
  </si>
  <si>
    <t>Petco.com</t>
  </si>
  <si>
    <t>Reveal Your Deal Promo,$10, $20, $30 Off,FS on $49</t>
  </si>
  <si>
    <t>All food &amp; treats on SALE + 20% off must-haves!</t>
  </si>
  <si>
    <t xml:space="preserve"> Before the ball drops… save 20% on your pet's must-haves!</t>
  </si>
  <si>
    <t>Happy New Year!  Enjoy 2x rewards &amp; free shipping on must-haves!</t>
  </si>
  <si>
    <t>Two ways to save - double points &amp; 25% off!</t>
  </si>
  <si>
    <t>Double points on New Gear + 25% off throughout the site!</t>
  </si>
  <si>
    <t xml:space="preserve"> ★ Promo code Inside: Get $30 off + free shipping ★</t>
  </si>
  <si>
    <t xml:space="preserve">Claim it before it’s gone: $30 off promo code inside! </t>
  </si>
  <si>
    <t>Don’t delay – $30 off expires today!</t>
  </si>
  <si>
    <t>SITEWIDE DEAL ALERT: Take an extra 15% off everything!</t>
  </si>
  <si>
    <t>Last chance for sitewide savings! Extra 15% off ends soon.</t>
  </si>
  <si>
    <t>Warm up with HOT winter savings - 20% off!</t>
  </si>
  <si>
    <t>BIG savings! --&gt; 20% off pet favorites + 10% off dog or cat food!</t>
  </si>
  <si>
    <t>Don't miss your chance to save 20%!</t>
  </si>
  <si>
    <t>20% off pet favorites + 10% off dog or cat food ends today</t>
  </si>
  <si>
    <t>By invitation only – Exclusive 1-day savings!</t>
  </si>
  <si>
    <t xml:space="preserve"> FLASH SALE – 30% off for 6 hours only!</t>
  </si>
  <si>
    <t xml:space="preserve"> Ends at midnight – 30% off will be gone in a FLASH!</t>
  </si>
  <si>
    <t xml:space="preserve">Happy FREE shipping Friday! </t>
  </si>
  <si>
    <t xml:space="preserve"> By invitation only – Exclusive savings expire at midnight!</t>
  </si>
  <si>
    <t xml:space="preserve"> Lucky you – 3% off FLASH SALE extended one day!</t>
  </si>
  <si>
    <t>13 FP 12</t>
  </si>
  <si>
    <t>Thanks Giving</t>
  </si>
  <si>
    <t>$15 Off,FS on $75 + $20 Off,FS on $100 + $25 Off,FS on $150</t>
  </si>
  <si>
    <t>Get Ready for the Holidays! up to 40% off + $15 Off,FS on $75 + $20 Off,FS on $100 + $25 Off,FS on $150</t>
  </si>
  <si>
    <t xml:space="preserve">$10 Off Promo + $ 30 eGc </t>
  </si>
  <si>
    <t>20% off across the site</t>
  </si>
  <si>
    <t>25% off across the site - pre-holiday just got real!</t>
  </si>
  <si>
    <t>Today Only! Free Shipping on all orders + 25% off sitewide</t>
  </si>
  <si>
    <t xml:space="preserve">Offer Extended! Free Shipping on all orders </t>
  </si>
  <si>
    <t>Take an $13 off your $60 supplies purchase</t>
  </si>
  <si>
    <t>Get Ready for the Holidays! Up to 50% off</t>
  </si>
  <si>
    <t>Get Ready for the Holidays! 30-50% off sitewide</t>
  </si>
  <si>
    <t>Get Ready for the Holidays! 30-50% off sitewide + Mobile Monday: Bonus $5 off your $50 mobile order</t>
  </si>
  <si>
    <t xml:space="preserve">Up to 40% off across the site </t>
  </si>
  <si>
    <t>Friends &amp; Family: Early access online! 20% off your online purchase</t>
  </si>
  <si>
    <t>Enterprise Offer - Friends &amp; Family: 20% off your purchase</t>
  </si>
  <si>
    <t>Today Only! Free Shipping on all orders + Thanks Giving Day + Black Friday starts online now! Up to 50% off</t>
  </si>
  <si>
    <t>Black Friday Savings - up to 50% off</t>
  </si>
  <si>
    <t>Cyber flash Sale 30% off across the site + free shipping</t>
  </si>
  <si>
    <t>Cyber Monday!  Plus Multiple offers + Free Shipping</t>
  </si>
  <si>
    <t>Cyber Deal Extended! 30% Off supplies across the Site</t>
  </si>
  <si>
    <t>Cyber Savings Continue! Find the best offers of the season - up to 60% off! Plus BONUS eGift Card Giveaway! Get a $15 eGC on your $50 purchase</t>
  </si>
  <si>
    <t>Last Chance:ends tonight  20% off across the site</t>
  </si>
  <si>
    <t>Calling all Star Wars™ fans: 3 new characters are in-store. Only at Petco!</t>
  </si>
  <si>
    <t>New STAR WARS &amp; Harajuku Lovers® gifts are in!</t>
  </si>
  <si>
    <t>$30 eGc</t>
  </si>
  <si>
    <t>Take 30- 50% off across the site</t>
  </si>
  <si>
    <t>Straight from Whoville—Dr. Seuss™ is here!</t>
  </si>
  <si>
    <t>Clearance Sale</t>
  </si>
  <si>
    <t>30% off supplies + BONUS 10% off dog &amp; cat food!</t>
  </si>
  <si>
    <t>Green Monday Savings! 30% off supplies &amp; 10% off dog &amp; cat food</t>
  </si>
  <si>
    <t xml:space="preserve"> 30% off supplies &amp; 10% off dog &amp; cat food</t>
  </si>
  <si>
    <t>Extended  30% off supplies &amp; 10% off dog &amp; cat food</t>
  </si>
  <si>
    <t>$10 Off on your $50 purchase</t>
  </si>
  <si>
    <t>Holiday Sale! 30% off across the site!</t>
  </si>
  <si>
    <t>Holiday Sale! 30% off online order</t>
  </si>
  <si>
    <t>joy.love.pets. -Buy 1 Get 1, 50% off with pals rewards</t>
  </si>
  <si>
    <t>$30 Off on your $100</t>
  </si>
  <si>
    <t>Get a $15 eGc + FSNM</t>
  </si>
  <si>
    <t>Offer Extended! $15 off your $50 online purchase (GOGO Event)</t>
  </si>
  <si>
    <t>Last chance to get $15 eGC + Free shipping</t>
  </si>
  <si>
    <t>Give one get one $15 eGC + Free shipping</t>
  </si>
  <si>
    <t>$15 eGift for you when you spend $50!</t>
  </si>
  <si>
    <t>Holiday clearance sale  up to 75% off</t>
  </si>
  <si>
    <t>LIMITED TIME: 10% off pet food!</t>
  </si>
  <si>
    <t>20% off with pals rewards</t>
  </si>
  <si>
    <t>RD &amp; $30 eGc</t>
  </si>
  <si>
    <t>$30 Off on your $100 ends tomorrow</t>
  </si>
  <si>
    <t>Get a $5 eGc for every $25 eGc card Purchase</t>
  </si>
  <si>
    <t>Last chance! Star Wars™ collectibles available in-store!</t>
  </si>
  <si>
    <t>Free shipping on all orders</t>
  </si>
  <si>
    <t>Reveal Your Deal Promo,15, 20, 30% Off</t>
  </si>
  <si>
    <t>15 FP 11</t>
  </si>
  <si>
    <t>$10 Off on your $60 purchase</t>
  </si>
  <si>
    <t>End of Year Sale! 25% off across the site + RD $30 eGC</t>
  </si>
  <si>
    <t xml:space="preserve">End of Year Sale! 25% off across the site + Bonus: free shipping on all orders! </t>
  </si>
  <si>
    <t xml:space="preserve"> New Year Savings! $15 off your $75 online purchase + RD $30 eGC &amp; VIP Blue Buffalo RD $30 eGC</t>
  </si>
  <si>
    <t>Shop More, Save More Online Event: $10 off $50, $25 off $75 and $30 off $100 
XX% off all Bird Supplies</t>
  </si>
  <si>
    <t>Shop More, Save More Online Event: $10 off $50, $25 off $75 and $30 off $100 + Bonus: Celebrate National Bird Day! 
XX% off all Bird Supplies</t>
  </si>
  <si>
    <t>Shop More, Save More Online Event: $10 off $50, $25 off $75 and $30 off $100 + RD $30 eGC &amp; VIP Blue Buffalo RD $30 eGC</t>
  </si>
  <si>
    <t xml:space="preserve">20% off your purchase </t>
  </si>
  <si>
    <t>Enterprise Offer: 20% off your purchase + RD $30 eGC &amp; VIP Blue Buffalo RD $30 eGC</t>
  </si>
  <si>
    <t>Enterprise Offer: 20% off your purchase + RD Blue Buffalo $25 eGC</t>
  </si>
  <si>
    <t>Great Savings + FSNM</t>
  </si>
  <si>
    <t>Up to 30% off +bonus extra $10 off</t>
  </si>
  <si>
    <t>Up to 30% off +bonus extra $10 off dress up your pets</t>
  </si>
  <si>
    <t>Weekend savings  $ 10 Off  your $ 50 Purchase</t>
  </si>
  <si>
    <t>Sunday SALEday - $10 off $60</t>
  </si>
  <si>
    <t>eGC promotion: $10 eGC on your $60 + RD $30 eGC &amp; VIP Blue Buffalo RD $30 eGC</t>
  </si>
  <si>
    <t>Take an $10 extra on your online  Purchase</t>
  </si>
  <si>
    <t>up to 40% off + take an extra $10 off</t>
  </si>
  <si>
    <t>a splash with 20% off during The Incredible Aquatics Event!</t>
  </si>
  <si>
    <t xml:space="preserve">Bonus Savings 25% off across the site </t>
  </si>
  <si>
    <t>Star Wars™ gift — Saturday only!</t>
  </si>
  <si>
    <t xml:space="preserve">New Year Savings! $15 off your $75 online purchase </t>
  </si>
  <si>
    <t xml:space="preserve">Make Waves! The Incredible Aquatics Event starts </t>
  </si>
  <si>
    <t>tar Wars™ Pet Fans Collection™ strikes back with new products!</t>
  </si>
  <si>
    <t>Sign up for RD get $30 eGc</t>
  </si>
  <si>
    <t>Last chance to save - $10 off $60</t>
  </si>
  <si>
    <t>Get a $30 eGift Card when you sign up for Repeat Delivery!</t>
  </si>
  <si>
    <t>$10 Off + Up to 40% off</t>
  </si>
  <si>
    <t>FSNM + 30-50% off across the site</t>
  </si>
  <si>
    <t>30 -50% off supplies across the site + FSNM</t>
  </si>
  <si>
    <t>RD $30 eGC</t>
  </si>
  <si>
    <t>FW01</t>
  </si>
  <si>
    <t>Great Savings + FSNM + bonus 10% off on dog &amp; cat food</t>
  </si>
  <si>
    <t>Today Only: Free Shipping on all orders - Happy Groundhog Day (animated): FSNM (7M) AM</t>
  </si>
  <si>
    <t>Flash sale up to 50% off</t>
  </si>
  <si>
    <t xml:space="preserve">Flash sale up to 50% off + 20% off on dog &amp; cat food </t>
  </si>
  <si>
    <t xml:space="preserve">Up to 50% off + 20% off on dog &amp; cat food </t>
  </si>
  <si>
    <t>Up to 50% off + Free shipping</t>
  </si>
  <si>
    <t>Incredible savings Up to 50% off + Double reweards</t>
  </si>
  <si>
    <t>Up to 50% off + bonus offer $30 eGc</t>
  </si>
  <si>
    <t>Last chance to get up to 50% off</t>
  </si>
  <si>
    <t>Love Your Pet Event! Up to 50% off across the site + BONUS 10% off dog/cat food &amp; treats (promo code)</t>
  </si>
  <si>
    <t>20% off Pals rewards + up to 50% off</t>
  </si>
  <si>
    <t>Happy Valentine's Day! $10 off $50 (7M) 3 pet versions</t>
  </si>
  <si>
    <t>Extended for President's Day Sale! $10 off $50</t>
  </si>
  <si>
    <t>Sign up  for RD and get $30 eGift card + Up to 50% off across the site</t>
  </si>
  <si>
    <t>Choose your deal $10 off $50, $15 off $75, $30 off $100</t>
  </si>
  <si>
    <t>Love Your Pet Weekend! Free Shipping on all orders + great savings across the site message/banner (7M)</t>
  </si>
  <si>
    <t>Love Your Pet Weekend! Free Shipping on all orders (7M) AM</t>
  </si>
  <si>
    <t xml:space="preserve">$30 off your $100 online supplies order </t>
  </si>
  <si>
    <t>$30 off your $100 online supplies order + BONUS 20% off dog/cat toys &amp; treats</t>
  </si>
  <si>
    <t>Big savings 25% off on your online supplies order + 20% off dog &amp; Cat food</t>
  </si>
  <si>
    <t>Great Savings</t>
  </si>
  <si>
    <t>Flash Sale, Up To 50% Off,FS on $49</t>
  </si>
  <si>
    <t>20% off on all saltwater &amp; fresh water fish</t>
  </si>
  <si>
    <t xml:space="preserve">Free Shipping on all orders - Happy Groundhog Day </t>
  </si>
  <si>
    <t>Sign up for RD get $30 eGc + Up to 50% off across the site</t>
  </si>
  <si>
    <t>Double rewards, Pals rewards</t>
  </si>
  <si>
    <t>Up to 50% off + bonus offer $30 eGc last chance</t>
  </si>
  <si>
    <t>Buy one get one free</t>
  </si>
  <si>
    <t>20% off pet healthcare essentials</t>
  </si>
  <si>
    <t>Last chance on free chipping</t>
  </si>
  <si>
    <t>Last chance for great savings + 20% off dog &amp; Cat food</t>
  </si>
  <si>
    <t>15 FP 12</t>
  </si>
  <si>
    <t>16 FP 01</t>
  </si>
  <si>
    <t>16 FP 02</t>
  </si>
  <si>
    <t>16 FP 03</t>
  </si>
  <si>
    <t>40% Off,FS on $49</t>
  </si>
  <si>
    <t>Up to $50, FS on $49</t>
  </si>
  <si>
    <t>Final day for huge savings 25% off on your online supplies order</t>
  </si>
  <si>
    <t>Leap day savings event 29% off on your online supplies order+ $ 30eGc</t>
  </si>
  <si>
    <t>Get a $15 eGc on your order  of $ 75 or more</t>
  </si>
  <si>
    <t>Dr. Seuss'™ birthday—celebrate with 25% off in-store</t>
  </si>
  <si>
    <t>Last chance to save Get a $15 eGc on your order  of $ 75 or more</t>
  </si>
  <si>
    <t>Six days of deals starts 40% off select dog beds + bonus up to 40% off raw hide</t>
  </si>
  <si>
    <t>Six days of deals starts 25% off select flea &amp; tick + bonus up to 40% off grooming products</t>
  </si>
  <si>
    <t>Six days of deals 40% off Select crates, kannels, &amp; carries + bonus up to 40% off collars, leashes</t>
  </si>
  <si>
    <t>Six days of deals 25% off Select crates, kannels, &amp; carries + bonus up to 40% off collars, leashes</t>
  </si>
  <si>
    <t>Six days of deals 40% off Select cat furniture + bonus up to 25% off litter boxes</t>
  </si>
  <si>
    <t>Six days of deals 25% off Select cat furniture + bonus up to 25% off litter boxes</t>
  </si>
  <si>
    <t>Six days of deals 25% off select dog  toys , Pet ID tags</t>
  </si>
  <si>
    <t>Six day deals ends today 20% off online supplies order</t>
  </si>
  <si>
    <t>Up to $50 Reward Dollars are waiting</t>
  </si>
  <si>
    <t>Take an extra $ 30 off on your online supplies order</t>
  </si>
  <si>
    <t>Earn up to $50 Reward Dollars</t>
  </si>
  <si>
    <t xml:space="preserve"> Get up to $50 Reward Dollars </t>
  </si>
  <si>
    <t xml:space="preserve">Score up to $50 Reward Dollars </t>
  </si>
  <si>
    <t>Up to $50 Reward Dollars are waiting for you</t>
  </si>
  <si>
    <t>Flash Sale 20% off your online supplies order</t>
  </si>
  <si>
    <t>20% off your online supplies order</t>
  </si>
  <si>
    <t>Give a eGift Card – pick a design or make your own!</t>
  </si>
  <si>
    <t xml:space="preserve">Time running out to grab up to $50 Reward </t>
  </si>
  <si>
    <t>Up to 40% off across the site</t>
  </si>
  <si>
    <t>FSNM + $15 off, $25 off, $40 off, $80 off</t>
  </si>
  <si>
    <t>Spend $50 get $15, Spend $75 get $25, Spend $100 get $40, Spend $200 get $80</t>
  </si>
  <si>
    <t>Get rewarded—up to $80 in Pals Rewards</t>
  </si>
  <si>
    <t>Rich rewards, Spend $50 get $15, Spend $75 get $25, Spend $100 get $40, Spend $200 get $80</t>
  </si>
  <si>
    <t>Take 20% Off Pet Health Essentials</t>
  </si>
  <si>
    <t>National Puppy Day with an extra $10 off supplies!</t>
  </si>
  <si>
    <t>Spend $50 get $15, Spend $75 get $25, Spend $100 get $40, Spend $200 get $80 + FSNM</t>
  </si>
  <si>
    <t xml:space="preserve">Spend $50 get $15, Spend $75 get $25, Spend $100 get $40, Spend $200 get $80 </t>
  </si>
  <si>
    <t>Flash Sale,15% Off,FS on $49</t>
  </si>
  <si>
    <t>Flash sale +Great savings + take an extra 15% off on online supplies order</t>
  </si>
  <si>
    <t>last chance Flash sale  + take an extra 15% off on online supplies order</t>
  </si>
  <si>
    <t xml:space="preserve">jump on pest control for your dog or cat with $10 off! </t>
  </si>
  <si>
    <t>Great savings + Free shipping</t>
  </si>
  <si>
    <t>Free shingping on all orders + up to 20% off on dog and Cat food</t>
  </si>
  <si>
    <t>40% off select dog beds + up to 20% off food!</t>
  </si>
  <si>
    <t>$10 off $50 or $15 off $75 (7M)</t>
  </si>
  <si>
    <t xml:space="preserve">Super savings up to 40% off   </t>
  </si>
  <si>
    <t>Enjoy up to 40% savings on pet supplies</t>
  </si>
  <si>
    <t>Up to 40% off dog &amp; cat food</t>
  </si>
  <si>
    <t>April Savings up to 40% off + take an extra $10 off</t>
  </si>
  <si>
    <t>Up to 20% off dog and Cat Food</t>
  </si>
  <si>
    <t>Final day for huge savings up to 40% off + take an extra $10 off</t>
  </si>
  <si>
    <t>$15 off your $75 online supplies order (7M)</t>
  </si>
  <si>
    <t>RD on your Doorstep, $30 on eGc on Sign up+ Up to 20% off dog &amp; cat food</t>
  </si>
  <si>
    <t>Up to 20% off dog &amp; cat food</t>
  </si>
  <si>
    <t xml:space="preserve"> eGC Promotion: $15 eGC on your order of $50 or more</t>
  </si>
  <si>
    <t xml:space="preserve"> eGC Promotion: $15 eGC on your order of $50 or more + Up to 20% off dog &amp; cat food</t>
  </si>
  <si>
    <t>Celebrate Earth Day with Free Shipping on all orders! (7M) AM + up to 20% off dog &amp; cat food</t>
  </si>
  <si>
    <t>Free shipping on all orders + up to 40% off supplies across the  site+ up to 20% off dog &amp; cat food</t>
  </si>
  <si>
    <t xml:space="preserve">Up to 20% off dog &amp; cat food + up to 40% off supplies across the site + 40% off select dog beds </t>
  </si>
  <si>
    <t xml:space="preserve">Up to 40% off across the site + Flash sale starts, take an extra 15% off </t>
  </si>
  <si>
    <t>Flash sale starts, take an extra 15% off + Spring sale starts up to 40% off across the site</t>
  </si>
  <si>
    <t>Spring sale Up to 40% off across the site  + up to 20% dog &amp; cat food</t>
  </si>
  <si>
    <t xml:space="preserve">Free Ship Friday! Free Shipping on all orders! </t>
  </si>
  <si>
    <t>$1 Per Gallon event is back! Upgrade your tank today</t>
  </si>
  <si>
    <t>Protect your dog against canine influenza for only $50!</t>
  </si>
  <si>
    <t>Save 20%! The Incredible Aquatics Event starts tomorrow</t>
  </si>
  <si>
    <t>Ends tonight Free shingping on all orders</t>
  </si>
  <si>
    <t>Buy one get one  50% off with pals rewards toy sale</t>
  </si>
  <si>
    <t xml:space="preserve">20% off all salt water and fresh water fish </t>
  </si>
  <si>
    <t>Last chance $10 off $50 or $15 off $75 (7M)</t>
  </si>
  <si>
    <t>Get a free $30 eGc + Up to 20% off dog &amp; Cat food</t>
  </si>
  <si>
    <t>50% off! Last chance to shop Harajuku Lovers</t>
  </si>
  <si>
    <t>Take an extra $15 off your online supplies order!</t>
  </si>
  <si>
    <t>last chance $15 off your $75 online supplies order (7M)</t>
  </si>
  <si>
    <t>Save 15% on pet healthcare essentials.</t>
  </si>
  <si>
    <t xml:space="preserve"> Celebrate Earth Day with Free Shipping on all orders! (7M) PM</t>
  </si>
  <si>
    <t>Up to 20% off dog &amp; cat food + up to 40% off supplies across the site+ 40% off crates &amp;  Kennels</t>
  </si>
  <si>
    <t>Get a free $30 eGc when u sign up for RD + Up to 20% off dog &amp; Cat food</t>
  </si>
  <si>
    <t>last chance Flash sale starts, take an extra 15% off + Spring sale starts up to 40% off across the site</t>
  </si>
  <si>
    <t>16 FP 04</t>
  </si>
  <si>
    <t>72-Hour Sale! 20-40% across the site with product grid (7M) + up to 20% off dog &amp; Cat Food</t>
  </si>
  <si>
    <t>RD Acquisition: $30 eGC (7M)  + up to 20% off dog &amp; Cat Food</t>
  </si>
  <si>
    <t>Flash Sale - today only! 25% off your supplies order (7M) AM + Flash Sale - ends tonight! 25% off your supplies order (7M) PM</t>
  </si>
  <si>
    <t>Extended only until 9pm! 25% off your supplies order! (7M)</t>
  </si>
  <si>
    <t>Online Weekend Event! $10 off $50, $15 off $75 or $30 off $100 with product grid (7M) AM</t>
  </si>
  <si>
    <t>Online Weekend Event! $10 off $50, $15 off $75 or $30 off $100 with product grid (7M) AM + Last chance! Online Weekend Event! $10 off $50, $15 off $75 or $30 off $100 (7M) PM</t>
  </si>
  <si>
    <t>RD Acquisition: $30 eGC + up to 40% off banner (7M)</t>
  </si>
  <si>
    <t>Shop May Deals! Up to 40% across the site with product grid (7M)</t>
  </si>
  <si>
    <t>Friday the 13th = Free Shipping on all orders + up to 20% dog &amp; cat food</t>
  </si>
  <si>
    <t>Free shipping on all orders + up to 20% off dog &amp; cat food</t>
  </si>
  <si>
    <t>Online Weekend Event Bonus! $10 off your $60 order + Shop May Deals up to 40% across the site banner + prod grid (7M) AM   + (7M) PM</t>
  </si>
  <si>
    <t>RD Acquisition: $30 eGC + up to 40% off banner (TBD)</t>
  </si>
  <si>
    <t>Bonus! Get a $15 eGC on your $75 purchase + Shop May Deals up to 40% across the site banner + prod grid (7M)</t>
  </si>
  <si>
    <t>Last Day to get a $15 eGC on your $75 purchase + Shop May Deals up to 40% across the site banner + prod grid (7M)</t>
  </si>
  <si>
    <t>Free Shipping Friday + up to 20% off dog &amp; cat food</t>
  </si>
  <si>
    <t>Last Day to shop May Deals up to 40% across the site banner with product grid (7M) AM</t>
  </si>
  <si>
    <t>save! $30 off your $100 online supplies purchase + up to 20% off dog &amp; cat food</t>
  </si>
  <si>
    <t>Last day to save! $30 off your $100 online supplies purchase + prod grid (7M) + Ends tonight! $30 off your $100 online supplies purchase (7M)</t>
  </si>
  <si>
    <t>Free shipping on all orders + up to 50% supplies across the site</t>
  </si>
  <si>
    <t>Memorial Weekend! Up to 50% off across the site with product grid (7M) + Free shipping</t>
  </si>
  <si>
    <t>Memorial Weekend! Up to 50% off across the site with product grid (7M) + Free shipping + up to 20% off dog &amp; cat food</t>
  </si>
  <si>
    <t>72-Hour Sale! 20-40% across the site with product grid (7M) + up t20% off dog &amp; Cat Food</t>
  </si>
  <si>
    <t>up to 20% off dog &amp; Cat Food + 50% off pals rewards</t>
  </si>
  <si>
    <t>Flash Sale - ends tonight! 25% off your supplies order (7M) PM</t>
  </si>
  <si>
    <t>Free Shipping on all orders + up to 20% dog &amp; cat food</t>
  </si>
  <si>
    <t>the chart + save $10 on flea &amp; tick!</t>
  </si>
  <si>
    <t>Free shipping + Up to 20% off dog &amp; cat food+ Up to 50%</t>
  </si>
  <si>
    <t>Join the fight against pet cancer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</si>
</sst>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;\-0;;@"/>
    <numFmt numFmtId="165" formatCode="d/mmm/yy;;"/>
    <numFmt numFmtId="166" formatCode="[$-409]d\-mmm;@"/>
    <numFmt numFmtId="167" formatCode="_(* #,##0_);_(* \(#,##0\);_(* &quot;-&quot;??_);_(@_)"/>
    <numFmt numFmtId="168" formatCode="[$-409]mmm\-yy;@"/>
    <numFmt numFmtId="169" formatCode="[$-409]d\-mmm\-yy;@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9"/>
      <color theme="1"/>
      <name val="Calibri"/>
      <family val="2"/>
    </font>
    <font>
      <sz val="11"/>
      <color indexed="8"/>
      <name val="Helvetica Neue"/>
    </font>
    <font>
      <sz val="11"/>
      <color theme="1"/>
      <name val="Calibri"/>
      <family val="2"/>
    </font>
    <font>
      <sz val="10"/>
      <color theme="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8"/>
      <name val="Tahoma"/>
      <family val="2"/>
    </font>
    <font>
      <sz val="24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</font>
    <font>
      <sz val="11"/>
      <color theme="0" tint="-4.9989318521683403E-2"/>
      <name val="Calibri"/>
      <family val="2"/>
      <scheme val="minor"/>
    </font>
    <font>
      <sz val="26"/>
      <color theme="0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DashDot">
        <color rgb="FF0070C0"/>
      </left>
      <right/>
      <top style="mediumDashDot">
        <color rgb="FF0070C0"/>
      </top>
      <bottom/>
      <diagonal/>
    </border>
    <border>
      <left/>
      <right/>
      <top style="mediumDashDot">
        <color rgb="FF0070C0"/>
      </top>
      <bottom/>
      <diagonal/>
    </border>
    <border>
      <left/>
      <right style="mediumDashDot">
        <color rgb="FF0070C0"/>
      </right>
      <top style="mediumDashDot">
        <color rgb="FF0070C0"/>
      </top>
      <bottom/>
      <diagonal/>
    </border>
    <border>
      <left style="mediumDashDot">
        <color rgb="FF0070C0"/>
      </left>
      <right/>
      <top/>
      <bottom style="mediumDashDot">
        <color rgb="FF0070C0"/>
      </bottom>
      <diagonal/>
    </border>
    <border>
      <left/>
      <right/>
      <top/>
      <bottom style="mediumDashDot">
        <color rgb="FF0070C0"/>
      </bottom>
      <diagonal/>
    </border>
    <border>
      <left/>
      <right style="mediumDashDot">
        <color rgb="FF0070C0"/>
      </right>
      <top/>
      <bottom style="mediumDashDot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auto="1"/>
      </bottom>
      <diagonal/>
    </border>
  </borders>
  <cellStyleXfs count="2338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6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6" fontId="12" fillId="0" borderId="0" applyNumberFormat="0" applyFill="0" applyBorder="0" applyAlignment="0" applyProtection="0">
      <alignment vertical="top"/>
      <protection locked="0"/>
    </xf>
    <xf numFmtId="166" fontId="12" fillId="0" borderId="0" applyNumberFormat="0" applyFill="0" applyBorder="0" applyAlignment="0" applyProtection="0">
      <alignment vertical="top"/>
      <protection locked="0"/>
    </xf>
    <xf numFmtId="166" fontId="12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166" fontId="12" fillId="0" borderId="0" applyNumberFormat="0" applyFill="0" applyBorder="0" applyAlignment="0" applyProtection="0">
      <alignment vertical="top"/>
      <protection locked="0"/>
    </xf>
    <xf numFmtId="166" fontId="12" fillId="0" borderId="0" applyNumberFormat="0" applyFill="0" applyBorder="0" applyAlignment="0" applyProtection="0">
      <alignment vertical="top"/>
      <protection locked="0"/>
    </xf>
    <xf numFmtId="166" fontId="12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6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166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9" fillId="0" borderId="0"/>
    <xf numFmtId="166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0" fillId="0" borderId="0" applyNumberFormat="0" applyFill="0" applyBorder="0" applyAlignment="0" applyProtection="0"/>
    <xf numFmtId="0" fontId="9" fillId="0" borderId="0"/>
    <xf numFmtId="0" fontId="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11" fillId="0" borderId="0"/>
    <xf numFmtId="0" fontId="1" fillId="0" borderId="0"/>
    <xf numFmtId="0" fontId="1" fillId="0" borderId="0"/>
    <xf numFmtId="0" fontId="11" fillId="0" borderId="0"/>
    <xf numFmtId="0" fontId="10" fillId="0" borderId="0"/>
    <xf numFmtId="0" fontId="11" fillId="0" borderId="0"/>
    <xf numFmtId="0" fontId="1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1" fillId="0" borderId="0"/>
    <xf numFmtId="0" fontId="11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1" fillId="0" borderId="0"/>
    <xf numFmtId="0" fontId="1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9" fillId="0" borderId="0"/>
    <xf numFmtId="0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9" fillId="0" borderId="0"/>
    <xf numFmtId="0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9" fillId="0" borderId="0"/>
    <xf numFmtId="166" fontId="9" fillId="0" borderId="0"/>
    <xf numFmtId="0" fontId="16" fillId="0" borderId="0" applyNumberFormat="0" applyFill="0" applyBorder="0" applyProtection="0">
      <alignment vertical="top"/>
    </xf>
    <xf numFmtId="166" fontId="1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0" fillId="0" borderId="0" applyNumberFormat="0" applyFill="0" applyBorder="0" applyAlignment="0" applyProtection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11" fillId="0" borderId="0"/>
    <xf numFmtId="0" fontId="11" fillId="0" borderId="0"/>
    <xf numFmtId="0" fontId="11" fillId="0" borderId="0"/>
    <xf numFmtId="0" fontId="11" fillId="0" borderId="0"/>
    <xf numFmtId="166" fontId="11" fillId="0" borderId="0"/>
    <xf numFmtId="0" fontId="11" fillId="0" borderId="0"/>
    <xf numFmtId="0" fontId="11" fillId="0" borderId="0"/>
    <xf numFmtId="166" fontId="1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166" fontId="11" fillId="0" borderId="0"/>
    <xf numFmtId="0" fontId="11" fillId="0" borderId="0"/>
    <xf numFmtId="0" fontId="1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1" fillId="0" borderId="0"/>
    <xf numFmtId="166" fontId="11" fillId="0" borderId="0"/>
    <xf numFmtId="166" fontId="11" fillId="0" borderId="0"/>
    <xf numFmtId="166" fontId="11" fillId="0" borderId="0"/>
    <xf numFmtId="0" fontId="11" fillId="0" borderId="0"/>
    <xf numFmtId="0" fontId="1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0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1" fillId="0" borderId="0"/>
    <xf numFmtId="0" fontId="10" fillId="0" borderId="0" applyNumberFormat="0" applyFill="0" applyBorder="0" applyAlignment="0" applyProtection="0"/>
    <xf numFmtId="166" fontId="1" fillId="0" borderId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" fillId="0" borderId="0"/>
    <xf numFmtId="166" fontId="1" fillId="0" borderId="0"/>
    <xf numFmtId="0" fontId="10" fillId="0" borderId="0" applyNumberFormat="0" applyFill="0" applyBorder="0" applyAlignment="0" applyProtection="0"/>
    <xf numFmtId="166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7" fillId="2" borderId="1" applyNumberFormat="0" applyFont="0" applyAlignment="0" applyProtection="0"/>
    <xf numFmtId="0" fontId="9" fillId="2" borderId="10" applyNumberFormat="0" applyFont="0" applyAlignment="0" applyProtection="0"/>
    <xf numFmtId="0" fontId="9" fillId="2" borderId="10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ill="0" applyBorder="0" applyAlignment="0" applyProtection="0"/>
    <xf numFmtId="9" fontId="9" fillId="0" borderId="0" applyFill="0" applyBorder="0" applyAlignment="0" applyProtection="0"/>
    <xf numFmtId="9" fontId="9" fillId="0" borderId="0" applyFill="0" applyBorder="0" applyAlignment="0" applyProtection="0"/>
    <xf numFmtId="9" fontId="9" fillId="0" borderId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vertical="top"/>
    </xf>
    <xf numFmtId="1" fontId="10" fillId="0" borderId="0" xfId="1188" applyNumberFormat="1" applyAlignment="1">
      <alignment horizontal="center"/>
    </xf>
    <xf numFmtId="0" fontId="10" fillId="0" borderId="0" xfId="1188" applyAlignment="1">
      <alignment horizontal="center"/>
    </xf>
    <xf numFmtId="3" fontId="10" fillId="0" borderId="0" xfId="1188" applyNumberFormat="1" applyAlignment="1">
      <alignment horizontal="center"/>
    </xf>
    <xf numFmtId="0" fontId="10" fillId="0" borderId="0" xfId="1188"/>
    <xf numFmtId="14" fontId="10" fillId="0" borderId="0" xfId="1188" applyNumberFormat="1" applyAlignment="1">
      <alignment horizontal="center"/>
    </xf>
    <xf numFmtId="9" fontId="0" fillId="0" borderId="0" xfId="2047" applyFont="1"/>
    <xf numFmtId="1" fontId="10" fillId="0" borderId="0" xfId="1188" applyNumberFormat="1"/>
    <xf numFmtId="9" fontId="0" fillId="0" borderId="0" xfId="0" applyNumberFormat="1"/>
    <xf numFmtId="0" fontId="0" fillId="0" borderId="8" xfId="0" applyBorder="1"/>
    <xf numFmtId="15" fontId="0" fillId="0" borderId="8" xfId="0" applyNumberFormat="1" applyBorder="1"/>
    <xf numFmtId="1" fontId="0" fillId="0" borderId="8" xfId="0" applyNumberFormat="1" applyBorder="1"/>
    <xf numFmtId="167" fontId="0" fillId="0" borderId="8" xfId="1" applyNumberFormat="1" applyFont="1" applyBorder="1"/>
    <xf numFmtId="0" fontId="4" fillId="8" borderId="8" xfId="0" applyFont="1" applyFill="1" applyBorder="1" applyAlignment="1">
      <alignment wrapText="1"/>
    </xf>
    <xf numFmtId="0" fontId="0" fillId="3" borderId="0" xfId="0" applyFill="1"/>
    <xf numFmtId="167" fontId="0" fillId="3" borderId="8" xfId="1" applyNumberFormat="1" applyFont="1" applyFill="1" applyBorder="1"/>
    <xf numFmtId="167" fontId="0" fillId="9" borderId="8" xfId="1" applyNumberFormat="1" applyFont="1" applyFill="1" applyBorder="1"/>
    <xf numFmtId="14" fontId="0" fillId="3" borderId="0" xfId="0" applyNumberFormat="1" applyFill="1" applyBorder="1"/>
    <xf numFmtId="167" fontId="0" fillId="3" borderId="0" xfId="1" applyNumberFormat="1" applyFont="1" applyFill="1" applyBorder="1"/>
    <xf numFmtId="4" fontId="0" fillId="3" borderId="0" xfId="0" applyNumberFormat="1" applyFill="1" applyBorder="1"/>
    <xf numFmtId="0" fontId="0" fillId="3" borderId="0" xfId="0" applyFill="1" applyBorder="1"/>
    <xf numFmtId="0" fontId="0" fillId="3" borderId="9" xfId="0" applyFill="1" applyBorder="1"/>
    <xf numFmtId="14" fontId="0" fillId="3" borderId="8" xfId="0" applyNumberFormat="1" applyFill="1" applyBorder="1"/>
    <xf numFmtId="0" fontId="2" fillId="8" borderId="8" xfId="0" applyFont="1" applyFill="1" applyBorder="1"/>
    <xf numFmtId="0" fontId="0" fillId="3" borderId="0" xfId="0" applyFill="1" applyAlignment="1">
      <alignment vertical="top"/>
    </xf>
    <xf numFmtId="0" fontId="0" fillId="3" borderId="0" xfId="0" applyFont="1" applyFill="1" applyBorder="1"/>
    <xf numFmtId="0" fontId="20" fillId="3" borderId="8" xfId="0" applyFont="1" applyFill="1" applyBorder="1"/>
    <xf numFmtId="0" fontId="0" fillId="0" borderId="12" xfId="0" applyBorder="1"/>
    <xf numFmtId="0" fontId="6" fillId="3" borderId="0" xfId="0" applyFont="1" applyFill="1" applyBorder="1" applyAlignment="1">
      <alignment horizontal="center"/>
    </xf>
    <xf numFmtId="0" fontId="4" fillId="3" borderId="0" xfId="0" applyFont="1" applyFill="1" applyBorder="1"/>
    <xf numFmtId="0" fontId="8" fillId="3" borderId="0" xfId="0" applyFont="1" applyFill="1" applyBorder="1"/>
    <xf numFmtId="0" fontId="3" fillId="3" borderId="0" xfId="0" applyFont="1" applyFill="1" applyBorder="1" applyAlignment="1">
      <alignment horizontal="center"/>
    </xf>
    <xf numFmtId="164" fontId="3" fillId="3" borderId="0" xfId="0" applyNumberFormat="1" applyFont="1" applyFill="1" applyBorder="1" applyAlignment="1">
      <alignment horizontal="center"/>
    </xf>
    <xf numFmtId="0" fontId="3" fillId="3" borderId="0" xfId="0" applyFont="1" applyFill="1" applyBorder="1"/>
    <xf numFmtId="164" fontId="19" fillId="3" borderId="0" xfId="0" applyNumberFormat="1" applyFont="1" applyFill="1" applyBorder="1" applyAlignment="1">
      <alignment horizontal="center"/>
    </xf>
    <xf numFmtId="14" fontId="2" fillId="8" borderId="11" xfId="0" applyNumberFormat="1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0" fillId="8" borderId="0" xfId="0" applyFill="1" applyBorder="1"/>
    <xf numFmtId="0" fontId="23" fillId="0" borderId="8" xfId="0" applyFont="1" applyBorder="1" applyAlignment="1">
      <alignment wrapText="1"/>
    </xf>
    <xf numFmtId="0" fontId="23" fillId="0" borderId="8" xfId="0" applyFont="1" applyBorder="1" applyAlignment="1">
      <alignment horizontal="right" wrapText="1"/>
    </xf>
    <xf numFmtId="0" fontId="23" fillId="0" borderId="0" xfId="0" applyFont="1" applyBorder="1" applyAlignment="1">
      <alignment horizontal="right" wrapText="1"/>
    </xf>
    <xf numFmtId="0" fontId="4" fillId="3" borderId="0" xfId="0" applyFont="1" applyFill="1"/>
    <xf numFmtId="0" fontId="4" fillId="3" borderId="8" xfId="0" applyFont="1" applyFill="1" applyBorder="1"/>
    <xf numFmtId="0" fontId="4" fillId="8" borderId="8" xfId="0" applyFont="1" applyFill="1" applyBorder="1"/>
    <xf numFmtId="0" fontId="4" fillId="8" borderId="8" xfId="0" quotePrefix="1" applyFont="1" applyFill="1" applyBorder="1"/>
    <xf numFmtId="168" fontId="22" fillId="0" borderId="8" xfId="0" applyNumberFormat="1" applyFont="1" applyBorder="1" applyAlignment="1">
      <alignment wrapText="1"/>
    </xf>
    <xf numFmtId="0" fontId="2" fillId="8" borderId="8" xfId="0" applyFont="1" applyFill="1" applyBorder="1" applyAlignment="1">
      <alignment wrapText="1"/>
    </xf>
    <xf numFmtId="167" fontId="0" fillId="3" borderId="8" xfId="1" applyNumberFormat="1" applyFont="1" applyFill="1" applyBorder="1" applyAlignment="1">
      <alignment wrapText="1"/>
    </xf>
    <xf numFmtId="4" fontId="0" fillId="3" borderId="0" xfId="0" applyNumberFormat="1" applyFill="1" applyBorder="1" applyAlignment="1">
      <alignment wrapText="1"/>
    </xf>
    <xf numFmtId="167" fontId="0" fillId="3" borderId="0" xfId="1" applyNumberFormat="1" applyFont="1" applyFill="1" applyBorder="1" applyAlignment="1">
      <alignment wrapText="1"/>
    </xf>
    <xf numFmtId="0" fontId="0" fillId="3" borderId="0" xfId="0" applyFill="1" applyBorder="1" applyAlignment="1">
      <alignment wrapText="1"/>
    </xf>
    <xf numFmtId="0" fontId="24" fillId="3" borderId="0" xfId="0" applyFont="1" applyFill="1" applyBorder="1"/>
    <xf numFmtId="0" fontId="2" fillId="8" borderId="13" xfId="0" applyFont="1" applyFill="1" applyBorder="1" applyAlignment="1">
      <alignment horizontal="center" vertical="center"/>
    </xf>
    <xf numFmtId="165" fontId="3" fillId="3" borderId="0" xfId="0" applyNumberFormat="1" applyFont="1" applyFill="1" applyBorder="1" applyAlignment="1">
      <alignment horizontal="center"/>
    </xf>
    <xf numFmtId="14" fontId="18" fillId="4" borderId="8" xfId="1188" applyNumberFormat="1" applyFont="1" applyFill="1" applyBorder="1" applyAlignment="1">
      <alignment horizontal="center"/>
    </xf>
    <xf numFmtId="0" fontId="18" fillId="4" borderId="8" xfId="1188" applyFont="1" applyFill="1" applyBorder="1" applyAlignment="1">
      <alignment horizontal="center"/>
    </xf>
    <xf numFmtId="3" fontId="18" fillId="5" borderId="8" xfId="1188" applyNumberFormat="1" applyFont="1" applyFill="1" applyBorder="1" applyAlignment="1">
      <alignment horizontal="center"/>
    </xf>
    <xf numFmtId="0" fontId="10" fillId="0" borderId="8" xfId="1188" applyBorder="1"/>
    <xf numFmtId="14" fontId="10" fillId="0" borderId="8" xfId="1188" applyNumberFormat="1" applyBorder="1" applyAlignment="1">
      <alignment horizontal="center"/>
    </xf>
    <xf numFmtId="0" fontId="10" fillId="0" borderId="8" xfId="1188" applyBorder="1" applyAlignment="1">
      <alignment horizontal="center"/>
    </xf>
    <xf numFmtId="49" fontId="10" fillId="0" borderId="8" xfId="1188" applyNumberFormat="1" applyBorder="1" applyAlignment="1">
      <alignment horizontal="center"/>
    </xf>
    <xf numFmtId="3" fontId="10" fillId="0" borderId="8" xfId="1188" applyNumberFormat="1" applyBorder="1" applyAlignment="1">
      <alignment horizontal="center"/>
    </xf>
    <xf numFmtId="14" fontId="10" fillId="6" borderId="8" xfId="1188" applyNumberFormat="1" applyFill="1" applyBorder="1" applyAlignment="1">
      <alignment horizontal="center"/>
    </xf>
    <xf numFmtId="0" fontId="10" fillId="6" borderId="8" xfId="1188" applyFill="1" applyBorder="1" applyAlignment="1">
      <alignment horizontal="center"/>
    </xf>
    <xf numFmtId="9" fontId="10" fillId="0" borderId="8" xfId="1188" applyNumberFormat="1" applyBorder="1" applyAlignment="1">
      <alignment horizontal="center"/>
    </xf>
    <xf numFmtId="0" fontId="10" fillId="0" borderId="8" xfId="1188" applyFont="1" applyBorder="1" applyAlignment="1">
      <alignment horizontal="center"/>
    </xf>
    <xf numFmtId="16" fontId="10" fillId="0" borderId="8" xfId="1188" applyNumberFormat="1" applyBorder="1" applyAlignment="1">
      <alignment horizontal="center"/>
    </xf>
    <xf numFmtId="167" fontId="0" fillId="3" borderId="8" xfId="1" applyNumberFormat="1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 vertical="center"/>
    </xf>
    <xf numFmtId="0" fontId="2" fillId="3" borderId="0" xfId="0" applyFont="1" applyFill="1" applyBorder="1"/>
    <xf numFmtId="9" fontId="0" fillId="0" borderId="8" xfId="0" applyNumberFormat="1" applyBorder="1"/>
    <xf numFmtId="165" fontId="3" fillId="3" borderId="8" xfId="0" applyNumberFormat="1" applyFont="1" applyFill="1" applyBorder="1" applyAlignment="1">
      <alignment horizontal="center"/>
    </xf>
    <xf numFmtId="164" fontId="3" fillId="3" borderId="8" xfId="0" applyNumberFormat="1" applyFont="1" applyFill="1" applyBorder="1" applyAlignment="1">
      <alignment horizontal="center"/>
    </xf>
    <xf numFmtId="0" fontId="21" fillId="7" borderId="11" xfId="0" applyFont="1" applyFill="1" applyBorder="1" applyAlignment="1">
      <alignment horizontal="center" vertical="center"/>
    </xf>
    <xf numFmtId="0" fontId="21" fillId="7" borderId="13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center" vertical="center"/>
    </xf>
    <xf numFmtId="0" fontId="0" fillId="0" borderId="12" xfId="0" applyBorder="1" applyAlignment="1">
      <alignment vertical="top"/>
    </xf>
    <xf numFmtId="0" fontId="26" fillId="3" borderId="0" xfId="0" applyFont="1" applyFill="1" applyBorder="1"/>
    <xf numFmtId="14" fontId="24" fillId="3" borderId="0" xfId="0" applyNumberFormat="1" applyFont="1" applyFill="1" applyBorder="1"/>
    <xf numFmtId="0" fontId="24" fillId="0" borderId="0" xfId="0" applyFont="1" applyAlignment="1">
      <alignment vertical="top"/>
    </xf>
    <xf numFmtId="0" fontId="27" fillId="0" borderId="0" xfId="0" applyFont="1" applyAlignment="1">
      <alignment vertical="top"/>
    </xf>
    <xf numFmtId="1" fontId="3" fillId="7" borderId="11" xfId="0" applyNumberFormat="1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0" fillId="0" borderId="0" xfId="0" applyFont="1"/>
    <xf numFmtId="167" fontId="0" fillId="3" borderId="8" xfId="1" applyNumberFormat="1" applyFont="1" applyFill="1" applyBorder="1" applyAlignment="1">
      <alignment horizontal="left"/>
    </xf>
    <xf numFmtId="0" fontId="0" fillId="11" borderId="19" xfId="0" applyFill="1" applyBorder="1" applyAlignment="1">
      <alignment vertical="top"/>
    </xf>
    <xf numFmtId="0" fontId="0" fillId="11" borderId="8" xfId="0" applyFill="1" applyBorder="1"/>
    <xf numFmtId="0" fontId="0" fillId="4" borderId="8" xfId="0" applyFill="1" applyBorder="1"/>
    <xf numFmtId="0" fontId="0" fillId="4" borderId="8" xfId="0" applyFont="1" applyFill="1" applyBorder="1" applyAlignment="1">
      <alignment wrapText="1"/>
    </xf>
    <xf numFmtId="14" fontId="28" fillId="0" borderId="8" xfId="1188" applyNumberFormat="1" applyFont="1" applyBorder="1" applyAlignment="1">
      <alignment horizontal="center"/>
    </xf>
    <xf numFmtId="0" fontId="28" fillId="10" borderId="8" xfId="1188" applyFont="1" applyFill="1" applyBorder="1" applyAlignment="1">
      <alignment horizontal="center"/>
    </xf>
    <xf numFmtId="16" fontId="28" fillId="10" borderId="8" xfId="1188" applyNumberFormat="1" applyFont="1" applyFill="1" applyBorder="1" applyAlignment="1">
      <alignment horizontal="center"/>
    </xf>
    <xf numFmtId="14" fontId="10" fillId="10" borderId="8" xfId="1188" applyNumberFormat="1" applyFill="1" applyBorder="1" applyAlignment="1">
      <alignment horizontal="center"/>
    </xf>
    <xf numFmtId="0" fontId="10" fillId="10" borderId="8" xfId="1188" applyFill="1" applyBorder="1" applyAlignment="1">
      <alignment horizontal="center"/>
    </xf>
    <xf numFmtId="3" fontId="10" fillId="10" borderId="8" xfId="1188" applyNumberFormat="1" applyFill="1" applyBorder="1" applyAlignment="1">
      <alignment horizontal="center"/>
    </xf>
    <xf numFmtId="0" fontId="10" fillId="10" borderId="8" xfId="1188" applyFill="1" applyBorder="1"/>
    <xf numFmtId="14" fontId="10" fillId="10" borderId="12" xfId="1188" applyNumberFormat="1" applyFill="1" applyBorder="1" applyAlignment="1">
      <alignment horizontal="center"/>
    </xf>
    <xf numFmtId="0" fontId="10" fillId="10" borderId="12" xfId="1188" applyFill="1" applyBorder="1" applyAlignment="1">
      <alignment horizontal="center"/>
    </xf>
    <xf numFmtId="3" fontId="10" fillId="10" borderId="12" xfId="1188" applyNumberFormat="1" applyFill="1" applyBorder="1" applyAlignment="1">
      <alignment horizontal="center"/>
    </xf>
    <xf numFmtId="0" fontId="10" fillId="10" borderId="12" xfId="1188" applyFill="1" applyBorder="1"/>
    <xf numFmtId="14" fontId="28" fillId="10" borderId="12" xfId="1188" applyNumberFormat="1" applyFont="1" applyFill="1" applyBorder="1" applyAlignment="1">
      <alignment horizontal="center"/>
    </xf>
    <xf numFmtId="0" fontId="28" fillId="10" borderId="12" xfId="1188" applyFont="1" applyFill="1" applyBorder="1" applyAlignment="1">
      <alignment horizontal="center"/>
    </xf>
    <xf numFmtId="16" fontId="10" fillId="10" borderId="8" xfId="1188" applyNumberFormat="1" applyFill="1" applyBorder="1" applyAlignment="1">
      <alignment horizontal="center"/>
    </xf>
    <xf numFmtId="14" fontId="10" fillId="0" borderId="12" xfId="1188" applyNumberFormat="1" applyBorder="1" applyAlignment="1">
      <alignment horizontal="center"/>
    </xf>
    <xf numFmtId="0" fontId="10" fillId="0" borderId="12" xfId="1188" applyBorder="1" applyAlignment="1">
      <alignment horizontal="center"/>
    </xf>
    <xf numFmtId="0" fontId="24" fillId="3" borderId="13" xfId="0" applyFont="1" applyFill="1" applyBorder="1" applyAlignment="1">
      <alignment horizontal="left" vertical="top" wrapText="1"/>
    </xf>
    <xf numFmtId="0" fontId="0" fillId="0" borderId="0" xfId="0" applyAlignment="1">
      <alignment horizontal="right" vertical="center"/>
    </xf>
    <xf numFmtId="15" fontId="0" fillId="3" borderId="0" xfId="0" applyNumberFormat="1" applyFill="1"/>
    <xf numFmtId="9" fontId="0" fillId="3" borderId="0" xfId="0" applyNumberFormat="1" applyFill="1" applyBorder="1" applyAlignment="1">
      <alignment horizontal="right" vertical="center"/>
    </xf>
    <xf numFmtId="9" fontId="0" fillId="3" borderId="0" xfId="0" applyNumberFormat="1" applyFill="1" applyAlignment="1">
      <alignment vertical="top"/>
    </xf>
    <xf numFmtId="4" fontId="0" fillId="3" borderId="0" xfId="0" applyNumberFormat="1" applyFill="1" applyAlignment="1">
      <alignment vertical="top"/>
    </xf>
    <xf numFmtId="0" fontId="0" fillId="3" borderId="12" xfId="0" applyFill="1" applyBorder="1"/>
    <xf numFmtId="0" fontId="7" fillId="3" borderId="12" xfId="0" applyFont="1" applyFill="1" applyBorder="1" applyAlignment="1">
      <alignment horizontal="center" vertical="center"/>
    </xf>
    <xf numFmtId="0" fontId="29" fillId="3" borderId="0" xfId="0" applyFont="1" applyFill="1" applyBorder="1"/>
    <xf numFmtId="9" fontId="7" fillId="3" borderId="12" xfId="0" applyNumberFormat="1" applyFont="1" applyFill="1" applyBorder="1" applyAlignment="1">
      <alignment horizontal="center" vertical="center"/>
    </xf>
    <xf numFmtId="0" fontId="10" fillId="7" borderId="12" xfId="1188" applyFill="1" applyBorder="1" applyAlignment="1">
      <alignment horizontal="center"/>
    </xf>
    <xf numFmtId="3" fontId="10" fillId="0" borderId="12" xfId="1188" applyNumberFormat="1" applyBorder="1" applyAlignment="1">
      <alignment horizontal="center"/>
    </xf>
    <xf numFmtId="0" fontId="10" fillId="0" borderId="12" xfId="1188" applyBorder="1"/>
    <xf numFmtId="14" fontId="28" fillId="0" borderId="12" xfId="1188" applyNumberFormat="1" applyFont="1" applyBorder="1" applyAlignment="1">
      <alignment horizontal="center"/>
    </xf>
    <xf numFmtId="0" fontId="28" fillId="0" borderId="12" xfId="1188" applyFont="1" applyBorder="1" applyAlignment="1">
      <alignment horizontal="center"/>
    </xf>
    <xf numFmtId="15" fontId="0" fillId="0" borderId="12" xfId="0" applyNumberFormat="1" applyBorder="1"/>
    <xf numFmtId="1" fontId="0" fillId="0" borderId="12" xfId="0" applyNumberFormat="1" applyBorder="1"/>
    <xf numFmtId="167" fontId="0" fillId="0" borderId="12" xfId="1" applyNumberFormat="1" applyFont="1" applyBorder="1"/>
    <xf numFmtId="169" fontId="2" fillId="8" borderId="11" xfId="0" applyNumberFormat="1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3" fillId="7" borderId="8" xfId="0" applyFont="1" applyFill="1" applyBorder="1" applyAlignment="1">
      <alignment wrapText="1"/>
    </xf>
    <xf numFmtId="3" fontId="18" fillId="5" borderId="12" xfId="1188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15" fontId="4" fillId="3" borderId="0" xfId="0" applyNumberFormat="1" applyFont="1" applyFill="1" applyBorder="1"/>
    <xf numFmtId="1" fontId="4" fillId="3" borderId="0" xfId="0" applyNumberFormat="1" applyFont="1" applyFill="1" applyBorder="1"/>
    <xf numFmtId="167" fontId="4" fillId="3" borderId="0" xfId="1" applyNumberFormat="1" applyFont="1" applyFill="1" applyBorder="1"/>
    <xf numFmtId="167" fontId="0" fillId="0" borderId="0" xfId="0" applyNumberFormat="1"/>
    <xf numFmtId="0" fontId="4" fillId="8" borderId="8" xfId="0" applyFont="1" applyFill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5" fontId="0" fillId="0" borderId="0" xfId="0" applyNumberFormat="1"/>
    <xf numFmtId="16" fontId="0" fillId="7" borderId="0" xfId="0" applyNumberFormat="1" applyFill="1"/>
    <xf numFmtId="0" fontId="3" fillId="0" borderId="12" xfId="0" applyFont="1" applyBorder="1"/>
    <xf numFmtId="15" fontId="3" fillId="0" borderId="12" xfId="0" applyNumberFormat="1" applyFont="1" applyBorder="1"/>
    <xf numFmtId="1" fontId="0" fillId="0" borderId="0" xfId="0" applyNumberFormat="1"/>
    <xf numFmtId="167" fontId="20" fillId="3" borderId="0" xfId="1" applyNumberFormat="1" applyFont="1" applyFill="1" applyBorder="1"/>
    <xf numFmtId="0" fontId="20" fillId="0" borderId="8" xfId="0" applyFont="1" applyBorder="1"/>
    <xf numFmtId="0" fontId="0" fillId="0" borderId="0" xfId="0" applyBorder="1"/>
    <xf numFmtId="14" fontId="10" fillId="7" borderId="12" xfId="1188" applyNumberFormat="1" applyFill="1" applyBorder="1" applyAlignment="1">
      <alignment horizontal="center"/>
    </xf>
    <xf numFmtId="49" fontId="10" fillId="0" borderId="12" xfId="1188" applyNumberFormat="1" applyBorder="1" applyAlignment="1">
      <alignment horizontal="center"/>
    </xf>
    <xf numFmtId="0" fontId="20" fillId="3" borderId="12" xfId="0" applyFont="1" applyFill="1" applyBorder="1"/>
    <xf numFmtId="14" fontId="0" fillId="3" borderId="12" xfId="0" applyNumberFormat="1" applyFill="1" applyBorder="1"/>
    <xf numFmtId="15" fontId="0" fillId="3" borderId="12" xfId="0" applyNumberFormat="1" applyFill="1" applyBorder="1"/>
    <xf numFmtId="0" fontId="0" fillId="3" borderId="12" xfId="0" applyFill="1" applyBorder="1" applyAlignment="1">
      <alignment horizontal="center"/>
    </xf>
    <xf numFmtId="0" fontId="3" fillId="3" borderId="12" xfId="0" applyFont="1" applyFill="1" applyBorder="1"/>
    <xf numFmtId="0" fontId="0" fillId="0" borderId="0" xfId="0" applyFont="1" applyAlignment="1">
      <alignment vertical="top"/>
    </xf>
    <xf numFmtId="0" fontId="3" fillId="8" borderId="11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/>
    </xf>
    <xf numFmtId="0" fontId="4" fillId="3" borderId="9" xfId="0" applyFont="1" applyFill="1" applyBorder="1"/>
    <xf numFmtId="0" fontId="2" fillId="8" borderId="18" xfId="0" applyFont="1" applyFill="1" applyBorder="1" applyAlignment="1">
      <alignment horizontal="center" vertical="center"/>
    </xf>
    <xf numFmtId="0" fontId="2" fillId="8" borderId="20" xfId="0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2" fillId="8" borderId="16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3" fontId="10" fillId="0" borderId="21" xfId="1188" applyNumberFormat="1" applyBorder="1" applyAlignment="1">
      <alignment horizontal="center"/>
    </xf>
  </cellXfs>
  <cellStyles count="2338">
    <cellStyle name="=C:\WINNT\SYSTEM32\COMMAND.COM" xfId="2"/>
    <cellStyle name="=C:\WINNT\SYSTEM32\COMMAND.COM 2" xfId="3"/>
    <cellStyle name="Comma" xfId="1" builtinId="3"/>
    <cellStyle name="Comma 2" xfId="4"/>
    <cellStyle name="Comma 2 10" xfId="5"/>
    <cellStyle name="Comma 2 11" xfId="6"/>
    <cellStyle name="Comma 2 12" xfId="7"/>
    <cellStyle name="Comma 2 13" xfId="8"/>
    <cellStyle name="Comma 2 13 2" xfId="9"/>
    <cellStyle name="Comma 2 14" xfId="10"/>
    <cellStyle name="Comma 2 15" xfId="11"/>
    <cellStyle name="Comma 2 16" xfId="12"/>
    <cellStyle name="Comma 2 17" xfId="13"/>
    <cellStyle name="Comma 2 17 2" xfId="14"/>
    <cellStyle name="Comma 2 17 2 2" xfId="15"/>
    <cellStyle name="Comma 2 18" xfId="16"/>
    <cellStyle name="Comma 2 19" xfId="17"/>
    <cellStyle name="Comma 2 2" xfId="18"/>
    <cellStyle name="Comma 2 2 2" xfId="19"/>
    <cellStyle name="Comma 2 2 2 2" xfId="20"/>
    <cellStyle name="Comma 2 2 2 2 2" xfId="21"/>
    <cellStyle name="Comma 2 2 2 2 2 2" xfId="22"/>
    <cellStyle name="Comma 2 2 2 2 2 2 2" xfId="23"/>
    <cellStyle name="Comma 2 2 2 2 2 2 3" xfId="24"/>
    <cellStyle name="Comma 2 2 2 2 2 3" xfId="25"/>
    <cellStyle name="Comma 2 2 2 2 2 4" xfId="26"/>
    <cellStyle name="Comma 2 2 2 2 2 5" xfId="27"/>
    <cellStyle name="Comma 2 2 2 2 2 6" xfId="28"/>
    <cellStyle name="Comma 2 2 2 2 3" xfId="29"/>
    <cellStyle name="Comma 2 2 2 2 4" xfId="30"/>
    <cellStyle name="Comma 2 2 2 2 4 2" xfId="31"/>
    <cellStyle name="Comma 2 2 2 2 4 3" xfId="32"/>
    <cellStyle name="Comma 2 2 2 2 5" xfId="33"/>
    <cellStyle name="Comma 2 2 2 2 6" xfId="34"/>
    <cellStyle name="Comma 2 2 2 2 7" xfId="35"/>
    <cellStyle name="Comma 2 2 2 3" xfId="36"/>
    <cellStyle name="Comma 2 2 2 3 2" xfId="37"/>
    <cellStyle name="Comma 2 2 2 3 2 2" xfId="38"/>
    <cellStyle name="Comma 2 2 2 3 2 3" xfId="39"/>
    <cellStyle name="Comma 2 2 2 3 3" xfId="40"/>
    <cellStyle name="Comma 2 2 2 3 4" xfId="41"/>
    <cellStyle name="Comma 2 2 2 3 5" xfId="42"/>
    <cellStyle name="Comma 2 2 2 3 6" xfId="43"/>
    <cellStyle name="Comma 2 2 2 4" xfId="44"/>
    <cellStyle name="Comma 2 2 2 5" xfId="45"/>
    <cellStyle name="Comma 2 2 2 5 2" xfId="46"/>
    <cellStyle name="Comma 2 2 2 5 3" xfId="47"/>
    <cellStyle name="Comma 2 2 2 6" xfId="48"/>
    <cellStyle name="Comma 2 2 2 7" xfId="49"/>
    <cellStyle name="Comma 2 2 2 8" xfId="50"/>
    <cellStyle name="Comma 2 2 3" xfId="51"/>
    <cellStyle name="Comma 2 2 3 2" xfId="52"/>
    <cellStyle name="Comma 2 2 3 2 2" xfId="53"/>
    <cellStyle name="Comma 2 2 3 2 2 2" xfId="54"/>
    <cellStyle name="Comma 2 2 3 2 2 3" xfId="55"/>
    <cellStyle name="Comma 2 2 3 2 3" xfId="56"/>
    <cellStyle name="Comma 2 2 3 2 4" xfId="57"/>
    <cellStyle name="Comma 2 2 3 2 5" xfId="58"/>
    <cellStyle name="Comma 2 2 3 2 6" xfId="59"/>
    <cellStyle name="Comma 2 2 3 3" xfId="60"/>
    <cellStyle name="Comma 2 2 3 4" xfId="61"/>
    <cellStyle name="Comma 2 2 3 4 2" xfId="62"/>
    <cellStyle name="Comma 2 2 3 4 3" xfId="63"/>
    <cellStyle name="Comma 2 2 3 5" xfId="64"/>
    <cellStyle name="Comma 2 2 3 6" xfId="65"/>
    <cellStyle name="Comma 2 2 3 7" xfId="66"/>
    <cellStyle name="Comma 2 2 4" xfId="67"/>
    <cellStyle name="Comma 2 2 4 2" xfId="68"/>
    <cellStyle name="Comma 2 2 4 2 2" xfId="69"/>
    <cellStyle name="Comma 2 2 4 2 3" xfId="70"/>
    <cellStyle name="Comma 2 2 4 3" xfId="71"/>
    <cellStyle name="Comma 2 2 4 4" xfId="72"/>
    <cellStyle name="Comma 2 2 4 5" xfId="73"/>
    <cellStyle name="Comma 2 2 4 6" xfId="74"/>
    <cellStyle name="Comma 2 2 5" xfId="75"/>
    <cellStyle name="Comma 2 2 6" xfId="76"/>
    <cellStyle name="Comma 2 2 6 2" xfId="77"/>
    <cellStyle name="Comma 2 2 6 3" xfId="78"/>
    <cellStyle name="Comma 2 2 7" xfId="79"/>
    <cellStyle name="Comma 2 2 8" xfId="80"/>
    <cellStyle name="Comma 2 2 9" xfId="81"/>
    <cellStyle name="Comma 2 20" xfId="82"/>
    <cellStyle name="Comma 2 21" xfId="83"/>
    <cellStyle name="Comma 2 22" xfId="84"/>
    <cellStyle name="Comma 2 23" xfId="85"/>
    <cellStyle name="Comma 2 24" xfId="86"/>
    <cellStyle name="Comma 2 3" xfId="87"/>
    <cellStyle name="Comma 2 3 2" xfId="88"/>
    <cellStyle name="Comma 2 3 2 2" xfId="89"/>
    <cellStyle name="Comma 2 3 2 2 2" xfId="90"/>
    <cellStyle name="Comma 2 3 2 2 2 2" xfId="91"/>
    <cellStyle name="Comma 2 3 2 2 2 2 2" xfId="92"/>
    <cellStyle name="Comma 2 3 2 2 2 2 3" xfId="93"/>
    <cellStyle name="Comma 2 3 2 2 2 3" xfId="94"/>
    <cellStyle name="Comma 2 3 2 2 2 4" xfId="95"/>
    <cellStyle name="Comma 2 3 2 2 2 5" xfId="96"/>
    <cellStyle name="Comma 2 3 2 2 2 6" xfId="97"/>
    <cellStyle name="Comma 2 3 2 2 3" xfId="98"/>
    <cellStyle name="Comma 2 3 2 2 4" xfId="99"/>
    <cellStyle name="Comma 2 3 2 2 4 2" xfId="100"/>
    <cellStyle name="Comma 2 3 2 2 4 3" xfId="101"/>
    <cellStyle name="Comma 2 3 2 2 5" xfId="102"/>
    <cellStyle name="Comma 2 3 2 2 6" xfId="103"/>
    <cellStyle name="Comma 2 3 2 2 7" xfId="104"/>
    <cellStyle name="Comma 2 3 2 3" xfId="105"/>
    <cellStyle name="Comma 2 3 2 3 2" xfId="106"/>
    <cellStyle name="Comma 2 3 2 3 2 2" xfId="107"/>
    <cellStyle name="Comma 2 3 2 3 2 3" xfId="108"/>
    <cellStyle name="Comma 2 3 2 3 3" xfId="109"/>
    <cellStyle name="Comma 2 3 2 3 4" xfId="110"/>
    <cellStyle name="Comma 2 3 2 3 5" xfId="111"/>
    <cellStyle name="Comma 2 3 2 3 6" xfId="112"/>
    <cellStyle name="Comma 2 3 2 4" xfId="113"/>
    <cellStyle name="Comma 2 3 2 5" xfId="114"/>
    <cellStyle name="Comma 2 3 2 5 2" xfId="115"/>
    <cellStyle name="Comma 2 3 2 5 3" xfId="116"/>
    <cellStyle name="Comma 2 3 2 6" xfId="117"/>
    <cellStyle name="Comma 2 3 2 7" xfId="118"/>
    <cellStyle name="Comma 2 3 2 8" xfId="119"/>
    <cellStyle name="Comma 2 3 3" xfId="120"/>
    <cellStyle name="Comma 2 3 3 2" xfId="121"/>
    <cellStyle name="Comma 2 3 3 2 2" xfId="122"/>
    <cellStyle name="Comma 2 3 3 2 2 2" xfId="123"/>
    <cellStyle name="Comma 2 3 3 2 2 3" xfId="124"/>
    <cellStyle name="Comma 2 3 3 2 3" xfId="125"/>
    <cellStyle name="Comma 2 3 3 2 4" xfId="126"/>
    <cellStyle name="Comma 2 3 3 2 5" xfId="127"/>
    <cellStyle name="Comma 2 3 3 2 6" xfId="128"/>
    <cellStyle name="Comma 2 3 3 3" xfId="129"/>
    <cellStyle name="Comma 2 3 3 4" xfId="130"/>
    <cellStyle name="Comma 2 3 3 4 2" xfId="131"/>
    <cellStyle name="Comma 2 3 3 4 3" xfId="132"/>
    <cellStyle name="Comma 2 3 3 5" xfId="133"/>
    <cellStyle name="Comma 2 3 3 6" xfId="134"/>
    <cellStyle name="Comma 2 3 3 7" xfId="135"/>
    <cellStyle name="Comma 2 3 4" xfId="136"/>
    <cellStyle name="Comma 2 3 4 2" xfId="137"/>
    <cellStyle name="Comma 2 3 4 2 2" xfId="138"/>
    <cellStyle name="Comma 2 3 4 2 3" xfId="139"/>
    <cellStyle name="Comma 2 3 4 3" xfId="140"/>
    <cellStyle name="Comma 2 3 4 4" xfId="141"/>
    <cellStyle name="Comma 2 3 4 5" xfId="142"/>
    <cellStyle name="Comma 2 3 4 6" xfId="143"/>
    <cellStyle name="Comma 2 3 5" xfId="144"/>
    <cellStyle name="Comma 2 3 6" xfId="145"/>
    <cellStyle name="Comma 2 3 6 2" xfId="146"/>
    <cellStyle name="Comma 2 3 6 3" xfId="147"/>
    <cellStyle name="Comma 2 3 7" xfId="148"/>
    <cellStyle name="Comma 2 3 8" xfId="149"/>
    <cellStyle name="Comma 2 3 9" xfId="150"/>
    <cellStyle name="Comma 2 4" xfId="151"/>
    <cellStyle name="Comma 2 4 2" xfId="152"/>
    <cellStyle name="Comma 2 4 2 2" xfId="153"/>
    <cellStyle name="Comma 2 4 2 2 2" xfId="154"/>
    <cellStyle name="Comma 2 4 2 2 2 2" xfId="155"/>
    <cellStyle name="Comma 2 4 2 2 2 3" xfId="156"/>
    <cellStyle name="Comma 2 4 2 2 3" xfId="157"/>
    <cellStyle name="Comma 2 4 2 2 4" xfId="158"/>
    <cellStyle name="Comma 2 4 2 2 5" xfId="159"/>
    <cellStyle name="Comma 2 4 2 2 6" xfId="160"/>
    <cellStyle name="Comma 2 4 2 3" xfId="161"/>
    <cellStyle name="Comma 2 4 2 4" xfId="162"/>
    <cellStyle name="Comma 2 4 2 4 2" xfId="163"/>
    <cellStyle name="Comma 2 4 2 4 3" xfId="164"/>
    <cellStyle name="Comma 2 4 2 5" xfId="165"/>
    <cellStyle name="Comma 2 4 2 6" xfId="166"/>
    <cellStyle name="Comma 2 4 2 7" xfId="167"/>
    <cellStyle name="Comma 2 4 3" xfId="168"/>
    <cellStyle name="Comma 2 4 3 2" xfId="169"/>
    <cellStyle name="Comma 2 4 3 2 2" xfId="170"/>
    <cellStyle name="Comma 2 4 3 2 3" xfId="171"/>
    <cellStyle name="Comma 2 4 3 3" xfId="172"/>
    <cellStyle name="Comma 2 4 3 4" xfId="173"/>
    <cellStyle name="Comma 2 4 3 5" xfId="174"/>
    <cellStyle name="Comma 2 4 3 6" xfId="175"/>
    <cellStyle name="Comma 2 4 4" xfId="176"/>
    <cellStyle name="Comma 2 4 5" xfId="177"/>
    <cellStyle name="Comma 2 4 5 2" xfId="178"/>
    <cellStyle name="Comma 2 4 5 3" xfId="179"/>
    <cellStyle name="Comma 2 4 6" xfId="180"/>
    <cellStyle name="Comma 2 4 7" xfId="181"/>
    <cellStyle name="Comma 2 4 8" xfId="182"/>
    <cellStyle name="Comma 2 5" xfId="183"/>
    <cellStyle name="Comma 2 5 2" xfId="184"/>
    <cellStyle name="Comma 2 5 2 2" xfId="185"/>
    <cellStyle name="Comma 2 5 2 2 2" xfId="186"/>
    <cellStyle name="Comma 2 5 2 2 2 2" xfId="187"/>
    <cellStyle name="Comma 2 5 2 2 2 3" xfId="188"/>
    <cellStyle name="Comma 2 5 2 2 3" xfId="189"/>
    <cellStyle name="Comma 2 5 2 2 4" xfId="190"/>
    <cellStyle name="Comma 2 5 2 2 5" xfId="191"/>
    <cellStyle name="Comma 2 5 2 2 6" xfId="192"/>
    <cellStyle name="Comma 2 5 2 3" xfId="193"/>
    <cellStyle name="Comma 2 5 2 4" xfId="194"/>
    <cellStyle name="Comma 2 5 2 4 2" xfId="195"/>
    <cellStyle name="Comma 2 5 2 4 3" xfId="196"/>
    <cellStyle name="Comma 2 5 2 5" xfId="197"/>
    <cellStyle name="Comma 2 5 2 6" xfId="198"/>
    <cellStyle name="Comma 2 5 2 7" xfId="199"/>
    <cellStyle name="Comma 2 5 3" xfId="200"/>
    <cellStyle name="Comma 2 5 3 2" xfId="201"/>
    <cellStyle name="Comma 2 5 3 2 2" xfId="202"/>
    <cellStyle name="Comma 2 5 3 2 3" xfId="203"/>
    <cellStyle name="Comma 2 5 3 3" xfId="204"/>
    <cellStyle name="Comma 2 5 3 4" xfId="205"/>
    <cellStyle name="Comma 2 5 3 5" xfId="206"/>
    <cellStyle name="Comma 2 5 3 6" xfId="207"/>
    <cellStyle name="Comma 2 5 4" xfId="208"/>
    <cellStyle name="Comma 2 5 5" xfId="209"/>
    <cellStyle name="Comma 2 5 5 2" xfId="210"/>
    <cellStyle name="Comma 2 5 5 3" xfId="211"/>
    <cellStyle name="Comma 2 5 6" xfId="212"/>
    <cellStyle name="Comma 2 5 7" xfId="213"/>
    <cellStyle name="Comma 2 5 8" xfId="214"/>
    <cellStyle name="Comma 2 6" xfId="215"/>
    <cellStyle name="Comma 2 6 2" xfId="216"/>
    <cellStyle name="Comma 2 6 2 2" xfId="217"/>
    <cellStyle name="Comma 2 6 2 2 2" xfId="218"/>
    <cellStyle name="Comma 2 6 2 2 3" xfId="219"/>
    <cellStyle name="Comma 2 6 2 3" xfId="220"/>
    <cellStyle name="Comma 2 6 2 4" xfId="221"/>
    <cellStyle name="Comma 2 6 2 5" xfId="222"/>
    <cellStyle name="Comma 2 6 2 6" xfId="223"/>
    <cellStyle name="Comma 2 6 3" xfId="224"/>
    <cellStyle name="Comma 2 6 4" xfId="225"/>
    <cellStyle name="Comma 2 6 4 2" xfId="226"/>
    <cellStyle name="Comma 2 6 4 3" xfId="227"/>
    <cellStyle name="Comma 2 6 5" xfId="228"/>
    <cellStyle name="Comma 2 6 6" xfId="229"/>
    <cellStyle name="Comma 2 6 7" xfId="230"/>
    <cellStyle name="Comma 2 7" xfId="231"/>
    <cellStyle name="Comma 2 7 2" xfId="232"/>
    <cellStyle name="Comma 2 7 2 2" xfId="233"/>
    <cellStyle name="Comma 2 7 2 3" xfId="234"/>
    <cellStyle name="Comma 2 7 3" xfId="235"/>
    <cellStyle name="Comma 2 7 4" xfId="236"/>
    <cellStyle name="Comma 2 7 5" xfId="237"/>
    <cellStyle name="Comma 2 7 6" xfId="238"/>
    <cellStyle name="Comma 2 8" xfId="239"/>
    <cellStyle name="Comma 2 9" xfId="240"/>
    <cellStyle name="Comma 2 9 2" xfId="241"/>
    <cellStyle name="Comma 2 9 3" xfId="242"/>
    <cellStyle name="Comma 2_Sheet5" xfId="243"/>
    <cellStyle name="Comma 3" xfId="244"/>
    <cellStyle name="Comma 3 2" xfId="245"/>
    <cellStyle name="Comma 3 2 2" xfId="246"/>
    <cellStyle name="Comma 3 2 2 2" xfId="247"/>
    <cellStyle name="Comma 3 2 2 2 2" xfId="248"/>
    <cellStyle name="Comma 3 2 2 2 3" xfId="249"/>
    <cellStyle name="Comma 3 2 2 3" xfId="250"/>
    <cellStyle name="Comma 3 2 2 4" xfId="251"/>
    <cellStyle name="Comma 3 2 2 5" xfId="252"/>
    <cellStyle name="Comma 3 2 2 6" xfId="253"/>
    <cellStyle name="Comma 3 2 3" xfId="254"/>
    <cellStyle name="Comma 3 2 4" xfId="255"/>
    <cellStyle name="Comma 3 2 4 2" xfId="256"/>
    <cellStyle name="Comma 3 2 4 3" xfId="257"/>
    <cellStyle name="Comma 3 2 5" xfId="258"/>
    <cellStyle name="Comma 3 2 6" xfId="259"/>
    <cellStyle name="Comma 3 2 7" xfId="260"/>
    <cellStyle name="Comma 3 3" xfId="261"/>
    <cellStyle name="Comma 3 3 2" xfId="262"/>
    <cellStyle name="Comma 3 3 2 2" xfId="263"/>
    <cellStyle name="Comma 3 3 2 2 2" xfId="264"/>
    <cellStyle name="Comma 3 3 2 2 3" xfId="265"/>
    <cellStyle name="Comma 3 3 2 3" xfId="266"/>
    <cellStyle name="Comma 3 3 2 4" xfId="267"/>
    <cellStyle name="Comma 3 3 2 5" xfId="268"/>
    <cellStyle name="Comma 3 3 2 6" xfId="269"/>
    <cellStyle name="Comma 3 3 3" xfId="270"/>
    <cellStyle name="Comma 3 3 4" xfId="271"/>
    <cellStyle name="Comma 3 3 4 2" xfId="272"/>
    <cellStyle name="Comma 3 3 4 3" xfId="273"/>
    <cellStyle name="Comma 3 3 5" xfId="274"/>
    <cellStyle name="Comma 3 3 6" xfId="275"/>
    <cellStyle name="Comma 3 3 7" xfId="276"/>
    <cellStyle name="Comma 3 4" xfId="277"/>
    <cellStyle name="Comma 3 4 2" xfId="278"/>
    <cellStyle name="Comma 3 4 2 2" xfId="279"/>
    <cellStyle name="Comma 3 4 2 3" xfId="280"/>
    <cellStyle name="Comma 3 4 3" xfId="281"/>
    <cellStyle name="Comma 3 4 4" xfId="282"/>
    <cellStyle name="Comma 3 4 5" xfId="283"/>
    <cellStyle name="Comma 3 4 6" xfId="284"/>
    <cellStyle name="Comma 3 5" xfId="285"/>
    <cellStyle name="Comma 3 6" xfId="286"/>
    <cellStyle name="Comma 3 6 2" xfId="287"/>
    <cellStyle name="Comma 3 6 3" xfId="288"/>
    <cellStyle name="Comma 3 7" xfId="289"/>
    <cellStyle name="Comma 3 8" xfId="290"/>
    <cellStyle name="Comma 3 9" xfId="291"/>
    <cellStyle name="Comma 4" xfId="292"/>
    <cellStyle name="Comma 4 10" xfId="293"/>
    <cellStyle name="Comma 4 2" xfId="294"/>
    <cellStyle name="Comma 4 3" xfId="295"/>
    <cellStyle name="Comma 4 3 2" xfId="296"/>
    <cellStyle name="Comma 4 3 2 2" xfId="297"/>
    <cellStyle name="Comma 4 4" xfId="298"/>
    <cellStyle name="Comma 4 5" xfId="299"/>
    <cellStyle name="Comma 4 6" xfId="300"/>
    <cellStyle name="Comma 4 7" xfId="301"/>
    <cellStyle name="Comma 4 8" xfId="302"/>
    <cellStyle name="Comma 4 9" xfId="303"/>
    <cellStyle name="Comma 4_Sheet5" xfId="304"/>
    <cellStyle name="Currency 2" xfId="305"/>
    <cellStyle name="Currency 2 10" xfId="306"/>
    <cellStyle name="Currency 2 11" xfId="307"/>
    <cellStyle name="Currency 2 2" xfId="308"/>
    <cellStyle name="Currency 2 2 2" xfId="309"/>
    <cellStyle name="Currency 2 2 2 2" xfId="310"/>
    <cellStyle name="Currency 2 2 2 2 2" xfId="311"/>
    <cellStyle name="Currency 2 2 2 2 2 2" xfId="312"/>
    <cellStyle name="Currency 2 2 2 2 2 2 2" xfId="313"/>
    <cellStyle name="Currency 2 2 2 2 2 2 3" xfId="314"/>
    <cellStyle name="Currency 2 2 2 2 2 3" xfId="315"/>
    <cellStyle name="Currency 2 2 2 2 2 4" xfId="316"/>
    <cellStyle name="Currency 2 2 2 2 2 5" xfId="317"/>
    <cellStyle name="Currency 2 2 2 2 2 6" xfId="318"/>
    <cellStyle name="Currency 2 2 2 2 3" xfId="319"/>
    <cellStyle name="Currency 2 2 2 2 4" xfId="320"/>
    <cellStyle name="Currency 2 2 2 2 4 2" xfId="321"/>
    <cellStyle name="Currency 2 2 2 2 4 3" xfId="322"/>
    <cellStyle name="Currency 2 2 2 2 5" xfId="323"/>
    <cellStyle name="Currency 2 2 2 2 6" xfId="324"/>
    <cellStyle name="Currency 2 2 2 2 7" xfId="325"/>
    <cellStyle name="Currency 2 2 2 3" xfId="326"/>
    <cellStyle name="Currency 2 2 2 3 2" xfId="327"/>
    <cellStyle name="Currency 2 2 2 3 2 2" xfId="328"/>
    <cellStyle name="Currency 2 2 2 3 2 3" xfId="329"/>
    <cellStyle name="Currency 2 2 2 3 3" xfId="330"/>
    <cellStyle name="Currency 2 2 2 3 4" xfId="331"/>
    <cellStyle name="Currency 2 2 2 3 5" xfId="332"/>
    <cellStyle name="Currency 2 2 2 3 6" xfId="333"/>
    <cellStyle name="Currency 2 2 2 4" xfId="334"/>
    <cellStyle name="Currency 2 2 2 5" xfId="335"/>
    <cellStyle name="Currency 2 2 2 5 2" xfId="336"/>
    <cellStyle name="Currency 2 2 2 5 3" xfId="337"/>
    <cellStyle name="Currency 2 2 2 6" xfId="338"/>
    <cellStyle name="Currency 2 2 2 7" xfId="339"/>
    <cellStyle name="Currency 2 2 2 8" xfId="340"/>
    <cellStyle name="Currency 2 2 3" xfId="341"/>
    <cellStyle name="Currency 2 2 3 2" xfId="342"/>
    <cellStyle name="Currency 2 2 3 2 2" xfId="343"/>
    <cellStyle name="Currency 2 2 3 2 2 2" xfId="344"/>
    <cellStyle name="Currency 2 2 3 2 2 3" xfId="345"/>
    <cellStyle name="Currency 2 2 3 2 3" xfId="346"/>
    <cellStyle name="Currency 2 2 3 2 4" xfId="347"/>
    <cellStyle name="Currency 2 2 3 2 5" xfId="348"/>
    <cellStyle name="Currency 2 2 3 2 6" xfId="349"/>
    <cellStyle name="Currency 2 2 3 3" xfId="350"/>
    <cellStyle name="Currency 2 2 3 4" xfId="351"/>
    <cellStyle name="Currency 2 2 3 4 2" xfId="352"/>
    <cellStyle name="Currency 2 2 3 4 3" xfId="353"/>
    <cellStyle name="Currency 2 2 3 5" xfId="354"/>
    <cellStyle name="Currency 2 2 3 6" xfId="355"/>
    <cellStyle name="Currency 2 2 3 7" xfId="356"/>
    <cellStyle name="Currency 2 2 4" xfId="357"/>
    <cellStyle name="Currency 2 2 4 2" xfId="358"/>
    <cellStyle name="Currency 2 2 4 2 2" xfId="359"/>
    <cellStyle name="Currency 2 2 4 2 3" xfId="360"/>
    <cellStyle name="Currency 2 2 4 3" xfId="361"/>
    <cellStyle name="Currency 2 2 4 4" xfId="362"/>
    <cellStyle name="Currency 2 2 4 5" xfId="363"/>
    <cellStyle name="Currency 2 2 4 6" xfId="364"/>
    <cellStyle name="Currency 2 2 5" xfId="365"/>
    <cellStyle name="Currency 2 2 6" xfId="366"/>
    <cellStyle name="Currency 2 2 6 2" xfId="367"/>
    <cellStyle name="Currency 2 2 6 3" xfId="368"/>
    <cellStyle name="Currency 2 2 7" xfId="369"/>
    <cellStyle name="Currency 2 2 8" xfId="370"/>
    <cellStyle name="Currency 2 2 9" xfId="371"/>
    <cellStyle name="Currency 2 3" xfId="372"/>
    <cellStyle name="Currency 2 3 2" xfId="373"/>
    <cellStyle name="Currency 2 3 2 2" xfId="374"/>
    <cellStyle name="Currency 2 3 2 2 2" xfId="375"/>
    <cellStyle name="Currency 2 3 2 2 2 2" xfId="376"/>
    <cellStyle name="Currency 2 3 2 2 2 2 2" xfId="377"/>
    <cellStyle name="Currency 2 3 2 2 2 2 3" xfId="378"/>
    <cellStyle name="Currency 2 3 2 2 2 3" xfId="379"/>
    <cellStyle name="Currency 2 3 2 2 2 4" xfId="380"/>
    <cellStyle name="Currency 2 3 2 2 2 5" xfId="381"/>
    <cellStyle name="Currency 2 3 2 2 2 6" xfId="382"/>
    <cellStyle name="Currency 2 3 2 2 3" xfId="383"/>
    <cellStyle name="Currency 2 3 2 2 4" xfId="384"/>
    <cellStyle name="Currency 2 3 2 2 4 2" xfId="385"/>
    <cellStyle name="Currency 2 3 2 2 4 3" xfId="386"/>
    <cellStyle name="Currency 2 3 2 2 5" xfId="387"/>
    <cellStyle name="Currency 2 3 2 2 6" xfId="388"/>
    <cellStyle name="Currency 2 3 2 2 7" xfId="389"/>
    <cellStyle name="Currency 2 3 2 3" xfId="390"/>
    <cellStyle name="Currency 2 3 2 3 2" xfId="391"/>
    <cellStyle name="Currency 2 3 2 3 2 2" xfId="392"/>
    <cellStyle name="Currency 2 3 2 3 2 3" xfId="393"/>
    <cellStyle name="Currency 2 3 2 3 3" xfId="394"/>
    <cellStyle name="Currency 2 3 2 3 4" xfId="395"/>
    <cellStyle name="Currency 2 3 2 3 5" xfId="396"/>
    <cellStyle name="Currency 2 3 2 3 6" xfId="397"/>
    <cellStyle name="Currency 2 3 2 4" xfId="398"/>
    <cellStyle name="Currency 2 3 2 5" xfId="399"/>
    <cellStyle name="Currency 2 3 2 5 2" xfId="400"/>
    <cellStyle name="Currency 2 3 2 5 3" xfId="401"/>
    <cellStyle name="Currency 2 3 2 6" xfId="402"/>
    <cellStyle name="Currency 2 3 2 7" xfId="403"/>
    <cellStyle name="Currency 2 3 2 8" xfId="404"/>
    <cellStyle name="Currency 2 3 3" xfId="405"/>
    <cellStyle name="Currency 2 3 3 2" xfId="406"/>
    <cellStyle name="Currency 2 3 3 2 2" xfId="407"/>
    <cellStyle name="Currency 2 3 3 2 2 2" xfId="408"/>
    <cellStyle name="Currency 2 3 3 2 2 3" xfId="409"/>
    <cellStyle name="Currency 2 3 3 2 3" xfId="410"/>
    <cellStyle name="Currency 2 3 3 2 4" xfId="411"/>
    <cellStyle name="Currency 2 3 3 2 5" xfId="412"/>
    <cellStyle name="Currency 2 3 3 2 6" xfId="413"/>
    <cellStyle name="Currency 2 3 3 3" xfId="414"/>
    <cellStyle name="Currency 2 3 3 4" xfId="415"/>
    <cellStyle name="Currency 2 3 3 4 2" xfId="416"/>
    <cellStyle name="Currency 2 3 3 4 3" xfId="417"/>
    <cellStyle name="Currency 2 3 3 5" xfId="418"/>
    <cellStyle name="Currency 2 3 3 6" xfId="419"/>
    <cellStyle name="Currency 2 3 3 7" xfId="420"/>
    <cellStyle name="Currency 2 3 4" xfId="421"/>
    <cellStyle name="Currency 2 3 4 2" xfId="422"/>
    <cellStyle name="Currency 2 3 4 2 2" xfId="423"/>
    <cellStyle name="Currency 2 3 4 2 3" xfId="424"/>
    <cellStyle name="Currency 2 3 4 3" xfId="425"/>
    <cellStyle name="Currency 2 3 4 4" xfId="426"/>
    <cellStyle name="Currency 2 3 4 5" xfId="427"/>
    <cellStyle name="Currency 2 3 4 6" xfId="428"/>
    <cellStyle name="Currency 2 3 5" xfId="429"/>
    <cellStyle name="Currency 2 3 6" xfId="430"/>
    <cellStyle name="Currency 2 3 6 2" xfId="431"/>
    <cellStyle name="Currency 2 3 6 3" xfId="432"/>
    <cellStyle name="Currency 2 3 7" xfId="433"/>
    <cellStyle name="Currency 2 3 8" xfId="434"/>
    <cellStyle name="Currency 2 3 9" xfId="435"/>
    <cellStyle name="Currency 2 4" xfId="436"/>
    <cellStyle name="Currency 2 4 2" xfId="437"/>
    <cellStyle name="Currency 2 4 2 2" xfId="438"/>
    <cellStyle name="Currency 2 4 2 2 2" xfId="439"/>
    <cellStyle name="Currency 2 4 2 2 2 2" xfId="440"/>
    <cellStyle name="Currency 2 4 2 2 2 3" xfId="441"/>
    <cellStyle name="Currency 2 4 2 2 3" xfId="442"/>
    <cellStyle name="Currency 2 4 2 2 4" xfId="443"/>
    <cellStyle name="Currency 2 4 2 2 5" xfId="444"/>
    <cellStyle name="Currency 2 4 2 2 6" xfId="445"/>
    <cellStyle name="Currency 2 4 2 3" xfId="446"/>
    <cellStyle name="Currency 2 4 2 4" xfId="447"/>
    <cellStyle name="Currency 2 4 2 4 2" xfId="448"/>
    <cellStyle name="Currency 2 4 2 4 3" xfId="449"/>
    <cellStyle name="Currency 2 4 2 5" xfId="450"/>
    <cellStyle name="Currency 2 4 2 6" xfId="451"/>
    <cellStyle name="Currency 2 4 2 7" xfId="452"/>
    <cellStyle name="Currency 2 4 3" xfId="453"/>
    <cellStyle name="Currency 2 4 3 2" xfId="454"/>
    <cellStyle name="Currency 2 4 3 2 2" xfId="455"/>
    <cellStyle name="Currency 2 4 3 2 3" xfId="456"/>
    <cellStyle name="Currency 2 4 3 3" xfId="457"/>
    <cellStyle name="Currency 2 4 3 4" xfId="458"/>
    <cellStyle name="Currency 2 4 3 5" xfId="459"/>
    <cellStyle name="Currency 2 4 3 6" xfId="460"/>
    <cellStyle name="Currency 2 4 4" xfId="461"/>
    <cellStyle name="Currency 2 4 5" xfId="462"/>
    <cellStyle name="Currency 2 4 5 2" xfId="463"/>
    <cellStyle name="Currency 2 4 5 3" xfId="464"/>
    <cellStyle name="Currency 2 4 6" xfId="465"/>
    <cellStyle name="Currency 2 4 7" xfId="466"/>
    <cellStyle name="Currency 2 4 8" xfId="467"/>
    <cellStyle name="Currency 2 5" xfId="468"/>
    <cellStyle name="Currency 2 5 2" xfId="469"/>
    <cellStyle name="Currency 2 5 2 2" xfId="470"/>
    <cellStyle name="Currency 2 5 2 2 2" xfId="471"/>
    <cellStyle name="Currency 2 5 2 2 2 2" xfId="472"/>
    <cellStyle name="Currency 2 5 2 2 2 3" xfId="473"/>
    <cellStyle name="Currency 2 5 2 2 3" xfId="474"/>
    <cellStyle name="Currency 2 5 2 2 4" xfId="475"/>
    <cellStyle name="Currency 2 5 2 2 5" xfId="476"/>
    <cellStyle name="Currency 2 5 2 2 6" xfId="477"/>
    <cellStyle name="Currency 2 5 2 3" xfId="478"/>
    <cellStyle name="Currency 2 5 2 4" xfId="479"/>
    <cellStyle name="Currency 2 5 2 4 2" xfId="480"/>
    <cellStyle name="Currency 2 5 2 4 3" xfId="481"/>
    <cellStyle name="Currency 2 5 2 5" xfId="482"/>
    <cellStyle name="Currency 2 5 2 6" xfId="483"/>
    <cellStyle name="Currency 2 5 2 7" xfId="484"/>
    <cellStyle name="Currency 2 5 3" xfId="485"/>
    <cellStyle name="Currency 2 5 3 2" xfId="486"/>
    <cellStyle name="Currency 2 5 3 2 2" xfId="487"/>
    <cellStyle name="Currency 2 5 3 2 3" xfId="488"/>
    <cellStyle name="Currency 2 5 3 3" xfId="489"/>
    <cellStyle name="Currency 2 5 3 4" xfId="490"/>
    <cellStyle name="Currency 2 5 3 5" xfId="491"/>
    <cellStyle name="Currency 2 5 3 6" xfId="492"/>
    <cellStyle name="Currency 2 5 4" xfId="493"/>
    <cellStyle name="Currency 2 5 5" xfId="494"/>
    <cellStyle name="Currency 2 5 5 2" xfId="495"/>
    <cellStyle name="Currency 2 5 5 3" xfId="496"/>
    <cellStyle name="Currency 2 5 6" xfId="497"/>
    <cellStyle name="Currency 2 5 7" xfId="498"/>
    <cellStyle name="Currency 2 5 8" xfId="499"/>
    <cellStyle name="Currency 2 6" xfId="500"/>
    <cellStyle name="Currency 2 6 2" xfId="501"/>
    <cellStyle name="Currency 2 6 2 2" xfId="502"/>
    <cellStyle name="Currency 2 6 2 2 2" xfId="503"/>
    <cellStyle name="Currency 2 6 2 2 3" xfId="504"/>
    <cellStyle name="Currency 2 6 2 3" xfId="505"/>
    <cellStyle name="Currency 2 6 2 4" xfId="506"/>
    <cellStyle name="Currency 2 6 2 5" xfId="507"/>
    <cellStyle name="Currency 2 6 2 6" xfId="508"/>
    <cellStyle name="Currency 2 6 3" xfId="509"/>
    <cellStyle name="Currency 2 6 4" xfId="510"/>
    <cellStyle name="Currency 2 6 4 2" xfId="511"/>
    <cellStyle name="Currency 2 6 4 3" xfId="512"/>
    <cellStyle name="Currency 2 6 5" xfId="513"/>
    <cellStyle name="Currency 2 6 6" xfId="514"/>
    <cellStyle name="Currency 2 6 7" xfId="515"/>
    <cellStyle name="Currency 2 7" xfId="516"/>
    <cellStyle name="Currency 2 8" xfId="517"/>
    <cellStyle name="Currency 2 9" xfId="518"/>
    <cellStyle name="Currency 3" xfId="519"/>
    <cellStyle name="Currency 3 10" xfId="520"/>
    <cellStyle name="Currency 3 11" xfId="521"/>
    <cellStyle name="Currency 3 12" xfId="522"/>
    <cellStyle name="Currency 3 2" xfId="523"/>
    <cellStyle name="Currency 3 2 2" xfId="524"/>
    <cellStyle name="Currency 3 2 2 2" xfId="525"/>
    <cellStyle name="Currency 3 2 2 2 2" xfId="526"/>
    <cellStyle name="Currency 3 2 2 2 2 2" xfId="527"/>
    <cellStyle name="Currency 3 2 2 2 2 3" xfId="528"/>
    <cellStyle name="Currency 3 2 2 2 3" xfId="529"/>
    <cellStyle name="Currency 3 2 2 2 4" xfId="530"/>
    <cellStyle name="Currency 3 2 2 2 5" xfId="531"/>
    <cellStyle name="Currency 3 2 2 2 6" xfId="532"/>
    <cellStyle name="Currency 3 2 2 3" xfId="533"/>
    <cellStyle name="Currency 3 2 2 4" xfId="534"/>
    <cellStyle name="Currency 3 2 2 4 2" xfId="535"/>
    <cellStyle name="Currency 3 2 2 4 3" xfId="536"/>
    <cellStyle name="Currency 3 2 2 5" xfId="537"/>
    <cellStyle name="Currency 3 2 2 6" xfId="538"/>
    <cellStyle name="Currency 3 2 2 7" xfId="539"/>
    <cellStyle name="Currency 3 2 3" xfId="540"/>
    <cellStyle name="Currency 3 2 3 2" xfId="541"/>
    <cellStyle name="Currency 3 2 3 2 2" xfId="542"/>
    <cellStyle name="Currency 3 2 3 2 2 2" xfId="543"/>
    <cellStyle name="Currency 3 2 3 2 2 3" xfId="544"/>
    <cellStyle name="Currency 3 2 3 2 3" xfId="545"/>
    <cellStyle name="Currency 3 2 3 2 4" xfId="546"/>
    <cellStyle name="Currency 3 2 3 2 5" xfId="547"/>
    <cellStyle name="Currency 3 2 3 2 6" xfId="548"/>
    <cellStyle name="Currency 3 2 3 3" xfId="549"/>
    <cellStyle name="Currency 3 2 3 4" xfId="550"/>
    <cellStyle name="Currency 3 2 3 4 2" xfId="551"/>
    <cellStyle name="Currency 3 2 3 4 3" xfId="552"/>
    <cellStyle name="Currency 3 2 3 5" xfId="553"/>
    <cellStyle name="Currency 3 2 3 6" xfId="554"/>
    <cellStyle name="Currency 3 2 3 7" xfId="555"/>
    <cellStyle name="Currency 3 2 4" xfId="556"/>
    <cellStyle name="Currency 3 2 4 2" xfId="557"/>
    <cellStyle name="Currency 3 2 4 2 2" xfId="558"/>
    <cellStyle name="Currency 3 2 4 2 3" xfId="559"/>
    <cellStyle name="Currency 3 2 4 3" xfId="560"/>
    <cellStyle name="Currency 3 2 4 4" xfId="561"/>
    <cellStyle name="Currency 3 2 4 5" xfId="562"/>
    <cellStyle name="Currency 3 2 4 6" xfId="563"/>
    <cellStyle name="Currency 3 2 5" xfId="564"/>
    <cellStyle name="Currency 3 2 6" xfId="565"/>
    <cellStyle name="Currency 3 2 6 2" xfId="566"/>
    <cellStyle name="Currency 3 2 6 3" xfId="567"/>
    <cellStyle name="Currency 3 2 7" xfId="568"/>
    <cellStyle name="Currency 3 2 8" xfId="569"/>
    <cellStyle name="Currency 3 2 9" xfId="570"/>
    <cellStyle name="Currency 3 3" xfId="571"/>
    <cellStyle name="Currency 3 3 2" xfId="572"/>
    <cellStyle name="Currency 3 3 2 2" xfId="573"/>
    <cellStyle name="Currency 3 3 2 2 2" xfId="574"/>
    <cellStyle name="Currency 3 3 2 2 2 2" xfId="575"/>
    <cellStyle name="Currency 3 3 2 2 2 3" xfId="576"/>
    <cellStyle name="Currency 3 3 2 2 3" xfId="577"/>
    <cellStyle name="Currency 3 3 2 2 4" xfId="578"/>
    <cellStyle name="Currency 3 3 2 2 5" xfId="579"/>
    <cellStyle name="Currency 3 3 2 2 6" xfId="580"/>
    <cellStyle name="Currency 3 3 2 3" xfId="581"/>
    <cellStyle name="Currency 3 3 2 4" xfId="582"/>
    <cellStyle name="Currency 3 3 2 4 2" xfId="583"/>
    <cellStyle name="Currency 3 3 2 4 3" xfId="584"/>
    <cellStyle name="Currency 3 3 2 5" xfId="585"/>
    <cellStyle name="Currency 3 3 2 6" xfId="586"/>
    <cellStyle name="Currency 3 3 2 7" xfId="587"/>
    <cellStyle name="Currency 3 3 3" xfId="588"/>
    <cellStyle name="Currency 3 3 3 2" xfId="589"/>
    <cellStyle name="Currency 3 3 3 2 2" xfId="590"/>
    <cellStyle name="Currency 3 3 3 2 2 2" xfId="591"/>
    <cellStyle name="Currency 3 3 3 2 2 3" xfId="592"/>
    <cellStyle name="Currency 3 3 3 2 3" xfId="593"/>
    <cellStyle name="Currency 3 3 3 2 4" xfId="594"/>
    <cellStyle name="Currency 3 3 3 2 5" xfId="595"/>
    <cellStyle name="Currency 3 3 3 2 6" xfId="596"/>
    <cellStyle name="Currency 3 3 3 3" xfId="597"/>
    <cellStyle name="Currency 3 3 3 4" xfId="598"/>
    <cellStyle name="Currency 3 3 3 4 2" xfId="599"/>
    <cellStyle name="Currency 3 3 3 4 3" xfId="600"/>
    <cellStyle name="Currency 3 3 3 5" xfId="601"/>
    <cellStyle name="Currency 3 3 3 6" xfId="602"/>
    <cellStyle name="Currency 3 3 3 7" xfId="603"/>
    <cellStyle name="Currency 3 3 4" xfId="604"/>
    <cellStyle name="Currency 3 3 4 2" xfId="605"/>
    <cellStyle name="Currency 3 3 4 2 2" xfId="606"/>
    <cellStyle name="Currency 3 3 4 2 3" xfId="607"/>
    <cellStyle name="Currency 3 3 4 3" xfId="608"/>
    <cellStyle name="Currency 3 3 4 4" xfId="609"/>
    <cellStyle name="Currency 3 3 4 5" xfId="610"/>
    <cellStyle name="Currency 3 3 4 6" xfId="611"/>
    <cellStyle name="Currency 3 3 5" xfId="612"/>
    <cellStyle name="Currency 3 3 6" xfId="613"/>
    <cellStyle name="Currency 3 3 6 2" xfId="614"/>
    <cellStyle name="Currency 3 3 6 3" xfId="615"/>
    <cellStyle name="Currency 3 3 7" xfId="616"/>
    <cellStyle name="Currency 3 3 8" xfId="617"/>
    <cellStyle name="Currency 3 3 9" xfId="618"/>
    <cellStyle name="Currency 3 4" xfId="619"/>
    <cellStyle name="Currency 3 4 2" xfId="620"/>
    <cellStyle name="Currency 3 4 2 2" xfId="621"/>
    <cellStyle name="Currency 3 4 2 2 2" xfId="622"/>
    <cellStyle name="Currency 3 4 2 2 2 2" xfId="623"/>
    <cellStyle name="Currency 3 4 2 2 2 3" xfId="624"/>
    <cellStyle name="Currency 3 4 2 2 3" xfId="625"/>
    <cellStyle name="Currency 3 4 2 2 4" xfId="626"/>
    <cellStyle name="Currency 3 4 2 2 5" xfId="627"/>
    <cellStyle name="Currency 3 4 2 2 6" xfId="628"/>
    <cellStyle name="Currency 3 4 2 3" xfId="629"/>
    <cellStyle name="Currency 3 4 2 4" xfId="630"/>
    <cellStyle name="Currency 3 4 2 4 2" xfId="631"/>
    <cellStyle name="Currency 3 4 2 4 3" xfId="632"/>
    <cellStyle name="Currency 3 4 2 5" xfId="633"/>
    <cellStyle name="Currency 3 4 2 6" xfId="634"/>
    <cellStyle name="Currency 3 4 2 7" xfId="635"/>
    <cellStyle name="Currency 3 4 3" xfId="636"/>
    <cellStyle name="Currency 3 4 3 2" xfId="637"/>
    <cellStyle name="Currency 3 4 3 2 2" xfId="638"/>
    <cellStyle name="Currency 3 4 3 2 2 2" xfId="639"/>
    <cellStyle name="Currency 3 4 3 2 2 3" xfId="640"/>
    <cellStyle name="Currency 3 4 3 2 3" xfId="641"/>
    <cellStyle name="Currency 3 4 3 2 4" xfId="642"/>
    <cellStyle name="Currency 3 4 3 2 5" xfId="643"/>
    <cellStyle name="Currency 3 4 3 2 6" xfId="644"/>
    <cellStyle name="Currency 3 4 3 3" xfId="645"/>
    <cellStyle name="Currency 3 4 3 4" xfId="646"/>
    <cellStyle name="Currency 3 4 3 4 2" xfId="647"/>
    <cellStyle name="Currency 3 4 3 4 3" xfId="648"/>
    <cellStyle name="Currency 3 4 3 5" xfId="649"/>
    <cellStyle name="Currency 3 4 3 6" xfId="650"/>
    <cellStyle name="Currency 3 4 3 7" xfId="651"/>
    <cellStyle name="Currency 3 4 4" xfId="652"/>
    <cellStyle name="Currency 3 4 4 2" xfId="653"/>
    <cellStyle name="Currency 3 4 4 2 2" xfId="654"/>
    <cellStyle name="Currency 3 4 4 2 3" xfId="655"/>
    <cellStyle name="Currency 3 4 4 3" xfId="656"/>
    <cellStyle name="Currency 3 4 4 4" xfId="657"/>
    <cellStyle name="Currency 3 4 4 5" xfId="658"/>
    <cellStyle name="Currency 3 4 4 6" xfId="659"/>
    <cellStyle name="Currency 3 4 5" xfId="660"/>
    <cellStyle name="Currency 3 4 6" xfId="661"/>
    <cellStyle name="Currency 3 4 6 2" xfId="662"/>
    <cellStyle name="Currency 3 4 6 3" xfId="663"/>
    <cellStyle name="Currency 3 4 7" xfId="664"/>
    <cellStyle name="Currency 3 4 8" xfId="665"/>
    <cellStyle name="Currency 3 4 9" xfId="666"/>
    <cellStyle name="Currency 3 5" xfId="667"/>
    <cellStyle name="Currency 3 5 2" xfId="668"/>
    <cellStyle name="Currency 3 5 2 2" xfId="669"/>
    <cellStyle name="Currency 3 5 2 2 2" xfId="670"/>
    <cellStyle name="Currency 3 5 2 2 3" xfId="671"/>
    <cellStyle name="Currency 3 5 2 3" xfId="672"/>
    <cellStyle name="Currency 3 5 2 4" xfId="673"/>
    <cellStyle name="Currency 3 5 2 5" xfId="674"/>
    <cellStyle name="Currency 3 5 2 6" xfId="675"/>
    <cellStyle name="Currency 3 5 3" xfId="676"/>
    <cellStyle name="Currency 3 5 4" xfId="677"/>
    <cellStyle name="Currency 3 5 4 2" xfId="678"/>
    <cellStyle name="Currency 3 5 4 3" xfId="679"/>
    <cellStyle name="Currency 3 5 5" xfId="680"/>
    <cellStyle name="Currency 3 5 6" xfId="681"/>
    <cellStyle name="Currency 3 5 7" xfId="682"/>
    <cellStyle name="Currency 3 6" xfId="683"/>
    <cellStyle name="Currency 3 6 2" xfId="684"/>
    <cellStyle name="Currency 3 6 2 2" xfId="685"/>
    <cellStyle name="Currency 3 6 2 2 2" xfId="686"/>
    <cellStyle name="Currency 3 6 2 2 3" xfId="687"/>
    <cellStyle name="Currency 3 6 2 3" xfId="688"/>
    <cellStyle name="Currency 3 6 2 4" xfId="689"/>
    <cellStyle name="Currency 3 6 2 5" xfId="690"/>
    <cellStyle name="Currency 3 6 2 6" xfId="691"/>
    <cellStyle name="Currency 3 6 3" xfId="692"/>
    <cellStyle name="Currency 3 6 4" xfId="693"/>
    <cellStyle name="Currency 3 6 4 2" xfId="694"/>
    <cellStyle name="Currency 3 6 4 3" xfId="695"/>
    <cellStyle name="Currency 3 6 5" xfId="696"/>
    <cellStyle name="Currency 3 6 6" xfId="697"/>
    <cellStyle name="Currency 3 6 7" xfId="698"/>
    <cellStyle name="Currency 3 7" xfId="699"/>
    <cellStyle name="Currency 3 7 2" xfId="700"/>
    <cellStyle name="Currency 3 7 2 2" xfId="701"/>
    <cellStyle name="Currency 3 7 2 3" xfId="702"/>
    <cellStyle name="Currency 3 7 3" xfId="703"/>
    <cellStyle name="Currency 3 7 4" xfId="704"/>
    <cellStyle name="Currency 3 7 5" xfId="705"/>
    <cellStyle name="Currency 3 7 6" xfId="706"/>
    <cellStyle name="Currency 3 8" xfId="707"/>
    <cellStyle name="Currency 3 9" xfId="708"/>
    <cellStyle name="Currency 3 9 2" xfId="709"/>
    <cellStyle name="Currency 3 9 3" xfId="710"/>
    <cellStyle name="Currency 4" xfId="711"/>
    <cellStyle name="Currency 4 2" xfId="712"/>
    <cellStyle name="Currency 4 2 2" xfId="713"/>
    <cellStyle name="Currency 4 2 2 2" xfId="714"/>
    <cellStyle name="Currency 4 2 2 2 2" xfId="715"/>
    <cellStyle name="Currency 4 2 2 2 3" xfId="716"/>
    <cellStyle name="Currency 4 2 2 3" xfId="717"/>
    <cellStyle name="Currency 4 2 2 4" xfId="718"/>
    <cellStyle name="Currency 4 2 2 5" xfId="719"/>
    <cellStyle name="Currency 4 2 2 6" xfId="720"/>
    <cellStyle name="Currency 4 2 3" xfId="721"/>
    <cellStyle name="Currency 4 2 4" xfId="722"/>
    <cellStyle name="Currency 4 2 4 2" xfId="723"/>
    <cellStyle name="Currency 4 2 4 3" xfId="724"/>
    <cellStyle name="Currency 4 2 5" xfId="725"/>
    <cellStyle name="Currency 4 2 6" xfId="726"/>
    <cellStyle name="Currency 4 2 7" xfId="727"/>
    <cellStyle name="Currency 4 3" xfId="728"/>
    <cellStyle name="Currency 4 3 2" xfId="729"/>
    <cellStyle name="Currency 4 3 2 2" xfId="730"/>
    <cellStyle name="Currency 4 3 2 2 2" xfId="731"/>
    <cellStyle name="Currency 4 3 2 2 3" xfId="732"/>
    <cellStyle name="Currency 4 3 2 3" xfId="733"/>
    <cellStyle name="Currency 4 3 2 4" xfId="734"/>
    <cellStyle name="Currency 4 3 2 5" xfId="735"/>
    <cellStyle name="Currency 4 3 2 6" xfId="736"/>
    <cellStyle name="Currency 4 3 3" xfId="737"/>
    <cellStyle name="Currency 4 3 4" xfId="738"/>
    <cellStyle name="Currency 4 3 4 2" xfId="739"/>
    <cellStyle name="Currency 4 3 4 3" xfId="740"/>
    <cellStyle name="Currency 4 3 5" xfId="741"/>
    <cellStyle name="Currency 4 3 6" xfId="742"/>
    <cellStyle name="Currency 4 3 7" xfId="743"/>
    <cellStyle name="Currency 4 4" xfId="744"/>
    <cellStyle name="Currency 4 4 2" xfId="745"/>
    <cellStyle name="Currency 4 4 2 2" xfId="746"/>
    <cellStyle name="Currency 4 4 2 3" xfId="747"/>
    <cellStyle name="Currency 4 4 3" xfId="748"/>
    <cellStyle name="Currency 4 4 4" xfId="749"/>
    <cellStyle name="Currency 4 4 5" xfId="750"/>
    <cellStyle name="Currency 4 4 6" xfId="751"/>
    <cellStyle name="Currency 4 5" xfId="752"/>
    <cellStyle name="Currency 4 6" xfId="753"/>
    <cellStyle name="Currency 4 6 2" xfId="754"/>
    <cellStyle name="Currency 4 6 3" xfId="755"/>
    <cellStyle name="Currency 4 7" xfId="756"/>
    <cellStyle name="Currency 4 8" xfId="757"/>
    <cellStyle name="Currency 4 9" xfId="758"/>
    <cellStyle name="Currency 5" xfId="759"/>
    <cellStyle name="Currency 5 10" xfId="760"/>
    <cellStyle name="Currency 5 11" xfId="761"/>
    <cellStyle name="Currency 5 11 2" xfId="762"/>
    <cellStyle name="Currency 5 11 3" xfId="763"/>
    <cellStyle name="Currency 5 12" xfId="764"/>
    <cellStyle name="Currency 5 13" xfId="765"/>
    <cellStyle name="Currency 5 14" xfId="766"/>
    <cellStyle name="Currency 5 2" xfId="767"/>
    <cellStyle name="Currency 5 2 2" xfId="768"/>
    <cellStyle name="Currency 5 2 2 2" xfId="769"/>
    <cellStyle name="Currency 5 2 2 2 2" xfId="770"/>
    <cellStyle name="Currency 5 2 2 2 3" xfId="771"/>
    <cellStyle name="Currency 5 2 2 3" xfId="772"/>
    <cellStyle name="Currency 5 2 2 4" xfId="773"/>
    <cellStyle name="Currency 5 2 2 5" xfId="774"/>
    <cellStyle name="Currency 5 2 2 6" xfId="775"/>
    <cellStyle name="Currency 5 2 3" xfId="776"/>
    <cellStyle name="Currency 5 2 4" xfId="777"/>
    <cellStyle name="Currency 5 2 4 2" xfId="778"/>
    <cellStyle name="Currency 5 2 4 3" xfId="779"/>
    <cellStyle name="Currency 5 2 5" xfId="780"/>
    <cellStyle name="Currency 5 2 6" xfId="781"/>
    <cellStyle name="Currency 5 2 7" xfId="782"/>
    <cellStyle name="Currency 5 3" xfId="783"/>
    <cellStyle name="Currency 5 3 2" xfId="784"/>
    <cellStyle name="Currency 5 3 2 2" xfId="785"/>
    <cellStyle name="Currency 5 3 2 2 2" xfId="786"/>
    <cellStyle name="Currency 5 3 2 2 3" xfId="787"/>
    <cellStyle name="Currency 5 3 2 3" xfId="788"/>
    <cellStyle name="Currency 5 3 2 4" xfId="789"/>
    <cellStyle name="Currency 5 3 2 5" xfId="790"/>
    <cellStyle name="Currency 5 3 2 6" xfId="791"/>
    <cellStyle name="Currency 5 3 3" xfId="792"/>
    <cellStyle name="Currency 5 3 4" xfId="793"/>
    <cellStyle name="Currency 5 3 4 2" xfId="794"/>
    <cellStyle name="Currency 5 3 4 3" xfId="795"/>
    <cellStyle name="Currency 5 3 5" xfId="796"/>
    <cellStyle name="Currency 5 3 6" xfId="797"/>
    <cellStyle name="Currency 5 3 7" xfId="798"/>
    <cellStyle name="Currency 5 4" xfId="799"/>
    <cellStyle name="Currency 5 4 2" xfId="800"/>
    <cellStyle name="Currency 5 4 2 2" xfId="801"/>
    <cellStyle name="Currency 5 4 2 2 2" xfId="802"/>
    <cellStyle name="Currency 5 4 2 2 2 2" xfId="803"/>
    <cellStyle name="Currency 5 4 2 2 2 2 2" xfId="804"/>
    <cellStyle name="Currency 5 4 2 2 2 2 3" xfId="805"/>
    <cellStyle name="Currency 5 4 2 2 2 3" xfId="806"/>
    <cellStyle name="Currency 5 4 2 2 2 4" xfId="807"/>
    <cellStyle name="Currency 5 4 2 2 2 5" xfId="808"/>
    <cellStyle name="Currency 5 4 2 2 2 6" xfId="809"/>
    <cellStyle name="Currency 5 4 2 2 3" xfId="810"/>
    <cellStyle name="Currency 5 4 2 2 4" xfId="811"/>
    <cellStyle name="Currency 5 4 2 2 4 2" xfId="812"/>
    <cellStyle name="Currency 5 4 2 2 4 3" xfId="813"/>
    <cellStyle name="Currency 5 4 2 2 5" xfId="814"/>
    <cellStyle name="Currency 5 4 2 2 6" xfId="815"/>
    <cellStyle name="Currency 5 4 2 2 7" xfId="816"/>
    <cellStyle name="Currency 5 4 2 3" xfId="817"/>
    <cellStyle name="Currency 5 4 2 3 2" xfId="818"/>
    <cellStyle name="Currency 5 4 2 3 2 2" xfId="819"/>
    <cellStyle name="Currency 5 4 2 3 2 3" xfId="820"/>
    <cellStyle name="Currency 5 4 2 3 3" xfId="821"/>
    <cellStyle name="Currency 5 4 2 3 4" xfId="822"/>
    <cellStyle name="Currency 5 4 2 3 5" xfId="823"/>
    <cellStyle name="Currency 5 4 2 3 6" xfId="824"/>
    <cellStyle name="Currency 5 4 2 4" xfId="825"/>
    <cellStyle name="Currency 5 4 2 5" xfId="826"/>
    <cellStyle name="Currency 5 4 2 5 2" xfId="827"/>
    <cellStyle name="Currency 5 4 2 5 3" xfId="828"/>
    <cellStyle name="Currency 5 4 2 6" xfId="829"/>
    <cellStyle name="Currency 5 4 2 7" xfId="830"/>
    <cellStyle name="Currency 5 4 2 8" xfId="831"/>
    <cellStyle name="Currency 5 4 3" xfId="832"/>
    <cellStyle name="Currency 5 4 3 2" xfId="833"/>
    <cellStyle name="Currency 5 4 3 2 2" xfId="834"/>
    <cellStyle name="Currency 5 4 3 2 2 2" xfId="835"/>
    <cellStyle name="Currency 5 4 3 2 2 3" xfId="836"/>
    <cellStyle name="Currency 5 4 3 2 3" xfId="837"/>
    <cellStyle name="Currency 5 4 3 2 4" xfId="838"/>
    <cellStyle name="Currency 5 4 3 2 5" xfId="839"/>
    <cellStyle name="Currency 5 4 3 2 6" xfId="840"/>
    <cellStyle name="Currency 5 4 3 3" xfId="841"/>
    <cellStyle name="Currency 5 4 3 4" xfId="842"/>
    <cellStyle name="Currency 5 4 3 4 2" xfId="843"/>
    <cellStyle name="Currency 5 4 3 4 3" xfId="844"/>
    <cellStyle name="Currency 5 4 3 5" xfId="845"/>
    <cellStyle name="Currency 5 4 3 6" xfId="846"/>
    <cellStyle name="Currency 5 4 3 7" xfId="847"/>
    <cellStyle name="Currency 5 4 4" xfId="848"/>
    <cellStyle name="Currency 5 4 4 2" xfId="849"/>
    <cellStyle name="Currency 5 4 4 2 2" xfId="850"/>
    <cellStyle name="Currency 5 4 4 2 3" xfId="851"/>
    <cellStyle name="Currency 5 4 4 3" xfId="852"/>
    <cellStyle name="Currency 5 4 4 4" xfId="853"/>
    <cellStyle name="Currency 5 4 4 5" xfId="854"/>
    <cellStyle name="Currency 5 4 4 6" xfId="855"/>
    <cellStyle name="Currency 5 4 5" xfId="856"/>
    <cellStyle name="Currency 5 4 6" xfId="857"/>
    <cellStyle name="Currency 5 4 6 2" xfId="858"/>
    <cellStyle name="Currency 5 4 6 3" xfId="859"/>
    <cellStyle name="Currency 5 4 7" xfId="860"/>
    <cellStyle name="Currency 5 4 8" xfId="861"/>
    <cellStyle name="Currency 5 4 9" xfId="862"/>
    <cellStyle name="Currency 5 5" xfId="863"/>
    <cellStyle name="Currency 5 5 2" xfId="864"/>
    <cellStyle name="Currency 5 5 2 2" xfId="865"/>
    <cellStyle name="Currency 5 5 2 2 2" xfId="866"/>
    <cellStyle name="Currency 5 5 2 2 2 2" xfId="867"/>
    <cellStyle name="Currency 5 5 2 2 2 2 2" xfId="868"/>
    <cellStyle name="Currency 5 5 2 2 2 2 3" xfId="869"/>
    <cellStyle name="Currency 5 5 2 2 2 3" xfId="870"/>
    <cellStyle name="Currency 5 5 2 2 2 4" xfId="871"/>
    <cellStyle name="Currency 5 5 2 2 2 5" xfId="872"/>
    <cellStyle name="Currency 5 5 2 2 2 6" xfId="873"/>
    <cellStyle name="Currency 5 5 2 2 3" xfId="874"/>
    <cellStyle name="Currency 5 5 2 2 4" xfId="875"/>
    <cellStyle name="Currency 5 5 2 2 4 2" xfId="876"/>
    <cellStyle name="Currency 5 5 2 2 4 3" xfId="877"/>
    <cellStyle name="Currency 5 5 2 2 5" xfId="878"/>
    <cellStyle name="Currency 5 5 2 2 6" xfId="879"/>
    <cellStyle name="Currency 5 5 2 2 7" xfId="880"/>
    <cellStyle name="Currency 5 5 2 3" xfId="881"/>
    <cellStyle name="Currency 5 5 2 3 2" xfId="882"/>
    <cellStyle name="Currency 5 5 2 3 2 2" xfId="883"/>
    <cellStyle name="Currency 5 5 2 3 2 3" xfId="884"/>
    <cellStyle name="Currency 5 5 2 3 3" xfId="885"/>
    <cellStyle name="Currency 5 5 2 3 4" xfId="886"/>
    <cellStyle name="Currency 5 5 2 3 5" xfId="887"/>
    <cellStyle name="Currency 5 5 2 3 6" xfId="888"/>
    <cellStyle name="Currency 5 5 2 4" xfId="889"/>
    <cellStyle name="Currency 5 5 2 5" xfId="890"/>
    <cellStyle name="Currency 5 5 2 5 2" xfId="891"/>
    <cellStyle name="Currency 5 5 2 5 3" xfId="892"/>
    <cellStyle name="Currency 5 5 2 6" xfId="893"/>
    <cellStyle name="Currency 5 5 2 7" xfId="894"/>
    <cellStyle name="Currency 5 5 2 8" xfId="895"/>
    <cellStyle name="Currency 5 5 3" xfId="896"/>
    <cellStyle name="Currency 5 5 3 2" xfId="897"/>
    <cellStyle name="Currency 5 5 3 2 2" xfId="898"/>
    <cellStyle name="Currency 5 5 3 2 2 2" xfId="899"/>
    <cellStyle name="Currency 5 5 3 2 2 3" xfId="900"/>
    <cellStyle name="Currency 5 5 3 2 3" xfId="901"/>
    <cellStyle name="Currency 5 5 3 2 4" xfId="902"/>
    <cellStyle name="Currency 5 5 3 2 5" xfId="903"/>
    <cellStyle name="Currency 5 5 3 2 6" xfId="904"/>
    <cellStyle name="Currency 5 5 3 3" xfId="905"/>
    <cellStyle name="Currency 5 5 3 4" xfId="906"/>
    <cellStyle name="Currency 5 5 3 4 2" xfId="907"/>
    <cellStyle name="Currency 5 5 3 4 3" xfId="908"/>
    <cellStyle name="Currency 5 5 3 5" xfId="909"/>
    <cellStyle name="Currency 5 5 3 6" xfId="910"/>
    <cellStyle name="Currency 5 5 3 7" xfId="911"/>
    <cellStyle name="Currency 5 5 4" xfId="912"/>
    <cellStyle name="Currency 5 5 4 2" xfId="913"/>
    <cellStyle name="Currency 5 5 4 2 2" xfId="914"/>
    <cellStyle name="Currency 5 5 4 2 3" xfId="915"/>
    <cellStyle name="Currency 5 5 4 3" xfId="916"/>
    <cellStyle name="Currency 5 5 4 4" xfId="917"/>
    <cellStyle name="Currency 5 5 4 5" xfId="918"/>
    <cellStyle name="Currency 5 5 4 6" xfId="919"/>
    <cellStyle name="Currency 5 5 5" xfId="920"/>
    <cellStyle name="Currency 5 5 6" xfId="921"/>
    <cellStyle name="Currency 5 5 6 2" xfId="922"/>
    <cellStyle name="Currency 5 5 6 3" xfId="923"/>
    <cellStyle name="Currency 5 5 7" xfId="924"/>
    <cellStyle name="Currency 5 5 8" xfId="925"/>
    <cellStyle name="Currency 5 5 9" xfId="926"/>
    <cellStyle name="Currency 5 6" xfId="927"/>
    <cellStyle name="Currency 5 6 2" xfId="928"/>
    <cellStyle name="Currency 5 6 2 2" xfId="929"/>
    <cellStyle name="Currency 5 6 2 2 2" xfId="930"/>
    <cellStyle name="Currency 5 6 2 2 2 2" xfId="931"/>
    <cellStyle name="Currency 5 6 2 2 2 3" xfId="932"/>
    <cellStyle name="Currency 5 6 2 2 3" xfId="933"/>
    <cellStyle name="Currency 5 6 2 2 4" xfId="934"/>
    <cellStyle name="Currency 5 6 2 2 5" xfId="935"/>
    <cellStyle name="Currency 5 6 2 2 6" xfId="936"/>
    <cellStyle name="Currency 5 6 2 3" xfId="937"/>
    <cellStyle name="Currency 5 6 2 4" xfId="938"/>
    <cellStyle name="Currency 5 6 2 4 2" xfId="939"/>
    <cellStyle name="Currency 5 6 2 4 3" xfId="940"/>
    <cellStyle name="Currency 5 6 2 5" xfId="941"/>
    <cellStyle name="Currency 5 6 2 6" xfId="942"/>
    <cellStyle name="Currency 5 6 2 7" xfId="943"/>
    <cellStyle name="Currency 5 6 3" xfId="944"/>
    <cellStyle name="Currency 5 6 3 2" xfId="945"/>
    <cellStyle name="Currency 5 6 3 2 2" xfId="946"/>
    <cellStyle name="Currency 5 6 3 2 3" xfId="947"/>
    <cellStyle name="Currency 5 6 3 3" xfId="948"/>
    <cellStyle name="Currency 5 6 3 4" xfId="949"/>
    <cellStyle name="Currency 5 6 3 5" xfId="950"/>
    <cellStyle name="Currency 5 6 3 6" xfId="951"/>
    <cellStyle name="Currency 5 6 4" xfId="952"/>
    <cellStyle name="Currency 5 6 5" xfId="953"/>
    <cellStyle name="Currency 5 6 5 2" xfId="954"/>
    <cellStyle name="Currency 5 6 5 3" xfId="955"/>
    <cellStyle name="Currency 5 6 6" xfId="956"/>
    <cellStyle name="Currency 5 6 7" xfId="957"/>
    <cellStyle name="Currency 5 6 8" xfId="958"/>
    <cellStyle name="Currency 5 7" xfId="959"/>
    <cellStyle name="Currency 5 7 10" xfId="960"/>
    <cellStyle name="Currency 5 7 11" xfId="961"/>
    <cellStyle name="Currency 5 7 12" xfId="962"/>
    <cellStyle name="Currency 5 7 13" xfId="963"/>
    <cellStyle name="Currency 5 7 13 2" xfId="964"/>
    <cellStyle name="Currency 5 7 13 2 2" xfId="965"/>
    <cellStyle name="Currency 5 7 14" xfId="966"/>
    <cellStyle name="Currency 5 7 15" xfId="967"/>
    <cellStyle name="Currency 5 7 16" xfId="968"/>
    <cellStyle name="Currency 5 7 17" xfId="969"/>
    <cellStyle name="Currency 5 7 18" xfId="970"/>
    <cellStyle name="Currency 5 7 19" xfId="971"/>
    <cellStyle name="Currency 5 7 2" xfId="972"/>
    <cellStyle name="Currency 5 7 2 10" xfId="973"/>
    <cellStyle name="Currency 5 7 2 2" xfId="974"/>
    <cellStyle name="Currency 5 7 2 2 2" xfId="975"/>
    <cellStyle name="Currency 5 7 2 2 2 2" xfId="976"/>
    <cellStyle name="Currency 5 7 2 2 2 3" xfId="977"/>
    <cellStyle name="Currency 5 7 2 2 3" xfId="978"/>
    <cellStyle name="Currency 5 7 2 2 4" xfId="979"/>
    <cellStyle name="Currency 5 7 2 2 5" xfId="980"/>
    <cellStyle name="Currency 5 7 2 2 6" xfId="981"/>
    <cellStyle name="Currency 5 7 2 3" xfId="982"/>
    <cellStyle name="Currency 5 7 2 4" xfId="983"/>
    <cellStyle name="Currency 5 7 2 4 2" xfId="984"/>
    <cellStyle name="Currency 5 7 2 4 3" xfId="985"/>
    <cellStyle name="Currency 5 7 2 5" xfId="986"/>
    <cellStyle name="Currency 5 7 2 6" xfId="987"/>
    <cellStyle name="Currency 5 7 2 7" xfId="988"/>
    <cellStyle name="Currency 5 7 2 8" xfId="989"/>
    <cellStyle name="Currency 5 7 2 8 2" xfId="990"/>
    <cellStyle name="Currency 5 7 2 9" xfId="991"/>
    <cellStyle name="Currency 5 7 20" xfId="992"/>
    <cellStyle name="Currency 5 7 3" xfId="993"/>
    <cellStyle name="Currency 5 7 3 2" xfId="994"/>
    <cellStyle name="Currency 5 7 3 2 2" xfId="995"/>
    <cellStyle name="Currency 5 7 3 2 3" xfId="996"/>
    <cellStyle name="Currency 5 7 3 3" xfId="997"/>
    <cellStyle name="Currency 5 7 3 4" xfId="998"/>
    <cellStyle name="Currency 5 7 3 5" xfId="999"/>
    <cellStyle name="Currency 5 7 3 6" xfId="1000"/>
    <cellStyle name="Currency 5 7 4" xfId="1001"/>
    <cellStyle name="Currency 5 7 5" xfId="1002"/>
    <cellStyle name="Currency 5 7 5 2" xfId="1003"/>
    <cellStyle name="Currency 5 7 5 3" xfId="1004"/>
    <cellStyle name="Currency 5 7 6" xfId="1005"/>
    <cellStyle name="Currency 5 7 7" xfId="1006"/>
    <cellStyle name="Currency 5 7 8" xfId="1007"/>
    <cellStyle name="Currency 5 7 9" xfId="1008"/>
    <cellStyle name="Currency 5 7 9 2" xfId="1009"/>
    <cellStyle name="Currency 5 7_Sheet5" xfId="1010"/>
    <cellStyle name="Currency 5 8" xfId="1011"/>
    <cellStyle name="Currency 5 8 2" xfId="1012"/>
    <cellStyle name="Currency 5 8 2 2" xfId="1013"/>
    <cellStyle name="Currency 5 8 2 2 2" xfId="1014"/>
    <cellStyle name="Currency 5 8 2 2 3" xfId="1015"/>
    <cellStyle name="Currency 5 8 2 3" xfId="1016"/>
    <cellStyle name="Currency 5 8 2 4" xfId="1017"/>
    <cellStyle name="Currency 5 8 2 5" xfId="1018"/>
    <cellStyle name="Currency 5 8 2 6" xfId="1019"/>
    <cellStyle name="Currency 5 8 3" xfId="1020"/>
    <cellStyle name="Currency 5 8 4" xfId="1021"/>
    <cellStyle name="Currency 5 8 4 2" xfId="1022"/>
    <cellStyle name="Currency 5 8 4 3" xfId="1023"/>
    <cellStyle name="Currency 5 8 5" xfId="1024"/>
    <cellStyle name="Currency 5 8 6" xfId="1025"/>
    <cellStyle name="Currency 5 8 7" xfId="1026"/>
    <cellStyle name="Currency 5 9" xfId="1027"/>
    <cellStyle name="Currency 5 9 2" xfId="1028"/>
    <cellStyle name="Currency 5 9 2 2" xfId="1029"/>
    <cellStyle name="Currency 5 9 2 3" xfId="1030"/>
    <cellStyle name="Currency 5 9 3" xfId="1031"/>
    <cellStyle name="Currency 5 9 4" xfId="1032"/>
    <cellStyle name="Currency 5 9 5" xfId="1033"/>
    <cellStyle name="Currency 5 9 6" xfId="1034"/>
    <cellStyle name="Currency 6" xfId="1035"/>
    <cellStyle name="Currency 6 2" xfId="1036"/>
    <cellStyle name="Currency 6 2 2" xfId="1037"/>
    <cellStyle name="Currency 6 2 2 2" xfId="1038"/>
    <cellStyle name="Currency 6 2 2 2 2" xfId="1039"/>
    <cellStyle name="Currency 6 2 2 2 3" xfId="1040"/>
    <cellStyle name="Currency 6 2 2 3" xfId="1041"/>
    <cellStyle name="Currency 6 2 2 4" xfId="1042"/>
    <cellStyle name="Currency 6 2 2 5" xfId="1043"/>
    <cellStyle name="Currency 6 2 2 6" xfId="1044"/>
    <cellStyle name="Currency 6 2 3" xfId="1045"/>
    <cellStyle name="Currency 6 2 4" xfId="1046"/>
    <cellStyle name="Currency 6 2 4 2" xfId="1047"/>
    <cellStyle name="Currency 6 2 4 3" xfId="1048"/>
    <cellStyle name="Currency 6 2 5" xfId="1049"/>
    <cellStyle name="Currency 6 2 6" xfId="1050"/>
    <cellStyle name="Currency 6 2 7" xfId="1051"/>
    <cellStyle name="Currency 6 3" xfId="1052"/>
    <cellStyle name="Currency 6 3 2" xfId="1053"/>
    <cellStyle name="Currency 6 3 2 2" xfId="1054"/>
    <cellStyle name="Currency 6 3 2 2 2" xfId="1055"/>
    <cellStyle name="Currency 6 3 2 2 3" xfId="1056"/>
    <cellStyle name="Currency 6 3 2 3" xfId="1057"/>
    <cellStyle name="Currency 6 3 2 4" xfId="1058"/>
    <cellStyle name="Currency 6 3 2 5" xfId="1059"/>
    <cellStyle name="Currency 6 3 2 6" xfId="1060"/>
    <cellStyle name="Currency 6 3 3" xfId="1061"/>
    <cellStyle name="Currency 6 3 4" xfId="1062"/>
    <cellStyle name="Currency 6 3 4 2" xfId="1063"/>
    <cellStyle name="Currency 6 3 4 3" xfId="1064"/>
    <cellStyle name="Currency 6 3 5" xfId="1065"/>
    <cellStyle name="Currency 6 3 6" xfId="1066"/>
    <cellStyle name="Currency 6 3 7" xfId="1067"/>
    <cellStyle name="Currency 6 4" xfId="1068"/>
    <cellStyle name="Currency 6 4 2" xfId="1069"/>
    <cellStyle name="Currency 6 4 2 2" xfId="1070"/>
    <cellStyle name="Currency 6 4 2 3" xfId="1071"/>
    <cellStyle name="Currency 6 4 3" xfId="1072"/>
    <cellStyle name="Currency 6 4 4" xfId="1073"/>
    <cellStyle name="Currency 6 4 5" xfId="1074"/>
    <cellStyle name="Currency 6 4 6" xfId="1075"/>
    <cellStyle name="Currency 6 5" xfId="1076"/>
    <cellStyle name="Currency 6 6" xfId="1077"/>
    <cellStyle name="Currency 6 6 2" xfId="1078"/>
    <cellStyle name="Currency 6 6 3" xfId="1079"/>
    <cellStyle name="Currency 6 7" xfId="1080"/>
    <cellStyle name="Currency 6 8" xfId="1081"/>
    <cellStyle name="Currency 6 9" xfId="1082"/>
    <cellStyle name="Currency 7" xfId="1083"/>
    <cellStyle name="Currency 7 2" xfId="1084"/>
    <cellStyle name="Currency 7 2 2" xfId="1085"/>
    <cellStyle name="Currency 7 2 2 2" xfId="1086"/>
    <cellStyle name="Currency 7 2 2 3" xfId="1087"/>
    <cellStyle name="Currency 7 2 3" xfId="1088"/>
    <cellStyle name="Currency 7 2 4" xfId="1089"/>
    <cellStyle name="Currency 7 2 5" xfId="1090"/>
    <cellStyle name="Currency 7 2 6" xfId="1091"/>
    <cellStyle name="Currency 7 3" xfId="1092"/>
    <cellStyle name="Currency 7 4" xfId="1093"/>
    <cellStyle name="Currency 7 4 2" xfId="1094"/>
    <cellStyle name="Currency 7 4 3" xfId="1095"/>
    <cellStyle name="Currency 7 5" xfId="1096"/>
    <cellStyle name="Currency 7 6" xfId="1097"/>
    <cellStyle name="Currency 7 7" xfId="1098"/>
    <cellStyle name="Currency 8" xfId="1099"/>
    <cellStyle name="Currency 8 2" xfId="1100"/>
    <cellStyle name="Currency 8 2 2" xfId="1101"/>
    <cellStyle name="Currency 8 2 2 2" xfId="1102"/>
    <cellStyle name="Currency 8 2 2 3" xfId="1103"/>
    <cellStyle name="Currency 8 2 3" xfId="1104"/>
    <cellStyle name="Currency 8 2 4" xfId="1105"/>
    <cellStyle name="Currency 8 2 5" xfId="1106"/>
    <cellStyle name="Currency 8 2 6" xfId="1107"/>
    <cellStyle name="Currency 8 3" xfId="1108"/>
    <cellStyle name="Currency 8 4" xfId="1109"/>
    <cellStyle name="Currency 8 4 2" xfId="1110"/>
    <cellStyle name="Currency 8 4 3" xfId="1111"/>
    <cellStyle name="Currency 8 5" xfId="1112"/>
    <cellStyle name="Currency 8 6" xfId="1113"/>
    <cellStyle name="Currency 8 7" xfId="1114"/>
    <cellStyle name="Hyperlink 2" xfId="1115"/>
    <cellStyle name="Hyperlink 2 2" xfId="1116"/>
    <cellStyle name="Hyperlink 2 2 10" xfId="1117"/>
    <cellStyle name="Hyperlink 2 2 11" xfId="1118"/>
    <cellStyle name="Hyperlink 2 2 12" xfId="1119"/>
    <cellStyle name="Hyperlink 2 2 13" xfId="1120"/>
    <cellStyle name="Hyperlink 2 2 14" xfId="1121"/>
    <cellStyle name="Hyperlink 2 2 2" xfId="1122"/>
    <cellStyle name="Hyperlink 2 2 2 2" xfId="1123"/>
    <cellStyle name="Hyperlink 2 2 3" xfId="1124"/>
    <cellStyle name="Hyperlink 2 2 4" xfId="1125"/>
    <cellStyle name="Hyperlink 2 2 5" xfId="1126"/>
    <cellStyle name="Hyperlink 2 2 6" xfId="1127"/>
    <cellStyle name="Hyperlink 2 2 7" xfId="1128"/>
    <cellStyle name="Hyperlink 2 2 7 2" xfId="1129"/>
    <cellStyle name="Hyperlink 2 2 7 2 2" xfId="1130"/>
    <cellStyle name="Hyperlink 2 2 8" xfId="1131"/>
    <cellStyle name="Hyperlink 2 2 9" xfId="1132"/>
    <cellStyle name="Hyperlink 2 2_Sheet5" xfId="1133"/>
    <cellStyle name="Hyperlink 3" xfId="1134"/>
    <cellStyle name="Hyperlink 3 2" xfId="1135"/>
    <cellStyle name="Hyperlink 4" xfId="1136"/>
    <cellStyle name="Hyperlink 5" xfId="1137"/>
    <cellStyle name="Nor}al" xfId="1138"/>
    <cellStyle name="Normal" xfId="0" builtinId="0"/>
    <cellStyle name="Normal 10" xfId="1139"/>
    <cellStyle name="Normal 11" xfId="1140"/>
    <cellStyle name="Normal 12" xfId="1141"/>
    <cellStyle name="Normal 12 2" xfId="1142"/>
    <cellStyle name="Normal 12 2 2" xfId="1143"/>
    <cellStyle name="Normal 12 2 2 2" xfId="1144"/>
    <cellStyle name="Normal 12 2 2 3" xfId="1145"/>
    <cellStyle name="Normal 12 2 2 4" xfId="1146"/>
    <cellStyle name="Normal 12 2 2 5" xfId="1147"/>
    <cellStyle name="Normal 12 2 2 6" xfId="1148"/>
    <cellStyle name="Normal 12 2 3" xfId="1149"/>
    <cellStyle name="Normal 12 2 4" xfId="1150"/>
    <cellStyle name="Normal 12 2 5" xfId="1151"/>
    <cellStyle name="Normal 12 2 6" xfId="1152"/>
    <cellStyle name="Normal 12 2 7" xfId="1153"/>
    <cellStyle name="Normal 12 3" xfId="1154"/>
    <cellStyle name="Normal 12 3 2" xfId="1155"/>
    <cellStyle name="Normal 12 3 3" xfId="1156"/>
    <cellStyle name="Normal 12 3 4" xfId="1157"/>
    <cellStyle name="Normal 12 3 5" xfId="1158"/>
    <cellStyle name="Normal 12 3 6" xfId="1159"/>
    <cellStyle name="Normal 12 4" xfId="1160"/>
    <cellStyle name="Normal 12 5" xfId="1161"/>
    <cellStyle name="Normal 12 6" xfId="1162"/>
    <cellStyle name="Normal 12 7" xfId="1163"/>
    <cellStyle name="Normal 12 8" xfId="1164"/>
    <cellStyle name="Normal 13" xfId="1165"/>
    <cellStyle name="Normal 13 2" xfId="1166"/>
    <cellStyle name="Normal 13 2 2" xfId="1167"/>
    <cellStyle name="Normal 13 2 3" xfId="1168"/>
    <cellStyle name="Normal 13 2 4" xfId="1169"/>
    <cellStyle name="Normal 13 2 5" xfId="1170"/>
    <cellStyle name="Normal 13 2 6" xfId="1171"/>
    <cellStyle name="Normal 13 3" xfId="1172"/>
    <cellStyle name="Normal 13 4" xfId="1173"/>
    <cellStyle name="Normal 13 5" xfId="1174"/>
    <cellStyle name="Normal 13 6" xfId="1175"/>
    <cellStyle name="Normal 13 7" xfId="1176"/>
    <cellStyle name="Normal 14" xfId="1177"/>
    <cellStyle name="Normal 14 2" xfId="1178"/>
    <cellStyle name="Normal 14 3" xfId="1179"/>
    <cellStyle name="Normal 14 4" xfId="1180"/>
    <cellStyle name="Normal 14 5" xfId="1181"/>
    <cellStyle name="Normal 14 6" xfId="1182"/>
    <cellStyle name="Normal 14_Sheet5" xfId="1183"/>
    <cellStyle name="Normal 15" xfId="1184"/>
    <cellStyle name="Normal 15 2" xfId="1185"/>
    <cellStyle name="Normal 16" xfId="1186"/>
    <cellStyle name="Normal 17" xfId="1187"/>
    <cellStyle name="Normal 18" xfId="1188"/>
    <cellStyle name="Normal 18 2" xfId="1189"/>
    <cellStyle name="Normal 19" xfId="1190"/>
    <cellStyle name="Normal 2" xfId="1191"/>
    <cellStyle name="Normal 2 10" xfId="1192"/>
    <cellStyle name="Normal 2 10 2" xfId="1193"/>
    <cellStyle name="Normal 2 10 3" xfId="1194"/>
    <cellStyle name="Normal 2 10 4" xfId="1195"/>
    <cellStyle name="Normal 2 10 5" xfId="1196"/>
    <cellStyle name="Normal 2 10 6" xfId="1197"/>
    <cellStyle name="Normal 2 11" xfId="1198"/>
    <cellStyle name="Normal 2 12" xfId="1199"/>
    <cellStyle name="Normal 2 12 2" xfId="1200"/>
    <cellStyle name="Normal 2 12 2 2" xfId="1201"/>
    <cellStyle name="Normal 2 12 2 3" xfId="1202"/>
    <cellStyle name="Normal 2 12 3" xfId="1203"/>
    <cellStyle name="Normal 2 12 4" xfId="1204"/>
    <cellStyle name="Normal 2 12 5" xfId="1205"/>
    <cellStyle name="Normal 2 12 6" xfId="1206"/>
    <cellStyle name="Normal 2 13" xfId="1207"/>
    <cellStyle name="Normal 2 13 10" xfId="1208"/>
    <cellStyle name="Normal 2 13 11" xfId="1209"/>
    <cellStyle name="Normal 2 13 12" xfId="1210"/>
    <cellStyle name="Normal 2 13 13" xfId="1211"/>
    <cellStyle name="Normal 2 13 14" xfId="1212"/>
    <cellStyle name="Normal 2 13 2" xfId="1213"/>
    <cellStyle name="Normal 2 13 2 2" xfId="1214"/>
    <cellStyle name="Normal 2 13 3" xfId="1215"/>
    <cellStyle name="Normal 2 13 4" xfId="1216"/>
    <cellStyle name="Normal 2 13 5" xfId="1217"/>
    <cellStyle name="Normal 2 13 6" xfId="1218"/>
    <cellStyle name="Normal 2 13 7" xfId="1219"/>
    <cellStyle name="Normal 2 13 8" xfId="1220"/>
    <cellStyle name="Normal 2 13 9" xfId="1221"/>
    <cellStyle name="Normal 2 14" xfId="1222"/>
    <cellStyle name="Normal 2 15" xfId="1223"/>
    <cellStyle name="Normal 2 16" xfId="1224"/>
    <cellStyle name="Normal 2 17" xfId="1225"/>
    <cellStyle name="Normal 2 17 2" xfId="1226"/>
    <cellStyle name="Normal 2 17 3" xfId="1227"/>
    <cellStyle name="Normal 2 18" xfId="1228"/>
    <cellStyle name="Normal 2 19" xfId="1229"/>
    <cellStyle name="Normal 2 2" xfId="1230"/>
    <cellStyle name="Normal 2 2 10" xfId="1231"/>
    <cellStyle name="Normal 2 2 11" xfId="1232"/>
    <cellStyle name="Normal 2 2 12" xfId="1233"/>
    <cellStyle name="Normal 2 2 13" xfId="1234"/>
    <cellStyle name="Normal 2 2 14" xfId="1235"/>
    <cellStyle name="Normal 2 2 14 2" xfId="1236"/>
    <cellStyle name="Normal 2 2 14 2 2" xfId="1237"/>
    <cellStyle name="Normal 2 2 14 2 2 2" xfId="1238"/>
    <cellStyle name="Normal 2 2 14 2 3" xfId="1239"/>
    <cellStyle name="Normal 2 2 14 3" xfId="1240"/>
    <cellStyle name="Normal 2 2 14 4" xfId="1241"/>
    <cellStyle name="Normal 2 2 14 5" xfId="1242"/>
    <cellStyle name="Normal 2 2 15" xfId="1243"/>
    <cellStyle name="Normal 2 2 15 2" xfId="1244"/>
    <cellStyle name="Normal 2 2 15 2 2" xfId="1245"/>
    <cellStyle name="Normal 2 2 15 3" xfId="1246"/>
    <cellStyle name="Normal 2 2 16" xfId="1247"/>
    <cellStyle name="Normal 2 2 16 2" xfId="1248"/>
    <cellStyle name="Normal 2 2 17" xfId="1249"/>
    <cellStyle name="Normal 2 2 18" xfId="1250"/>
    <cellStyle name="Normal 2 2 19" xfId="1251"/>
    <cellStyle name="Normal 2 2 2" xfId="1252"/>
    <cellStyle name="Normal 2 2 2 10" xfId="1253"/>
    <cellStyle name="Normal 2 2 2 11" xfId="1254"/>
    <cellStyle name="Normal 2 2 2 11 2" xfId="1255"/>
    <cellStyle name="Normal 2 2 2 11 2 2" xfId="1256"/>
    <cellStyle name="Normal 2 2 2 11 2 2 2" xfId="1257"/>
    <cellStyle name="Normal 2 2 2 11 2 3" xfId="1258"/>
    <cellStyle name="Normal 2 2 2 11 3" xfId="1259"/>
    <cellStyle name="Normal 2 2 2 12" xfId="1260"/>
    <cellStyle name="Normal 2 2 2 13" xfId="1261"/>
    <cellStyle name="Normal 2 2 2 14" xfId="1262"/>
    <cellStyle name="Normal 2 2 2 15" xfId="1263"/>
    <cellStyle name="Normal 2 2 2 16" xfId="1264"/>
    <cellStyle name="Normal 2 2 2 17" xfId="1265"/>
    <cellStyle name="Normal 2 2 2 18" xfId="1266"/>
    <cellStyle name="Normal 2 2 2 19" xfId="1267"/>
    <cellStyle name="Normal 2 2 2 2" xfId="1268"/>
    <cellStyle name="Normal 2 2 2 2 2" xfId="1269"/>
    <cellStyle name="Normal 2 2 2 2 2 2" xfId="1270"/>
    <cellStyle name="Normal 2 2 2 2 2 2 10" xfId="1271"/>
    <cellStyle name="Normal 2 2 2 2 2 2 11" xfId="1272"/>
    <cellStyle name="Normal 2 2 2 2 2 2 11 2" xfId="1273"/>
    <cellStyle name="Normal 2 2 2 2 2 2 11 2 2" xfId="1274"/>
    <cellStyle name="Normal 2 2 2 2 2 2 12" xfId="1275"/>
    <cellStyle name="Normal 2 2 2 2 2 2 13" xfId="1276"/>
    <cellStyle name="Normal 2 2 2 2 2 2 14" xfId="1277"/>
    <cellStyle name="Normal 2 2 2 2 2 2 15" xfId="1278"/>
    <cellStyle name="Normal 2 2 2 2 2 2 16" xfId="1279"/>
    <cellStyle name="Normal 2 2 2 2 2 2 17" xfId="1280"/>
    <cellStyle name="Normal 2 2 2 2 2 2 18" xfId="1281"/>
    <cellStyle name="Normal 2 2 2 2 2 2 2" xfId="1282"/>
    <cellStyle name="Normal 2 2 2 2 2 2 2 2" xfId="1283"/>
    <cellStyle name="Normal 2 2 2 2 2 2 2 2 2" xfId="1284"/>
    <cellStyle name="Normal 2 2 2 2 2 2 2 3" xfId="1285"/>
    <cellStyle name="Normal 2 2 2 2 2 2 2 4" xfId="1286"/>
    <cellStyle name="Normal 2 2 2 2 2 2 2 5" xfId="1287"/>
    <cellStyle name="Normal 2 2 2 2 2 2 3" xfId="1288"/>
    <cellStyle name="Normal 2 2 2 2 2 2 4" xfId="1289"/>
    <cellStyle name="Normal 2 2 2 2 2 2 5" xfId="1290"/>
    <cellStyle name="Normal 2 2 2 2 2 2 6" xfId="1291"/>
    <cellStyle name="Normal 2 2 2 2 2 2 7" xfId="1292"/>
    <cellStyle name="Normal 2 2 2 2 2 2 7 2" xfId="1293"/>
    <cellStyle name="Normal 2 2 2 2 2 2 8" xfId="1294"/>
    <cellStyle name="Normal 2 2 2 2 2 2 9" xfId="1295"/>
    <cellStyle name="Normal 2 2 2 2 2 2_Sheet5" xfId="1296"/>
    <cellStyle name="Normal 2 2 2 2 2 3" xfId="1297"/>
    <cellStyle name="Normal 2 2 2 2 2 4" xfId="1298"/>
    <cellStyle name="Normal 2 2 2 2 2 5" xfId="1299"/>
    <cellStyle name="Normal 2 2 2 2 2 6" xfId="1300"/>
    <cellStyle name="Normal 2 2 2 2 2 7" xfId="1301"/>
    <cellStyle name="Normal 2 2 2 2 3" xfId="1302"/>
    <cellStyle name="Normal 2 2 2 2 3 2" xfId="1303"/>
    <cellStyle name="Normal 2 2 2 2 3 3" xfId="1304"/>
    <cellStyle name="Normal 2 2 2 2 3 4" xfId="1305"/>
    <cellStyle name="Normal 2 2 2 2 3 5" xfId="1306"/>
    <cellStyle name="Normal 2 2 2 2 3 6" xfId="1307"/>
    <cellStyle name="Normal 2 2 2 2 4" xfId="1308"/>
    <cellStyle name="Normal 2 2 2 2 5" xfId="1309"/>
    <cellStyle name="Normal 2 2 2 2 6" xfId="1310"/>
    <cellStyle name="Normal 2 2 2 2 7" xfId="1311"/>
    <cellStyle name="Normal 2 2 2 2 8" xfId="1312"/>
    <cellStyle name="Normal 2 2 2 20" xfId="1313"/>
    <cellStyle name="Normal 2 2 2 3" xfId="1314"/>
    <cellStyle name="Normal 2 2 2 3 2" xfId="1315"/>
    <cellStyle name="Normal 2 2 2 3 2 2" xfId="1316"/>
    <cellStyle name="Normal 2 2 2 3 2 3" xfId="1317"/>
    <cellStyle name="Normal 2 2 2 3 2 4" xfId="1318"/>
    <cellStyle name="Normal 2 2 2 3 2 5" xfId="1319"/>
    <cellStyle name="Normal 2 2 2 3 2 6" xfId="1320"/>
    <cellStyle name="Normal 2 2 2 3 3" xfId="1321"/>
    <cellStyle name="Normal 2 2 2 3 4" xfId="1322"/>
    <cellStyle name="Normal 2 2 2 3 5" xfId="1323"/>
    <cellStyle name="Normal 2 2 2 3 6" xfId="1324"/>
    <cellStyle name="Normal 2 2 2 3 7" xfId="1325"/>
    <cellStyle name="Normal 2 2 2 4" xfId="1326"/>
    <cellStyle name="Normal 2 2 2 4 2" xfId="1327"/>
    <cellStyle name="Normal 2 2 2 4 3" xfId="1328"/>
    <cellStyle name="Normal 2 2 2 4 4" xfId="1329"/>
    <cellStyle name="Normal 2 2 2 4 5" xfId="1330"/>
    <cellStyle name="Normal 2 2 2 4 6" xfId="1331"/>
    <cellStyle name="Normal 2 2 2 5" xfId="1332"/>
    <cellStyle name="Normal 2 2 2 5 2" xfId="1333"/>
    <cellStyle name="Normal 2 2 2 5 3" xfId="1334"/>
    <cellStyle name="Normal 2 2 2 5 4" xfId="1335"/>
    <cellStyle name="Normal 2 2 2 5 5" xfId="1336"/>
    <cellStyle name="Normal 2 2 2 5 6" xfId="1337"/>
    <cellStyle name="Normal 2 2 2 6" xfId="1338"/>
    <cellStyle name="Normal 2 2 2 7" xfId="1339"/>
    <cellStyle name="Normal 2 2 2 8" xfId="1340"/>
    <cellStyle name="Normal 2 2 2 9" xfId="1341"/>
    <cellStyle name="Normal 2 2 20" xfId="1342"/>
    <cellStyle name="Normal 2 2 21" xfId="1343"/>
    <cellStyle name="Normal 2 2 22" xfId="1344"/>
    <cellStyle name="Normal 2 2 23" xfId="1345"/>
    <cellStyle name="Normal 2 2 24" xfId="1346"/>
    <cellStyle name="Normal 2 2 3" xfId="1347"/>
    <cellStyle name="Normal 2 2 3 2" xfId="1348"/>
    <cellStyle name="Normal 2 2 3 2 2" xfId="1349"/>
    <cellStyle name="Normal 2 2 3 2 2 10" xfId="1350"/>
    <cellStyle name="Normal 2 2 3 2 2 11" xfId="1351"/>
    <cellStyle name="Normal 2 2 3 2 2 11 2" xfId="1352"/>
    <cellStyle name="Normal 2 2 3 2 2 11 2 2" xfId="1353"/>
    <cellStyle name="Normal 2 2 3 2 2 12" xfId="1354"/>
    <cellStyle name="Normal 2 2 3 2 2 13" xfId="1355"/>
    <cellStyle name="Normal 2 2 3 2 2 14" xfId="1356"/>
    <cellStyle name="Normal 2 2 3 2 2 15" xfId="1357"/>
    <cellStyle name="Normal 2 2 3 2 2 16" xfId="1358"/>
    <cellStyle name="Normal 2 2 3 2 2 17" xfId="1359"/>
    <cellStyle name="Normal 2 2 3 2 2 18" xfId="1360"/>
    <cellStyle name="Normal 2 2 3 2 2 2" xfId="1361"/>
    <cellStyle name="Normal 2 2 3 2 2 2 2" xfId="1362"/>
    <cellStyle name="Normal 2 2 3 2 2 2 2 2" xfId="1363"/>
    <cellStyle name="Normal 2 2 3 2 2 2 3" xfId="1364"/>
    <cellStyle name="Normal 2 2 3 2 2 2 4" xfId="1365"/>
    <cellStyle name="Normal 2 2 3 2 2 2 5" xfId="1366"/>
    <cellStyle name="Normal 2 2 3 2 2 3" xfId="1367"/>
    <cellStyle name="Normal 2 2 3 2 2 4" xfId="1368"/>
    <cellStyle name="Normal 2 2 3 2 2 5" xfId="1369"/>
    <cellStyle name="Normal 2 2 3 2 2 6" xfId="1370"/>
    <cellStyle name="Normal 2 2 3 2 2 7" xfId="1371"/>
    <cellStyle name="Normal 2 2 3 2 2 7 2" xfId="1372"/>
    <cellStyle name="Normal 2 2 3 2 2 8" xfId="1373"/>
    <cellStyle name="Normal 2 2 3 2 2 9" xfId="1374"/>
    <cellStyle name="Normal 2 2 3 2 2_Sheet5" xfId="1375"/>
    <cellStyle name="Normal 2 2 3 2 3" xfId="1376"/>
    <cellStyle name="Normal 2 2 3 2 4" xfId="1377"/>
    <cellStyle name="Normal 2 2 3 2 5" xfId="1378"/>
    <cellStyle name="Normal 2 2 3 2 6" xfId="1379"/>
    <cellStyle name="Normal 2 2 3 2 7" xfId="1380"/>
    <cellStyle name="Normal 2 2 3 3" xfId="1381"/>
    <cellStyle name="Normal 2 2 3 3 2" xfId="1382"/>
    <cellStyle name="Normal 2 2 3 3 3" xfId="1383"/>
    <cellStyle name="Normal 2 2 3 3 4" xfId="1384"/>
    <cellStyle name="Normal 2 2 3 3 5" xfId="1385"/>
    <cellStyle name="Normal 2 2 3 3 6" xfId="1386"/>
    <cellStyle name="Normal 2 2 3 4" xfId="1387"/>
    <cellStyle name="Normal 2 2 3 5" xfId="1388"/>
    <cellStyle name="Normal 2 2 3 6" xfId="1389"/>
    <cellStyle name="Normal 2 2 3 7" xfId="1390"/>
    <cellStyle name="Normal 2 2 3 8" xfId="1391"/>
    <cellStyle name="Normal 2 2 4" xfId="1392"/>
    <cellStyle name="Normal 2 2 4 2" xfId="1393"/>
    <cellStyle name="Normal 2 2 4 2 2" xfId="1394"/>
    <cellStyle name="Normal 2 2 4 2 3" xfId="1395"/>
    <cellStyle name="Normal 2 2 4 2 4" xfId="1396"/>
    <cellStyle name="Normal 2 2 4 2 5" xfId="1397"/>
    <cellStyle name="Normal 2 2 4 2 6" xfId="1398"/>
    <cellStyle name="Normal 2 2 4 3" xfId="1399"/>
    <cellStyle name="Normal 2 2 4 4" xfId="1400"/>
    <cellStyle name="Normal 2 2 4 5" xfId="1401"/>
    <cellStyle name="Normal 2 2 4 6" xfId="1402"/>
    <cellStyle name="Normal 2 2 4 7" xfId="1403"/>
    <cellStyle name="Normal 2 2 5" xfId="1404"/>
    <cellStyle name="Normal 2 2 5 2" xfId="1405"/>
    <cellStyle name="Normal 2 2 5 3" xfId="1406"/>
    <cellStyle name="Normal 2 2 5 4" xfId="1407"/>
    <cellStyle name="Normal 2 2 5 5" xfId="1408"/>
    <cellStyle name="Normal 2 2 5 6" xfId="1409"/>
    <cellStyle name="Normal 2 2 6" xfId="1410"/>
    <cellStyle name="Normal 2 2 6 2" xfId="1411"/>
    <cellStyle name="Normal 2 2 6 3" xfId="1412"/>
    <cellStyle name="Normal 2 2 6 4" xfId="1413"/>
    <cellStyle name="Normal 2 2 6 5" xfId="1414"/>
    <cellStyle name="Normal 2 2 6 6" xfId="1415"/>
    <cellStyle name="Normal 2 2 7" xfId="1416"/>
    <cellStyle name="Normal 2 2 8" xfId="1417"/>
    <cellStyle name="Normal 2 2 9" xfId="1418"/>
    <cellStyle name="Normal 2 2_Sheet5" xfId="1419"/>
    <cellStyle name="Normal 2 20" xfId="1420"/>
    <cellStyle name="Normal 2 21" xfId="1421"/>
    <cellStyle name="Normal 2 22" xfId="1422"/>
    <cellStyle name="Normal 2 23" xfId="1423"/>
    <cellStyle name="Normal 2 24" xfId="1424"/>
    <cellStyle name="Normal 2 24 10" xfId="1425"/>
    <cellStyle name="Normal 2 24 11" xfId="1426"/>
    <cellStyle name="Normal 2 24 12" xfId="1427"/>
    <cellStyle name="Normal 2 24 13" xfId="1428"/>
    <cellStyle name="Normal 2 24 2" xfId="1429"/>
    <cellStyle name="Normal 2 24 2 10" xfId="1430"/>
    <cellStyle name="Normal 2 24 2 11" xfId="1431"/>
    <cellStyle name="Normal 2 24 2 2" xfId="1432"/>
    <cellStyle name="Normal 2 24 2 2 10" xfId="1433"/>
    <cellStyle name="Normal 2 24 2 2 2" xfId="1434"/>
    <cellStyle name="Normal 2 24 2 2 2 10" xfId="1435"/>
    <cellStyle name="Normal 2 24 2 2 2 2" xfId="1436"/>
    <cellStyle name="Normal 2 24 2 2 2 2 2" xfId="1437"/>
    <cellStyle name="Normal 2 24 2 2 2 2 2 2" xfId="1438"/>
    <cellStyle name="Normal 2 24 2 2 2 3" xfId="1439"/>
    <cellStyle name="Normal 2 24 2 2 2 4" xfId="1440"/>
    <cellStyle name="Normal 2 24 2 2 2 5" xfId="1441"/>
    <cellStyle name="Normal 2 24 2 2 2 6" xfId="1442"/>
    <cellStyle name="Normal 2 24 2 2 2 7" xfId="1443"/>
    <cellStyle name="Normal 2 24 2 2 2 8" xfId="1444"/>
    <cellStyle name="Normal 2 24 2 2 2 9" xfId="1445"/>
    <cellStyle name="Normal 2 24 2 2 3" xfId="1446"/>
    <cellStyle name="Normal 2 24 2 2 3 2" xfId="1447"/>
    <cellStyle name="Normal 2 24 2 2 3 2 2" xfId="1448"/>
    <cellStyle name="Normal 2 24 2 2 4" xfId="1449"/>
    <cellStyle name="Normal 2 24 2 2 5" xfId="1450"/>
    <cellStyle name="Normal 2 24 2 2 6" xfId="1451"/>
    <cellStyle name="Normal 2 24 2 2 7" xfId="1452"/>
    <cellStyle name="Normal 2 24 2 2 8" xfId="1453"/>
    <cellStyle name="Normal 2 24 2 2 9" xfId="1454"/>
    <cellStyle name="Normal 2 24 2 3" xfId="1455"/>
    <cellStyle name="Normal 2 24 2 4" xfId="1456"/>
    <cellStyle name="Normal 2 24 2 4 2" xfId="1457"/>
    <cellStyle name="Normal 2 24 2 4 2 2" xfId="1458"/>
    <cellStyle name="Normal 2 24 2 5" xfId="1459"/>
    <cellStyle name="Normal 2 24 2 6" xfId="1460"/>
    <cellStyle name="Normal 2 24 2 7" xfId="1461"/>
    <cellStyle name="Normal 2 24 2 8" xfId="1462"/>
    <cellStyle name="Normal 2 24 2 9" xfId="1463"/>
    <cellStyle name="Normal 2 24 3" xfId="1464"/>
    <cellStyle name="Normal 2 24 4" xfId="1465"/>
    <cellStyle name="Normal 2 24 5" xfId="1466"/>
    <cellStyle name="Normal 2 24 6" xfId="1467"/>
    <cellStyle name="Normal 2 24 6 2" xfId="1468"/>
    <cellStyle name="Normal 2 24 6 2 2" xfId="1469"/>
    <cellStyle name="Normal 2 24 7" xfId="1470"/>
    <cellStyle name="Normal 2 24 8" xfId="1471"/>
    <cellStyle name="Normal 2 24 9" xfId="1472"/>
    <cellStyle name="Normal 2 25" xfId="1473"/>
    <cellStyle name="Normal 2 25 2" xfId="1474"/>
    <cellStyle name="Normal 2 25 2 2" xfId="1475"/>
    <cellStyle name="Normal 2 25 3" xfId="1476"/>
    <cellStyle name="Normal 2 26" xfId="1477"/>
    <cellStyle name="Normal 2 26 2" xfId="1478"/>
    <cellStyle name="Normal 2 27" xfId="1479"/>
    <cellStyle name="Normal 2 28" xfId="1480"/>
    <cellStyle name="Normal 2 29" xfId="1481"/>
    <cellStyle name="Normal 2 3" xfId="1482"/>
    <cellStyle name="Normal 2 3 10" xfId="1483"/>
    <cellStyle name="Normal 2 3 2" xfId="1484"/>
    <cellStyle name="Normal 2 3 2 2" xfId="1485"/>
    <cellStyle name="Normal 2 3 2 2 2" xfId="1486"/>
    <cellStyle name="Normal 2 3 2 2 2 10" xfId="1487"/>
    <cellStyle name="Normal 2 3 2 2 2 11" xfId="1488"/>
    <cellStyle name="Normal 2 3 2 2 2 11 2" xfId="1489"/>
    <cellStyle name="Normal 2 3 2 2 2 11 2 2" xfId="1490"/>
    <cellStyle name="Normal 2 3 2 2 2 12" xfId="1491"/>
    <cellStyle name="Normal 2 3 2 2 2 13" xfId="1492"/>
    <cellStyle name="Normal 2 3 2 2 2 14" xfId="1493"/>
    <cellStyle name="Normal 2 3 2 2 2 15" xfId="1494"/>
    <cellStyle name="Normal 2 3 2 2 2 16" xfId="1495"/>
    <cellStyle name="Normal 2 3 2 2 2 17" xfId="1496"/>
    <cellStyle name="Normal 2 3 2 2 2 18" xfId="1497"/>
    <cellStyle name="Normal 2 3 2 2 2 2" xfId="1498"/>
    <cellStyle name="Normal 2 3 2 2 2 2 2" xfId="1499"/>
    <cellStyle name="Normal 2 3 2 2 2 2 2 2" xfId="1500"/>
    <cellStyle name="Normal 2 3 2 2 2 2 3" xfId="1501"/>
    <cellStyle name="Normal 2 3 2 2 2 2 4" xfId="1502"/>
    <cellStyle name="Normal 2 3 2 2 2 2 5" xfId="1503"/>
    <cellStyle name="Normal 2 3 2 2 2 3" xfId="1504"/>
    <cellStyle name="Normal 2 3 2 2 2 4" xfId="1505"/>
    <cellStyle name="Normal 2 3 2 2 2 5" xfId="1506"/>
    <cellStyle name="Normal 2 3 2 2 2 6" xfId="1507"/>
    <cellStyle name="Normal 2 3 2 2 2 7" xfId="1508"/>
    <cellStyle name="Normal 2 3 2 2 2 7 2" xfId="1509"/>
    <cellStyle name="Normal 2 3 2 2 2 8" xfId="1510"/>
    <cellStyle name="Normal 2 3 2 2 2 9" xfId="1511"/>
    <cellStyle name="Normal 2 3 2 2 2_Sheet5" xfId="1512"/>
    <cellStyle name="Normal 2 3 2 2 3" xfId="1513"/>
    <cellStyle name="Normal 2 3 2 2 4" xfId="1514"/>
    <cellStyle name="Normal 2 3 2 2 5" xfId="1515"/>
    <cellStyle name="Normal 2 3 2 2 6" xfId="1516"/>
    <cellStyle name="Normal 2 3 2 2 7" xfId="1517"/>
    <cellStyle name="Normal 2 3 2 3" xfId="1518"/>
    <cellStyle name="Normal 2 3 2 3 2" xfId="1519"/>
    <cellStyle name="Normal 2 3 2 3 3" xfId="1520"/>
    <cellStyle name="Normal 2 3 2 3 4" xfId="1521"/>
    <cellStyle name="Normal 2 3 2 3 5" xfId="1522"/>
    <cellStyle name="Normal 2 3 2 3 6" xfId="1523"/>
    <cellStyle name="Normal 2 3 2 4" xfId="1524"/>
    <cellStyle name="Normal 2 3 2 5" xfId="1525"/>
    <cellStyle name="Normal 2 3 2 6" xfId="1526"/>
    <cellStyle name="Normal 2 3 2 7" xfId="1527"/>
    <cellStyle name="Normal 2 3 2 8" xfId="1528"/>
    <cellStyle name="Normal 2 3 3" xfId="1529"/>
    <cellStyle name="Normal 2 3 3 2" xfId="1530"/>
    <cellStyle name="Normal 2 3 3 2 2" xfId="1531"/>
    <cellStyle name="Normal 2 3 3 2 3" xfId="1532"/>
    <cellStyle name="Normal 2 3 3 2 4" xfId="1533"/>
    <cellStyle name="Normal 2 3 3 2 5" xfId="1534"/>
    <cellStyle name="Normal 2 3 3 2 6" xfId="1535"/>
    <cellStyle name="Normal 2 3 3 3" xfId="1536"/>
    <cellStyle name="Normal 2 3 3 4" xfId="1537"/>
    <cellStyle name="Normal 2 3 3 5" xfId="1538"/>
    <cellStyle name="Normal 2 3 3 6" xfId="1539"/>
    <cellStyle name="Normal 2 3 3 7" xfId="1540"/>
    <cellStyle name="Normal 2 3 4" xfId="1541"/>
    <cellStyle name="Normal 2 3 4 2" xfId="1542"/>
    <cellStyle name="Normal 2 3 4 3" xfId="1543"/>
    <cellStyle name="Normal 2 3 4 4" xfId="1544"/>
    <cellStyle name="Normal 2 3 4 5" xfId="1545"/>
    <cellStyle name="Normal 2 3 4 6" xfId="1546"/>
    <cellStyle name="Normal 2 3 5" xfId="1547"/>
    <cellStyle name="Normal 2 3 5 2" xfId="1548"/>
    <cellStyle name="Normal 2 3 5 3" xfId="1549"/>
    <cellStyle name="Normal 2 3 5 4" xfId="1550"/>
    <cellStyle name="Normal 2 3 5 5" xfId="1551"/>
    <cellStyle name="Normal 2 3 5 6" xfId="1552"/>
    <cellStyle name="Normal 2 3 6" xfId="1553"/>
    <cellStyle name="Normal 2 3 7" xfId="1554"/>
    <cellStyle name="Normal 2 3 8" xfId="1555"/>
    <cellStyle name="Normal 2 3 9" xfId="1556"/>
    <cellStyle name="Normal 2 30" xfId="1557"/>
    <cellStyle name="Normal 2 31" xfId="1558"/>
    <cellStyle name="Normal 2 32" xfId="1559"/>
    <cellStyle name="Normal 2 32 2" xfId="1560"/>
    <cellStyle name="Normal 2 32 2 2" xfId="1561"/>
    <cellStyle name="Normal 2 33" xfId="1562"/>
    <cellStyle name="Normal 2 34" xfId="1563"/>
    <cellStyle name="Normal 2 35" xfId="1564"/>
    <cellStyle name="Normal 2 36" xfId="1565"/>
    <cellStyle name="Normal 2 37" xfId="1566"/>
    <cellStyle name="Normal 2 38" xfId="1567"/>
    <cellStyle name="Normal 2 39" xfId="1568"/>
    <cellStyle name="Normal 2 4" xfId="1569"/>
    <cellStyle name="Normal 2 4 10" xfId="1570"/>
    <cellStyle name="Normal 2 4 2" xfId="1571"/>
    <cellStyle name="Normal 2 4 2 2" xfId="1572"/>
    <cellStyle name="Normal 2 4 2 2 2" xfId="1573"/>
    <cellStyle name="Normal 2 4 2 2 2 10" xfId="1574"/>
    <cellStyle name="Normal 2 4 2 2 2 11" xfId="1575"/>
    <cellStyle name="Normal 2 4 2 2 2 11 2" xfId="1576"/>
    <cellStyle name="Normal 2 4 2 2 2 11 2 2" xfId="1577"/>
    <cellStyle name="Normal 2 4 2 2 2 12" xfId="1578"/>
    <cellStyle name="Normal 2 4 2 2 2 13" xfId="1579"/>
    <cellStyle name="Normal 2 4 2 2 2 14" xfId="1580"/>
    <cellStyle name="Normal 2 4 2 2 2 15" xfId="1581"/>
    <cellStyle name="Normal 2 4 2 2 2 16" xfId="1582"/>
    <cellStyle name="Normal 2 4 2 2 2 17" xfId="1583"/>
    <cellStyle name="Normal 2 4 2 2 2 18" xfId="1584"/>
    <cellStyle name="Normal 2 4 2 2 2 2" xfId="1585"/>
    <cellStyle name="Normal 2 4 2 2 2 2 2" xfId="1586"/>
    <cellStyle name="Normal 2 4 2 2 2 2 2 2" xfId="1587"/>
    <cellStyle name="Normal 2 4 2 2 2 2 3" xfId="1588"/>
    <cellStyle name="Normal 2 4 2 2 2 2 4" xfId="1589"/>
    <cellStyle name="Normal 2 4 2 2 2 2 5" xfId="1590"/>
    <cellStyle name="Normal 2 4 2 2 2 3" xfId="1591"/>
    <cellStyle name="Normal 2 4 2 2 2 4" xfId="1592"/>
    <cellStyle name="Normal 2 4 2 2 2 5" xfId="1593"/>
    <cellStyle name="Normal 2 4 2 2 2 6" xfId="1594"/>
    <cellStyle name="Normal 2 4 2 2 2 7" xfId="1595"/>
    <cellStyle name="Normal 2 4 2 2 2 7 2" xfId="1596"/>
    <cellStyle name="Normal 2 4 2 2 2 8" xfId="1597"/>
    <cellStyle name="Normal 2 4 2 2 2 9" xfId="1598"/>
    <cellStyle name="Normal 2 4 2 2 2_Sheet5" xfId="1599"/>
    <cellStyle name="Normal 2 4 2 2 3" xfId="1600"/>
    <cellStyle name="Normal 2 4 2 2 4" xfId="1601"/>
    <cellStyle name="Normal 2 4 2 2 5" xfId="1602"/>
    <cellStyle name="Normal 2 4 2 2 6" xfId="1603"/>
    <cellStyle name="Normal 2 4 2 2 7" xfId="1604"/>
    <cellStyle name="Normal 2 4 2 3" xfId="1605"/>
    <cellStyle name="Normal 2 4 2 3 2" xfId="1606"/>
    <cellStyle name="Normal 2 4 2 3 3" xfId="1607"/>
    <cellStyle name="Normal 2 4 2 3 4" xfId="1608"/>
    <cellStyle name="Normal 2 4 2 3 5" xfId="1609"/>
    <cellStyle name="Normal 2 4 2 3 6" xfId="1610"/>
    <cellStyle name="Normal 2 4 2 4" xfId="1611"/>
    <cellStyle name="Normal 2 4 2 5" xfId="1612"/>
    <cellStyle name="Normal 2 4 2 6" xfId="1613"/>
    <cellStyle name="Normal 2 4 2 7" xfId="1614"/>
    <cellStyle name="Normal 2 4 2 8" xfId="1615"/>
    <cellStyle name="Normal 2 4 3" xfId="1616"/>
    <cellStyle name="Normal 2 4 3 2" xfId="1617"/>
    <cellStyle name="Normal 2 4 3 2 2" xfId="1618"/>
    <cellStyle name="Normal 2 4 3 2 3" xfId="1619"/>
    <cellStyle name="Normal 2 4 3 2 4" xfId="1620"/>
    <cellStyle name="Normal 2 4 3 2 5" xfId="1621"/>
    <cellStyle name="Normal 2 4 3 2 6" xfId="1622"/>
    <cellStyle name="Normal 2 4 3 3" xfId="1623"/>
    <cellStyle name="Normal 2 4 3 4" xfId="1624"/>
    <cellStyle name="Normal 2 4 3 5" xfId="1625"/>
    <cellStyle name="Normal 2 4 3 6" xfId="1626"/>
    <cellStyle name="Normal 2 4 3 7" xfId="1627"/>
    <cellStyle name="Normal 2 4 4" xfId="1628"/>
    <cellStyle name="Normal 2 4 4 2" xfId="1629"/>
    <cellStyle name="Normal 2 4 4 3" xfId="1630"/>
    <cellStyle name="Normal 2 4 4 4" xfId="1631"/>
    <cellStyle name="Normal 2 4 4 5" xfId="1632"/>
    <cellStyle name="Normal 2 4 4 6" xfId="1633"/>
    <cellStyle name="Normal 2 4 5" xfId="1634"/>
    <cellStyle name="Normal 2 4 5 2" xfId="1635"/>
    <cellStyle name="Normal 2 4 5 3" xfId="1636"/>
    <cellStyle name="Normal 2 4 5 4" xfId="1637"/>
    <cellStyle name="Normal 2 4 5 5" xfId="1638"/>
    <cellStyle name="Normal 2 4 5 6" xfId="1639"/>
    <cellStyle name="Normal 2 4 6" xfId="1640"/>
    <cellStyle name="Normal 2 4 7" xfId="1641"/>
    <cellStyle name="Normal 2 4 8" xfId="1642"/>
    <cellStyle name="Normal 2 4 9" xfId="1643"/>
    <cellStyle name="Normal 2 40" xfId="1644"/>
    <cellStyle name="Normal 2 41" xfId="1645"/>
    <cellStyle name="Normal 2 5" xfId="1646"/>
    <cellStyle name="Normal 2 5 2" xfId="1647"/>
    <cellStyle name="Normal 2 6" xfId="1648"/>
    <cellStyle name="Normal 2 6 2" xfId="1649"/>
    <cellStyle name="Normal 2 6 2 2" xfId="1650"/>
    <cellStyle name="Normal 2 6 2 2 2" xfId="1651"/>
    <cellStyle name="Normal 2 6 2 2 3" xfId="1652"/>
    <cellStyle name="Normal 2 6 2 2 4" xfId="1653"/>
    <cellStyle name="Normal 2 6 2 2 5" xfId="1654"/>
    <cellStyle name="Normal 2 6 2 2 6" xfId="1655"/>
    <cellStyle name="Normal 2 6 2 3" xfId="1656"/>
    <cellStyle name="Normal 2 6 2 4" xfId="1657"/>
    <cellStyle name="Normal 2 6 2 5" xfId="1658"/>
    <cellStyle name="Normal 2 6 2 6" xfId="1659"/>
    <cellStyle name="Normal 2 6 2 7" xfId="1660"/>
    <cellStyle name="Normal 2 7" xfId="1661"/>
    <cellStyle name="Normal 2 7 2" xfId="1662"/>
    <cellStyle name="Normal 2 7 2 2" xfId="1663"/>
    <cellStyle name="Normal 2 7 2 2 2" xfId="1664"/>
    <cellStyle name="Normal 2 7 2 2 3" xfId="1665"/>
    <cellStyle name="Normal 2 7 2 2 4" xfId="1666"/>
    <cellStyle name="Normal 2 7 2 2 5" xfId="1667"/>
    <cellStyle name="Normal 2 7 2 2 6" xfId="1668"/>
    <cellStyle name="Normal 2 7 2 3" xfId="1669"/>
    <cellStyle name="Normal 2 7 2 4" xfId="1670"/>
    <cellStyle name="Normal 2 7 2 5" xfId="1671"/>
    <cellStyle name="Normal 2 7 2 6" xfId="1672"/>
    <cellStyle name="Normal 2 7 2 7" xfId="1673"/>
    <cellStyle name="Normal 2 7 3" xfId="1674"/>
    <cellStyle name="Normal 2 7 3 2" xfId="1675"/>
    <cellStyle name="Normal 2 7 3 3" xfId="1676"/>
    <cellStyle name="Normal 2 7 3 4" xfId="1677"/>
    <cellStyle name="Normal 2 7 3 5" xfId="1678"/>
    <cellStyle name="Normal 2 7 3 6" xfId="1679"/>
    <cellStyle name="Normal 2 7 4" xfId="1680"/>
    <cellStyle name="Normal 2 7 5" xfId="1681"/>
    <cellStyle name="Normal 2 7 6" xfId="1682"/>
    <cellStyle name="Normal 2 7 7" xfId="1683"/>
    <cellStyle name="Normal 2 7 8" xfId="1684"/>
    <cellStyle name="Normal 2 8" xfId="1685"/>
    <cellStyle name="Normal 2 8 2" xfId="1686"/>
    <cellStyle name="Normal 2 8 2 10" xfId="1687"/>
    <cellStyle name="Normal 2 8 2 11" xfId="1688"/>
    <cellStyle name="Normal 2 8 2 11 2" xfId="1689"/>
    <cellStyle name="Normal 2 8 2 11 2 2" xfId="1690"/>
    <cellStyle name="Normal 2 8 2 12" xfId="1691"/>
    <cellStyle name="Normal 2 8 2 13" xfId="1692"/>
    <cellStyle name="Normal 2 8 2 14" xfId="1693"/>
    <cellStyle name="Normal 2 8 2 15" xfId="1694"/>
    <cellStyle name="Normal 2 8 2 16" xfId="1695"/>
    <cellStyle name="Normal 2 8 2 17" xfId="1696"/>
    <cellStyle name="Normal 2 8 2 18" xfId="1697"/>
    <cellStyle name="Normal 2 8 2 2" xfId="1698"/>
    <cellStyle name="Normal 2 8 2 2 2" xfId="1699"/>
    <cellStyle name="Normal 2 8 2 2 2 2" xfId="1700"/>
    <cellStyle name="Normal 2 8 2 2 3" xfId="1701"/>
    <cellStyle name="Normal 2 8 2 2 4" xfId="1702"/>
    <cellStyle name="Normal 2 8 2 2 5" xfId="1703"/>
    <cellStyle name="Normal 2 8 2 3" xfId="1704"/>
    <cellStyle name="Normal 2 8 2 4" xfId="1705"/>
    <cellStyle name="Normal 2 8 2 5" xfId="1706"/>
    <cellStyle name="Normal 2 8 2 6" xfId="1707"/>
    <cellStyle name="Normal 2 8 2 7" xfId="1708"/>
    <cellStyle name="Normal 2 8 2 7 2" xfId="1709"/>
    <cellStyle name="Normal 2 8 2 8" xfId="1710"/>
    <cellStyle name="Normal 2 8 2 9" xfId="1711"/>
    <cellStyle name="Normal 2 8 2_Sheet5" xfId="1712"/>
    <cellStyle name="Normal 2 8 3" xfId="1713"/>
    <cellStyle name="Normal 2 8 4" xfId="1714"/>
    <cellStyle name="Normal 2 8 5" xfId="1715"/>
    <cellStyle name="Normal 2 8 6" xfId="1716"/>
    <cellStyle name="Normal 2 8 7" xfId="1717"/>
    <cellStyle name="Normal 2 9" xfId="1718"/>
    <cellStyle name="Normal 2 9 2" xfId="1719"/>
    <cellStyle name="Normal 2 9 3" xfId="1720"/>
    <cellStyle name="Normal 2 9 4" xfId="1721"/>
    <cellStyle name="Normal 2 9 5" xfId="1722"/>
    <cellStyle name="Normal 2 9 6" xfId="1723"/>
    <cellStyle name="Normal 2_Issues Tracker" xfId="1724"/>
    <cellStyle name="Normal 20" xfId="1725"/>
    <cellStyle name="Normal 21" xfId="1726"/>
    <cellStyle name="Normal 22" xfId="1727"/>
    <cellStyle name="Normal 23" xfId="1728"/>
    <cellStyle name="Normal 23 2" xfId="1729"/>
    <cellStyle name="Normal 23 2 2" xfId="1730"/>
    <cellStyle name="Normal 23 2 3" xfId="1731"/>
    <cellStyle name="Normal 23 3" xfId="1732"/>
    <cellStyle name="Normal 23 4" xfId="1733"/>
    <cellStyle name="Normal 24" xfId="1734"/>
    <cellStyle name="Normal 24 2" xfId="1735"/>
    <cellStyle name="Normal 24 2 2" xfId="1736"/>
    <cellStyle name="Normal 24 2 3" xfId="1737"/>
    <cellStyle name="Normal 24 3" xfId="1738"/>
    <cellStyle name="Normal 24 4" xfId="1739"/>
    <cellStyle name="Normal 25" xfId="1740"/>
    <cellStyle name="Normal 26" xfId="1741"/>
    <cellStyle name="Normal 27" xfId="1742"/>
    <cellStyle name="Normal 28" xfId="1743"/>
    <cellStyle name="Normal 28 2" xfId="1744"/>
    <cellStyle name="Normal 29" xfId="1745"/>
    <cellStyle name="Normal 3" xfId="1746"/>
    <cellStyle name="Normal 3 10" xfId="1747"/>
    <cellStyle name="Normal 3 10 2" xfId="1748"/>
    <cellStyle name="Normal 3 10 3" xfId="1749"/>
    <cellStyle name="Normal 3 11" xfId="1750"/>
    <cellStyle name="Normal 3 12" xfId="1751"/>
    <cellStyle name="Normal 3 13" xfId="1752"/>
    <cellStyle name="Normal 3 14" xfId="1753"/>
    <cellStyle name="Normal 3 14 2" xfId="1754"/>
    <cellStyle name="Normal 3 15" xfId="1755"/>
    <cellStyle name="Normal 3 15 10" xfId="1756"/>
    <cellStyle name="Normal 3 15 2" xfId="1757"/>
    <cellStyle name="Normal 3 15 2 2" xfId="1758"/>
    <cellStyle name="Normal 3 15 2 2 2" xfId="1759"/>
    <cellStyle name="Normal 3 15 3" xfId="1760"/>
    <cellStyle name="Normal 3 15 4" xfId="1761"/>
    <cellStyle name="Normal 3 15 5" xfId="1762"/>
    <cellStyle name="Normal 3 15 6" xfId="1763"/>
    <cellStyle name="Normal 3 15 7" xfId="1764"/>
    <cellStyle name="Normal 3 15 8" xfId="1765"/>
    <cellStyle name="Normal 3 15 9" xfId="1766"/>
    <cellStyle name="Normal 3 16" xfId="1767"/>
    <cellStyle name="Normal 3 17" xfId="1768"/>
    <cellStyle name="Normal 3 18" xfId="1769"/>
    <cellStyle name="Normal 3 19" xfId="1770"/>
    <cellStyle name="Normal 3 2" xfId="1771"/>
    <cellStyle name="Normal 3 2 2" xfId="1772"/>
    <cellStyle name="Normal 3 2 2 2" xfId="1773"/>
    <cellStyle name="Normal 3 2 2 2 10" xfId="1774"/>
    <cellStyle name="Normal 3 2 2 2 11" xfId="1775"/>
    <cellStyle name="Normal 3 2 2 2 11 2" xfId="1776"/>
    <cellStyle name="Normal 3 2 2 2 11 2 2" xfId="1777"/>
    <cellStyle name="Normal 3 2 2 2 12" xfId="1778"/>
    <cellStyle name="Normal 3 2 2 2 13" xfId="1779"/>
    <cellStyle name="Normal 3 2 2 2 14" xfId="1780"/>
    <cellStyle name="Normal 3 2 2 2 15" xfId="1781"/>
    <cellStyle name="Normal 3 2 2 2 16" xfId="1782"/>
    <cellStyle name="Normal 3 2 2 2 17" xfId="1783"/>
    <cellStyle name="Normal 3 2 2 2 18" xfId="1784"/>
    <cellStyle name="Normal 3 2 2 2 2" xfId="1785"/>
    <cellStyle name="Normal 3 2 2 2 2 2" xfId="1786"/>
    <cellStyle name="Normal 3 2 2 2 2 2 2" xfId="1787"/>
    <cellStyle name="Normal 3 2 2 2 2 3" xfId="1788"/>
    <cellStyle name="Normal 3 2 2 2 2 4" xfId="1789"/>
    <cellStyle name="Normal 3 2 2 2 2 5" xfId="1790"/>
    <cellStyle name="Normal 3 2 2 2 3" xfId="1791"/>
    <cellStyle name="Normal 3 2 2 2 4" xfId="1792"/>
    <cellStyle name="Normal 3 2 2 2 5" xfId="1793"/>
    <cellStyle name="Normal 3 2 2 2 6" xfId="1794"/>
    <cellStyle name="Normal 3 2 2 2 7" xfId="1795"/>
    <cellStyle name="Normal 3 2 2 2 7 2" xfId="1796"/>
    <cellStyle name="Normal 3 2 2 2 8" xfId="1797"/>
    <cellStyle name="Normal 3 2 2 2 9" xfId="1798"/>
    <cellStyle name="Normal 3 2 2 2_Sheet5" xfId="1799"/>
    <cellStyle name="Normal 3 2 2 3" xfId="1800"/>
    <cellStyle name="Normal 3 2 2 4" xfId="1801"/>
    <cellStyle name="Normal 3 2 2 5" xfId="1802"/>
    <cellStyle name="Normal 3 2 2 6" xfId="1803"/>
    <cellStyle name="Normal 3 2 2 7" xfId="1804"/>
    <cellStyle name="Normal 3 2 3" xfId="1805"/>
    <cellStyle name="Normal 3 2 3 2" xfId="1806"/>
    <cellStyle name="Normal 3 2 3 3" xfId="1807"/>
    <cellStyle name="Normal 3 2 3 4" xfId="1808"/>
    <cellStyle name="Normal 3 2 3 5" xfId="1809"/>
    <cellStyle name="Normal 3 2 3 6" xfId="1810"/>
    <cellStyle name="Normal 3 2 4" xfId="1811"/>
    <cellStyle name="Normal 3 2 5" xfId="1812"/>
    <cellStyle name="Normal 3 2 6" xfId="1813"/>
    <cellStyle name="Normal 3 2 7" xfId="1814"/>
    <cellStyle name="Normal 3 2 8" xfId="1815"/>
    <cellStyle name="Normal 3 20" xfId="1816"/>
    <cellStyle name="Normal 3 21" xfId="1817"/>
    <cellStyle name="Normal 3 22" xfId="1818"/>
    <cellStyle name="Normal 3 23" xfId="1819"/>
    <cellStyle name="Normal 3 24" xfId="1820"/>
    <cellStyle name="Normal 3 25" xfId="1821"/>
    <cellStyle name="Normal 3 26" xfId="1822"/>
    <cellStyle name="Normal 3 27" xfId="1823"/>
    <cellStyle name="Normal 3 28" xfId="1824"/>
    <cellStyle name="Normal 3 29" xfId="1825"/>
    <cellStyle name="Normal 3 3" xfId="1826"/>
    <cellStyle name="Normal 3 3 2" xfId="1827"/>
    <cellStyle name="Normal 3 3 2 2" xfId="1828"/>
    <cellStyle name="Normal 3 3 2 3" xfId="1829"/>
    <cellStyle name="Normal 3 3 2 4" xfId="1830"/>
    <cellStyle name="Normal 3 3 2 5" xfId="1831"/>
    <cellStyle name="Normal 3 3 2 6" xfId="1832"/>
    <cellStyle name="Normal 3 3 3" xfId="1833"/>
    <cellStyle name="Normal 3 3 4" xfId="1834"/>
    <cellStyle name="Normal 3 3 5" xfId="1835"/>
    <cellStyle name="Normal 3 3 6" xfId="1836"/>
    <cellStyle name="Normal 3 3 7" xfId="1837"/>
    <cellStyle name="Normal 3 4" xfId="1838"/>
    <cellStyle name="Normal 3 4 2" xfId="1839"/>
    <cellStyle name="Normal 3 4 3" xfId="1840"/>
    <cellStyle name="Normal 3 4 4" xfId="1841"/>
    <cellStyle name="Normal 3 4 5" xfId="1842"/>
    <cellStyle name="Normal 3 4 6" xfId="1843"/>
    <cellStyle name="Normal 3 5" xfId="1844"/>
    <cellStyle name="Normal 3 5 2" xfId="1845"/>
    <cellStyle name="Normal 3 5 3" xfId="1846"/>
    <cellStyle name="Normal 3 5 4" xfId="1847"/>
    <cellStyle name="Normal 3 5 5" xfId="1848"/>
    <cellStyle name="Normal 3 5 6" xfId="1849"/>
    <cellStyle name="Normal 3 6" xfId="1850"/>
    <cellStyle name="Normal 3 7" xfId="1851"/>
    <cellStyle name="Normal 3 7 2" xfId="1852"/>
    <cellStyle name="Normal 3 7 2 2" xfId="1853"/>
    <cellStyle name="Normal 3 7 2 3" xfId="1854"/>
    <cellStyle name="Normal 3 7 3" xfId="1855"/>
    <cellStyle name="Normal 3 7 4" xfId="1856"/>
    <cellStyle name="Normal 3 7 5" xfId="1857"/>
    <cellStyle name="Normal 3 7 6" xfId="1858"/>
    <cellStyle name="Normal 3 8" xfId="1859"/>
    <cellStyle name="Normal 3 9" xfId="1860"/>
    <cellStyle name="Normal 30" xfId="1861"/>
    <cellStyle name="Normal 30 2" xfId="1862"/>
    <cellStyle name="Normal 31" xfId="1863"/>
    <cellStyle name="Normal 31 2" xfId="1864"/>
    <cellStyle name="Normal 32" xfId="1865"/>
    <cellStyle name="Normal 32 2" xfId="1866"/>
    <cellStyle name="Normal 33" xfId="1867"/>
    <cellStyle name="Normal 4" xfId="1868"/>
    <cellStyle name="Normal 4 10" xfId="1869"/>
    <cellStyle name="Normal 4 11" xfId="1870"/>
    <cellStyle name="Normal 4 11 2" xfId="1871"/>
    <cellStyle name="Normal 4 11 2 2" xfId="1872"/>
    <cellStyle name="Normal 4 12" xfId="1873"/>
    <cellStyle name="Normal 4 13" xfId="1874"/>
    <cellStyle name="Normal 4 14" xfId="1875"/>
    <cellStyle name="Normal 4 15" xfId="1876"/>
    <cellStyle name="Normal 4 16" xfId="1877"/>
    <cellStyle name="Normal 4 17" xfId="1878"/>
    <cellStyle name="Normal 4 18" xfId="1879"/>
    <cellStyle name="Normal 4 19" xfId="1880"/>
    <cellStyle name="Normal 4 2" xfId="1881"/>
    <cellStyle name="Normal 4 2 2" xfId="1882"/>
    <cellStyle name="Normal 4 2 3" xfId="1883"/>
    <cellStyle name="Normal 4 2 4" xfId="1884"/>
    <cellStyle name="Normal 4 20" xfId="1885"/>
    <cellStyle name="Normal 4 3" xfId="1886"/>
    <cellStyle name="Normal 4 3 2" xfId="1887"/>
    <cellStyle name="Normal 4 3 3" xfId="1888"/>
    <cellStyle name="Normal 4 3 4" xfId="1889"/>
    <cellStyle name="Normal 4 4" xfId="1890"/>
    <cellStyle name="Normal 4 4 2" xfId="1891"/>
    <cellStyle name="Normal 4 4 3" xfId="1892"/>
    <cellStyle name="Normal 4 4 4" xfId="1893"/>
    <cellStyle name="Normal 4 5" xfId="1894"/>
    <cellStyle name="Normal 4 6" xfId="1895"/>
    <cellStyle name="Normal 4 7" xfId="1896"/>
    <cellStyle name="Normal 4 8" xfId="1897"/>
    <cellStyle name="Normal 4 9" xfId="1898"/>
    <cellStyle name="Normal 4 9 10" xfId="1899"/>
    <cellStyle name="Normal 4 9 2" xfId="1900"/>
    <cellStyle name="Normal 4 9 2 10" xfId="1901"/>
    <cellStyle name="Normal 4 9 2 2" xfId="1902"/>
    <cellStyle name="Normal 4 9 2 2 2" xfId="1903"/>
    <cellStyle name="Normal 4 9 2 2 2 2" xfId="1904"/>
    <cellStyle name="Normal 4 9 2 3" xfId="1905"/>
    <cellStyle name="Normal 4 9 2 4" xfId="1906"/>
    <cellStyle name="Normal 4 9 2 5" xfId="1907"/>
    <cellStyle name="Normal 4 9 2 6" xfId="1908"/>
    <cellStyle name="Normal 4 9 2 7" xfId="1909"/>
    <cellStyle name="Normal 4 9 2 8" xfId="1910"/>
    <cellStyle name="Normal 4 9 2 9" xfId="1911"/>
    <cellStyle name="Normal 4 9 3" xfId="1912"/>
    <cellStyle name="Normal 4 9 3 2" xfId="1913"/>
    <cellStyle name="Normal 4 9 3 2 2" xfId="1914"/>
    <cellStyle name="Normal 4 9 4" xfId="1915"/>
    <cellStyle name="Normal 4 9 5" xfId="1916"/>
    <cellStyle name="Normal 4 9 6" xfId="1917"/>
    <cellStyle name="Normal 4 9 7" xfId="1918"/>
    <cellStyle name="Normal 4 9 8" xfId="1919"/>
    <cellStyle name="Normal 4 9 9" xfId="1920"/>
    <cellStyle name="Normal 5" xfId="1921"/>
    <cellStyle name="Normal 5 2" xfId="1922"/>
    <cellStyle name="Normal 5 3" xfId="1923"/>
    <cellStyle name="Normal 5 4" xfId="1924"/>
    <cellStyle name="Normal 5 5" xfId="1925"/>
    <cellStyle name="Normal 5 6" xfId="1926"/>
    <cellStyle name="Normal 6" xfId="1927"/>
    <cellStyle name="Normal 6 10" xfId="1928"/>
    <cellStyle name="Normal 6 11" xfId="1929"/>
    <cellStyle name="Normal 6 12" xfId="1930"/>
    <cellStyle name="Normal 6 13" xfId="1931"/>
    <cellStyle name="Normal 6 14" xfId="1932"/>
    <cellStyle name="Normal 6 2" xfId="1933"/>
    <cellStyle name="Normal 6 2 2" xfId="1934"/>
    <cellStyle name="Normal 6 2 2 2" xfId="1935"/>
    <cellStyle name="Normal 6 2 2 3" xfId="1936"/>
    <cellStyle name="Normal 6 2 2 4" xfId="1937"/>
    <cellStyle name="Normal 6 2 3" xfId="1938"/>
    <cellStyle name="Normal 6 2 4" xfId="1939"/>
    <cellStyle name="Normal 6 3" xfId="1940"/>
    <cellStyle name="Normal 6 3 10" xfId="1941"/>
    <cellStyle name="Normal 6 3 11" xfId="1942"/>
    <cellStyle name="Normal 6 3 12" xfId="1943"/>
    <cellStyle name="Normal 6 3 13" xfId="1944"/>
    <cellStyle name="Normal 6 3 14" xfId="1945"/>
    <cellStyle name="Normal 6 3 2" xfId="1946"/>
    <cellStyle name="Normal 6 3 2 2" xfId="1947"/>
    <cellStyle name="Normal 6 3 3" xfId="1948"/>
    <cellStyle name="Normal 6 3 4" xfId="1949"/>
    <cellStyle name="Normal 6 3 5" xfId="1950"/>
    <cellStyle name="Normal 6 3 6" xfId="1951"/>
    <cellStyle name="Normal 6 3 7" xfId="1952"/>
    <cellStyle name="Normal 6 3 7 2" xfId="1953"/>
    <cellStyle name="Normal 6 3 7 2 2" xfId="1954"/>
    <cellStyle name="Normal 6 3 8" xfId="1955"/>
    <cellStyle name="Normal 6 3 9" xfId="1956"/>
    <cellStyle name="Normal 6 3_Sheet5" xfId="1957"/>
    <cellStyle name="Normal 6 4" xfId="1958"/>
    <cellStyle name="Normal 6 4 2" xfId="1959"/>
    <cellStyle name="Normal 6 4 2 10" xfId="1960"/>
    <cellStyle name="Normal 6 4 2 11" xfId="1961"/>
    <cellStyle name="Normal 6 4 2 12" xfId="1962"/>
    <cellStyle name="Normal 6 4 2 12 2" xfId="1963"/>
    <cellStyle name="Normal 6 4 2 12 2 2" xfId="1964"/>
    <cellStyle name="Normal 6 4 2 13" xfId="1965"/>
    <cellStyle name="Normal 6 4 2 14" xfId="1966"/>
    <cellStyle name="Normal 6 4 2 15" xfId="1967"/>
    <cellStyle name="Normal 6 4 2 16" xfId="1968"/>
    <cellStyle name="Normal 6 4 2 17" xfId="1969"/>
    <cellStyle name="Normal 6 4 2 18" xfId="1970"/>
    <cellStyle name="Normal 6 4 2 19" xfId="1971"/>
    <cellStyle name="Normal 6 4 2 2" xfId="1972"/>
    <cellStyle name="Normal 6 4 2 2 2" xfId="1973"/>
    <cellStyle name="Normal 6 4 2 2 3" xfId="1974"/>
    <cellStyle name="Normal 6 4 2 2 4" xfId="1975"/>
    <cellStyle name="Normal 6 4 2 2 5" xfId="1976"/>
    <cellStyle name="Normal 6 4 2 2 6" xfId="1977"/>
    <cellStyle name="Normal 6 4 2 3" xfId="1978"/>
    <cellStyle name="Normal 6 4 2 4" xfId="1979"/>
    <cellStyle name="Normal 6 4 2 5" xfId="1980"/>
    <cellStyle name="Normal 6 4 2 6" xfId="1981"/>
    <cellStyle name="Normal 6 4 2 7" xfId="1982"/>
    <cellStyle name="Normal 6 4 2 8" xfId="1983"/>
    <cellStyle name="Normal 6 4 2 8 2" xfId="1984"/>
    <cellStyle name="Normal 6 4 2 9" xfId="1985"/>
    <cellStyle name="Normal 6 4 2_Sheet5" xfId="1986"/>
    <cellStyle name="Normal 6 4 3" xfId="1987"/>
    <cellStyle name="Normal 6 4 3 2" xfId="1988"/>
    <cellStyle name="Normal 6 4 3 3" xfId="1989"/>
    <cellStyle name="Normal 6 4 3 4" xfId="1990"/>
    <cellStyle name="Normal 6 4 3 5" xfId="1991"/>
    <cellStyle name="Normal 6 4 3 6" xfId="1992"/>
    <cellStyle name="Normal 6 4 4" xfId="1993"/>
    <cellStyle name="Normal 6 4 5" xfId="1994"/>
    <cellStyle name="Normal 6 4 6" xfId="1995"/>
    <cellStyle name="Normal 6 4 7" xfId="1996"/>
    <cellStyle name="Normal 6 4 8" xfId="1997"/>
    <cellStyle name="Normal 6 5" xfId="1998"/>
    <cellStyle name="Normal 6 5 2" xfId="1999"/>
    <cellStyle name="Normal 6 5 2 2" xfId="2000"/>
    <cellStyle name="Normal 6 5 2 3" xfId="2001"/>
    <cellStyle name="Normal 6 5 2 4" xfId="2002"/>
    <cellStyle name="Normal 6 5 2 5" xfId="2003"/>
    <cellStyle name="Normal 6 5 2 6" xfId="2004"/>
    <cellStyle name="Normal 6 5 3" xfId="2005"/>
    <cellStyle name="Normal 6 5 4" xfId="2006"/>
    <cellStyle name="Normal 6 5 5" xfId="2007"/>
    <cellStyle name="Normal 6 5 6" xfId="2008"/>
    <cellStyle name="Normal 6 5 7" xfId="2009"/>
    <cellStyle name="Normal 6 6" xfId="2010"/>
    <cellStyle name="Normal 6 6 2" xfId="2011"/>
    <cellStyle name="Normal 6 6 3" xfId="2012"/>
    <cellStyle name="Normal 6 6 4" xfId="2013"/>
    <cellStyle name="Normal 6 6 5" xfId="2014"/>
    <cellStyle name="Normal 6 6 6" xfId="2015"/>
    <cellStyle name="Normal 6 7" xfId="2016"/>
    <cellStyle name="Normal 6 7 2" xfId="2017"/>
    <cellStyle name="Normal 6 7 3" xfId="2018"/>
    <cellStyle name="Normal 6 7 4" xfId="2019"/>
    <cellStyle name="Normal 6 7 5" xfId="2020"/>
    <cellStyle name="Normal 6 7 6" xfId="2021"/>
    <cellStyle name="Normal 6 8" xfId="2022"/>
    <cellStyle name="Normal 6 9" xfId="2023"/>
    <cellStyle name="Normal 7" xfId="2024"/>
    <cellStyle name="Normal 7 2" xfId="2025"/>
    <cellStyle name="Normal 7 3" xfId="2026"/>
    <cellStyle name="Normal 8" xfId="2027"/>
    <cellStyle name="Normal 9" xfId="2028"/>
    <cellStyle name="Note 2 15 7" xfId="2029"/>
    <cellStyle name="Note 2 15 7 2" xfId="2030"/>
    <cellStyle name="Note 2 15 7 3" xfId="2031"/>
    <cellStyle name="Percent 10 2" xfId="2032"/>
    <cellStyle name="Percent 10 3" xfId="2033"/>
    <cellStyle name="Percent 13 2" xfId="2034"/>
    <cellStyle name="Percent 13 3" xfId="2035"/>
    <cellStyle name="Percent 14 2" xfId="2036"/>
    <cellStyle name="Percent 14 3" xfId="2037"/>
    <cellStyle name="Percent 15 2" xfId="2038"/>
    <cellStyle name="Percent 15 3" xfId="2039"/>
    <cellStyle name="Percent 16 2" xfId="2040"/>
    <cellStyle name="Percent 16 3" xfId="2041"/>
    <cellStyle name="Percent 19 2" xfId="2042"/>
    <cellStyle name="Percent 19 2 2" xfId="2043"/>
    <cellStyle name="Percent 19 2 3" xfId="2044"/>
    <cellStyle name="Percent 19 3" xfId="2045"/>
    <cellStyle name="Percent 19 4" xfId="2046"/>
    <cellStyle name="Percent 2" xfId="2047"/>
    <cellStyle name="Percent 2 10" xfId="2048"/>
    <cellStyle name="Percent 2 11" xfId="2049"/>
    <cellStyle name="Percent 2 12" xfId="2050"/>
    <cellStyle name="Percent 2 12 2" xfId="2051"/>
    <cellStyle name="Percent 2 12 3" xfId="2052"/>
    <cellStyle name="Percent 2 13" xfId="2053"/>
    <cellStyle name="Percent 2 14" xfId="2054"/>
    <cellStyle name="Percent 2 15" xfId="2055"/>
    <cellStyle name="Percent 2 16" xfId="2056"/>
    <cellStyle name="Percent 2 17" xfId="2057"/>
    <cellStyle name="Percent 2 18" xfId="2058"/>
    <cellStyle name="Percent 2 19" xfId="2059"/>
    <cellStyle name="Percent 2 2" xfId="2060"/>
    <cellStyle name="Percent 2 2 2" xfId="2061"/>
    <cellStyle name="Percent 2 2 2 2" xfId="2062"/>
    <cellStyle name="Percent 2 2 2 2 2" xfId="2063"/>
    <cellStyle name="Percent 2 2 2 2 2 2" xfId="2064"/>
    <cellStyle name="Percent 2 2 2 2 2 2 2" xfId="2065"/>
    <cellStyle name="Percent 2 2 2 2 2 2 3" xfId="2066"/>
    <cellStyle name="Percent 2 2 2 2 2 3" xfId="2067"/>
    <cellStyle name="Percent 2 2 2 2 2 4" xfId="2068"/>
    <cellStyle name="Percent 2 2 2 2 2 5" xfId="2069"/>
    <cellStyle name="Percent 2 2 2 2 2 6" xfId="2070"/>
    <cellStyle name="Percent 2 2 2 2 3" xfId="2071"/>
    <cellStyle name="Percent 2 2 2 2 4" xfId="2072"/>
    <cellStyle name="Percent 2 2 2 2 4 2" xfId="2073"/>
    <cellStyle name="Percent 2 2 2 2 4 3" xfId="2074"/>
    <cellStyle name="Percent 2 2 2 2 5" xfId="2075"/>
    <cellStyle name="Percent 2 2 2 2 6" xfId="2076"/>
    <cellStyle name="Percent 2 2 2 2 7" xfId="2077"/>
    <cellStyle name="Percent 2 2 2 3" xfId="2078"/>
    <cellStyle name="Percent 2 2 2 3 2" xfId="2079"/>
    <cellStyle name="Percent 2 2 2 3 2 2" xfId="2080"/>
    <cellStyle name="Percent 2 2 2 3 2 3" xfId="2081"/>
    <cellStyle name="Percent 2 2 2 3 3" xfId="2082"/>
    <cellStyle name="Percent 2 2 2 3 4" xfId="2083"/>
    <cellStyle name="Percent 2 2 2 3 5" xfId="2084"/>
    <cellStyle name="Percent 2 2 2 3 6" xfId="2085"/>
    <cellStyle name="Percent 2 2 2 4" xfId="2086"/>
    <cellStyle name="Percent 2 2 2 5" xfId="2087"/>
    <cellStyle name="Percent 2 2 2 5 2" xfId="2088"/>
    <cellStyle name="Percent 2 2 2 5 3" xfId="2089"/>
    <cellStyle name="Percent 2 2 2 6" xfId="2090"/>
    <cellStyle name="Percent 2 2 2 7" xfId="2091"/>
    <cellStyle name="Percent 2 2 2 8" xfId="2092"/>
    <cellStyle name="Percent 2 2 3" xfId="2093"/>
    <cellStyle name="Percent 2 2 3 2" xfId="2094"/>
    <cellStyle name="Percent 2 2 3 2 2" xfId="2095"/>
    <cellStyle name="Percent 2 2 3 2 2 2" xfId="2096"/>
    <cellStyle name="Percent 2 2 3 2 2 3" xfId="2097"/>
    <cellStyle name="Percent 2 2 3 2 3" xfId="2098"/>
    <cellStyle name="Percent 2 2 3 2 4" xfId="2099"/>
    <cellStyle name="Percent 2 2 3 2 5" xfId="2100"/>
    <cellStyle name="Percent 2 2 3 2 6" xfId="2101"/>
    <cellStyle name="Percent 2 2 3 3" xfId="2102"/>
    <cellStyle name="Percent 2 2 3 4" xfId="2103"/>
    <cellStyle name="Percent 2 2 3 4 2" xfId="2104"/>
    <cellStyle name="Percent 2 2 3 4 3" xfId="2105"/>
    <cellStyle name="Percent 2 2 3 5" xfId="2106"/>
    <cellStyle name="Percent 2 2 3 6" xfId="2107"/>
    <cellStyle name="Percent 2 2 3 7" xfId="2108"/>
    <cellStyle name="Percent 2 2 4" xfId="2109"/>
    <cellStyle name="Percent 2 2 4 2" xfId="2110"/>
    <cellStyle name="Percent 2 2 4 2 2" xfId="2111"/>
    <cellStyle name="Percent 2 2 4 2 3" xfId="2112"/>
    <cellStyle name="Percent 2 2 4 3" xfId="2113"/>
    <cellStyle name="Percent 2 2 4 4" xfId="2114"/>
    <cellStyle name="Percent 2 2 4 5" xfId="2115"/>
    <cellStyle name="Percent 2 2 4 6" xfId="2116"/>
    <cellStyle name="Percent 2 2 5" xfId="2117"/>
    <cellStyle name="Percent 2 2 6" xfId="2118"/>
    <cellStyle name="Percent 2 2 6 2" xfId="2119"/>
    <cellStyle name="Percent 2 2 6 3" xfId="2120"/>
    <cellStyle name="Percent 2 2 7" xfId="2121"/>
    <cellStyle name="Percent 2 2 8" xfId="2122"/>
    <cellStyle name="Percent 2 2 9" xfId="2123"/>
    <cellStyle name="Percent 2 20" xfId="2124"/>
    <cellStyle name="Percent 2 21" xfId="2125"/>
    <cellStyle name="Percent 2 22" xfId="2126"/>
    <cellStyle name="Percent 2 23" xfId="2127"/>
    <cellStyle name="Percent 2 24" xfId="2128"/>
    <cellStyle name="Percent 2 25" xfId="2129"/>
    <cellStyle name="Percent 2 26" xfId="2130"/>
    <cellStyle name="Percent 2 3" xfId="2131"/>
    <cellStyle name="Percent 2 3 2" xfId="2132"/>
    <cellStyle name="Percent 2 3 2 2" xfId="2133"/>
    <cellStyle name="Percent 2 3 2 2 2" xfId="2134"/>
    <cellStyle name="Percent 2 3 2 2 2 2" xfId="2135"/>
    <cellStyle name="Percent 2 3 2 2 2 2 2" xfId="2136"/>
    <cellStyle name="Percent 2 3 2 2 2 2 3" xfId="2137"/>
    <cellStyle name="Percent 2 3 2 2 2 3" xfId="2138"/>
    <cellStyle name="Percent 2 3 2 2 2 4" xfId="2139"/>
    <cellStyle name="Percent 2 3 2 2 2 5" xfId="2140"/>
    <cellStyle name="Percent 2 3 2 2 2 6" xfId="2141"/>
    <cellStyle name="Percent 2 3 2 2 3" xfId="2142"/>
    <cellStyle name="Percent 2 3 2 2 4" xfId="2143"/>
    <cellStyle name="Percent 2 3 2 2 4 2" xfId="2144"/>
    <cellStyle name="Percent 2 3 2 2 4 3" xfId="2145"/>
    <cellStyle name="Percent 2 3 2 2 5" xfId="2146"/>
    <cellStyle name="Percent 2 3 2 2 6" xfId="2147"/>
    <cellStyle name="Percent 2 3 2 2 7" xfId="2148"/>
    <cellStyle name="Percent 2 3 2 3" xfId="2149"/>
    <cellStyle name="Percent 2 3 2 3 2" xfId="2150"/>
    <cellStyle name="Percent 2 3 2 3 2 2" xfId="2151"/>
    <cellStyle name="Percent 2 3 2 3 2 3" xfId="2152"/>
    <cellStyle name="Percent 2 3 2 3 3" xfId="2153"/>
    <cellStyle name="Percent 2 3 2 3 4" xfId="2154"/>
    <cellStyle name="Percent 2 3 2 3 5" xfId="2155"/>
    <cellStyle name="Percent 2 3 2 3 6" xfId="2156"/>
    <cellStyle name="Percent 2 3 2 4" xfId="2157"/>
    <cellStyle name="Percent 2 3 2 5" xfId="2158"/>
    <cellStyle name="Percent 2 3 2 5 2" xfId="2159"/>
    <cellStyle name="Percent 2 3 2 5 3" xfId="2160"/>
    <cellStyle name="Percent 2 3 2 6" xfId="2161"/>
    <cellStyle name="Percent 2 3 2 7" xfId="2162"/>
    <cellStyle name="Percent 2 3 2 8" xfId="2163"/>
    <cellStyle name="Percent 2 3 3" xfId="2164"/>
    <cellStyle name="Percent 2 3 3 2" xfId="2165"/>
    <cellStyle name="Percent 2 3 3 2 2" xfId="2166"/>
    <cellStyle name="Percent 2 3 3 2 2 2" xfId="2167"/>
    <cellStyle name="Percent 2 3 3 2 2 3" xfId="2168"/>
    <cellStyle name="Percent 2 3 3 2 3" xfId="2169"/>
    <cellStyle name="Percent 2 3 3 2 4" xfId="2170"/>
    <cellStyle name="Percent 2 3 3 2 5" xfId="2171"/>
    <cellStyle name="Percent 2 3 3 2 6" xfId="2172"/>
    <cellStyle name="Percent 2 3 3 3" xfId="2173"/>
    <cellStyle name="Percent 2 3 3 4" xfId="2174"/>
    <cellStyle name="Percent 2 3 3 4 2" xfId="2175"/>
    <cellStyle name="Percent 2 3 3 4 3" xfId="2176"/>
    <cellStyle name="Percent 2 3 3 5" xfId="2177"/>
    <cellStyle name="Percent 2 3 3 6" xfId="2178"/>
    <cellStyle name="Percent 2 3 3 7" xfId="2179"/>
    <cellStyle name="Percent 2 3 4" xfId="2180"/>
    <cellStyle name="Percent 2 3 4 2" xfId="2181"/>
    <cellStyle name="Percent 2 3 4 2 2" xfId="2182"/>
    <cellStyle name="Percent 2 3 4 2 3" xfId="2183"/>
    <cellStyle name="Percent 2 3 4 3" xfId="2184"/>
    <cellStyle name="Percent 2 3 4 4" xfId="2185"/>
    <cellStyle name="Percent 2 3 4 5" xfId="2186"/>
    <cellStyle name="Percent 2 3 4 6" xfId="2187"/>
    <cellStyle name="Percent 2 3 5" xfId="2188"/>
    <cellStyle name="Percent 2 3 6" xfId="2189"/>
    <cellStyle name="Percent 2 3 6 2" xfId="2190"/>
    <cellStyle name="Percent 2 3 6 3" xfId="2191"/>
    <cellStyle name="Percent 2 3 7" xfId="2192"/>
    <cellStyle name="Percent 2 3 8" xfId="2193"/>
    <cellStyle name="Percent 2 3 9" xfId="2194"/>
    <cellStyle name="Percent 2 4" xfId="2195"/>
    <cellStyle name="Percent 2 4 2" xfId="2196"/>
    <cellStyle name="Percent 2 4 2 2" xfId="2197"/>
    <cellStyle name="Percent 2 4 2 2 2" xfId="2198"/>
    <cellStyle name="Percent 2 4 2 2 2 2" xfId="2199"/>
    <cellStyle name="Percent 2 4 2 2 2 3" xfId="2200"/>
    <cellStyle name="Percent 2 4 2 2 3" xfId="2201"/>
    <cellStyle name="Percent 2 4 2 2 4" xfId="2202"/>
    <cellStyle name="Percent 2 4 2 2 5" xfId="2203"/>
    <cellStyle name="Percent 2 4 2 2 6" xfId="2204"/>
    <cellStyle name="Percent 2 4 2 3" xfId="2205"/>
    <cellStyle name="Percent 2 4 2 4" xfId="2206"/>
    <cellStyle name="Percent 2 4 2 4 2" xfId="2207"/>
    <cellStyle name="Percent 2 4 2 4 3" xfId="2208"/>
    <cellStyle name="Percent 2 4 2 5" xfId="2209"/>
    <cellStyle name="Percent 2 4 2 6" xfId="2210"/>
    <cellStyle name="Percent 2 4 2 7" xfId="2211"/>
    <cellStyle name="Percent 2 4 3" xfId="2212"/>
    <cellStyle name="Percent 2 4 3 2" xfId="2213"/>
    <cellStyle name="Percent 2 4 3 2 2" xfId="2214"/>
    <cellStyle name="Percent 2 4 3 2 3" xfId="2215"/>
    <cellStyle name="Percent 2 4 3 3" xfId="2216"/>
    <cellStyle name="Percent 2 4 3 4" xfId="2217"/>
    <cellStyle name="Percent 2 4 3 5" xfId="2218"/>
    <cellStyle name="Percent 2 4 3 6" xfId="2219"/>
    <cellStyle name="Percent 2 4 4" xfId="2220"/>
    <cellStyle name="Percent 2 4 5" xfId="2221"/>
    <cellStyle name="Percent 2 4 5 2" xfId="2222"/>
    <cellStyle name="Percent 2 4 5 3" xfId="2223"/>
    <cellStyle name="Percent 2 4 6" xfId="2224"/>
    <cellStyle name="Percent 2 4 7" xfId="2225"/>
    <cellStyle name="Percent 2 4 8" xfId="2226"/>
    <cellStyle name="Percent 2 5" xfId="2227"/>
    <cellStyle name="Percent 2 5 2" xfId="2228"/>
    <cellStyle name="Percent 2 5 2 2" xfId="2229"/>
    <cellStyle name="Percent 2 5 2 2 2" xfId="2230"/>
    <cellStyle name="Percent 2 5 2 2 2 2" xfId="2231"/>
    <cellStyle name="Percent 2 5 2 2 2 3" xfId="2232"/>
    <cellStyle name="Percent 2 5 2 2 3" xfId="2233"/>
    <cellStyle name="Percent 2 5 2 2 4" xfId="2234"/>
    <cellStyle name="Percent 2 5 2 2 5" xfId="2235"/>
    <cellStyle name="Percent 2 5 2 2 6" xfId="2236"/>
    <cellStyle name="Percent 2 5 2 3" xfId="2237"/>
    <cellStyle name="Percent 2 5 2 4" xfId="2238"/>
    <cellStyle name="Percent 2 5 2 4 2" xfId="2239"/>
    <cellStyle name="Percent 2 5 2 4 3" xfId="2240"/>
    <cellStyle name="Percent 2 5 2 5" xfId="2241"/>
    <cellStyle name="Percent 2 5 2 6" xfId="2242"/>
    <cellStyle name="Percent 2 5 2 7" xfId="2243"/>
    <cellStyle name="Percent 2 5 3" xfId="2244"/>
    <cellStyle name="Percent 2 5 3 2" xfId="2245"/>
    <cellStyle name="Percent 2 5 3 2 2" xfId="2246"/>
    <cellStyle name="Percent 2 5 3 2 3" xfId="2247"/>
    <cellStyle name="Percent 2 5 3 3" xfId="2248"/>
    <cellStyle name="Percent 2 5 3 4" xfId="2249"/>
    <cellStyle name="Percent 2 5 3 5" xfId="2250"/>
    <cellStyle name="Percent 2 5 3 6" xfId="2251"/>
    <cellStyle name="Percent 2 5 4" xfId="2252"/>
    <cellStyle name="Percent 2 5 5" xfId="2253"/>
    <cellStyle name="Percent 2 5 5 2" xfId="2254"/>
    <cellStyle name="Percent 2 5 5 3" xfId="2255"/>
    <cellStyle name="Percent 2 5 6" xfId="2256"/>
    <cellStyle name="Percent 2 5 7" xfId="2257"/>
    <cellStyle name="Percent 2 5 8" xfId="2258"/>
    <cellStyle name="Percent 2 6" xfId="2259"/>
    <cellStyle name="Percent 2 6 2" xfId="2260"/>
    <cellStyle name="Percent 2 6 2 2" xfId="2261"/>
    <cellStyle name="Percent 2 6 2 2 2" xfId="2262"/>
    <cellStyle name="Percent 2 6 2 2 3" xfId="2263"/>
    <cellStyle name="Percent 2 6 2 3" xfId="2264"/>
    <cellStyle name="Percent 2 6 2 4" xfId="2265"/>
    <cellStyle name="Percent 2 6 2 5" xfId="2266"/>
    <cellStyle name="Percent 2 6 2 6" xfId="2267"/>
    <cellStyle name="Percent 2 6 3" xfId="2268"/>
    <cellStyle name="Percent 2 6 4" xfId="2269"/>
    <cellStyle name="Percent 2 6 4 2" xfId="2270"/>
    <cellStyle name="Percent 2 6 4 3" xfId="2271"/>
    <cellStyle name="Percent 2 6 5" xfId="2272"/>
    <cellStyle name="Percent 2 6 6" xfId="2273"/>
    <cellStyle name="Percent 2 6 7" xfId="2274"/>
    <cellStyle name="Percent 2 7" xfId="2275"/>
    <cellStyle name="Percent 2 7 2" xfId="2276"/>
    <cellStyle name="Percent 2 7 2 2" xfId="2277"/>
    <cellStyle name="Percent 2 7 2 3" xfId="2278"/>
    <cellStyle name="Percent 2 7 3" xfId="2279"/>
    <cellStyle name="Percent 2 7 4" xfId="2280"/>
    <cellStyle name="Percent 2 7 5" xfId="2281"/>
    <cellStyle name="Percent 2 7 6" xfId="2282"/>
    <cellStyle name="Percent 2 8" xfId="2283"/>
    <cellStyle name="Percent 2 9" xfId="2284"/>
    <cellStyle name="Percent 20 2" xfId="2285"/>
    <cellStyle name="Percent 20 2 2" xfId="2286"/>
    <cellStyle name="Percent 20 2 3" xfId="2287"/>
    <cellStyle name="Percent 20 3" xfId="2288"/>
    <cellStyle name="Percent 20 4" xfId="2289"/>
    <cellStyle name="Percent 3" xfId="2290"/>
    <cellStyle name="Percent 3 10" xfId="2291"/>
    <cellStyle name="Percent 3 11" xfId="2292"/>
    <cellStyle name="Percent 3 12" xfId="2293"/>
    <cellStyle name="Percent 3 13" xfId="2294"/>
    <cellStyle name="Percent 3 14" xfId="2295"/>
    <cellStyle name="Percent 3 2" xfId="2296"/>
    <cellStyle name="Percent 3 2 2" xfId="2297"/>
    <cellStyle name="Percent 3 2 2 2" xfId="2298"/>
    <cellStyle name="Percent 3 2 2 2 2" xfId="2299"/>
    <cellStyle name="Percent 3 2 2 2 3" xfId="2300"/>
    <cellStyle name="Percent 3 2 2 3" xfId="2301"/>
    <cellStyle name="Percent 3 2 2 4" xfId="2302"/>
    <cellStyle name="Percent 3 2 2 5" xfId="2303"/>
    <cellStyle name="Percent 3 2 2 6" xfId="2304"/>
    <cellStyle name="Percent 3 2 3" xfId="2305"/>
    <cellStyle name="Percent 3 2 4" xfId="2306"/>
    <cellStyle name="Percent 3 2 4 2" xfId="2307"/>
    <cellStyle name="Percent 3 2 4 3" xfId="2308"/>
    <cellStyle name="Percent 3 2 5" xfId="2309"/>
    <cellStyle name="Percent 3 2 6" xfId="2310"/>
    <cellStyle name="Percent 3 2 7" xfId="2311"/>
    <cellStyle name="Percent 3 3" xfId="2312"/>
    <cellStyle name="Percent 3 3 2" xfId="2313"/>
    <cellStyle name="Percent 3 3 2 2" xfId="2314"/>
    <cellStyle name="Percent 3 3 2 2 2" xfId="2315"/>
    <cellStyle name="Percent 3 3 2 2 3" xfId="2316"/>
    <cellStyle name="Percent 3 3 2 3" xfId="2317"/>
    <cellStyle name="Percent 3 3 2 4" xfId="2318"/>
    <cellStyle name="Percent 3 3 2 5" xfId="2319"/>
    <cellStyle name="Percent 3 3 2 6" xfId="2320"/>
    <cellStyle name="Percent 3 3 3" xfId="2321"/>
    <cellStyle name="Percent 3 3 4" xfId="2322"/>
    <cellStyle name="Percent 3 3 4 2" xfId="2323"/>
    <cellStyle name="Percent 3 3 4 3" xfId="2324"/>
    <cellStyle name="Percent 3 3 5" xfId="2325"/>
    <cellStyle name="Percent 3 3 6" xfId="2326"/>
    <cellStyle name="Percent 3 3 7" xfId="2327"/>
    <cellStyle name="Percent 3 4" xfId="2328"/>
    <cellStyle name="Percent 3 5" xfId="2329"/>
    <cellStyle name="Percent 3 6" xfId="2330"/>
    <cellStyle name="Percent 3 7" xfId="2331"/>
    <cellStyle name="Percent 3 8" xfId="2332"/>
    <cellStyle name="Percent 3 9" xfId="2333"/>
    <cellStyle name="Percent 4 2" xfId="2334"/>
    <cellStyle name="Percent 4 3" xfId="2335"/>
    <cellStyle name="Percent 5 2" xfId="2336"/>
    <cellStyle name="Percent 5 3" xfId="2337"/>
  </cellStyles>
  <dxfs count="20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</dxfs>
  <tableStyles count="0" defaultTableStyle="TableStyleMedium9" defaultPivotStyle="PivotStyleLight16"/>
  <colors>
    <mruColors>
      <color rgb="FF3116D4"/>
      <color rgb="FF6774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23840769903641"/>
          <c:y val="5.1400554097404488E-2"/>
          <c:w val="0.82926159230096241"/>
          <c:h val="0.81873067949840683"/>
        </c:manualLayout>
      </c:layout>
      <c:lineChart>
        <c:grouping val="standard"/>
        <c:ser>
          <c:idx val="0"/>
          <c:order val="0"/>
          <c:tx>
            <c:strRef>
              <c:f>'Monthly Analysis'!$F$1</c:f>
              <c:strCache>
                <c:ptCount val="1"/>
                <c:pt idx="0">
                  <c:v>13-14</c:v>
                </c:pt>
              </c:strCache>
            </c:strRef>
          </c:tx>
          <c:cat>
            <c:strRef>
              <c:f>'Monthly Analysis'!$E$2:$E$13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'Monthly Analysis'!$F$2:$F$13</c:f>
              <c:numCache>
                <c:formatCode>General</c:formatCode>
                <c:ptCount val="12"/>
                <c:pt idx="0">
                  <c:v>7847</c:v>
                </c:pt>
                <c:pt idx="1">
                  <c:v>8024</c:v>
                </c:pt>
                <c:pt idx="2">
                  <c:v>9630</c:v>
                </c:pt>
                <c:pt idx="3">
                  <c:v>7799</c:v>
                </c:pt>
                <c:pt idx="4">
                  <c:v>7867</c:v>
                </c:pt>
                <c:pt idx="5">
                  <c:v>10212</c:v>
                </c:pt>
                <c:pt idx="6">
                  <c:v>8584</c:v>
                </c:pt>
                <c:pt idx="7">
                  <c:v>8584</c:v>
                </c:pt>
                <c:pt idx="8">
                  <c:v>12843</c:v>
                </c:pt>
                <c:pt idx="9">
                  <c:v>11035</c:v>
                </c:pt>
                <c:pt idx="10">
                  <c:v>15522</c:v>
                </c:pt>
                <c:pt idx="11">
                  <c:v>18563</c:v>
                </c:pt>
              </c:numCache>
            </c:numRef>
          </c:val>
        </c:ser>
        <c:ser>
          <c:idx val="1"/>
          <c:order val="1"/>
          <c:tx>
            <c:strRef>
              <c:f>'Monthly Analysis'!$G$1</c:f>
              <c:strCache>
                <c:ptCount val="1"/>
                <c:pt idx="0">
                  <c:v>14-15</c:v>
                </c:pt>
              </c:strCache>
            </c:strRef>
          </c:tx>
          <c:cat>
            <c:strRef>
              <c:f>'Monthly Analysis'!$E$2:$E$13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'Monthly Analysis'!$G$2:$G$13</c:f>
              <c:numCache>
                <c:formatCode>General</c:formatCode>
                <c:ptCount val="12"/>
                <c:pt idx="0">
                  <c:v>13640</c:v>
                </c:pt>
                <c:pt idx="1">
                  <c:v>13094</c:v>
                </c:pt>
                <c:pt idx="2">
                  <c:v>16210</c:v>
                </c:pt>
                <c:pt idx="3">
                  <c:v>12531</c:v>
                </c:pt>
                <c:pt idx="4">
                  <c:v>10134</c:v>
                </c:pt>
                <c:pt idx="5">
                  <c:v>11642</c:v>
                </c:pt>
                <c:pt idx="6">
                  <c:v>10751</c:v>
                </c:pt>
                <c:pt idx="7">
                  <c:v>10240</c:v>
                </c:pt>
                <c:pt idx="8">
                  <c:v>11931</c:v>
                </c:pt>
                <c:pt idx="9">
                  <c:v>11352</c:v>
                </c:pt>
                <c:pt idx="10">
                  <c:v>11944</c:v>
                </c:pt>
                <c:pt idx="11">
                  <c:v>15087</c:v>
                </c:pt>
              </c:numCache>
            </c:numRef>
          </c:val>
        </c:ser>
        <c:ser>
          <c:idx val="2"/>
          <c:order val="2"/>
          <c:tx>
            <c:strRef>
              <c:f>'Monthly Analysis'!$H$1</c:f>
              <c:strCache>
                <c:ptCount val="1"/>
                <c:pt idx="0">
                  <c:v>15-16</c:v>
                </c:pt>
              </c:strCache>
            </c:strRef>
          </c:tx>
          <c:cat>
            <c:strRef>
              <c:f>'Monthly Analysis'!$E$2:$E$13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'Monthly Analysis'!$H$2:$H$13</c:f>
              <c:numCache>
                <c:formatCode>General</c:formatCode>
                <c:ptCount val="12"/>
                <c:pt idx="0">
                  <c:v>10126</c:v>
                </c:pt>
                <c:pt idx="1">
                  <c:v>9506</c:v>
                </c:pt>
                <c:pt idx="2">
                  <c:v>10232</c:v>
                </c:pt>
                <c:pt idx="3">
                  <c:v>8293</c:v>
                </c:pt>
                <c:pt idx="4">
                  <c:v>8774</c:v>
                </c:pt>
                <c:pt idx="5">
                  <c:v>12537</c:v>
                </c:pt>
                <c:pt idx="6">
                  <c:v>9998</c:v>
                </c:pt>
                <c:pt idx="7">
                  <c:v>9784</c:v>
                </c:pt>
                <c:pt idx="10" formatCode="0">
                  <c:v>30364.49</c:v>
                </c:pt>
              </c:numCache>
            </c:numRef>
          </c:val>
        </c:ser>
        <c:marker val="1"/>
        <c:axId val="100022912"/>
        <c:axId val="100467456"/>
      </c:lineChart>
      <c:catAx>
        <c:axId val="100022912"/>
        <c:scaling>
          <c:orientation val="minMax"/>
        </c:scaling>
        <c:axPos val="b"/>
        <c:numFmt formatCode="General" sourceLinked="0"/>
        <c:tickLblPos val="nextTo"/>
        <c:crossAx val="100467456"/>
        <c:crosses val="autoZero"/>
        <c:auto val="1"/>
        <c:lblAlgn val="ctr"/>
        <c:lblOffset val="100"/>
      </c:catAx>
      <c:valAx>
        <c:axId val="100467456"/>
        <c:scaling>
          <c:orientation val="minMax"/>
        </c:scaling>
        <c:axPos val="l"/>
        <c:numFmt formatCode="General" sourceLinked="1"/>
        <c:tickLblPos val="nextTo"/>
        <c:crossAx val="100022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683333333333548"/>
          <c:y val="0.71701662292213486"/>
          <c:w val="0.62594444444445585"/>
          <c:h val="0.10763305628463302"/>
        </c:manualLayout>
      </c:layout>
    </c:legend>
    <c:plotVisOnly val="1"/>
    <c:dispBlanksAs val="gap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23840769903638"/>
          <c:y val="5.1400554097404488E-2"/>
          <c:w val="0.82926159230096241"/>
          <c:h val="0.81873067949840705"/>
        </c:manualLayout>
      </c:layout>
      <c:lineChart>
        <c:grouping val="standard"/>
        <c:ser>
          <c:idx val="0"/>
          <c:order val="0"/>
          <c:tx>
            <c:strRef>
              <c:f>'Monthly Analysis'!$G$1</c:f>
              <c:strCache>
                <c:ptCount val="1"/>
                <c:pt idx="0">
                  <c:v>14-15</c:v>
                </c:pt>
              </c:strCache>
            </c:strRef>
          </c:tx>
          <c:cat>
            <c:strRef>
              <c:f>'Monthly Analysis'!$E$2:$E$13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'Monthly Analysis'!$G$2:$G$13</c:f>
              <c:numCache>
                <c:formatCode>General</c:formatCode>
                <c:ptCount val="12"/>
                <c:pt idx="0">
                  <c:v>13640</c:v>
                </c:pt>
                <c:pt idx="1">
                  <c:v>13094</c:v>
                </c:pt>
                <c:pt idx="2">
                  <c:v>16210</c:v>
                </c:pt>
                <c:pt idx="3">
                  <c:v>12531</c:v>
                </c:pt>
                <c:pt idx="4">
                  <c:v>10134</c:v>
                </c:pt>
                <c:pt idx="5">
                  <c:v>11642</c:v>
                </c:pt>
                <c:pt idx="6">
                  <c:v>10751</c:v>
                </c:pt>
                <c:pt idx="7">
                  <c:v>10240</c:v>
                </c:pt>
                <c:pt idx="8">
                  <c:v>11931</c:v>
                </c:pt>
                <c:pt idx="9">
                  <c:v>11352</c:v>
                </c:pt>
                <c:pt idx="10">
                  <c:v>11944</c:v>
                </c:pt>
                <c:pt idx="11">
                  <c:v>15087</c:v>
                </c:pt>
              </c:numCache>
            </c:numRef>
          </c:val>
        </c:ser>
        <c:ser>
          <c:idx val="1"/>
          <c:order val="1"/>
          <c:tx>
            <c:strRef>
              <c:f>'Monthly Analysis'!$H$1</c:f>
              <c:strCache>
                <c:ptCount val="1"/>
                <c:pt idx="0">
                  <c:v>15-16</c:v>
                </c:pt>
              </c:strCache>
            </c:strRef>
          </c:tx>
          <c:dPt>
            <c:idx val="7"/>
            <c:marker>
              <c:symbol val="circle"/>
              <c:size val="7"/>
              <c:spPr>
                <a:ln>
                  <a:solidFill>
                    <a:srgbClr val="4F81BD"/>
                  </a:solidFill>
                </a:ln>
              </c:spPr>
            </c:marker>
            <c:spPr>
              <a:ln>
                <a:solidFill>
                  <a:schemeClr val="accent1"/>
                </a:solidFill>
              </a:ln>
            </c:spPr>
          </c:dPt>
          <c:cat>
            <c:strRef>
              <c:f>'Monthly Analysis'!$E$2:$E$13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'Monthly Analysis'!$H$2:$H$13</c:f>
              <c:numCache>
                <c:formatCode>General</c:formatCode>
                <c:ptCount val="12"/>
                <c:pt idx="0">
                  <c:v>10126</c:v>
                </c:pt>
                <c:pt idx="1">
                  <c:v>9506</c:v>
                </c:pt>
                <c:pt idx="2">
                  <c:v>10232</c:v>
                </c:pt>
                <c:pt idx="3">
                  <c:v>8293</c:v>
                </c:pt>
                <c:pt idx="4">
                  <c:v>8774</c:v>
                </c:pt>
                <c:pt idx="5">
                  <c:v>12537</c:v>
                </c:pt>
                <c:pt idx="6">
                  <c:v>9998</c:v>
                </c:pt>
                <c:pt idx="7">
                  <c:v>9784</c:v>
                </c:pt>
                <c:pt idx="10" formatCode="0">
                  <c:v>30364.49</c:v>
                </c:pt>
              </c:numCache>
            </c:numRef>
          </c:val>
        </c:ser>
        <c:ser>
          <c:idx val="2"/>
          <c:order val="2"/>
          <c:tx>
            <c:strRef>
              <c:f>'Monthly Analysis'!$I$1</c:f>
              <c:strCache>
                <c:ptCount val="1"/>
                <c:pt idx="0">
                  <c:v>Forecast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triangle"/>
            <c:size val="7"/>
            <c:spPr>
              <a:solidFill>
                <a:srgbClr val="FF0000"/>
              </a:solidFill>
            </c:spPr>
          </c:marker>
          <c:cat>
            <c:strRef>
              <c:f>'Monthly Analysis'!$E$2:$E$13</c:f>
              <c:strCache>
                <c:ptCount val="12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  <c:pt idx="11">
                  <c:v>Jan</c:v>
                </c:pt>
              </c:strCache>
            </c:strRef>
          </c:cat>
          <c:val>
            <c:numRef>
              <c:f>'Monthly Analysis'!$I$2:$I$13</c:f>
              <c:numCache>
                <c:formatCode>General</c:formatCode>
                <c:ptCount val="12"/>
              </c:numCache>
            </c:numRef>
          </c:val>
        </c:ser>
        <c:marker val="1"/>
        <c:axId val="208676736"/>
        <c:axId val="218907008"/>
      </c:lineChart>
      <c:catAx>
        <c:axId val="208676736"/>
        <c:scaling>
          <c:orientation val="minMax"/>
        </c:scaling>
        <c:axPos val="b"/>
        <c:numFmt formatCode="General" sourceLinked="0"/>
        <c:tickLblPos val="nextTo"/>
        <c:crossAx val="218907008"/>
        <c:crosses val="autoZero"/>
        <c:auto val="1"/>
        <c:lblAlgn val="ctr"/>
        <c:lblOffset val="100"/>
      </c:catAx>
      <c:valAx>
        <c:axId val="218907008"/>
        <c:scaling>
          <c:orientation val="minMax"/>
        </c:scaling>
        <c:axPos val="l"/>
        <c:numFmt formatCode="General" sourceLinked="1"/>
        <c:tickLblPos val="nextTo"/>
        <c:crossAx val="2086767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21118328958880325"/>
          <c:y val="0.65277777777778545"/>
          <c:w val="0.51096653543307091"/>
          <c:h val="8.3717191601050026E-2"/>
        </c:manualLayout>
      </c:layout>
    </c:legend>
    <c:plotVisOnly val="1"/>
    <c:dispBlanksAs val="gap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17</xdr:row>
      <xdr:rowOff>104775</xdr:rowOff>
    </xdr:from>
    <xdr:to>
      <xdr:col>17</xdr:col>
      <xdr:colOff>523875</xdr:colOff>
      <xdr:row>31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171450</xdr:colOff>
      <xdr:row>1</xdr:row>
      <xdr:rowOff>28575</xdr:rowOff>
    </xdr:from>
    <xdr:to>
      <xdr:col>17</xdr:col>
      <xdr:colOff>476250</xdr:colOff>
      <xdr:row>15</xdr:row>
      <xdr:rowOff>104775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219075</xdr:colOff>
      <xdr:row>7</xdr:row>
      <xdr:rowOff>47626</xdr:rowOff>
    </xdr:from>
    <xdr:to>
      <xdr:col>19</xdr:col>
      <xdr:colOff>200025</xdr:colOff>
      <xdr:row>9</xdr:row>
      <xdr:rowOff>114303</xdr:rowOff>
    </xdr:to>
    <xdr:sp macro="" textlink="">
      <xdr:nvSpPr>
        <xdr:cNvPr id="7" name="Down Arrow 6"/>
        <xdr:cNvSpPr/>
      </xdr:nvSpPr>
      <xdr:spPr>
        <a:xfrm rot="7236471">
          <a:off x="10539411" y="395290"/>
          <a:ext cx="447677" cy="2419350"/>
        </a:xfrm>
        <a:prstGeom prst="downArrow">
          <a:avLst/>
        </a:prstGeom>
        <a:solidFill>
          <a:schemeClr val="lt1">
            <a:alpha val="0"/>
          </a:schemeClr>
        </a:solidFill>
        <a:ln>
          <a:prstDash val="sysDot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netlfnp02\Users\mrenga\AppData\Local\Microsoft\Windows\INetCache\Content.Outlook\067511UC\Forecasting%20and%20Call%20Outs%20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ncrsfnp01\petco\SUPPORT\REPORTS%20Team\PetCo%20Deck\Inbound%20Phone%20Sales\Petco%20IPS%20Revenue%20Report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aw Volume"/>
      <sheetName val="Sheet4"/>
      <sheetName val="Sheet3"/>
      <sheetName val="Calendar"/>
      <sheetName val="Sheet5"/>
      <sheetName val="Sheet1 (2)"/>
      <sheetName val="Normalized Volume"/>
      <sheetName val="FP 3 Call Outs"/>
      <sheetName val="FP 4 Call Outs"/>
      <sheetName val="FP 5 Call Outs"/>
      <sheetName val="FP 5 Call Outs (2 wks)"/>
      <sheetName val="FP 5 Call Outs (2)"/>
      <sheetName val="Sheet7"/>
      <sheetName val="Sheet9"/>
      <sheetName val="Comp"/>
      <sheetName val="Promo Types (New)"/>
      <sheetName val="FP 7 Promos"/>
    </sheetNames>
    <sheetDataSet>
      <sheetData sheetId="0"/>
      <sheetData sheetId="1"/>
      <sheetData sheetId="2"/>
      <sheetData sheetId="3">
        <row r="1">
          <cell r="A1" t="str">
            <v>Column1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A1" t="str">
            <v>Promo Combination</v>
          </cell>
        </row>
        <row r="2">
          <cell r="A2" t="str">
            <v>No Email Drop</v>
          </cell>
        </row>
        <row r="3">
          <cell r="A3" t="str">
            <v>$10 Off,FS on $49</v>
          </cell>
        </row>
        <row r="4">
          <cell r="A4" t="str">
            <v>$13 Off,FS on $49</v>
          </cell>
        </row>
        <row r="5">
          <cell r="A5" t="str">
            <v>$15 eGC,Up To 40% Off,FS on $49</v>
          </cell>
        </row>
        <row r="6">
          <cell r="A6" t="str">
            <v>$15 Off,FS on $49</v>
          </cell>
        </row>
        <row r="7">
          <cell r="A7" t="str">
            <v>$15 Off,FS on $75</v>
          </cell>
        </row>
        <row r="8">
          <cell r="A8" t="str">
            <v>$20 Off,FS on $100</v>
          </cell>
        </row>
        <row r="9">
          <cell r="A9" t="str">
            <v>$20 Off,FS on $80</v>
          </cell>
        </row>
        <row r="10">
          <cell r="A10" t="str">
            <v>$30 Off,FS on $100</v>
          </cell>
        </row>
        <row r="11">
          <cell r="A11" t="str">
            <v>$5 Off Purina Bag,FS on $49</v>
          </cell>
        </row>
        <row r="12">
          <cell r="A12" t="str">
            <v>$5 Off,FS on $25</v>
          </cell>
        </row>
        <row r="13">
          <cell r="A13" t="str">
            <v>$5 Off,FS on $35</v>
          </cell>
        </row>
        <row r="14">
          <cell r="A14" t="str">
            <v>$9.99 for 2-day Ship,$10 Off,FS on $49</v>
          </cell>
        </row>
        <row r="15">
          <cell r="A15" t="str">
            <v>10% off eGCs,$15 Off,FS on $75</v>
          </cell>
        </row>
        <row r="16">
          <cell r="A16" t="str">
            <v>10% off eGCs,FS on $49</v>
          </cell>
        </row>
        <row r="17">
          <cell r="A17" t="str">
            <v>15% Off,FS on $60</v>
          </cell>
        </row>
        <row r="18">
          <cell r="A18" t="str">
            <v>15% Off,FS on $75</v>
          </cell>
        </row>
        <row r="19">
          <cell r="A19" t="str">
            <v>20% Off,FS on $49</v>
          </cell>
        </row>
        <row r="20">
          <cell r="A20" t="str">
            <v>20-40% Off,FS on $49</v>
          </cell>
        </row>
        <row r="21">
          <cell r="A21" t="str">
            <v>25% Off on Supplies,FS on $49</v>
          </cell>
        </row>
        <row r="22">
          <cell r="A22" t="str">
            <v>25% Off,FS on $49</v>
          </cell>
        </row>
        <row r="23">
          <cell r="A23" t="str">
            <v>30% Off,FS on $49</v>
          </cell>
        </row>
        <row r="24">
          <cell r="A24" t="str">
            <v>30% Off,FS on $75</v>
          </cell>
        </row>
        <row r="25">
          <cell r="A25" t="str">
            <v>30-50% Off,FS on $49</v>
          </cell>
        </row>
        <row r="26">
          <cell r="A26" t="str">
            <v>Black Friday Sale,20-50% Off,FS on $49</v>
          </cell>
        </row>
        <row r="27">
          <cell r="A27" t="str">
            <v>Buy $25, Get $5,FS on $49</v>
          </cell>
        </row>
        <row r="28">
          <cell r="A28" t="str">
            <v>Cyber Monday Sale,25% Off,FS on $49</v>
          </cell>
        </row>
        <row r="29">
          <cell r="A29" t="str">
            <v>Cyber Monday Sale,30% Off,FS on $49</v>
          </cell>
        </row>
        <row r="30">
          <cell r="A30" t="str">
            <v>Double Points,FS on $49</v>
          </cell>
        </row>
        <row r="31">
          <cell r="A31" t="str">
            <v>Flash Sale,30% Off,FS on $49</v>
          </cell>
        </row>
        <row r="32">
          <cell r="A32" t="str">
            <v>Free Ship Flash Sale,Up To 40% Off,FS on $49</v>
          </cell>
        </row>
        <row r="33">
          <cell r="A33" t="str">
            <v>Free Ship No Min</v>
          </cell>
        </row>
        <row r="34">
          <cell r="A34" t="str">
            <v>Free Ship No Min,20% Off</v>
          </cell>
        </row>
        <row r="35">
          <cell r="A35" t="str">
            <v>Free Ship No Min,Up To 20% Off</v>
          </cell>
        </row>
        <row r="36">
          <cell r="A36" t="str">
            <v>Free Ship No Min,Up To 40% Off</v>
          </cell>
        </row>
        <row r="37">
          <cell r="A37" t="str">
            <v>FS on $49</v>
          </cell>
        </row>
        <row r="38">
          <cell r="A38" t="str">
            <v>Groundhog Day,20% Off,FS on $49</v>
          </cell>
        </row>
        <row r="39">
          <cell r="A39" t="str">
            <v>Lucky Saving,17% Off,FS on $49</v>
          </cell>
        </row>
        <row r="40">
          <cell r="A40" t="str">
            <v>President's Day,20% Off,FS on $49</v>
          </cell>
        </row>
        <row r="41">
          <cell r="A41" t="str">
            <v>RD Event,$20 Pals,FS on $49</v>
          </cell>
        </row>
        <row r="42">
          <cell r="A42" t="str">
            <v>RD Event,20% Off on Food,FS on $49</v>
          </cell>
        </row>
        <row r="43">
          <cell r="A43" t="str">
            <v>RD Event,Double Points</v>
          </cell>
        </row>
        <row r="44">
          <cell r="A44" t="str">
            <v>RD Event,Up To 15% Off,FS on $49</v>
          </cell>
        </row>
        <row r="45">
          <cell r="A45" t="str">
            <v>Reveal Your Deal Promo,$10, $20, $30 Off,FS on $49</v>
          </cell>
        </row>
        <row r="46">
          <cell r="A46" t="str">
            <v>Reveal Your Deal Promo,15, 20, 30% Off,</v>
          </cell>
        </row>
        <row r="47">
          <cell r="A47" t="str">
            <v>Reveal Your Deal Promo,20, 25, 30% Off,FS on $75</v>
          </cell>
        </row>
        <row r="48">
          <cell r="A48" t="str">
            <v>Treat Thursday</v>
          </cell>
        </row>
        <row r="49">
          <cell r="A49" t="str">
            <v>Treat Thursday,$10 Off,</v>
          </cell>
        </row>
        <row r="50">
          <cell r="A50" t="str">
            <v>Treat Thursday,$5 Off,FS on $35</v>
          </cell>
        </row>
        <row r="51">
          <cell r="A51" t="str">
            <v>Treat Thursday,$5 Off,FS on $49</v>
          </cell>
        </row>
        <row r="52">
          <cell r="A52" t="str">
            <v>Treat Thursday,12 Items,FS on $49</v>
          </cell>
        </row>
        <row r="53">
          <cell r="A53" t="str">
            <v>Treat Thursday,12 Treats,FS on $49</v>
          </cell>
        </row>
        <row r="54">
          <cell r="A54" t="str">
            <v>Treat Thursday,30-50% Off,FS on $49</v>
          </cell>
        </row>
        <row r="55">
          <cell r="A55" t="str">
            <v>Treat Thursday,Buy $25 get $5 eGC ,</v>
          </cell>
        </row>
        <row r="56">
          <cell r="A56" t="str">
            <v>Treat Thursday,Double Points,Up to 40% Off,FS on $49</v>
          </cell>
        </row>
        <row r="57">
          <cell r="A57" t="str">
            <v>Treat Thursday,FS on $49</v>
          </cell>
        </row>
        <row r="58">
          <cell r="A58" t="str">
            <v>Treat Thursday,Up To 30% Off on Toys,FS on $49</v>
          </cell>
        </row>
        <row r="59">
          <cell r="A59" t="str">
            <v>Treat Thursday,Up to 50% on Select Items,20% Off,FS on $49</v>
          </cell>
        </row>
        <row r="60">
          <cell r="A60" t="str">
            <v>Up To 20% Off,FS on $49</v>
          </cell>
        </row>
        <row r="61">
          <cell r="A61" t="str">
            <v>Up To 40% Off,FS on $49</v>
          </cell>
        </row>
        <row r="62">
          <cell r="A62" t="str">
            <v>Up To 50% Off,FS on $49</v>
          </cell>
        </row>
        <row r="63">
          <cell r="A63" t="str">
            <v>Up To 65% Off,FS on $49</v>
          </cell>
        </row>
        <row r="64">
          <cell r="A64" t="str">
            <v>Valentine's Day,25% Off on Supplies,FS on $49</v>
          </cell>
        </row>
        <row r="65">
          <cell r="A65" t="str">
            <v>Veteran's,Up To 50% Off,FS on $49</v>
          </cell>
        </row>
        <row r="66">
          <cell r="A66" t="str">
            <v>RD Event</v>
          </cell>
        </row>
        <row r="67">
          <cell r="A67" t="str">
            <v>Flash Sale,Free Ship No Min,FSNM</v>
          </cell>
        </row>
        <row r="68">
          <cell r="A68" t="str">
            <v>Flash Sale,25% Off,FS on $49</v>
          </cell>
        </row>
        <row r="69">
          <cell r="A69" t="str">
            <v>15% Off,FS on $49</v>
          </cell>
        </row>
      </sheetData>
      <sheetData sheetId="1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UpdatedReport(Current)"/>
      <sheetName val="Calls Handled"/>
      <sheetName val="Raw"/>
      <sheetName val="Calendar"/>
      <sheetName val="Pivot"/>
      <sheetName val="Roster"/>
      <sheetName val="Summary"/>
      <sheetName val="Sheet1"/>
      <sheetName val="Petco IPS Revenue Report"/>
      <sheetName val="Sheet3"/>
      <sheetName val="Roster EI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F1042"/>
  <sheetViews>
    <sheetView showGridLines="0" tabSelected="1" topLeftCell="E1" zoomScale="87" zoomScaleNormal="87" workbookViewId="0">
      <selection activeCell="E1" sqref="E1"/>
    </sheetView>
  </sheetViews>
  <sheetFormatPr defaultRowHeight="15" outlineLevelCol="1"/>
  <cols>
    <col min="1" max="2" width="10.85546875" style="21" hidden="1" customWidth="1" outlineLevel="1"/>
    <col min="3" max="3" width="11.140625" style="51" hidden="1" customWidth="1" outlineLevel="1"/>
    <col min="4" max="4" width="12.5703125" style="21" hidden="1" customWidth="1" outlineLevel="1"/>
    <col min="5" max="5" width="3.42578125" style="21" customWidth="1" collapsed="1"/>
    <col min="6" max="6" width="3.7109375" style="21" customWidth="1"/>
    <col min="7" max="7" width="19.5703125" style="21" customWidth="1"/>
    <col min="8" max="8" width="35" style="21" customWidth="1"/>
    <col min="9" max="9" width="13.140625" style="21" bestFit="1" customWidth="1"/>
    <col min="10" max="10" width="13.140625" style="21" customWidth="1"/>
    <col min="11" max="11" width="5.85546875" style="21" customWidth="1"/>
    <col min="12" max="12" width="0.85546875" style="21" customWidth="1"/>
    <col min="13" max="13" width="15.5703125" style="21" customWidth="1"/>
    <col min="14" max="14" width="9.140625" style="21"/>
    <col min="15" max="15" width="9.7109375" style="21" customWidth="1"/>
    <col min="16" max="16" width="13.140625" style="21" bestFit="1" customWidth="1"/>
    <col min="17" max="17" width="11.140625" style="21" customWidth="1"/>
    <col min="18" max="18" width="2" style="30" customWidth="1"/>
    <col min="19" max="19" width="2" style="42" customWidth="1"/>
    <col min="20" max="20" width="11.140625" style="15" customWidth="1"/>
    <col min="21" max="21" width="34.42578125" style="15" customWidth="1"/>
    <col min="22" max="22" width="9.140625" style="15"/>
    <col min="23" max="23" width="13.140625" style="15" bestFit="1" customWidth="1"/>
    <col min="24" max="24" width="3" style="15" customWidth="1"/>
    <col min="25" max="25" width="5.140625" style="15" customWidth="1"/>
    <col min="26" max="26" width="15.28515625" style="15" customWidth="1"/>
    <col min="27" max="27" width="14" style="15" bestFit="1" customWidth="1"/>
    <col min="28" max="28" width="9.140625" style="15"/>
    <col min="29" max="29" width="13.140625" style="15" bestFit="1" customWidth="1"/>
    <col min="30" max="31" width="13.140625" style="15" customWidth="1"/>
    <col min="32" max="32" width="9.140625" style="15"/>
    <col min="33" max="33" width="11" style="15" customWidth="1"/>
    <col min="34" max="34" width="56.28515625" style="15" bestFit="1" customWidth="1"/>
    <col min="35" max="35" width="9.140625" style="15"/>
    <col min="36" max="36" width="14.28515625" style="15" bestFit="1" customWidth="1"/>
    <col min="37" max="37" width="10.85546875" style="15" bestFit="1" customWidth="1"/>
    <col min="38" max="38" width="9.140625" style="15"/>
    <col min="39" max="39" width="22" style="15" bestFit="1" customWidth="1"/>
    <col min="40" max="43" width="9.140625" style="15"/>
    <col min="44" max="44" width="22" style="15" bestFit="1" customWidth="1"/>
    <col min="45" max="46" width="9.140625" style="15"/>
    <col min="47" max="47" width="5.140625" style="15" customWidth="1"/>
    <col min="48" max="48" width="12.85546875" style="15" bestFit="1" customWidth="1"/>
    <col min="49" max="49" width="10.85546875" style="15" bestFit="1" customWidth="1"/>
    <col min="50" max="50" width="9.140625" style="15" customWidth="1" outlineLevel="1"/>
    <col min="51" max="51" width="11.5703125" style="15" customWidth="1" outlineLevel="1"/>
    <col min="52" max="52" width="48.7109375" style="15" customWidth="1" outlineLevel="1"/>
    <col min="53" max="53" width="8" style="15" customWidth="1" outlineLevel="1"/>
    <col min="54" max="54" width="9.140625" style="15" customWidth="1" outlineLevel="1"/>
    <col min="55" max="55" width="16.7109375" style="15" bestFit="1" customWidth="1"/>
    <col min="56" max="56" width="13.42578125" style="15" bestFit="1" customWidth="1"/>
    <col min="57" max="57" width="24" style="15" customWidth="1"/>
    <col min="58" max="58" width="9.140625" style="15"/>
    <col min="63" max="63" width="34.28515625" bestFit="1" customWidth="1"/>
  </cols>
  <sheetData>
    <row r="1" spans="1:84">
      <c r="G1" s="36" t="s">
        <v>6</v>
      </c>
      <c r="H1" s="83" t="str">
        <f>TEXT(H2,"ddd")</f>
        <v>Sun</v>
      </c>
    </row>
    <row r="2" spans="1:84">
      <c r="G2" s="36" t="s">
        <v>0</v>
      </c>
      <c r="H2" s="124">
        <f>I8</f>
        <v>42582</v>
      </c>
      <c r="I2" s="26"/>
      <c r="J2" s="26"/>
      <c r="AM2" s="28" t="s">
        <v>911</v>
      </c>
    </row>
    <row r="3" spans="1:84">
      <c r="G3" s="37" t="s">
        <v>9</v>
      </c>
      <c r="H3" s="82">
        <f>VLOOKUP(H2,'Forecast Workings'!$A$2:$I$46,9,0)</f>
        <v>692</v>
      </c>
      <c r="I3" s="26"/>
      <c r="J3" s="26"/>
      <c r="AM3" s="28" t="s">
        <v>910</v>
      </c>
      <c r="AR3" s="15">
        <v>5</v>
      </c>
      <c r="CF3" t="s">
        <v>911</v>
      </c>
    </row>
    <row r="4" spans="1:84">
      <c r="G4" s="37" t="s">
        <v>12</v>
      </c>
      <c r="H4" s="37" t="str">
        <f>VLOOKUP(H2,'Forecast Workings'!$A$2:$C$46,3,0)</f>
        <v>20-40% Off,FS on $49</v>
      </c>
      <c r="I4" s="52"/>
      <c r="J4" s="52"/>
      <c r="AM4" s="28" t="s">
        <v>29</v>
      </c>
      <c r="AR4" s="15">
        <f>AR3+5</f>
        <v>10</v>
      </c>
      <c r="CF4" t="s">
        <v>910</v>
      </c>
    </row>
    <row r="5" spans="1:84">
      <c r="G5" s="76" t="s">
        <v>798</v>
      </c>
      <c r="H5" s="106">
        <f>VLOOKUP(H2,'Forecast Workings'!$A$2:$E$29,5,0)</f>
        <v>0</v>
      </c>
      <c r="I5" s="52">
        <v>0</v>
      </c>
      <c r="J5" s="52"/>
      <c r="U5" s="15" t="s">
        <v>36</v>
      </c>
      <c r="AM5" s="28" t="s">
        <v>32</v>
      </c>
      <c r="AR5" s="15">
        <f t="shared" ref="AR5:AR6" si="0">AR4+5</f>
        <v>15</v>
      </c>
      <c r="CF5" t="s">
        <v>29</v>
      </c>
    </row>
    <row r="6" spans="1:84">
      <c r="G6" s="157" t="s">
        <v>775</v>
      </c>
      <c r="H6" s="159">
        <f>VLOOKUP(H2,'Forecast Workings'!$A$1:$J$42,10,0)</f>
        <v>0</v>
      </c>
      <c r="I6" s="79">
        <v>42582</v>
      </c>
      <c r="J6" s="79"/>
      <c r="AM6" s="28" t="s">
        <v>915</v>
      </c>
      <c r="AR6" s="15">
        <f t="shared" si="0"/>
        <v>20</v>
      </c>
      <c r="CF6" t="s">
        <v>32</v>
      </c>
    </row>
    <row r="7" spans="1:84">
      <c r="C7" s="51">
        <f>VLOOKUP(A9,'Forecast Workings'!$A$2:$J$29,10,0)</f>
        <v>0</v>
      </c>
      <c r="G7" s="158"/>
      <c r="H7" s="160"/>
      <c r="I7" s="79" t="b">
        <v>1</v>
      </c>
      <c r="J7" s="79"/>
      <c r="AM7" s="112" t="s">
        <v>916</v>
      </c>
      <c r="CF7" t="s">
        <v>915</v>
      </c>
    </row>
    <row r="8" spans="1:84" s="15" customFormat="1" ht="15.75" thickBot="1">
      <c r="A8" s="24" t="s">
        <v>0</v>
      </c>
      <c r="B8" s="24" t="s">
        <v>1</v>
      </c>
      <c r="C8" s="47" t="s">
        <v>794</v>
      </c>
      <c r="D8" s="47" t="s">
        <v>796</v>
      </c>
      <c r="E8" s="21"/>
      <c r="F8" s="21"/>
      <c r="G8" s="76" t="s">
        <v>799</v>
      </c>
      <c r="H8" s="86" t="s">
        <v>800</v>
      </c>
      <c r="I8" s="79">
        <f>I6+I5</f>
        <v>42582</v>
      </c>
      <c r="J8" s="79"/>
      <c r="K8" s="21"/>
      <c r="L8" s="21"/>
      <c r="M8" s="21"/>
      <c r="N8" s="21"/>
      <c r="O8" s="21"/>
      <c r="P8" s="21"/>
      <c r="Q8" s="21"/>
      <c r="R8" s="30"/>
      <c r="S8" s="30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8" t="s">
        <v>912</v>
      </c>
      <c r="AN8" s="21"/>
      <c r="CF8" s="15" t="s">
        <v>916</v>
      </c>
    </row>
    <row r="9" spans="1:84" ht="15.75" customHeight="1">
      <c r="A9" s="23">
        <f>'Forecast Workings'!A2</f>
        <v>42582</v>
      </c>
      <c r="B9" s="16">
        <f>'Forecast Workings'!I2</f>
        <v>692</v>
      </c>
      <c r="C9" s="48">
        <f>VLOOKUP(A9,'Forecast Workings'!$A$2:$J$29,10,0)</f>
        <v>0</v>
      </c>
      <c r="D9" s="48">
        <f>VLOOKUP(A9,'Forecast Workings'!$A$2:$M$29,13,0)</f>
        <v>0</v>
      </c>
      <c r="G9" s="76" t="s">
        <v>795</v>
      </c>
      <c r="H9" s="77">
        <f>VLOOKUP(H2,'Forecast Workings'!$A$2:$M$46,4,0)</f>
        <v>1</v>
      </c>
      <c r="I9" s="80">
        <v>1</v>
      </c>
      <c r="J9" s="80"/>
      <c r="S9" s="30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H9" s="21"/>
      <c r="AI9" s="21"/>
      <c r="AJ9" s="21"/>
      <c r="AK9" s="21"/>
      <c r="AL9" s="21"/>
      <c r="AM9" s="28" t="s">
        <v>19</v>
      </c>
      <c r="AN9" s="21"/>
      <c r="AX9" s="161" t="s">
        <v>2</v>
      </c>
      <c r="AY9" s="162"/>
      <c r="AZ9" s="162"/>
      <c r="BA9" s="162"/>
      <c r="BB9" s="163"/>
      <c r="CF9" t="s">
        <v>912</v>
      </c>
    </row>
    <row r="10" spans="1:84" ht="15" customHeight="1" thickBot="1">
      <c r="A10" s="23">
        <f>'Forecast Workings'!A3</f>
        <v>42583</v>
      </c>
      <c r="B10" s="16">
        <f>'Forecast Workings'!I3</f>
        <v>1279</v>
      </c>
      <c r="C10" s="48">
        <f>VLOOKUP(A10,'Forecast Workings'!$A$2:$J$29,10,0)</f>
        <v>0</v>
      </c>
      <c r="D10" s="48">
        <f>VLOOKUP(A10,'Forecast Workings'!$A$2:$M$29,13,0)</f>
        <v>0</v>
      </c>
      <c r="I10" s="52"/>
      <c r="J10" s="52"/>
      <c r="S10" s="30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77" t="s">
        <v>29</v>
      </c>
      <c r="AN10" s="21"/>
      <c r="AX10" s="164"/>
      <c r="AY10" s="165"/>
      <c r="AZ10" s="165"/>
      <c r="BA10" s="165"/>
      <c r="BB10" s="166"/>
      <c r="CF10" t="s">
        <v>19</v>
      </c>
    </row>
    <row r="11" spans="1:84" s="1" customFormat="1" ht="15.75" customHeight="1">
      <c r="A11" s="23">
        <f>'Forecast Workings'!A4</f>
        <v>42584</v>
      </c>
      <c r="B11" s="16">
        <f>'Forecast Workings'!I4</f>
        <v>1012.0000000000001</v>
      </c>
      <c r="C11" s="48">
        <f>VLOOKUP(A11,'Forecast Workings'!$A$2:$J$29,10,0)</f>
        <v>0</v>
      </c>
      <c r="D11" s="68">
        <f>VLOOKUP(A11,'Forecast Workings'!$A$2:$M$29,13,0)</f>
        <v>0</v>
      </c>
      <c r="E11" s="21"/>
      <c r="F11" s="21"/>
      <c r="I11" s="81"/>
      <c r="J11" s="81"/>
      <c r="K11" s="21"/>
      <c r="L11" s="21"/>
      <c r="M11" s="21"/>
      <c r="N11" s="21"/>
      <c r="O11" s="21"/>
      <c r="P11" s="21"/>
      <c r="Q11" s="29"/>
      <c r="R11" s="155"/>
      <c r="S11" s="155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H11" s="125" t="str">
        <f>H1</f>
        <v>Sun</v>
      </c>
      <c r="AI11" s="128">
        <f>H9</f>
        <v>1</v>
      </c>
      <c r="AJ11" s="21"/>
      <c r="AK11" s="21"/>
      <c r="AL11" s="21"/>
      <c r="AM11" s="77" t="s">
        <v>917</v>
      </c>
      <c r="AN11" s="21"/>
      <c r="AO11" s="15"/>
      <c r="AP11" s="15"/>
      <c r="AQ11" s="15"/>
      <c r="AR11" s="1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CF11" s="1" t="s">
        <v>29</v>
      </c>
    </row>
    <row r="12" spans="1:84" s="1" customFormat="1" ht="15" customHeight="1">
      <c r="A12" s="23">
        <f>'Forecast Workings'!A5</f>
        <v>42585</v>
      </c>
      <c r="B12" s="16">
        <f>'Forecast Workings'!I5</f>
        <v>1249</v>
      </c>
      <c r="C12" s="48">
        <f>VLOOKUP(A12,'Forecast Workings'!$A$2:$J$29,10,0)</f>
        <v>0</v>
      </c>
      <c r="D12" s="48">
        <f>VLOOKUP(A12,'Forecast Workings'!$A$2:$M$29,13,0)</f>
        <v>0</v>
      </c>
      <c r="E12" s="21"/>
      <c r="F12" s="21"/>
      <c r="G12" s="1" t="s">
        <v>807</v>
      </c>
      <c r="K12" s="21"/>
      <c r="L12" s="21"/>
      <c r="M12" s="1" t="s">
        <v>806</v>
      </c>
      <c r="N12" s="21"/>
      <c r="O12" s="21"/>
      <c r="P12" s="78"/>
      <c r="Q12" s="21"/>
      <c r="R12" s="30"/>
      <c r="S12" s="30"/>
      <c r="T12" s="152" t="s">
        <v>808</v>
      </c>
      <c r="U12" s="26"/>
      <c r="V12" s="26"/>
      <c r="W12" s="21"/>
      <c r="X12" s="21"/>
      <c r="Y12" s="21"/>
      <c r="Z12" s="1" t="s">
        <v>809</v>
      </c>
      <c r="AA12" s="21"/>
      <c r="AB12" s="21"/>
      <c r="AC12" s="21"/>
      <c r="AD12" s="21"/>
      <c r="AE12" s="21"/>
      <c r="AF12" s="21"/>
      <c r="AG12" s="107" t="s">
        <v>940</v>
      </c>
      <c r="AI12" s="37" t="s">
        <v>921</v>
      </c>
      <c r="AJ12" s="109" t="s">
        <v>860</v>
      </c>
      <c r="AK12" s="21"/>
      <c r="AL12" s="21"/>
      <c r="AM12" s="28" t="s">
        <v>425</v>
      </c>
      <c r="AN12" s="21"/>
      <c r="AO12" s="15"/>
      <c r="AP12" s="15"/>
      <c r="AQ12" s="15"/>
      <c r="AR12" s="15"/>
      <c r="AS12" s="111"/>
      <c r="AT12" s="110" t="str">
        <f>AJ12</f>
        <v>Flash Sale</v>
      </c>
      <c r="AU12" s="25"/>
      <c r="AV12" s="25"/>
      <c r="AW12" s="25"/>
      <c r="AX12" s="25"/>
      <c r="AY12" s="25"/>
      <c r="AZ12" s="25"/>
      <c r="BA12" s="25"/>
      <c r="BB12" s="25"/>
      <c r="BC12" s="25"/>
      <c r="BE12" s="25"/>
      <c r="BF12" s="25"/>
      <c r="CF12" s="1" t="s">
        <v>917</v>
      </c>
    </row>
    <row r="13" spans="1:84" ht="20.25" customHeight="1">
      <c r="A13" s="23">
        <f>'Forecast Workings'!A6</f>
        <v>42586</v>
      </c>
      <c r="B13" s="16">
        <f>'Forecast Workings'!I6</f>
        <v>1405</v>
      </c>
      <c r="C13" s="48">
        <f>VLOOKUP(A13,'Forecast Workings'!$A$2:$J$29,10,0)</f>
        <v>0</v>
      </c>
      <c r="D13" s="48">
        <f>VLOOKUP(A13,'Forecast Workings'!$A$2:$M$29,13,0)</f>
        <v>0</v>
      </c>
      <c r="G13" s="37" t="s">
        <v>13</v>
      </c>
      <c r="H13" s="74" t="str">
        <f>IF(H2=" ","",TEXT(H2,"DDD"))</f>
        <v>Sun</v>
      </c>
      <c r="I13" s="37" t="s">
        <v>737</v>
      </c>
      <c r="J13" s="1"/>
      <c r="K13" s="31"/>
      <c r="M13" s="37" t="s">
        <v>13</v>
      </c>
      <c r="N13" s="74" t="s">
        <v>14</v>
      </c>
      <c r="O13" s="37"/>
      <c r="P13" s="32"/>
      <c r="Q13" s="32"/>
      <c r="S13" s="30"/>
      <c r="T13" s="153" t="s">
        <v>13</v>
      </c>
      <c r="U13" s="69" t="str">
        <f>H13</f>
        <v>Sun</v>
      </c>
      <c r="V13" s="153"/>
      <c r="W13" s="32"/>
      <c r="X13" s="32"/>
      <c r="Y13" s="21"/>
      <c r="Z13" s="37" t="s">
        <v>13</v>
      </c>
      <c r="AA13" s="74" t="str">
        <f>H13</f>
        <v>Sun</v>
      </c>
      <c r="AB13" s="37"/>
      <c r="AC13" s="38"/>
      <c r="AD13" s="21"/>
      <c r="AE13" s="21"/>
      <c r="AF13" s="21"/>
      <c r="AH13" s="21"/>
      <c r="AI13" s="21"/>
      <c r="AJ13" s="21"/>
      <c r="AK13" s="21"/>
      <c r="AL13" s="21"/>
      <c r="AM13" s="112" t="s">
        <v>612</v>
      </c>
      <c r="AN13" s="21"/>
      <c r="AS13" s="115" t="str">
        <f>AT12</f>
        <v>Flash Sale</v>
      </c>
      <c r="AT13" s="113" t="s">
        <v>824</v>
      </c>
      <c r="AU13" s="113" t="s">
        <v>3</v>
      </c>
      <c r="AV13" s="113" t="s">
        <v>4</v>
      </c>
      <c r="AW13" s="113" t="s">
        <v>5</v>
      </c>
      <c r="AX13" s="113" t="s">
        <v>6</v>
      </c>
      <c r="AY13" s="113" t="s">
        <v>0</v>
      </c>
      <c r="AZ13" s="113" t="s">
        <v>7</v>
      </c>
      <c r="BA13" s="113" t="s">
        <v>8</v>
      </c>
      <c r="BB13" s="113" t="s">
        <v>9</v>
      </c>
      <c r="BC13" s="113" t="s">
        <v>918</v>
      </c>
      <c r="BD13" s="151" t="s">
        <v>920</v>
      </c>
      <c r="BH13" s="1"/>
      <c r="BI13" s="1"/>
      <c r="BJ13" s="1"/>
      <c r="BK13" t="s">
        <v>800</v>
      </c>
      <c r="CF13" t="s">
        <v>425</v>
      </c>
    </row>
    <row r="14" spans="1:84" ht="12.75" customHeight="1">
      <c r="A14" s="23">
        <f>'Forecast Workings'!A7</f>
        <v>42587</v>
      </c>
      <c r="B14" s="16">
        <f>'Forecast Workings'!I7</f>
        <v>1260.5</v>
      </c>
      <c r="C14" s="48">
        <f>VLOOKUP(A14,'Forecast Workings'!$A$2:$J$29,10,0)</f>
        <v>0</v>
      </c>
      <c r="D14" s="48">
        <f>VLOOKUP(A14,'Forecast Workings'!$A$2:$M$29,13,0)</f>
        <v>0</v>
      </c>
      <c r="F14" s="52">
        <f>MAX(K16:K110)</f>
        <v>2</v>
      </c>
      <c r="G14" s="37" t="s">
        <v>12</v>
      </c>
      <c r="H14" s="69" t="str">
        <f>IF(I9=1,H4,IF(I9=2,H5,IF(I9=3,H8)))</f>
        <v>20-40% Off,FS on $49</v>
      </c>
      <c r="I14" s="37"/>
      <c r="J14" s="1"/>
      <c r="K14" s="31"/>
      <c r="M14" s="37" t="s">
        <v>12</v>
      </c>
      <c r="N14" s="167" t="str">
        <f>H14</f>
        <v>20-40% Off,FS on $49</v>
      </c>
      <c r="O14" s="168"/>
      <c r="P14" s="168"/>
      <c r="Q14" s="33"/>
      <c r="S14" s="30"/>
      <c r="T14" s="153" t="s">
        <v>12</v>
      </c>
      <c r="U14" s="153" t="s">
        <v>15</v>
      </c>
      <c r="V14" s="153"/>
      <c r="W14" s="33"/>
      <c r="X14" s="33"/>
      <c r="Z14" s="53" t="s">
        <v>12</v>
      </c>
      <c r="AA14" s="75" t="s">
        <v>10</v>
      </c>
      <c r="AB14" s="53"/>
      <c r="AC14" s="53" t="s">
        <v>737</v>
      </c>
      <c r="AD14" s="21"/>
      <c r="AE14" s="21" t="s">
        <v>6</v>
      </c>
      <c r="AF14" s="21">
        <f>MAX($AT$14:$AT$1042)</f>
        <v>33</v>
      </c>
      <c r="AG14" s="37" t="s">
        <v>11</v>
      </c>
      <c r="AH14" s="37" t="s">
        <v>12</v>
      </c>
      <c r="AI14" s="37" t="s">
        <v>16</v>
      </c>
      <c r="AJ14" s="37" t="s">
        <v>737</v>
      </c>
      <c r="AK14" s="37" t="s">
        <v>919</v>
      </c>
      <c r="AL14" s="21"/>
      <c r="AM14" s="112" t="s">
        <v>837</v>
      </c>
      <c r="AN14" s="21"/>
      <c r="AS14" s="112" t="str">
        <f t="shared" ref="AS14:AS15" si="1">IFERROR(IF(FIND($AT$12,AZ14)&gt;0,1,0),"")</f>
        <v/>
      </c>
      <c r="AT14" s="112" t="str">
        <f>IF(AS14="","",COUNTIF($AS$13:AS14,AS14))</f>
        <v/>
      </c>
      <c r="AU14" s="147">
        <v>1</v>
      </c>
      <c r="AV14" s="147">
        <v>0</v>
      </c>
      <c r="AW14" s="147">
        <v>1</v>
      </c>
      <c r="AX14" s="148" t="str">
        <f t="shared" ref="AX14:AX15" si="2">TEXT(AY14,"ddd")</f>
        <v>Sun</v>
      </c>
      <c r="AY14" s="149">
        <f>'Raw Data'!A4</f>
        <v>41609</v>
      </c>
      <c r="AZ14" s="150" t="str">
        <f>'Raw Data'!E4</f>
        <v>Black Friday</v>
      </c>
      <c r="BA14" s="150">
        <f>'Raw Data'!I4</f>
        <v>1112</v>
      </c>
      <c r="BB14" s="112"/>
      <c r="BC14" s="112"/>
      <c r="BD14" s="112">
        <f>'Raw Data'!O4</f>
        <v>2</v>
      </c>
      <c r="BH14" s="1"/>
      <c r="BI14" s="1"/>
      <c r="BJ14" s="1"/>
      <c r="BK14" t="s">
        <v>165</v>
      </c>
      <c r="CF14">
        <v>0.35</v>
      </c>
    </row>
    <row r="15" spans="1:84" ht="13.5" customHeight="1">
      <c r="A15" s="23">
        <f>'Forecast Workings'!A8</f>
        <v>42588</v>
      </c>
      <c r="B15" s="16">
        <f>'Forecast Workings'!I8</f>
        <v>960</v>
      </c>
      <c r="C15" s="48">
        <f>VLOOKUP(A15,'Forecast Workings'!$A$2:$J$29,10,0)</f>
        <v>0</v>
      </c>
      <c r="D15" s="48">
        <f>VLOOKUP(A15,'Forecast Workings'!$A$2:$M$29,13,0)</f>
        <v>0</v>
      </c>
      <c r="F15" s="52"/>
      <c r="G15" s="53" t="s">
        <v>11</v>
      </c>
      <c r="H15" s="53" t="s">
        <v>16</v>
      </c>
      <c r="I15" s="37" t="s">
        <v>737</v>
      </c>
      <c r="J15" s="1"/>
      <c r="K15" s="70"/>
      <c r="L15" s="30">
        <f t="array" ref="L15">MAX(IF($AZ$14:$AZ$1000=$N$14,$AV$14:$AV$1000))</f>
        <v>11</v>
      </c>
      <c r="M15" s="37" t="s">
        <v>11</v>
      </c>
      <c r="N15" s="37" t="s">
        <v>13</v>
      </c>
      <c r="O15" s="37" t="s">
        <v>16</v>
      </c>
      <c r="P15" s="37" t="s">
        <v>737</v>
      </c>
      <c r="Q15" s="34"/>
      <c r="S15" s="30">
        <f t="array" ref="S15">MAX(IF($AX$14:$AX$713=$U$13,AW14:AW713))</f>
        <v>100</v>
      </c>
      <c r="T15" s="153" t="s">
        <v>11</v>
      </c>
      <c r="U15" s="154" t="s">
        <v>12</v>
      </c>
      <c r="V15" s="154" t="s">
        <v>16</v>
      </c>
      <c r="W15" s="37" t="s">
        <v>737</v>
      </c>
      <c r="X15" s="32"/>
      <c r="Y15" s="30">
        <f t="array" ref="Y15">MAX(IF($U$16:$U$92=$AA$14,$R$16:$R$92))</f>
        <v>4</v>
      </c>
      <c r="Z15" s="72">
        <f t="shared" ref="Z15:Z36" si="3">SUMPRODUCT(($R$16:$R$92=$Y15)*($U$16:$U$92=$AA$14)*($T$16:$T$92))</f>
        <v>41840</v>
      </c>
      <c r="AA15" s="73" t="str">
        <f>IFERROR(IF(Z15=0,0,TEXT(Z15,"DDD")),0)</f>
        <v>Sun</v>
      </c>
      <c r="AB15" s="73">
        <f>IFERROR(VLOOKUP(Z15,$T$15:$V$1000,3,0),0)</f>
        <v>535</v>
      </c>
      <c r="AC15" s="73">
        <f>IFERROR(VLOOKUP(Z15,'Raw Data'!$A$4:$O$1500,15,0),0)</f>
        <v>0</v>
      </c>
      <c r="AD15" s="33"/>
      <c r="AE15" s="33" t="str">
        <f>TEXT(AG15,"DDD")</f>
        <v>Fri</v>
      </c>
      <c r="AF15" s="114">
        <f>AF14</f>
        <v>33</v>
      </c>
      <c r="AG15" s="108">
        <f t="shared" ref="AG15:AG47" si="4">IF(AF15="","",VLOOKUP(AF15,$AT$14:$BC$1042,6,0))</f>
        <v>42496</v>
      </c>
      <c r="AH15" s="21" t="str">
        <f t="shared" ref="AH15:AH47" si="5">IF(AF15="","",VLOOKUP(AF15,$AT$14:$BC$1042,7,0))</f>
        <v>Flash Sale,25% Off,FS on $49</v>
      </c>
      <c r="AI15" s="21">
        <f t="shared" ref="AI15:AI47" si="6">IF(AF15="","",VLOOKUP(AF15,$AT$14:$BC$1042,8,0))</f>
        <v>747</v>
      </c>
      <c r="AJ15" s="21">
        <f t="shared" ref="AJ15:AJ47" si="7">IF(AF15="","",VLOOKUP(AF15,$AT$14:$BD$1042,11,0))</f>
        <v>1</v>
      </c>
      <c r="AK15" s="21">
        <f t="shared" ref="AK15:AK47" si="8">IF(AG15="","",VLOOKUP(AG15,$AY$14:$BD$1042,5,0))</f>
        <v>0</v>
      </c>
      <c r="AL15" s="21"/>
      <c r="AM15" s="112" t="s">
        <v>911</v>
      </c>
      <c r="AN15" s="21"/>
      <c r="AS15" s="112" t="str">
        <f t="shared" si="1"/>
        <v/>
      </c>
      <c r="AT15" s="112" t="str">
        <f>IF(AS15="","",COUNTIF($AS$13:AS15,AS15))</f>
        <v/>
      </c>
      <c r="AU15" s="147">
        <f>AU14+1</f>
        <v>2</v>
      </c>
      <c r="AV15" s="147">
        <f>COUNTIF($AZ$14:AZ15,AZ15)</f>
        <v>1</v>
      </c>
      <c r="AW15" s="147">
        <v>1</v>
      </c>
      <c r="AX15" s="148" t="str">
        <f t="shared" si="2"/>
        <v>Mon</v>
      </c>
      <c r="AY15" s="149">
        <f>'Raw Data'!A5</f>
        <v>41610</v>
      </c>
      <c r="AZ15" s="150" t="str">
        <f>'Raw Data'!E5</f>
        <v>Cyber Savings</v>
      </c>
      <c r="BA15" s="150">
        <f>'Raw Data'!I5</f>
        <v>1953</v>
      </c>
      <c r="BB15" s="112"/>
      <c r="BC15" s="112"/>
      <c r="BD15" s="112">
        <f>'Raw Data'!O5</f>
        <v>2</v>
      </c>
      <c r="BH15" s="1"/>
      <c r="BI15" s="1"/>
      <c r="BJ15" s="1"/>
      <c r="BK15" t="s">
        <v>311</v>
      </c>
      <c r="CF15">
        <v>0.25</v>
      </c>
    </row>
    <row r="16" spans="1:84">
      <c r="A16" s="23">
        <f>'Forecast Workings'!A9</f>
        <v>42589</v>
      </c>
      <c r="B16" s="16">
        <f>'Forecast Workings'!I9</f>
        <v>904</v>
      </c>
      <c r="C16" s="48">
        <f>VLOOKUP(A16,'Forecast Workings'!$A$2:$J$29,10,0)</f>
        <v>0</v>
      </c>
      <c r="D16" s="48">
        <f>VLOOKUP(A16,'Forecast Workings'!$A$2:$M$29,13,0)</f>
        <v>0</v>
      </c>
      <c r="F16" s="52">
        <v>1</v>
      </c>
      <c r="G16" s="54">
        <f t="shared" ref="G16:G62" si="9">IFERROR(SUMPRODUCT(($K$16:$K$109=F16)*($N$16:$N$109=$H$13)*($M$16:$M$109)),"")</f>
        <v>42239</v>
      </c>
      <c r="H16" s="33">
        <f t="shared" ref="H16:H62" si="10">IFERROR(VLOOKUP(G16,$M$15:$O$110,3,0),0)</f>
        <v>778</v>
      </c>
      <c r="I16" s="33">
        <f>IFERROR(VLOOKUP(G16,'Raw Data'!$A$4:$O$1500,15,0),0)</f>
        <v>2</v>
      </c>
      <c r="J16" s="1"/>
      <c r="K16" s="70">
        <f>IF(M16=0,"",COUNTIF($N$16:N16,$H$13))</f>
        <v>0</v>
      </c>
      <c r="L16" s="30">
        <f>L15</f>
        <v>11</v>
      </c>
      <c r="M16" s="54">
        <f t="shared" ref="M16:M47" si="11">IFERROR(SUMPRODUCT(($AV$14:$AV$1000=L16)*($AZ$14:$AZ$1000=$N$14)*$AY$14:$AY$1000),"")</f>
        <v>42244</v>
      </c>
      <c r="N16" s="33" t="str">
        <f>IFERROR(IF(M16=0,0,TEXT(M16,"DDD")),"")</f>
        <v>Fri</v>
      </c>
      <c r="O16" s="33">
        <f>IFERROR(VLOOKUP(M16,$AY$14:$BA$1000,3,0),"")</f>
        <v>1049</v>
      </c>
      <c r="P16" s="33">
        <f>IFERROR(VLOOKUP(M16,'Raw Data'!$A$4:$O$1500,15,0),0)</f>
        <v>1</v>
      </c>
      <c r="Q16" s="33"/>
      <c r="R16" s="30">
        <f>COUNTIF($U$16:U16,$AA$14)</f>
        <v>0</v>
      </c>
      <c r="S16" s="30">
        <f>S15</f>
        <v>100</v>
      </c>
      <c r="T16" s="54">
        <f t="shared" ref="T16:T47" si="12">IFERROR(SUMPRODUCT(($AW$14:$AW$1000=S16)*($AX$14:$AX$1000=$U$13)*$AY$14:$AY$1000),"")</f>
        <v>42302</v>
      </c>
      <c r="U16" s="33" t="str">
        <f>IFERROR(VLOOKUP(T16,$AY$13:$BA$1000,2,0),"")</f>
        <v>30% Off,FS on $75</v>
      </c>
      <c r="V16" s="33">
        <f t="shared" ref="V16:V47" si="13">IFERROR(VLOOKUP(T16,$AY$13:$BA$1000,3,0),"")</f>
        <v>722</v>
      </c>
      <c r="W16" s="33">
        <f>IFERROR(VLOOKUP(T16,'Raw Data'!$A$4:$O$1500,15,0),0)</f>
        <v>1</v>
      </c>
      <c r="X16" s="35"/>
      <c r="Y16" s="42">
        <f>Y15-1</f>
        <v>3</v>
      </c>
      <c r="Z16" s="72">
        <f t="shared" si="3"/>
        <v>42127</v>
      </c>
      <c r="AA16" s="73" t="str">
        <f>IFERROR(IF(Z16=0,0,TEXT(Z16,"DDD")),0)</f>
        <v>Sun</v>
      </c>
      <c r="AB16" s="73">
        <f t="shared" ref="AB16:AB36" si="14">IFERROR(VLOOKUP(Z16,$T$15:$V$1000,3,0),0)</f>
        <v>560</v>
      </c>
      <c r="AC16" s="73">
        <f>IFERROR(VLOOKUP(Z16,'Raw Data'!$A$4:$O$1500,15,0),0)</f>
        <v>0</v>
      </c>
      <c r="AD16" s="33"/>
      <c r="AE16" s="33" t="str">
        <f t="shared" ref="AE16:AE47" si="15">TEXT(AG16,"DDD")</f>
        <v>Thu</v>
      </c>
      <c r="AF16" s="114">
        <f>IFERROR(IF(AF15=1,"",AF15-1),"")</f>
        <v>32</v>
      </c>
      <c r="AG16" s="108">
        <f t="shared" si="4"/>
        <v>42495</v>
      </c>
      <c r="AH16" s="21" t="str">
        <f t="shared" si="5"/>
        <v>Flash Sale,25% Off,FS on $49</v>
      </c>
      <c r="AI16" s="21">
        <f t="shared" si="6"/>
        <v>1135</v>
      </c>
      <c r="AJ16" s="21">
        <f t="shared" si="7"/>
        <v>2</v>
      </c>
      <c r="AK16" s="21">
        <f t="shared" si="8"/>
        <v>0</v>
      </c>
      <c r="AL16" s="21"/>
      <c r="AM16" s="112" t="s">
        <v>157</v>
      </c>
      <c r="AN16" s="21"/>
      <c r="AS16" s="112" t="str">
        <f t="shared" ref="AS16:AS79" si="16">IFERROR(IF(FIND($AT$12,AZ16)&gt;0,1,0),"")</f>
        <v/>
      </c>
      <c r="AT16" s="112" t="str">
        <f>IF(AS16="","",COUNTIF($AS$13:AS16,AS16))</f>
        <v/>
      </c>
      <c r="AU16" s="147">
        <f t="shared" ref="AU16:AU79" si="17">AU15+1</f>
        <v>3</v>
      </c>
      <c r="AV16" s="147">
        <f>COUNTIF($AZ$14:AZ16,AZ16)</f>
        <v>2</v>
      </c>
      <c r="AW16" s="147">
        <v>1</v>
      </c>
      <c r="AX16" s="148" t="str">
        <f t="shared" ref="AX16:AX79" si="18">TEXT(AY16,"ddd")</f>
        <v>Tue</v>
      </c>
      <c r="AY16" s="149">
        <f>'Raw Data'!A6</f>
        <v>41611</v>
      </c>
      <c r="AZ16" s="150" t="str">
        <f>'Raw Data'!E6</f>
        <v>Cyber Savings</v>
      </c>
      <c r="BA16" s="150">
        <f>'Raw Data'!I6</f>
        <v>1753</v>
      </c>
      <c r="BB16" s="112"/>
      <c r="BC16" s="112"/>
      <c r="BD16" s="112">
        <f>'Raw Data'!O6</f>
        <v>1</v>
      </c>
      <c r="BH16" s="1"/>
      <c r="BI16" s="1"/>
      <c r="BJ16" s="1"/>
      <c r="BK16" t="s">
        <v>165</v>
      </c>
    </row>
    <row r="17" spans="1:63" ht="15" customHeight="1">
      <c r="A17" s="23">
        <f>'Forecast Workings'!A10</f>
        <v>42590</v>
      </c>
      <c r="B17" s="16">
        <f>'Forecast Workings'!I10</f>
        <v>1207.8499999999999</v>
      </c>
      <c r="C17" s="48">
        <f>VLOOKUP(A17,'Forecast Workings'!$A$2:$J$29,10,0)</f>
        <v>0</v>
      </c>
      <c r="D17" s="48">
        <f>VLOOKUP(A17,'Forecast Workings'!$A$2:$M$29,13,0)</f>
        <v>0</v>
      </c>
      <c r="F17" s="52">
        <f t="shared" ref="F17:F62" si="19">IF(F16&lt;$F$14,F16+1,"")</f>
        <v>2</v>
      </c>
      <c r="G17" s="54">
        <f t="shared" si="9"/>
        <v>41847</v>
      </c>
      <c r="H17" s="33">
        <f t="shared" si="10"/>
        <v>606</v>
      </c>
      <c r="I17" s="33">
        <f>IFERROR(VLOOKUP(G17,'Raw Data'!$A$4:$O$1500,15,0),0)</f>
        <v>1</v>
      </c>
      <c r="J17" s="1"/>
      <c r="K17" s="70">
        <f>IF(M17=0,"",COUNTIF($N$16:N17,$H$13))</f>
        <v>0</v>
      </c>
      <c r="L17" s="30">
        <f>L16-1</f>
        <v>10</v>
      </c>
      <c r="M17" s="54">
        <f t="shared" si="11"/>
        <v>42243</v>
      </c>
      <c r="N17" s="33" t="str">
        <f t="shared" ref="N17:N26" si="20">IFERROR(IF(M17=0,0,TEXT(M17,"DDD")),"")</f>
        <v>Thu</v>
      </c>
      <c r="O17" s="33">
        <f>IFERROR(VLOOKUP(M17,$AY$14:$BA$1000,3,0),"")</f>
        <v>991</v>
      </c>
      <c r="P17" s="33">
        <f>IFERROR(VLOOKUP(M17,'Raw Data'!$A$4:$O$1500,15,0),0)</f>
        <v>1</v>
      </c>
      <c r="Q17" s="33"/>
      <c r="R17" s="30">
        <f>COUNTIF($U$16:U17,$AA$14)</f>
        <v>0</v>
      </c>
      <c r="S17" s="30">
        <f>IF(S16-1&lt;0,0,S16-1)</f>
        <v>99</v>
      </c>
      <c r="T17" s="54">
        <f t="shared" si="12"/>
        <v>42295</v>
      </c>
      <c r="U17" s="33" t="str">
        <f t="shared" ref="U17:U47" si="21">IFERROR(VLOOKUP(T17,$AY$13:$BA$1000,2,0),"")</f>
        <v>$15 Off,FS on $49</v>
      </c>
      <c r="V17" s="33">
        <f t="shared" si="13"/>
        <v>601</v>
      </c>
      <c r="W17" s="33">
        <f>IFERROR(VLOOKUP(T17,'Raw Data'!$A$4:$O$1500,15,0),0)</f>
        <v>1</v>
      </c>
      <c r="X17" s="35"/>
      <c r="Y17" s="42">
        <f t="shared" ref="Y17:Y36" si="22">Y16-1</f>
        <v>2</v>
      </c>
      <c r="Z17" s="72">
        <f t="shared" si="3"/>
        <v>42232</v>
      </c>
      <c r="AA17" s="73" t="str">
        <f t="shared" ref="AA17:AA36" si="23">IFERROR(IF(Z17=0,0,TEXT(Z17,"DDD")),0)</f>
        <v>Sun</v>
      </c>
      <c r="AB17" s="73">
        <f t="shared" si="14"/>
        <v>742</v>
      </c>
      <c r="AC17" s="73">
        <f>IFERROR(VLOOKUP(Z17,'Raw Data'!$A$4:$O$1500,15,0),0)</f>
        <v>0</v>
      </c>
      <c r="AD17" s="33"/>
      <c r="AE17" s="33" t="str">
        <f t="shared" si="15"/>
        <v>Tue</v>
      </c>
      <c r="AF17" s="114">
        <f t="shared" ref="AF17:AF80" si="24">IFERROR(IF(AF16=1,"",AF16-1),"")</f>
        <v>31</v>
      </c>
      <c r="AG17" s="108">
        <f t="shared" si="4"/>
        <v>42493</v>
      </c>
      <c r="AH17" s="21" t="str">
        <f t="shared" si="5"/>
        <v>Flash Sale,30% Off,FS on $49</v>
      </c>
      <c r="AI17" s="21">
        <f t="shared" si="6"/>
        <v>982</v>
      </c>
      <c r="AJ17" s="21">
        <f t="shared" si="7"/>
        <v>2</v>
      </c>
      <c r="AK17" s="21">
        <f t="shared" si="8"/>
        <v>0</v>
      </c>
      <c r="AL17" s="21"/>
      <c r="AM17" s="112" t="s">
        <v>835</v>
      </c>
      <c r="AN17" s="21"/>
      <c r="AS17" s="112" t="str">
        <f t="shared" si="16"/>
        <v/>
      </c>
      <c r="AT17" s="112" t="str">
        <f>IF(AS17="","",COUNTIF($AS$13:AS17,AS17))</f>
        <v/>
      </c>
      <c r="AU17" s="147">
        <f t="shared" si="17"/>
        <v>4</v>
      </c>
      <c r="AV17" s="147">
        <f>COUNTIF($AZ$14:AZ17,AZ17)</f>
        <v>3</v>
      </c>
      <c r="AW17" s="147">
        <v>1</v>
      </c>
      <c r="AX17" s="148" t="str">
        <f t="shared" si="18"/>
        <v>Wed</v>
      </c>
      <c r="AY17" s="149">
        <f>'Raw Data'!A7</f>
        <v>41612</v>
      </c>
      <c r="AZ17" s="150" t="str">
        <f>'Raw Data'!E7</f>
        <v>Cyber Savings</v>
      </c>
      <c r="BA17" s="150">
        <f>'Raw Data'!I7</f>
        <v>1609</v>
      </c>
      <c r="BB17" s="112"/>
      <c r="BC17" s="112"/>
      <c r="BD17" s="112">
        <f>'Raw Data'!O7</f>
        <v>1</v>
      </c>
      <c r="BH17" s="1"/>
      <c r="BI17" s="1"/>
      <c r="BJ17" s="1"/>
      <c r="BK17" t="s">
        <v>738</v>
      </c>
    </row>
    <row r="18" spans="1:63">
      <c r="A18" s="23">
        <f>'Forecast Workings'!A11</f>
        <v>42591</v>
      </c>
      <c r="B18" s="16">
        <f>'Forecast Workings'!I11</f>
        <v>1165.6499999999999</v>
      </c>
      <c r="C18" s="48">
        <f>VLOOKUP(A18,'Forecast Workings'!$A$2:$J$29,10,0)</f>
        <v>0</v>
      </c>
      <c r="D18" s="48">
        <f>VLOOKUP(A18,'Forecast Workings'!$A$2:$M$29,13,0)</f>
        <v>0</v>
      </c>
      <c r="F18" s="52" t="str">
        <f t="shared" si="19"/>
        <v/>
      </c>
      <c r="G18" s="54">
        <f t="shared" si="9"/>
        <v>0</v>
      </c>
      <c r="H18" s="33" t="str">
        <f t="shared" si="10"/>
        <v/>
      </c>
      <c r="I18" s="33">
        <f>IFERROR(VLOOKUP(G18,'Raw Data'!$A$4:$O$1500,15,0),0)</f>
        <v>0</v>
      </c>
      <c r="J18" s="1"/>
      <c r="K18" s="70">
        <f>IF(M18=0,"",COUNTIF($N$16:N18,$H$13))</f>
        <v>0</v>
      </c>
      <c r="L18" s="30">
        <f t="shared" ref="L18:L36" si="25">L17-1</f>
        <v>9</v>
      </c>
      <c r="M18" s="54">
        <f t="shared" si="11"/>
        <v>42242</v>
      </c>
      <c r="N18" s="33" t="str">
        <f t="shared" si="20"/>
        <v>Wed</v>
      </c>
      <c r="O18" s="33">
        <f>IFERROR(VLOOKUP(M18,$AY$14:$BA$1000,3,0),"")</f>
        <v>1288</v>
      </c>
      <c r="P18" s="33">
        <f>IFERROR(VLOOKUP(M18,'Raw Data'!$A$4:$O$1500,15,0),0)</f>
        <v>2</v>
      </c>
      <c r="Q18" s="33"/>
      <c r="R18" s="30">
        <f>COUNTIF($U$16:U18,$AA$14)</f>
        <v>0</v>
      </c>
      <c r="S18" s="30">
        <f t="shared" ref="S18:S81" si="26">IF(S17-1&lt;0,0,S17-1)</f>
        <v>98</v>
      </c>
      <c r="T18" s="54">
        <f t="shared" si="12"/>
        <v>42288</v>
      </c>
      <c r="U18" s="33" t="str">
        <f t="shared" si="21"/>
        <v>25% Off,FS on $49</v>
      </c>
      <c r="V18" s="33">
        <f t="shared" si="13"/>
        <v>526</v>
      </c>
      <c r="W18" s="33">
        <f>IFERROR(VLOOKUP(T18,'Raw Data'!$A$4:$O$1500,15,0),0)</f>
        <v>1</v>
      </c>
      <c r="X18" s="35"/>
      <c r="Y18" s="42">
        <f t="shared" si="22"/>
        <v>1</v>
      </c>
      <c r="Z18" s="72">
        <f t="shared" si="3"/>
        <v>42260</v>
      </c>
      <c r="AA18" s="73" t="str">
        <f t="shared" si="23"/>
        <v>Sun</v>
      </c>
      <c r="AB18" s="73">
        <f t="shared" si="14"/>
        <v>636</v>
      </c>
      <c r="AC18" s="73">
        <f>IFERROR(VLOOKUP(Z18,'Raw Data'!$A$4:$O$1500,15,0),0)</f>
        <v>0</v>
      </c>
      <c r="AD18" s="33"/>
      <c r="AE18" s="33" t="str">
        <f t="shared" si="15"/>
        <v>Mon</v>
      </c>
      <c r="AF18" s="114">
        <f t="shared" si="24"/>
        <v>30</v>
      </c>
      <c r="AG18" s="108">
        <f t="shared" si="4"/>
        <v>42492</v>
      </c>
      <c r="AH18" s="21" t="str">
        <f t="shared" si="5"/>
        <v>Flash Sale,30% Off,FS on $49</v>
      </c>
      <c r="AI18" s="21">
        <f t="shared" si="6"/>
        <v>1122</v>
      </c>
      <c r="AJ18" s="21">
        <f t="shared" si="7"/>
        <v>1</v>
      </c>
      <c r="AK18" s="21">
        <f t="shared" si="8"/>
        <v>0</v>
      </c>
      <c r="AL18" s="21"/>
      <c r="AM18" s="112" t="s">
        <v>17</v>
      </c>
      <c r="AN18" s="21"/>
      <c r="AS18" s="112" t="str">
        <f t="shared" si="16"/>
        <v/>
      </c>
      <c r="AT18" s="112" t="str">
        <f>IF(AS18="","",COUNTIF($AS$13:AS18,AS18))</f>
        <v/>
      </c>
      <c r="AU18" s="147">
        <f t="shared" si="17"/>
        <v>5</v>
      </c>
      <c r="AV18" s="147">
        <f>COUNTIF($AZ$14:AZ18,AZ18)</f>
        <v>4</v>
      </c>
      <c r="AW18" s="147">
        <v>1</v>
      </c>
      <c r="AX18" s="148" t="str">
        <f t="shared" si="18"/>
        <v>Thu</v>
      </c>
      <c r="AY18" s="149">
        <f>'Raw Data'!A8</f>
        <v>41613</v>
      </c>
      <c r="AZ18" s="150" t="str">
        <f>'Raw Data'!E8</f>
        <v>Cyber Savings</v>
      </c>
      <c r="BA18" s="150">
        <f>'Raw Data'!I8</f>
        <v>1865</v>
      </c>
      <c r="BB18" s="112"/>
      <c r="BC18" s="112"/>
      <c r="BD18" s="112">
        <f>'Raw Data'!O8</f>
        <v>2</v>
      </c>
      <c r="BH18" s="1"/>
      <c r="BI18" s="1"/>
      <c r="BJ18" s="1"/>
      <c r="BK18" t="s">
        <v>738</v>
      </c>
    </row>
    <row r="19" spans="1:63">
      <c r="A19" s="23">
        <f>'Forecast Workings'!A12</f>
        <v>42592</v>
      </c>
      <c r="B19" s="16">
        <f>'Forecast Workings'!I12</f>
        <v>1144.5</v>
      </c>
      <c r="C19" s="48">
        <f>VLOOKUP(A19,'Forecast Workings'!$A$2:$J$29,10,0)</f>
        <v>0</v>
      </c>
      <c r="D19" s="48">
        <f>VLOOKUP(A19,'Forecast Workings'!$A$2:$M$29,13,0)</f>
        <v>0</v>
      </c>
      <c r="F19" s="52" t="str">
        <f t="shared" si="19"/>
        <v/>
      </c>
      <c r="G19" s="54">
        <f t="shared" si="9"/>
        <v>0</v>
      </c>
      <c r="H19" s="33" t="str">
        <f t="shared" si="10"/>
        <v/>
      </c>
      <c r="I19" s="33">
        <f>IFERROR(VLOOKUP(G19,'Raw Data'!$A$4:$O$1500,15,0),0)</f>
        <v>0</v>
      </c>
      <c r="J19" s="1"/>
      <c r="K19" s="70">
        <f>IF(M19=0,"",COUNTIF($N$16:N19,$H$13))</f>
        <v>0</v>
      </c>
      <c r="L19" s="30">
        <f t="shared" si="25"/>
        <v>8</v>
      </c>
      <c r="M19" s="54">
        <f t="shared" si="11"/>
        <v>42241</v>
      </c>
      <c r="N19" s="33" t="str">
        <f t="shared" si="20"/>
        <v>Tue</v>
      </c>
      <c r="O19" s="33">
        <f t="shared" ref="O19:O50" si="27">IFERROR(VLOOKUP(M19,$AY$14:$BA$1000,3,0),"")</f>
        <v>920</v>
      </c>
      <c r="P19" s="33">
        <f>IFERROR(VLOOKUP(M19,'Raw Data'!$A$4:$O$1500,15,0),0)</f>
        <v>1</v>
      </c>
      <c r="Q19" s="33"/>
      <c r="R19" s="30">
        <f>COUNTIF($U$16:U19,$AA$14)</f>
        <v>0</v>
      </c>
      <c r="S19" s="30">
        <f t="shared" si="26"/>
        <v>97</v>
      </c>
      <c r="T19" s="54">
        <f t="shared" si="12"/>
        <v>42281</v>
      </c>
      <c r="U19" s="33" t="str">
        <f t="shared" si="21"/>
        <v>$10 Off,FS on $60</v>
      </c>
      <c r="V19" s="33">
        <f t="shared" si="13"/>
        <v>535</v>
      </c>
      <c r="W19" s="33">
        <f>IFERROR(VLOOKUP(T19,'Raw Data'!$A$4:$O$1500,15,0),0)</f>
        <v>1</v>
      </c>
      <c r="X19" s="35"/>
      <c r="Y19" s="42">
        <f t="shared" si="22"/>
        <v>0</v>
      </c>
      <c r="Z19" s="72">
        <f t="shared" si="3"/>
        <v>0</v>
      </c>
      <c r="AA19" s="73">
        <f t="shared" si="23"/>
        <v>0</v>
      </c>
      <c r="AB19" s="73" t="str">
        <f t="shared" si="14"/>
        <v/>
      </c>
      <c r="AC19" s="73">
        <f>IFERROR(VLOOKUP(Z19,'Raw Data'!$A$4:$O$1500,15,0),0)</f>
        <v>0</v>
      </c>
      <c r="AD19" s="33"/>
      <c r="AE19" s="33" t="str">
        <f t="shared" si="15"/>
        <v>Sun</v>
      </c>
      <c r="AF19" s="114">
        <f t="shared" si="24"/>
        <v>29</v>
      </c>
      <c r="AG19" s="108">
        <f t="shared" si="4"/>
        <v>42491</v>
      </c>
      <c r="AH19" s="21" t="str">
        <f t="shared" si="5"/>
        <v>Flash Sale,30% Off,FS on $49</v>
      </c>
      <c r="AI19" s="21">
        <f t="shared" si="6"/>
        <v>475</v>
      </c>
      <c r="AJ19" s="21">
        <f t="shared" si="7"/>
        <v>1</v>
      </c>
      <c r="AK19" s="21">
        <f t="shared" si="8"/>
        <v>0</v>
      </c>
      <c r="AL19" s="21"/>
      <c r="AM19" s="112" t="s">
        <v>954</v>
      </c>
      <c r="AN19" s="21"/>
      <c r="AS19" s="112" t="str">
        <f t="shared" si="16"/>
        <v/>
      </c>
      <c r="AT19" s="112" t="str">
        <f>IF(AS19="","",COUNTIF($AS$13:AS19,AS19))</f>
        <v/>
      </c>
      <c r="AU19" s="147">
        <f t="shared" si="17"/>
        <v>6</v>
      </c>
      <c r="AV19" s="147">
        <f>COUNTIF($AZ$14:AZ19,AZ19)</f>
        <v>1</v>
      </c>
      <c r="AW19" s="147">
        <v>1</v>
      </c>
      <c r="AX19" s="148" t="str">
        <f t="shared" si="18"/>
        <v>Fri</v>
      </c>
      <c r="AY19" s="149">
        <f>'Raw Data'!A9</f>
        <v>41614</v>
      </c>
      <c r="AZ19" s="150" t="str">
        <f>'Raw Data'!E9</f>
        <v>No Email Drop</v>
      </c>
      <c r="BA19" s="150">
        <f>'Raw Data'!I9</f>
        <v>1458</v>
      </c>
      <c r="BB19" s="112"/>
      <c r="BC19" s="112"/>
      <c r="BD19" s="112">
        <f>'Raw Data'!O9</f>
        <v>0</v>
      </c>
      <c r="BH19" s="1"/>
      <c r="BI19" s="1"/>
      <c r="BJ19" s="1"/>
      <c r="BK19" t="s">
        <v>78</v>
      </c>
    </row>
    <row r="20" spans="1:63">
      <c r="A20" s="23">
        <f>'Forecast Workings'!A13</f>
        <v>42593</v>
      </c>
      <c r="B20" s="16">
        <f>'Forecast Workings'!I13</f>
        <v>1188</v>
      </c>
      <c r="C20" s="48">
        <f>VLOOKUP(A20,'Forecast Workings'!$A$2:$J$29,10,0)</f>
        <v>0</v>
      </c>
      <c r="D20" s="48">
        <f>VLOOKUP(A20,'Forecast Workings'!$A$2:$M$29,13,0)</f>
        <v>0</v>
      </c>
      <c r="F20" s="52" t="str">
        <f t="shared" si="19"/>
        <v/>
      </c>
      <c r="G20" s="54">
        <f t="shared" si="9"/>
        <v>0</v>
      </c>
      <c r="H20" s="33" t="str">
        <f t="shared" si="10"/>
        <v/>
      </c>
      <c r="I20" s="33">
        <f>IFERROR(VLOOKUP(G20,'Raw Data'!$A$4:$O$1500,15,0),0)</f>
        <v>0</v>
      </c>
      <c r="J20" s="1"/>
      <c r="K20" s="70">
        <f>IF(M20=0,"",COUNTIF($N$16:N20,$H$13))</f>
        <v>0</v>
      </c>
      <c r="L20" s="30">
        <f t="shared" si="25"/>
        <v>7</v>
      </c>
      <c r="M20" s="54">
        <f t="shared" si="11"/>
        <v>42240</v>
      </c>
      <c r="N20" s="33" t="str">
        <f t="shared" si="20"/>
        <v>Mon</v>
      </c>
      <c r="O20" s="33">
        <f t="shared" si="27"/>
        <v>1279</v>
      </c>
      <c r="P20" s="33">
        <f>IFERROR(VLOOKUP(M20,'Raw Data'!$A$4:$O$1500,15,0),0)</f>
        <v>1</v>
      </c>
      <c r="Q20" s="33"/>
      <c r="R20" s="30">
        <f>COUNTIF($U$16:U20,$AA$14)</f>
        <v>0</v>
      </c>
      <c r="S20" s="30">
        <f t="shared" si="26"/>
        <v>96</v>
      </c>
      <c r="T20" s="54">
        <f t="shared" si="12"/>
        <v>42274</v>
      </c>
      <c r="U20" s="33" t="str">
        <f t="shared" si="21"/>
        <v>$10 Off,FS on $60</v>
      </c>
      <c r="V20" s="33">
        <f t="shared" si="13"/>
        <v>527</v>
      </c>
      <c r="W20" s="33">
        <f>IFERROR(VLOOKUP(T20,'Raw Data'!$A$4:$O$1500,15,0),0)</f>
        <v>1</v>
      </c>
      <c r="X20" s="35"/>
      <c r="Y20" s="42">
        <f t="shared" si="22"/>
        <v>-1</v>
      </c>
      <c r="Z20" s="72">
        <f t="shared" si="3"/>
        <v>0</v>
      </c>
      <c r="AA20" s="73">
        <f>IFERROR(IF(Z20=0,0,TEXT(Z20,"DDD")),0)</f>
        <v>0</v>
      </c>
      <c r="AB20" s="73" t="str">
        <f t="shared" si="14"/>
        <v/>
      </c>
      <c r="AC20" s="73">
        <f>IFERROR(VLOOKUP(Z20,'Raw Data'!$A$4:$O$1500,15,0),0)</f>
        <v>0</v>
      </c>
      <c r="AD20" s="33"/>
      <c r="AE20" s="33" t="str">
        <f t="shared" si="15"/>
        <v>Mon</v>
      </c>
      <c r="AF20" s="114">
        <f t="shared" si="24"/>
        <v>28</v>
      </c>
      <c r="AG20" s="108">
        <f t="shared" si="4"/>
        <v>42457</v>
      </c>
      <c r="AH20" s="21" t="str">
        <f t="shared" si="5"/>
        <v>Flash Sale,15% Off,FS on $49</v>
      </c>
      <c r="AI20" s="21">
        <f t="shared" si="6"/>
        <v>1435</v>
      </c>
      <c r="AJ20" s="21">
        <f t="shared" si="7"/>
        <v>2</v>
      </c>
      <c r="AK20" s="21">
        <f t="shared" si="8"/>
        <v>0</v>
      </c>
      <c r="AL20" s="21"/>
      <c r="AM20" s="112" t="s">
        <v>835</v>
      </c>
      <c r="AN20" s="21"/>
      <c r="AS20" s="112" t="str">
        <f t="shared" si="16"/>
        <v/>
      </c>
      <c r="AT20" s="112" t="str">
        <f>IF(AS20="","",COUNTIF($AS$13:AS20,AS20))</f>
        <v/>
      </c>
      <c r="AU20" s="147">
        <f t="shared" si="17"/>
        <v>7</v>
      </c>
      <c r="AV20" s="147">
        <f>COUNTIF($AZ$14:AZ20,AZ20)</f>
        <v>2</v>
      </c>
      <c r="AW20" s="147">
        <v>1</v>
      </c>
      <c r="AX20" s="148" t="str">
        <f t="shared" si="18"/>
        <v>Sat</v>
      </c>
      <c r="AY20" s="149">
        <f>'Raw Data'!A10</f>
        <v>41615</v>
      </c>
      <c r="AZ20" s="150" t="str">
        <f>'Raw Data'!E10</f>
        <v>No Email Drop</v>
      </c>
      <c r="BA20" s="150">
        <f>'Raw Data'!I10</f>
        <v>1083</v>
      </c>
      <c r="BB20" s="112"/>
      <c r="BC20" s="112"/>
      <c r="BD20" s="112">
        <f>'Raw Data'!O10</f>
        <v>0</v>
      </c>
      <c r="BH20" s="1"/>
      <c r="BI20" s="1"/>
      <c r="BJ20" s="1"/>
      <c r="BK20" t="s">
        <v>78</v>
      </c>
    </row>
    <row r="21" spans="1:63">
      <c r="A21" s="23">
        <f>'Forecast Workings'!A14</f>
        <v>42594</v>
      </c>
      <c r="B21" s="16">
        <f>'Forecast Workings'!I14</f>
        <v>1184.48</v>
      </c>
      <c r="C21" s="48">
        <f>VLOOKUP(A21,'Forecast Workings'!$A$2:$J$29,10,0)</f>
        <v>0</v>
      </c>
      <c r="D21" s="48">
        <f>VLOOKUP(A21,'Forecast Workings'!$A$2:$M$29,13,0)</f>
        <v>0</v>
      </c>
      <c r="F21" s="52" t="str">
        <f t="shared" si="19"/>
        <v/>
      </c>
      <c r="G21" s="54">
        <f t="shared" si="9"/>
        <v>0</v>
      </c>
      <c r="H21" s="33" t="str">
        <f t="shared" si="10"/>
        <v/>
      </c>
      <c r="I21" s="33">
        <f>IFERROR(VLOOKUP(G21,'Raw Data'!$A$4:$O$1500,15,0),0)</f>
        <v>0</v>
      </c>
      <c r="J21" s="1"/>
      <c r="K21" s="70">
        <f>IF(M21=0,"",COUNTIF($N$16:N21,$H$13))</f>
        <v>1</v>
      </c>
      <c r="L21" s="30">
        <f t="shared" si="25"/>
        <v>6</v>
      </c>
      <c r="M21" s="54">
        <f t="shared" si="11"/>
        <v>42239</v>
      </c>
      <c r="N21" s="33" t="str">
        <f t="shared" si="20"/>
        <v>Sun</v>
      </c>
      <c r="O21" s="33">
        <f t="shared" si="27"/>
        <v>778</v>
      </c>
      <c r="P21" s="33">
        <f>IFERROR(VLOOKUP(M21,'Raw Data'!$A$4:$O$1500,15,0),0)</f>
        <v>2</v>
      </c>
      <c r="Q21" s="33"/>
      <c r="R21" s="30">
        <f>COUNTIF($U$16:U21,$AA$14)</f>
        <v>0</v>
      </c>
      <c r="S21" s="30">
        <f t="shared" si="26"/>
        <v>95</v>
      </c>
      <c r="T21" s="54">
        <f t="shared" si="12"/>
        <v>42267</v>
      </c>
      <c r="U21" s="33" t="str">
        <f t="shared" si="21"/>
        <v>Up To 40% Off,FS on $49</v>
      </c>
      <c r="V21" s="33">
        <f t="shared" si="13"/>
        <v>654</v>
      </c>
      <c r="W21" s="33">
        <f>IFERROR(VLOOKUP(T21,'Raw Data'!$A$4:$O$1500,15,0),0)</f>
        <v>1</v>
      </c>
      <c r="X21" s="35"/>
      <c r="Y21" s="42">
        <f t="shared" si="22"/>
        <v>-2</v>
      </c>
      <c r="Z21" s="72">
        <f t="shared" si="3"/>
        <v>0</v>
      </c>
      <c r="AA21" s="73">
        <f t="shared" si="23"/>
        <v>0</v>
      </c>
      <c r="AB21" s="73" t="str">
        <f t="shared" si="14"/>
        <v/>
      </c>
      <c r="AC21" s="73">
        <f>IFERROR(VLOOKUP(Z21,'Raw Data'!$A$4:$O$1500,15,0),0)</f>
        <v>0</v>
      </c>
      <c r="AD21" s="33"/>
      <c r="AE21" s="33" t="str">
        <f t="shared" si="15"/>
        <v>Sun</v>
      </c>
      <c r="AF21" s="114">
        <f t="shared" si="24"/>
        <v>27</v>
      </c>
      <c r="AG21" s="108">
        <f t="shared" si="4"/>
        <v>42456</v>
      </c>
      <c r="AH21" s="21" t="str">
        <f t="shared" si="5"/>
        <v>Flash Sale,15% Off,FS on $49</v>
      </c>
      <c r="AI21" s="21">
        <f t="shared" si="6"/>
        <v>425</v>
      </c>
      <c r="AJ21" s="21">
        <f t="shared" si="7"/>
        <v>1</v>
      </c>
      <c r="AK21" s="21">
        <f t="shared" si="8"/>
        <v>0</v>
      </c>
      <c r="AL21" s="21"/>
      <c r="AM21" s="112" t="s">
        <v>981</v>
      </c>
      <c r="AN21" s="21"/>
      <c r="AS21" s="112" t="str">
        <f t="shared" si="16"/>
        <v/>
      </c>
      <c r="AT21" s="112" t="str">
        <f>IF(AS21="","",COUNTIF($AS$13:AS21,AS21))</f>
        <v/>
      </c>
      <c r="AU21" s="147">
        <f t="shared" si="17"/>
        <v>8</v>
      </c>
      <c r="AV21" s="147">
        <f>COUNTIF($AZ$14:AZ21,AZ21)</f>
        <v>1</v>
      </c>
      <c r="AW21" s="147">
        <f>IFERROR(COUNTIF(AX$14:$BL21,AX21),"")</f>
        <v>2</v>
      </c>
      <c r="AX21" s="148" t="str">
        <f t="shared" si="18"/>
        <v>Sun</v>
      </c>
      <c r="AY21" s="149">
        <f>'Raw Data'!A11</f>
        <v>41616</v>
      </c>
      <c r="AZ21" s="150" t="str">
        <f>'Raw Data'!E11</f>
        <v>10% off eGCs,FS on $49</v>
      </c>
      <c r="BA21" s="150">
        <f>'Raw Data'!I11</f>
        <v>796</v>
      </c>
      <c r="BB21" s="112"/>
      <c r="BC21" s="112"/>
      <c r="BD21" s="112">
        <f>'Raw Data'!O11</f>
        <v>1</v>
      </c>
      <c r="BH21" s="1"/>
      <c r="BI21" s="1"/>
      <c r="BJ21" s="1"/>
      <c r="BK21" t="s">
        <v>78</v>
      </c>
    </row>
    <row r="22" spans="1:63">
      <c r="A22" s="23">
        <f>'Forecast Workings'!A15</f>
        <v>42595</v>
      </c>
      <c r="B22" s="16">
        <f>'Forecast Workings'!I15</f>
        <v>946.9</v>
      </c>
      <c r="C22" s="48">
        <f>VLOOKUP(A22,'Forecast Workings'!$A$2:$J$29,10,0)</f>
        <v>0</v>
      </c>
      <c r="D22" s="48">
        <f>VLOOKUP(A22,'Forecast Workings'!$A$2:$M$29,13,0)</f>
        <v>0</v>
      </c>
      <c r="F22" s="52" t="str">
        <f t="shared" si="19"/>
        <v/>
      </c>
      <c r="G22" s="54">
        <f t="shared" si="9"/>
        <v>0</v>
      </c>
      <c r="H22" s="33" t="str">
        <f t="shared" si="10"/>
        <v/>
      </c>
      <c r="I22" s="33">
        <f>IFERROR(VLOOKUP(G22,'Raw Data'!$A$4:$O$1500,15,0),0)</f>
        <v>0</v>
      </c>
      <c r="J22" s="1"/>
      <c r="K22" s="70">
        <f>IF(M22=0,"",COUNTIF($N$16:N22,$H$13))</f>
        <v>1</v>
      </c>
      <c r="L22" s="30">
        <f t="shared" si="25"/>
        <v>5</v>
      </c>
      <c r="M22" s="54">
        <f t="shared" si="11"/>
        <v>41853</v>
      </c>
      <c r="N22" s="33" t="str">
        <f t="shared" si="20"/>
        <v>Sat</v>
      </c>
      <c r="O22" s="33">
        <f t="shared" si="27"/>
        <v>807</v>
      </c>
      <c r="P22" s="33">
        <f>IFERROR(VLOOKUP(M22,'Raw Data'!$A$4:$O$1500,15,0),0)</f>
        <v>1</v>
      </c>
      <c r="Q22" s="33"/>
      <c r="R22" s="30">
        <f>COUNTIF($U$16:U22,$AA$14)</f>
        <v>1</v>
      </c>
      <c r="S22" s="30">
        <f t="shared" si="26"/>
        <v>94</v>
      </c>
      <c r="T22" s="54">
        <f t="shared" si="12"/>
        <v>42260</v>
      </c>
      <c r="U22" s="33" t="str">
        <f t="shared" si="21"/>
        <v>No Email Drop</v>
      </c>
      <c r="V22" s="33">
        <f t="shared" si="13"/>
        <v>636</v>
      </c>
      <c r="W22" s="33">
        <f>IFERROR(VLOOKUP(T22,'Raw Data'!$A$4:$O$1500,15,0),0)</f>
        <v>0</v>
      </c>
      <c r="X22" s="35"/>
      <c r="Y22" s="42">
        <f t="shared" si="22"/>
        <v>-3</v>
      </c>
      <c r="Z22" s="72">
        <f t="shared" si="3"/>
        <v>0</v>
      </c>
      <c r="AA22" s="73">
        <f t="shared" si="23"/>
        <v>0</v>
      </c>
      <c r="AB22" s="73" t="str">
        <f t="shared" si="14"/>
        <v/>
      </c>
      <c r="AC22" s="73">
        <f>IFERROR(VLOOKUP(Z22,'Raw Data'!$A$4:$O$1500,15,0),0)</f>
        <v>0</v>
      </c>
      <c r="AD22" s="33"/>
      <c r="AE22" s="33" t="str">
        <f t="shared" si="15"/>
        <v>Thu</v>
      </c>
      <c r="AF22" s="114">
        <f t="shared" si="24"/>
        <v>26</v>
      </c>
      <c r="AG22" s="108">
        <f t="shared" si="4"/>
        <v>42446</v>
      </c>
      <c r="AH22" s="21" t="str">
        <f t="shared" si="5"/>
        <v>Flash Sale,25% Off,FS on $49</v>
      </c>
      <c r="AI22" s="21">
        <f t="shared" si="6"/>
        <v>1675</v>
      </c>
      <c r="AJ22" s="21">
        <f t="shared" si="7"/>
        <v>2</v>
      </c>
      <c r="AK22" s="21">
        <f t="shared" si="8"/>
        <v>0</v>
      </c>
      <c r="AL22" s="21"/>
      <c r="AM22" s="112" t="s">
        <v>860</v>
      </c>
      <c r="AN22" s="21"/>
      <c r="AS22" s="112" t="str">
        <f t="shared" si="16"/>
        <v/>
      </c>
      <c r="AT22" s="112" t="str">
        <f>IF(AS22="","",COUNTIF($AS$13:AS22,AS22))</f>
        <v/>
      </c>
      <c r="AU22" s="147">
        <f t="shared" si="17"/>
        <v>9</v>
      </c>
      <c r="AV22" s="147">
        <f>COUNTIF($AZ$14:AZ22,AZ22)</f>
        <v>1</v>
      </c>
      <c r="AW22" s="147">
        <f>IFERROR(COUNTIF(AX$14:$BL22,AX22),"")</f>
        <v>2</v>
      </c>
      <c r="AX22" s="148" t="str">
        <f t="shared" si="18"/>
        <v>Mon</v>
      </c>
      <c r="AY22" s="149">
        <f>'Raw Data'!A12</f>
        <v>41617</v>
      </c>
      <c r="AZ22" s="150" t="str">
        <f>'Raw Data'!E12</f>
        <v>10% off eGCs,$15 Off,FS on $75</v>
      </c>
      <c r="BA22" s="150">
        <f>'Raw Data'!I12</f>
        <v>1917</v>
      </c>
      <c r="BB22" s="112"/>
      <c r="BC22" s="112"/>
      <c r="BD22" s="112">
        <f>'Raw Data'!O12</f>
        <v>1</v>
      </c>
      <c r="BH22" s="1"/>
      <c r="BI22" s="1"/>
      <c r="BJ22" s="1"/>
      <c r="BK22" t="s">
        <v>739</v>
      </c>
    </row>
    <row r="23" spans="1:63">
      <c r="A23" s="23">
        <f>'Forecast Workings'!A16</f>
        <v>42596</v>
      </c>
      <c r="B23" s="16">
        <f>'Forecast Workings'!I16</f>
        <v>676</v>
      </c>
      <c r="C23" s="48">
        <f>VLOOKUP(A23,'Forecast Workings'!$A$2:$J$29,10,0)</f>
        <v>0</v>
      </c>
      <c r="D23" s="48">
        <f>VLOOKUP(A23,'Forecast Workings'!$A$2:$M$29,13,0)</f>
        <v>0</v>
      </c>
      <c r="F23" s="52" t="str">
        <f t="shared" si="19"/>
        <v/>
      </c>
      <c r="G23" s="54">
        <f t="shared" si="9"/>
        <v>0</v>
      </c>
      <c r="H23" s="33"/>
      <c r="I23" s="33">
        <f>IFERROR(VLOOKUP(G23,'Raw Data'!$A$4:$O$1500,15,0),0)</f>
        <v>0</v>
      </c>
      <c r="J23" s="1"/>
      <c r="K23" s="70">
        <f>IF(M23=0,"",COUNTIF($N$16:N23,$H$13))</f>
        <v>1</v>
      </c>
      <c r="L23" s="30">
        <f t="shared" si="25"/>
        <v>4</v>
      </c>
      <c r="M23" s="54">
        <f t="shared" si="11"/>
        <v>41852</v>
      </c>
      <c r="N23" s="33" t="str">
        <f t="shared" si="20"/>
        <v>Fri</v>
      </c>
      <c r="O23" s="33">
        <f t="shared" si="27"/>
        <v>1112</v>
      </c>
      <c r="P23" s="33">
        <f>IFERROR(VLOOKUP(M23,'Raw Data'!$A$4:$O$1500,15,0),0)</f>
        <v>1</v>
      </c>
      <c r="Q23" s="33"/>
      <c r="R23" s="30">
        <f>COUNTIF($U$16:U23,$AA$14)</f>
        <v>1</v>
      </c>
      <c r="S23" s="30">
        <f t="shared" si="26"/>
        <v>93</v>
      </c>
      <c r="T23" s="54">
        <f t="shared" si="12"/>
        <v>42253</v>
      </c>
      <c r="U23" s="33" t="str">
        <f t="shared" si="21"/>
        <v>20% Off,FS on $50</v>
      </c>
      <c r="V23" s="33">
        <f t="shared" si="13"/>
        <v>574</v>
      </c>
      <c r="W23" s="33">
        <f>IFERROR(VLOOKUP(T23,'Raw Data'!$A$4:$O$1500,15,0),0)</f>
        <v>1</v>
      </c>
      <c r="X23" s="35"/>
      <c r="Y23" s="42">
        <f t="shared" si="22"/>
        <v>-4</v>
      </c>
      <c r="Z23" s="72">
        <f t="shared" si="3"/>
        <v>0</v>
      </c>
      <c r="AA23" s="73">
        <f t="shared" si="23"/>
        <v>0</v>
      </c>
      <c r="AB23" s="73" t="str">
        <f t="shared" si="14"/>
        <v/>
      </c>
      <c r="AC23" s="73">
        <f>IFERROR(VLOOKUP(Z23,'Raw Data'!$A$4:$O$1500,15,0),0)</f>
        <v>0</v>
      </c>
      <c r="AD23" s="33"/>
      <c r="AE23" s="33" t="str">
        <f t="shared" si="15"/>
        <v>Thu</v>
      </c>
      <c r="AF23" s="114">
        <f t="shared" si="24"/>
        <v>25</v>
      </c>
      <c r="AG23" s="108">
        <f t="shared" si="4"/>
        <v>42404</v>
      </c>
      <c r="AH23" s="21" t="str">
        <f t="shared" si="5"/>
        <v>Flash Sale, Up To 50% Off,FS on $49</v>
      </c>
      <c r="AI23" s="21">
        <f t="shared" si="6"/>
        <v>1636</v>
      </c>
      <c r="AJ23" s="21">
        <f t="shared" si="7"/>
        <v>2</v>
      </c>
      <c r="AK23" s="21">
        <f t="shared" si="8"/>
        <v>0</v>
      </c>
      <c r="AL23" s="21"/>
      <c r="AM23" s="112" t="s">
        <v>882</v>
      </c>
      <c r="AN23" s="21"/>
      <c r="AS23" s="112" t="str">
        <f t="shared" si="16"/>
        <v/>
      </c>
      <c r="AT23" s="112" t="str">
        <f>IF(AS23="","",COUNTIF($AS$13:AS23,AS23))</f>
        <v/>
      </c>
      <c r="AU23" s="147">
        <f t="shared" si="17"/>
        <v>10</v>
      </c>
      <c r="AV23" s="147">
        <f>COUNTIF($AZ$14:AZ23,AZ23)</f>
        <v>2</v>
      </c>
      <c r="AW23" s="147">
        <f>IFERROR(COUNTIF(AX$14:$BL23,AX23),"")</f>
        <v>2</v>
      </c>
      <c r="AX23" s="148" t="str">
        <f t="shared" si="18"/>
        <v>Tue</v>
      </c>
      <c r="AY23" s="149">
        <f>'Raw Data'!A13</f>
        <v>41618</v>
      </c>
      <c r="AZ23" s="150" t="str">
        <f>'Raw Data'!E13</f>
        <v>10% off eGCs,FS on $49</v>
      </c>
      <c r="BA23" s="150">
        <f>'Raw Data'!I13</f>
        <v>1652</v>
      </c>
      <c r="BB23" s="112"/>
      <c r="BC23" s="112"/>
      <c r="BD23" s="112">
        <f>'Raw Data'!O13</f>
        <v>1</v>
      </c>
      <c r="BH23" s="1"/>
      <c r="BI23" s="1"/>
      <c r="BJ23" s="1"/>
      <c r="BK23" t="s">
        <v>165</v>
      </c>
    </row>
    <row r="24" spans="1:63">
      <c r="A24" s="23">
        <f>'Forecast Workings'!A17</f>
        <v>42597</v>
      </c>
      <c r="B24" s="16">
        <f>'Forecast Workings'!I17</f>
        <v>1211.8500000000001</v>
      </c>
      <c r="C24" s="48">
        <f>VLOOKUP(A24,'Forecast Workings'!$A$2:$J$29,10,0)</f>
        <v>0</v>
      </c>
      <c r="D24" s="48">
        <f>VLOOKUP(A24,'Forecast Workings'!$A$2:$M$29,13,0)</f>
        <v>0</v>
      </c>
      <c r="F24" s="52" t="str">
        <f t="shared" si="19"/>
        <v/>
      </c>
      <c r="G24" s="54">
        <f t="shared" si="9"/>
        <v>0</v>
      </c>
      <c r="H24" s="33" t="str">
        <f t="shared" si="10"/>
        <v/>
      </c>
      <c r="I24" s="33">
        <f>IFERROR(VLOOKUP(G24,'Raw Data'!$A$4:$O$1500,15,0),0)</f>
        <v>0</v>
      </c>
      <c r="J24" s="1"/>
      <c r="K24" s="70">
        <f>IF(M24=0,"",COUNTIF($N$16:N24,$H$13))</f>
        <v>2</v>
      </c>
      <c r="L24" s="30">
        <f t="shared" si="25"/>
        <v>3</v>
      </c>
      <c r="M24" s="54">
        <f t="shared" si="11"/>
        <v>41847</v>
      </c>
      <c r="N24" s="33" t="str">
        <f t="shared" si="20"/>
        <v>Sun</v>
      </c>
      <c r="O24" s="33">
        <f t="shared" si="27"/>
        <v>606</v>
      </c>
      <c r="P24" s="33">
        <f>IFERROR(VLOOKUP(M24,'Raw Data'!$A$4:$O$1500,15,0),0)</f>
        <v>1</v>
      </c>
      <c r="Q24" s="33"/>
      <c r="R24" s="30">
        <f>COUNTIF($U$16:U24,$AA$14)</f>
        <v>1</v>
      </c>
      <c r="S24" s="30">
        <f t="shared" si="26"/>
        <v>92</v>
      </c>
      <c r="T24" s="54">
        <f t="shared" si="12"/>
        <v>42246</v>
      </c>
      <c r="U24" s="33" t="str">
        <f t="shared" si="21"/>
        <v>Up To 40% Off,FS on $49</v>
      </c>
      <c r="V24" s="33">
        <f t="shared" si="13"/>
        <v>615</v>
      </c>
      <c r="W24" s="33">
        <f>IFERROR(VLOOKUP(T24,'Raw Data'!$A$4:$O$1500,15,0),0)</f>
        <v>1</v>
      </c>
      <c r="X24" s="35"/>
      <c r="Y24" s="42">
        <f t="shared" si="22"/>
        <v>-5</v>
      </c>
      <c r="Z24" s="72">
        <f t="shared" si="3"/>
        <v>0</v>
      </c>
      <c r="AA24" s="73">
        <f t="shared" si="23"/>
        <v>0</v>
      </c>
      <c r="AB24" s="73" t="str">
        <f t="shared" si="14"/>
        <v/>
      </c>
      <c r="AC24" s="73">
        <f>IFERROR(VLOOKUP(Z24,'Raw Data'!$A$4:$O$1500,15,0),0)</f>
        <v>0</v>
      </c>
      <c r="AD24" s="33"/>
      <c r="AE24" s="33" t="str">
        <f t="shared" si="15"/>
        <v>Wed</v>
      </c>
      <c r="AF24" s="114">
        <f t="shared" si="24"/>
        <v>24</v>
      </c>
      <c r="AG24" s="108">
        <f t="shared" si="4"/>
        <v>42403</v>
      </c>
      <c r="AH24" s="21" t="str">
        <f t="shared" si="5"/>
        <v>Flash Sale, Up To 50% Off,FS on $49</v>
      </c>
      <c r="AI24" s="21">
        <f t="shared" si="6"/>
        <v>1709</v>
      </c>
      <c r="AJ24" s="21">
        <f t="shared" si="7"/>
        <v>1</v>
      </c>
      <c r="AK24" s="21">
        <f t="shared" si="8"/>
        <v>0</v>
      </c>
      <c r="AL24" s="21"/>
      <c r="AM24" s="21" t="s">
        <v>957</v>
      </c>
      <c r="AN24" s="21"/>
      <c r="AS24" s="112" t="str">
        <f t="shared" si="16"/>
        <v/>
      </c>
      <c r="AT24" s="112" t="str">
        <f>IF(AS24="","",COUNTIF($AS$13:AS24,AS24))</f>
        <v/>
      </c>
      <c r="AU24" s="147">
        <f t="shared" si="17"/>
        <v>11</v>
      </c>
      <c r="AV24" s="147">
        <f>COUNTIF($AZ$14:AZ24,AZ24)</f>
        <v>3</v>
      </c>
      <c r="AW24" s="147">
        <f>IFERROR(COUNTIF(AX$14:$BL24,AX24),"")</f>
        <v>2</v>
      </c>
      <c r="AX24" s="148" t="str">
        <f t="shared" si="18"/>
        <v>Wed</v>
      </c>
      <c r="AY24" s="149">
        <f>'Raw Data'!A14</f>
        <v>41619</v>
      </c>
      <c r="AZ24" s="150" t="str">
        <f>'Raw Data'!E14</f>
        <v>No Email Drop</v>
      </c>
      <c r="BA24" s="150">
        <f>'Raw Data'!I14</f>
        <v>1510</v>
      </c>
      <c r="BB24" s="112"/>
      <c r="BC24" s="112"/>
      <c r="BD24" s="112">
        <f>'Raw Data'!O14</f>
        <v>0</v>
      </c>
      <c r="BH24" s="1"/>
      <c r="BI24" s="1"/>
      <c r="BJ24" s="1"/>
      <c r="BK24" t="s">
        <v>165</v>
      </c>
    </row>
    <row r="25" spans="1:63" ht="18" customHeight="1">
      <c r="A25" s="23">
        <f>'Forecast Workings'!A18</f>
        <v>42598</v>
      </c>
      <c r="B25" s="16">
        <f>'Forecast Workings'!I18</f>
        <v>1071.5</v>
      </c>
      <c r="C25" s="48">
        <f>VLOOKUP(A25,'Forecast Workings'!$A$2:$J$29,10,0)</f>
        <v>0</v>
      </c>
      <c r="D25" s="48">
        <f>VLOOKUP(A25,'Forecast Workings'!$A$2:$M$29,13,0)</f>
        <v>0</v>
      </c>
      <c r="F25" s="52" t="str">
        <f t="shared" si="19"/>
        <v/>
      </c>
      <c r="G25" s="54">
        <f t="shared" si="9"/>
        <v>0</v>
      </c>
      <c r="H25" s="33" t="str">
        <f t="shared" si="10"/>
        <v/>
      </c>
      <c r="I25" s="33">
        <f>IFERROR(VLOOKUP(G25,'Raw Data'!$A$4:$O$1500,15,0),0)</f>
        <v>0</v>
      </c>
      <c r="J25" s="1"/>
      <c r="K25" s="70">
        <f>IF(M25=0,"",COUNTIF($N$16:N25,$H$13))</f>
        <v>2</v>
      </c>
      <c r="L25" s="30">
        <f t="shared" si="25"/>
        <v>2</v>
      </c>
      <c r="M25" s="54">
        <f t="shared" si="11"/>
        <v>41844</v>
      </c>
      <c r="N25" s="33" t="str">
        <f t="shared" si="20"/>
        <v>Thu</v>
      </c>
      <c r="O25" s="33">
        <f t="shared" si="27"/>
        <v>987</v>
      </c>
      <c r="P25" s="33">
        <f>IFERROR(VLOOKUP(M25,'Raw Data'!$A$4:$O$1500,15,0),0)</f>
        <v>1</v>
      </c>
      <c r="Q25" s="33"/>
      <c r="R25" s="30">
        <f>COUNTIF($U$16:U25,$AA$14)</f>
        <v>1</v>
      </c>
      <c r="S25" s="30">
        <f t="shared" si="26"/>
        <v>91</v>
      </c>
      <c r="T25" s="54">
        <f t="shared" si="12"/>
        <v>42239</v>
      </c>
      <c r="U25" s="33" t="str">
        <f t="shared" si="21"/>
        <v>20-40% Off,FS on $49</v>
      </c>
      <c r="V25" s="33">
        <f t="shared" si="13"/>
        <v>778</v>
      </c>
      <c r="W25" s="33">
        <f>IFERROR(VLOOKUP(T25,'Raw Data'!$A$4:$O$1500,15,0),0)</f>
        <v>2</v>
      </c>
      <c r="X25" s="35"/>
      <c r="Y25" s="42">
        <f t="shared" si="22"/>
        <v>-6</v>
      </c>
      <c r="Z25" s="72">
        <f t="shared" si="3"/>
        <v>0</v>
      </c>
      <c r="AA25" s="73">
        <f t="shared" si="23"/>
        <v>0</v>
      </c>
      <c r="AB25" s="73" t="str">
        <f t="shared" si="14"/>
        <v/>
      </c>
      <c r="AC25" s="73">
        <f>IFERROR(VLOOKUP(Z25,'Raw Data'!$A$4:$O$1500,15,0),0)</f>
        <v>0</v>
      </c>
      <c r="AD25" s="33"/>
      <c r="AE25" s="33" t="str">
        <f t="shared" si="15"/>
        <v>Wed</v>
      </c>
      <c r="AF25" s="114">
        <f t="shared" si="24"/>
        <v>23</v>
      </c>
      <c r="AG25" s="108">
        <f t="shared" si="4"/>
        <v>42291</v>
      </c>
      <c r="AH25" s="21" t="str">
        <f t="shared" si="5"/>
        <v>Flash Sale,25% Off,FS on $49</v>
      </c>
      <c r="AI25" s="21">
        <f t="shared" si="6"/>
        <v>1179</v>
      </c>
      <c r="AJ25" s="21">
        <f t="shared" si="7"/>
        <v>2</v>
      </c>
      <c r="AK25" s="21">
        <f t="shared" si="8"/>
        <v>0</v>
      </c>
      <c r="AL25" s="21"/>
      <c r="AM25" s="112" t="s">
        <v>853</v>
      </c>
      <c r="AN25" s="21"/>
      <c r="AS25" s="112" t="str">
        <f t="shared" si="16"/>
        <v/>
      </c>
      <c r="AT25" s="112" t="str">
        <f>IF(AS25="","",COUNTIF($AS$13:AS25,AS25))</f>
        <v/>
      </c>
      <c r="AU25" s="147">
        <f t="shared" si="17"/>
        <v>12</v>
      </c>
      <c r="AV25" s="147">
        <f>COUNTIF($AZ$14:AZ25,AZ25)</f>
        <v>3</v>
      </c>
      <c r="AW25" s="147">
        <f>IFERROR(COUNTIF(AX$14:$BL25,AX25),"")</f>
        <v>2</v>
      </c>
      <c r="AX25" s="148" t="str">
        <f t="shared" si="18"/>
        <v>Thu</v>
      </c>
      <c r="AY25" s="149">
        <f>'Raw Data'!A15</f>
        <v>41620</v>
      </c>
      <c r="AZ25" s="150" t="str">
        <f>'Raw Data'!E15</f>
        <v>10% off eGCs,FS on $49</v>
      </c>
      <c r="BA25" s="150">
        <f>'Raw Data'!I15</f>
        <v>1704</v>
      </c>
      <c r="BB25" s="112"/>
      <c r="BC25" s="112"/>
      <c r="BD25" s="112">
        <f>'Raw Data'!O15</f>
        <v>1</v>
      </c>
      <c r="BH25" s="1"/>
      <c r="BI25" s="1"/>
      <c r="BJ25" s="1"/>
      <c r="BK25" t="s">
        <v>17</v>
      </c>
    </row>
    <row r="26" spans="1:63">
      <c r="A26" s="23">
        <f>'Forecast Workings'!A19</f>
        <v>42599</v>
      </c>
      <c r="B26" s="16">
        <f>'Forecast Workings'!I19</f>
        <v>1126.7</v>
      </c>
      <c r="C26" s="48">
        <f>VLOOKUP(A26,'Forecast Workings'!$A$2:$J$29,10,0)</f>
        <v>0</v>
      </c>
      <c r="D26" s="48">
        <f>VLOOKUP(A26,'Forecast Workings'!$A$2:$M$29,13,0)</f>
        <v>0</v>
      </c>
      <c r="F26" s="52" t="str">
        <f t="shared" si="19"/>
        <v/>
      </c>
      <c r="G26" s="54">
        <f t="shared" si="9"/>
        <v>0</v>
      </c>
      <c r="H26" s="33" t="str">
        <f t="shared" si="10"/>
        <v/>
      </c>
      <c r="I26" s="33">
        <f>IFERROR(VLOOKUP(G26,'Raw Data'!$A$4:$O$1500,15,0),0)</f>
        <v>0</v>
      </c>
      <c r="J26" s="1"/>
      <c r="K26" s="70">
        <f>IF(M26=0,"",COUNTIF($N$16:N26,$H$13))</f>
        <v>2</v>
      </c>
      <c r="L26" s="30">
        <f t="shared" si="25"/>
        <v>1</v>
      </c>
      <c r="M26" s="54">
        <f t="shared" si="11"/>
        <v>41843</v>
      </c>
      <c r="N26" s="33" t="str">
        <f t="shared" si="20"/>
        <v>Wed</v>
      </c>
      <c r="O26" s="33">
        <f t="shared" si="27"/>
        <v>1023</v>
      </c>
      <c r="P26" s="33">
        <f>IFERROR(VLOOKUP(M26,'Raw Data'!$A$4:$O$1500,15,0),0)</f>
        <v>1</v>
      </c>
      <c r="Q26" s="33"/>
      <c r="R26" s="30">
        <f>COUNTIF($U$16:U26,$AA$14)</f>
        <v>2</v>
      </c>
      <c r="S26" s="30">
        <f t="shared" si="26"/>
        <v>90</v>
      </c>
      <c r="T26" s="54">
        <f t="shared" si="12"/>
        <v>42232</v>
      </c>
      <c r="U26" s="33" t="str">
        <f t="shared" si="21"/>
        <v>No Email Drop</v>
      </c>
      <c r="V26" s="33">
        <f t="shared" si="13"/>
        <v>742</v>
      </c>
      <c r="W26" s="33">
        <f>IFERROR(VLOOKUP(T26,'Raw Data'!$A$4:$O$1500,15,0),0)</f>
        <v>0</v>
      </c>
      <c r="X26" s="35"/>
      <c r="Y26" s="42">
        <f t="shared" si="22"/>
        <v>-7</v>
      </c>
      <c r="Z26" s="72">
        <f t="shared" si="3"/>
        <v>0</v>
      </c>
      <c r="AA26" s="73">
        <f t="shared" si="23"/>
        <v>0</v>
      </c>
      <c r="AB26" s="73" t="str">
        <f t="shared" si="14"/>
        <v/>
      </c>
      <c r="AC26" s="73">
        <f>IFERROR(VLOOKUP(Z26,'Raw Data'!$A$4:$O$1500,15,0),0)</f>
        <v>0</v>
      </c>
      <c r="AD26" s="33"/>
      <c r="AE26" s="33" t="str">
        <f t="shared" si="15"/>
        <v>Mon</v>
      </c>
      <c r="AF26" s="114">
        <f t="shared" si="24"/>
        <v>22</v>
      </c>
      <c r="AG26" s="108">
        <f t="shared" si="4"/>
        <v>42247</v>
      </c>
      <c r="AH26" s="21" t="str">
        <f t="shared" si="5"/>
        <v>Flash Sale,25% Off,FS on $49</v>
      </c>
      <c r="AI26" s="21">
        <f t="shared" si="6"/>
        <v>1345</v>
      </c>
      <c r="AJ26" s="21">
        <f t="shared" si="7"/>
        <v>2</v>
      </c>
      <c r="AK26" s="21">
        <f t="shared" si="8"/>
        <v>0</v>
      </c>
      <c r="AL26" s="21"/>
      <c r="AM26" s="112"/>
      <c r="AN26" s="21"/>
      <c r="AS26" s="112" t="str">
        <f t="shared" si="16"/>
        <v/>
      </c>
      <c r="AT26" s="112" t="str">
        <f>IF(AS26="","",COUNTIF($AS$13:AS26,AS26))</f>
        <v/>
      </c>
      <c r="AU26" s="147">
        <f t="shared" si="17"/>
        <v>13</v>
      </c>
      <c r="AV26" s="147">
        <f>COUNTIF($AZ$14:AZ26,AZ26)</f>
        <v>1</v>
      </c>
      <c r="AW26" s="147">
        <f>IFERROR(COUNTIF(AX$14:$BL26,AX26),"")</f>
        <v>2</v>
      </c>
      <c r="AX26" s="148" t="str">
        <f t="shared" si="18"/>
        <v>Fri</v>
      </c>
      <c r="AY26" s="149">
        <f>'Raw Data'!A16</f>
        <v>41621</v>
      </c>
      <c r="AZ26" s="150" t="str">
        <f>'Raw Data'!E16</f>
        <v>Free Ship No Min</v>
      </c>
      <c r="BA26" s="150">
        <f>'Raw Data'!I16</f>
        <v>1564</v>
      </c>
      <c r="BB26" s="112"/>
      <c r="BC26" s="112"/>
      <c r="BD26" s="112">
        <f>'Raw Data'!O16</f>
        <v>1</v>
      </c>
      <c r="BH26" s="1"/>
      <c r="BI26" s="1"/>
      <c r="BJ26" s="1"/>
      <c r="BK26" t="s">
        <v>17</v>
      </c>
    </row>
    <row r="27" spans="1:63">
      <c r="A27" s="23">
        <f>'Forecast Workings'!A20</f>
        <v>42600</v>
      </c>
      <c r="B27" s="16">
        <f>'Forecast Workings'!I20</f>
        <v>1087.2</v>
      </c>
      <c r="C27" s="48">
        <f>VLOOKUP(A27,'Forecast Workings'!$A$2:$J$29,10,0)</f>
        <v>0</v>
      </c>
      <c r="D27" s="48">
        <f>VLOOKUP(A27,'Forecast Workings'!$A$2:$M$29,13,0)</f>
        <v>0</v>
      </c>
      <c r="F27" s="52" t="str">
        <f t="shared" si="19"/>
        <v/>
      </c>
      <c r="G27" s="54">
        <f t="shared" si="9"/>
        <v>0</v>
      </c>
      <c r="H27" s="33" t="str">
        <f t="shared" si="10"/>
        <v/>
      </c>
      <c r="I27" s="33">
        <f>IFERROR(VLOOKUP(G27,'Raw Data'!$A$4:$O$1500,15,0),0)</f>
        <v>0</v>
      </c>
      <c r="J27" s="1"/>
      <c r="K27" s="70" t="str">
        <f>IF(M27=0,"",COUNTIF($N$16:N27,$H$13))</f>
        <v/>
      </c>
      <c r="L27" s="30">
        <f t="shared" si="25"/>
        <v>0</v>
      </c>
      <c r="M27" s="54">
        <f t="shared" ref="M27:M46" si="28">IFERROR(SUMPRODUCT(($AV$14:$AV$1000=L27)*($AZ$14:$AZ$1000=$N$14)*$AY$14:$AY$1000),"")</f>
        <v>0</v>
      </c>
      <c r="N27" s="33">
        <f t="shared" ref="N27:N46" si="29">IFERROR(IF(M27=0,0,TEXT(M27,"DDD")),"")</f>
        <v>0</v>
      </c>
      <c r="O27" s="33" t="str">
        <f t="shared" ref="O27:O46" si="30">IFERROR(VLOOKUP(M27,$AY$14:$BA$1000,3,0),"")</f>
        <v/>
      </c>
      <c r="P27" s="33">
        <f>IFERROR(VLOOKUP(M27,'Raw Data'!$A$4:$O$1500,15,0),0)</f>
        <v>0</v>
      </c>
      <c r="Q27" s="33"/>
      <c r="R27" s="30">
        <f>COUNTIF($U$16:U27,$AA$14)</f>
        <v>2</v>
      </c>
      <c r="S27" s="30">
        <f t="shared" si="26"/>
        <v>89</v>
      </c>
      <c r="T27" s="54">
        <f t="shared" si="12"/>
        <v>42225</v>
      </c>
      <c r="U27" s="33" t="str">
        <f t="shared" si="21"/>
        <v>7 DOD, Up to 30% Dog</v>
      </c>
      <c r="V27" s="33">
        <f t="shared" si="13"/>
        <v>796</v>
      </c>
      <c r="W27" s="33">
        <f>IFERROR(VLOOKUP(T27,'Raw Data'!$A$4:$O$1500,15,0),0)</f>
        <v>2</v>
      </c>
      <c r="X27" s="35"/>
      <c r="Y27" s="42">
        <f t="shared" si="22"/>
        <v>-8</v>
      </c>
      <c r="Z27" s="72">
        <f t="shared" si="3"/>
        <v>0</v>
      </c>
      <c r="AA27" s="73">
        <f t="shared" si="23"/>
        <v>0</v>
      </c>
      <c r="AB27" s="73" t="str">
        <f t="shared" si="14"/>
        <v/>
      </c>
      <c r="AC27" s="73">
        <f>IFERROR(VLOOKUP(Z27,'Raw Data'!$A$4:$O$1500,15,0),0)</f>
        <v>0</v>
      </c>
      <c r="AD27" s="33"/>
      <c r="AE27" s="33" t="str">
        <f t="shared" si="15"/>
        <v>Tue</v>
      </c>
      <c r="AF27" s="114">
        <f t="shared" si="24"/>
        <v>21</v>
      </c>
      <c r="AG27" s="108">
        <f t="shared" si="4"/>
        <v>42199</v>
      </c>
      <c r="AH27" s="21" t="str">
        <f t="shared" si="5"/>
        <v>Flash Sale,30% Off,FS on $49</v>
      </c>
      <c r="AI27" s="21">
        <f t="shared" si="6"/>
        <v>1271</v>
      </c>
      <c r="AJ27" s="21">
        <f t="shared" si="7"/>
        <v>2</v>
      </c>
      <c r="AK27" s="21">
        <f t="shared" si="8"/>
        <v>0</v>
      </c>
      <c r="AL27" s="21"/>
      <c r="AM27" s="112"/>
      <c r="AN27" s="21"/>
      <c r="AS27" s="112" t="str">
        <f t="shared" si="16"/>
        <v/>
      </c>
      <c r="AT27" s="112" t="str">
        <f>IF(AS27="","",COUNTIF($AS$13:AS27,AS27))</f>
        <v/>
      </c>
      <c r="AU27" s="147">
        <f t="shared" si="17"/>
        <v>14</v>
      </c>
      <c r="AV27" s="147">
        <f>COUNTIF($AZ$14:AZ27,AZ27)</f>
        <v>4</v>
      </c>
      <c r="AW27" s="147">
        <f>IFERROR(COUNTIF(AX$14:$BL27,AX27),"")</f>
        <v>2</v>
      </c>
      <c r="AX27" s="148" t="str">
        <f t="shared" si="18"/>
        <v>Sat</v>
      </c>
      <c r="AY27" s="149">
        <f>'Raw Data'!A17</f>
        <v>41622</v>
      </c>
      <c r="AZ27" s="150" t="str">
        <f>'Raw Data'!E17</f>
        <v>No Email Drop</v>
      </c>
      <c r="BA27" s="150">
        <f>'Raw Data'!I17</f>
        <v>1170</v>
      </c>
      <c r="BB27" s="112"/>
      <c r="BC27" s="112"/>
      <c r="BD27" s="112">
        <f>'Raw Data'!O17</f>
        <v>0</v>
      </c>
      <c r="BH27" s="1"/>
      <c r="BI27" s="1"/>
      <c r="BJ27" s="1"/>
      <c r="BK27" t="s">
        <v>165</v>
      </c>
    </row>
    <row r="28" spans="1:63">
      <c r="A28" s="23">
        <f>'Forecast Workings'!A21</f>
        <v>42601</v>
      </c>
      <c r="B28" s="16">
        <f>'Forecast Workings'!I21</f>
        <v>1305.25</v>
      </c>
      <c r="C28" s="48">
        <f>VLOOKUP(A28,'Forecast Workings'!$A$2:$J$29,10,0)</f>
        <v>0</v>
      </c>
      <c r="D28" s="48">
        <f>VLOOKUP(A28,'Forecast Workings'!$A$2:$M$29,13,0)</f>
        <v>0</v>
      </c>
      <c r="F28" s="52" t="str">
        <f t="shared" si="19"/>
        <v/>
      </c>
      <c r="G28" s="54">
        <f t="shared" si="9"/>
        <v>0</v>
      </c>
      <c r="H28" s="33" t="str">
        <f t="shared" si="10"/>
        <v/>
      </c>
      <c r="I28" s="33">
        <f>IFERROR(VLOOKUP(G28,'Raw Data'!$A$4:$O$1500,15,0),0)</f>
        <v>0</v>
      </c>
      <c r="J28" s="1"/>
      <c r="K28" s="70" t="str">
        <f>IF(M28=0,"",COUNTIF($N$16:N28,$H$13))</f>
        <v/>
      </c>
      <c r="L28" s="30">
        <f t="shared" si="25"/>
        <v>-1</v>
      </c>
      <c r="M28" s="54">
        <f t="shared" si="28"/>
        <v>0</v>
      </c>
      <c r="N28" s="33">
        <f t="shared" si="29"/>
        <v>0</v>
      </c>
      <c r="O28" s="33" t="str">
        <f t="shared" si="30"/>
        <v/>
      </c>
      <c r="P28" s="33">
        <f>IFERROR(VLOOKUP(M28,'Raw Data'!$A$4:$O$1500,15,0),0)</f>
        <v>0</v>
      </c>
      <c r="Q28" s="33"/>
      <c r="R28" s="30">
        <f>COUNTIF($U$16:U28,$AA$14)</f>
        <v>2</v>
      </c>
      <c r="S28" s="30">
        <f t="shared" si="26"/>
        <v>88</v>
      </c>
      <c r="T28" s="54">
        <f t="shared" si="12"/>
        <v>42218</v>
      </c>
      <c r="U28" s="33" t="str">
        <f t="shared" si="21"/>
        <v>Upto 75% offer</v>
      </c>
      <c r="V28" s="33">
        <f t="shared" si="13"/>
        <v>746</v>
      </c>
      <c r="W28" s="33">
        <f>IFERROR(VLOOKUP(T28,'Raw Data'!$A$4:$O$1500,15,0),0)</f>
        <v>1</v>
      </c>
      <c r="X28" s="35"/>
      <c r="Y28" s="42">
        <f t="shared" si="22"/>
        <v>-9</v>
      </c>
      <c r="Z28" s="72">
        <f t="shared" si="3"/>
        <v>0</v>
      </c>
      <c r="AA28" s="73">
        <f t="shared" si="23"/>
        <v>0</v>
      </c>
      <c r="AB28" s="73" t="str">
        <f t="shared" si="14"/>
        <v/>
      </c>
      <c r="AC28" s="73">
        <f>IFERROR(VLOOKUP(Z28,'Raw Data'!$A$4:$O$1500,15,0),0)</f>
        <v>0</v>
      </c>
      <c r="AD28" s="33"/>
      <c r="AE28" s="33" t="str">
        <f t="shared" si="15"/>
        <v>Mon</v>
      </c>
      <c r="AF28" s="114">
        <f t="shared" si="24"/>
        <v>20</v>
      </c>
      <c r="AG28" s="108">
        <f t="shared" si="4"/>
        <v>42198</v>
      </c>
      <c r="AH28" s="21" t="str">
        <f t="shared" si="5"/>
        <v>Flash Sale,30% Off,FS on $49</v>
      </c>
      <c r="AI28" s="21">
        <f t="shared" si="6"/>
        <v>1546</v>
      </c>
      <c r="AJ28" s="21">
        <f t="shared" si="7"/>
        <v>1</v>
      </c>
      <c r="AK28" s="21">
        <f t="shared" si="8"/>
        <v>0</v>
      </c>
      <c r="AL28" s="21"/>
      <c r="AM28" s="21"/>
      <c r="AN28" s="21"/>
      <c r="AS28" s="112" t="str">
        <f t="shared" si="16"/>
        <v/>
      </c>
      <c r="AT28" s="112" t="str">
        <f>IF(AS28="","",COUNTIF($AS$13:AS28,AS28))</f>
        <v/>
      </c>
      <c r="AU28" s="147">
        <f t="shared" si="17"/>
        <v>15</v>
      </c>
      <c r="AV28" s="147">
        <f>COUNTIF($AZ$14:AZ28,AZ28)</f>
        <v>5</v>
      </c>
      <c r="AW28" s="147">
        <f>IFERROR(COUNTIF(AX$14:$BL28,AX28),"")</f>
        <v>3</v>
      </c>
      <c r="AX28" s="148" t="str">
        <f t="shared" si="18"/>
        <v>Sun</v>
      </c>
      <c r="AY28" s="149">
        <f>'Raw Data'!A18</f>
        <v>41623</v>
      </c>
      <c r="AZ28" s="150" t="str">
        <f>'Raw Data'!E18</f>
        <v>No Email Drop</v>
      </c>
      <c r="BA28" s="150">
        <f>'Raw Data'!I18</f>
        <v>1039</v>
      </c>
      <c r="BB28" s="112"/>
      <c r="BC28" s="112"/>
      <c r="BD28" s="112">
        <f>'Raw Data'!O18</f>
        <v>0</v>
      </c>
      <c r="BH28" s="1"/>
      <c r="BI28" s="1"/>
      <c r="BJ28" s="1"/>
      <c r="BK28" t="s">
        <v>165</v>
      </c>
    </row>
    <row r="29" spans="1:63">
      <c r="A29" s="23">
        <f>'Forecast Workings'!A22</f>
        <v>42602</v>
      </c>
      <c r="B29" s="16">
        <f>'Forecast Workings'!I22</f>
        <v>960</v>
      </c>
      <c r="C29" s="48">
        <f>VLOOKUP(A29,'Forecast Workings'!$A$2:$J$29,10,0)</f>
        <v>0</v>
      </c>
      <c r="D29" s="48">
        <f>VLOOKUP(A29,'Forecast Workings'!$A$2:$M$29,13,0)</f>
        <v>0</v>
      </c>
      <c r="F29" s="52" t="str">
        <f t="shared" si="19"/>
        <v/>
      </c>
      <c r="G29" s="54">
        <f t="shared" si="9"/>
        <v>0</v>
      </c>
      <c r="H29" s="33" t="str">
        <f t="shared" si="10"/>
        <v/>
      </c>
      <c r="I29" s="33">
        <f>IFERROR(VLOOKUP(G29,'Raw Data'!$A$4:$O$1500,15,0),0)</f>
        <v>0</v>
      </c>
      <c r="J29" s="1"/>
      <c r="K29" s="70" t="str">
        <f>IF(M29=0,"",COUNTIF($N$16:N29,$H$13))</f>
        <v/>
      </c>
      <c r="L29" s="30">
        <f t="shared" si="25"/>
        <v>-2</v>
      </c>
      <c r="M29" s="54">
        <f t="shared" si="28"/>
        <v>0</v>
      </c>
      <c r="N29" s="33">
        <f t="shared" si="29"/>
        <v>0</v>
      </c>
      <c r="O29" s="33" t="str">
        <f t="shared" si="30"/>
        <v/>
      </c>
      <c r="P29" s="33">
        <f>IFERROR(VLOOKUP(M29,'Raw Data'!$A$4:$O$1500,15,0),0)</f>
        <v>0</v>
      </c>
      <c r="Q29" s="33"/>
      <c r="R29" s="30">
        <f>COUNTIF($U$16:U29,$AA$14)</f>
        <v>2</v>
      </c>
      <c r="S29" s="30">
        <f t="shared" si="26"/>
        <v>87</v>
      </c>
      <c r="T29" s="54">
        <f t="shared" si="12"/>
        <v>42211</v>
      </c>
      <c r="U29" s="33" t="str">
        <f t="shared" si="21"/>
        <v>$30 Off,FS on $100</v>
      </c>
      <c r="V29" s="33">
        <f t="shared" si="13"/>
        <v>968</v>
      </c>
      <c r="W29" s="33">
        <f>IFERROR(VLOOKUP(T29,'Raw Data'!$A$4:$O$1500,15,0),0)</f>
        <v>1</v>
      </c>
      <c r="X29" s="35"/>
      <c r="Y29" s="42">
        <f t="shared" si="22"/>
        <v>-10</v>
      </c>
      <c r="Z29" s="72">
        <f t="shared" si="3"/>
        <v>0</v>
      </c>
      <c r="AA29" s="73">
        <f t="shared" si="23"/>
        <v>0</v>
      </c>
      <c r="AB29" s="73" t="str">
        <f t="shared" si="14"/>
        <v/>
      </c>
      <c r="AC29" s="73">
        <f>IFERROR(VLOOKUP(Z29,'Raw Data'!$A$4:$O$1500,15,0),0)</f>
        <v>0</v>
      </c>
      <c r="AD29" s="33"/>
      <c r="AE29" s="33" t="str">
        <f t="shared" si="15"/>
        <v>Wed</v>
      </c>
      <c r="AF29" s="114">
        <f t="shared" si="24"/>
        <v>19</v>
      </c>
      <c r="AG29" s="108">
        <f t="shared" si="4"/>
        <v>42130</v>
      </c>
      <c r="AH29" s="21" t="str">
        <f t="shared" si="5"/>
        <v>Flash Sale,25% Off,FS on $49</v>
      </c>
      <c r="AI29" s="21">
        <f t="shared" si="6"/>
        <v>1224</v>
      </c>
      <c r="AJ29" s="21">
        <f t="shared" si="7"/>
        <v>1</v>
      </c>
      <c r="AK29" s="21">
        <f t="shared" si="8"/>
        <v>0</v>
      </c>
      <c r="AL29" s="21"/>
      <c r="AM29" s="21"/>
      <c r="AN29" s="21"/>
      <c r="AS29" s="112" t="str">
        <f t="shared" si="16"/>
        <v/>
      </c>
      <c r="AT29" s="112" t="str">
        <f>IF(AS29="","",COUNTIF($AS$13:AS29,AS29))</f>
        <v/>
      </c>
      <c r="AU29" s="147">
        <f t="shared" si="17"/>
        <v>16</v>
      </c>
      <c r="AV29" s="147">
        <f>COUNTIF($AZ$14:AZ29,AZ29)</f>
        <v>1</v>
      </c>
      <c r="AW29" s="147">
        <f>IFERROR(COUNTIF(AX$14:$BL29,AX29),"")</f>
        <v>3</v>
      </c>
      <c r="AX29" s="148" t="str">
        <f t="shared" si="18"/>
        <v>Mon</v>
      </c>
      <c r="AY29" s="149">
        <f>'Raw Data'!A19</f>
        <v>41624</v>
      </c>
      <c r="AZ29" s="150" t="str">
        <f>'Raw Data'!E19</f>
        <v>25% Off,FS on $49</v>
      </c>
      <c r="BA29" s="150">
        <f>'Raw Data'!I19</f>
        <v>2119</v>
      </c>
      <c r="BB29" s="112"/>
      <c r="BC29" s="112"/>
      <c r="BD29" s="112">
        <f>'Raw Data'!O19</f>
        <v>2</v>
      </c>
      <c r="BH29" s="1"/>
      <c r="BI29" s="1"/>
      <c r="BJ29" s="1"/>
      <c r="BK29" t="s">
        <v>191</v>
      </c>
    </row>
    <row r="30" spans="1:63">
      <c r="A30" s="23">
        <f>'Forecast Workings'!A23</f>
        <v>42603</v>
      </c>
      <c r="B30" s="16">
        <f>'Forecast Workings'!I23</f>
        <v>645.15</v>
      </c>
      <c r="C30" s="48">
        <f>VLOOKUP(A30,'Forecast Workings'!$A$2:$J$29,10,0)</f>
        <v>0</v>
      </c>
      <c r="D30" s="48">
        <f>VLOOKUP(A30,'Forecast Workings'!$A$2:$M$29,13,0)</f>
        <v>0</v>
      </c>
      <c r="F30" s="52" t="str">
        <f t="shared" si="19"/>
        <v/>
      </c>
      <c r="G30" s="54">
        <f t="shared" si="9"/>
        <v>0</v>
      </c>
      <c r="H30" s="33" t="str">
        <f t="shared" si="10"/>
        <v/>
      </c>
      <c r="I30" s="33">
        <f>IFERROR(VLOOKUP(G30,'Raw Data'!$A$4:$O$1500,15,0),0)</f>
        <v>0</v>
      </c>
      <c r="J30" s="1"/>
      <c r="K30" s="70" t="str">
        <f>IF(M30=0,"",COUNTIF($N$16:N30,$H$13))</f>
        <v/>
      </c>
      <c r="L30" s="30">
        <f t="shared" si="25"/>
        <v>-3</v>
      </c>
      <c r="M30" s="54">
        <f t="shared" si="28"/>
        <v>0</v>
      </c>
      <c r="N30" s="33">
        <f t="shared" si="29"/>
        <v>0</v>
      </c>
      <c r="O30" s="33" t="str">
        <f t="shared" si="30"/>
        <v/>
      </c>
      <c r="P30" s="33">
        <f>IFERROR(VLOOKUP(M30,'Raw Data'!$A$4:$O$1500,15,0),0)</f>
        <v>0</v>
      </c>
      <c r="Q30" s="33"/>
      <c r="R30" s="30">
        <f>COUNTIF($U$16:U30,$AA$14)</f>
        <v>2</v>
      </c>
      <c r="S30" s="30">
        <f t="shared" si="26"/>
        <v>86</v>
      </c>
      <c r="T30" s="54">
        <f t="shared" si="12"/>
        <v>42204</v>
      </c>
      <c r="U30" s="33" t="str">
        <f t="shared" si="21"/>
        <v>Bonus Week</v>
      </c>
      <c r="V30" s="33">
        <f t="shared" si="13"/>
        <v>885</v>
      </c>
      <c r="W30" s="33">
        <f>IFERROR(VLOOKUP(T30,'Raw Data'!$A$4:$O$1500,15,0),0)</f>
        <v>1</v>
      </c>
      <c r="X30" s="35"/>
      <c r="Y30" s="42">
        <f t="shared" si="22"/>
        <v>-11</v>
      </c>
      <c r="Z30" s="72">
        <f t="shared" si="3"/>
        <v>0</v>
      </c>
      <c r="AA30" s="73">
        <f t="shared" si="23"/>
        <v>0</v>
      </c>
      <c r="AB30" s="73" t="str">
        <f t="shared" si="14"/>
        <v/>
      </c>
      <c r="AC30" s="73">
        <f>IFERROR(VLOOKUP(Z30,'Raw Data'!$A$4:$O$1500,15,0),0)</f>
        <v>0</v>
      </c>
      <c r="AD30" s="33"/>
      <c r="AE30" s="33" t="str">
        <f t="shared" si="15"/>
        <v>Tue</v>
      </c>
      <c r="AF30" s="114">
        <f t="shared" si="24"/>
        <v>18</v>
      </c>
      <c r="AG30" s="108">
        <f t="shared" si="4"/>
        <v>42129</v>
      </c>
      <c r="AH30" s="21" t="str">
        <f t="shared" si="5"/>
        <v>Flash Sale,25% Off,FS on $49</v>
      </c>
      <c r="AI30" s="21">
        <f t="shared" si="6"/>
        <v>1405</v>
      </c>
      <c r="AJ30" s="21">
        <f t="shared" si="7"/>
        <v>2</v>
      </c>
      <c r="AK30" s="21">
        <f t="shared" si="8"/>
        <v>0</v>
      </c>
      <c r="AL30" s="21"/>
      <c r="AM30" s="21"/>
      <c r="AN30" s="21"/>
      <c r="AS30" s="112" t="str">
        <f t="shared" si="16"/>
        <v/>
      </c>
      <c r="AT30" s="112" t="str">
        <f>IF(AS30="","",COUNTIF($AS$13:AS30,AS30))</f>
        <v/>
      </c>
      <c r="AU30" s="147">
        <f t="shared" si="17"/>
        <v>17</v>
      </c>
      <c r="AV30" s="147">
        <f>COUNTIF($AZ$14:AZ30,AZ30)</f>
        <v>2</v>
      </c>
      <c r="AW30" s="147">
        <f>IFERROR(COUNTIF(AX$14:$BL30,AX30),"")</f>
        <v>3</v>
      </c>
      <c r="AX30" s="148" t="str">
        <f t="shared" si="18"/>
        <v>Tue</v>
      </c>
      <c r="AY30" s="149">
        <f>'Raw Data'!A20</f>
        <v>41625</v>
      </c>
      <c r="AZ30" s="150" t="str">
        <f>'Raw Data'!E20</f>
        <v>25% Off,FS on $49</v>
      </c>
      <c r="BA30" s="150">
        <f>'Raw Data'!I20</f>
        <v>1858</v>
      </c>
      <c r="BB30" s="112"/>
      <c r="BC30" s="112"/>
      <c r="BD30" s="112">
        <f>'Raw Data'!O20</f>
        <v>2</v>
      </c>
      <c r="BH30" s="1"/>
      <c r="BI30" s="1"/>
      <c r="BJ30" s="1"/>
      <c r="BK30" t="s">
        <v>191</v>
      </c>
    </row>
    <row r="31" spans="1:63" ht="15" customHeight="1">
      <c r="A31" s="23">
        <f>'Forecast Workings'!A24</f>
        <v>42604</v>
      </c>
      <c r="B31" s="16">
        <f>'Forecast Workings'!I24</f>
        <v>1220.4000000000001</v>
      </c>
      <c r="C31" s="85" t="s">
        <v>802</v>
      </c>
      <c r="D31" s="48">
        <f>VLOOKUP(A31,'Forecast Workings'!$A$2:$M$29,13,0)</f>
        <v>0</v>
      </c>
      <c r="F31" s="52" t="str">
        <f t="shared" si="19"/>
        <v/>
      </c>
      <c r="G31" s="54">
        <f t="shared" si="9"/>
        <v>0</v>
      </c>
      <c r="H31" s="33" t="str">
        <f t="shared" si="10"/>
        <v/>
      </c>
      <c r="I31" s="33">
        <f>IFERROR(VLOOKUP(G31,'Raw Data'!$A$4:$O$1500,15,0),0)</f>
        <v>0</v>
      </c>
      <c r="J31" s="1"/>
      <c r="K31" s="70" t="str">
        <f>IF(M31=0,"",COUNTIF($N$16:N31,$H$13))</f>
        <v/>
      </c>
      <c r="L31" s="30">
        <f t="shared" si="25"/>
        <v>-4</v>
      </c>
      <c r="M31" s="54">
        <f t="shared" si="28"/>
        <v>0</v>
      </c>
      <c r="N31" s="33">
        <f t="shared" si="29"/>
        <v>0</v>
      </c>
      <c r="O31" s="33" t="str">
        <f t="shared" si="30"/>
        <v/>
      </c>
      <c r="P31" s="33">
        <f>IFERROR(VLOOKUP(M31,'Raw Data'!$A$4:$O$1500,15,0),0)</f>
        <v>0</v>
      </c>
      <c r="Q31" s="33"/>
      <c r="R31" s="30">
        <f>COUNTIF($U$16:U31,$AA$14)</f>
        <v>2</v>
      </c>
      <c r="S31" s="30">
        <f t="shared" si="26"/>
        <v>85</v>
      </c>
      <c r="T31" s="54">
        <f t="shared" si="12"/>
        <v>42197</v>
      </c>
      <c r="U31" s="33" t="str">
        <f t="shared" si="21"/>
        <v>Up To 40% Off,FS on $49</v>
      </c>
      <c r="V31" s="33">
        <f t="shared" si="13"/>
        <v>741</v>
      </c>
      <c r="W31" s="33">
        <f>IFERROR(VLOOKUP(T31,'Raw Data'!$A$4:$O$1500,15,0),0)</f>
        <v>1</v>
      </c>
      <c r="X31" s="35"/>
      <c r="Y31" s="42">
        <f t="shared" si="22"/>
        <v>-12</v>
      </c>
      <c r="Z31" s="72">
        <f t="shared" si="3"/>
        <v>0</v>
      </c>
      <c r="AA31" s="73">
        <f t="shared" si="23"/>
        <v>0</v>
      </c>
      <c r="AB31" s="73" t="str">
        <f t="shared" si="14"/>
        <v/>
      </c>
      <c r="AC31" s="73">
        <f>IFERROR(VLOOKUP(Z31,'Raw Data'!$A$4:$O$1500,15,0),0)</f>
        <v>0</v>
      </c>
      <c r="AD31" s="33"/>
      <c r="AE31" s="33" t="str">
        <f t="shared" si="15"/>
        <v>Mon</v>
      </c>
      <c r="AF31" s="114">
        <f t="shared" si="24"/>
        <v>17</v>
      </c>
      <c r="AG31" s="108">
        <f t="shared" si="4"/>
        <v>42107</v>
      </c>
      <c r="AH31" s="21" t="str">
        <f t="shared" si="5"/>
        <v>Flash Sale,25% Off,FS on $49</v>
      </c>
      <c r="AI31" s="21">
        <f t="shared" si="6"/>
        <v>1139</v>
      </c>
      <c r="AJ31" s="21">
        <f t="shared" si="7"/>
        <v>1</v>
      </c>
      <c r="AK31" s="21">
        <f t="shared" si="8"/>
        <v>0</v>
      </c>
      <c r="AL31" s="21"/>
      <c r="AM31" s="21"/>
      <c r="AN31" s="21"/>
      <c r="AS31" s="112" t="str">
        <f t="shared" si="16"/>
        <v/>
      </c>
      <c r="AT31" s="112" t="str">
        <f>IF(AS31="","",COUNTIF($AS$13:AS31,AS31))</f>
        <v/>
      </c>
      <c r="AU31" s="147">
        <f t="shared" si="17"/>
        <v>18</v>
      </c>
      <c r="AV31" s="147">
        <f>COUNTIF($AZ$14:AZ31,AZ31)</f>
        <v>1</v>
      </c>
      <c r="AW31" s="147">
        <f>IFERROR(COUNTIF(AX$14:$BL31,AX31),"")</f>
        <v>3</v>
      </c>
      <c r="AX31" s="148" t="str">
        <f t="shared" si="18"/>
        <v>Wed</v>
      </c>
      <c r="AY31" s="149">
        <f>'Raw Data'!A21</f>
        <v>41626</v>
      </c>
      <c r="AZ31" s="150" t="str">
        <f>'Raw Data'!E21</f>
        <v>Last Day For Standard Ship</v>
      </c>
      <c r="BA31" s="150">
        <f>'Raw Data'!I21</f>
        <v>1888</v>
      </c>
      <c r="BB31" s="112"/>
      <c r="BC31" s="112"/>
      <c r="BD31" s="112">
        <f>'Raw Data'!O21</f>
        <v>2</v>
      </c>
      <c r="BH31" s="1"/>
      <c r="BI31" s="1"/>
      <c r="BJ31" s="1"/>
      <c r="BK31" t="s">
        <v>191</v>
      </c>
    </row>
    <row r="32" spans="1:63">
      <c r="A32" s="23">
        <f>'Forecast Workings'!A25</f>
        <v>42605</v>
      </c>
      <c r="B32" s="16">
        <f>'Forecast Workings'!I25</f>
        <v>1254</v>
      </c>
      <c r="C32" s="85" t="s">
        <v>803</v>
      </c>
      <c r="D32" s="48">
        <f>VLOOKUP(A32,'Forecast Workings'!$A$2:$M$29,13,0)</f>
        <v>0</v>
      </c>
      <c r="F32" s="52" t="str">
        <f t="shared" si="19"/>
        <v/>
      </c>
      <c r="G32" s="54">
        <f t="shared" si="9"/>
        <v>0</v>
      </c>
      <c r="H32" s="33" t="str">
        <f t="shared" si="10"/>
        <v/>
      </c>
      <c r="I32" s="33">
        <f>IFERROR(VLOOKUP(G32,'Raw Data'!$A$4:$O$1500,15,0),0)</f>
        <v>0</v>
      </c>
      <c r="J32" s="1"/>
      <c r="K32" s="70" t="str">
        <f>IF(M32=0,"",COUNTIF($N$16:N32,$H$13))</f>
        <v/>
      </c>
      <c r="L32" s="30">
        <f t="shared" si="25"/>
        <v>-5</v>
      </c>
      <c r="M32" s="54">
        <f t="shared" si="28"/>
        <v>0</v>
      </c>
      <c r="N32" s="33">
        <f t="shared" si="29"/>
        <v>0</v>
      </c>
      <c r="O32" s="33" t="str">
        <f t="shared" si="30"/>
        <v/>
      </c>
      <c r="P32" s="33">
        <f>IFERROR(VLOOKUP(M32,'Raw Data'!$A$4:$O$1500,15,0),0)</f>
        <v>0</v>
      </c>
      <c r="Q32" s="33"/>
      <c r="R32" s="30">
        <f>COUNTIF($U$16:U32,$AA$14)</f>
        <v>2</v>
      </c>
      <c r="S32" s="30">
        <f t="shared" si="26"/>
        <v>84</v>
      </c>
      <c r="T32" s="54">
        <f t="shared" si="12"/>
        <v>42190</v>
      </c>
      <c r="U32" s="33" t="str">
        <f t="shared" si="21"/>
        <v>$10 Off Promo</v>
      </c>
      <c r="V32" s="33">
        <f t="shared" si="13"/>
        <v>670</v>
      </c>
      <c r="W32" s="33">
        <f>IFERROR(VLOOKUP(T32,'Raw Data'!$A$4:$O$1500,15,0),0)</f>
        <v>2</v>
      </c>
      <c r="X32" s="35"/>
      <c r="Y32" s="42">
        <f t="shared" si="22"/>
        <v>-13</v>
      </c>
      <c r="Z32" s="72">
        <f t="shared" si="3"/>
        <v>0</v>
      </c>
      <c r="AA32" s="73">
        <f t="shared" si="23"/>
        <v>0</v>
      </c>
      <c r="AB32" s="73" t="str">
        <f t="shared" si="14"/>
        <v/>
      </c>
      <c r="AC32" s="73">
        <f>IFERROR(VLOOKUP(Z32,'Raw Data'!$A$4:$O$1500,15,0),0)</f>
        <v>0</v>
      </c>
      <c r="AD32" s="33"/>
      <c r="AE32" s="33" t="str">
        <f t="shared" si="15"/>
        <v>Sun</v>
      </c>
      <c r="AF32" s="114">
        <f t="shared" si="24"/>
        <v>16</v>
      </c>
      <c r="AG32" s="108">
        <f t="shared" si="4"/>
        <v>42106</v>
      </c>
      <c r="AH32" s="21" t="str">
        <f t="shared" si="5"/>
        <v>Flash Sale,25% Off,FS on $49</v>
      </c>
      <c r="AI32" s="21">
        <f t="shared" si="6"/>
        <v>798</v>
      </c>
      <c r="AJ32" s="21">
        <f t="shared" si="7"/>
        <v>1</v>
      </c>
      <c r="AK32" s="21">
        <f t="shared" si="8"/>
        <v>0</v>
      </c>
      <c r="AL32" s="21"/>
      <c r="AM32" s="21"/>
      <c r="AN32" s="21"/>
      <c r="AS32" s="112" t="str">
        <f t="shared" si="16"/>
        <v/>
      </c>
      <c r="AT32" s="112" t="str">
        <f>IF(AS32="","",COUNTIF($AS$13:AS32,AS32))</f>
        <v/>
      </c>
      <c r="AU32" s="147">
        <f t="shared" si="17"/>
        <v>19</v>
      </c>
      <c r="AV32" s="147">
        <f>COUNTIF($AZ$14:AZ32,AZ32)</f>
        <v>1</v>
      </c>
      <c r="AW32" s="147">
        <f>IFERROR(COUNTIF(AX$14:$BL32,AX32),"")</f>
        <v>3</v>
      </c>
      <c r="AX32" s="148" t="str">
        <f t="shared" si="18"/>
        <v>Thu</v>
      </c>
      <c r="AY32" s="149">
        <f>'Raw Data'!A22</f>
        <v>41627</v>
      </c>
      <c r="AZ32" s="150" t="str">
        <f>'Raw Data'!E22</f>
        <v>2-Day, Overnight Ship</v>
      </c>
      <c r="BA32" s="150">
        <f>'Raw Data'!I22</f>
        <v>2056</v>
      </c>
      <c r="BB32" s="112"/>
      <c r="BC32" s="112"/>
      <c r="BD32" s="112">
        <f>'Raw Data'!O22</f>
        <v>1</v>
      </c>
      <c r="BH32" s="1"/>
      <c r="BI32" s="1"/>
      <c r="BJ32" s="1"/>
      <c r="BK32" t="s">
        <v>165</v>
      </c>
    </row>
    <row r="33" spans="1:63" ht="12.75" customHeight="1">
      <c r="A33" s="23">
        <f>'Forecast Workings'!A26</f>
        <v>42606</v>
      </c>
      <c r="B33" s="16">
        <f>'Forecast Workings'!I26</f>
        <v>1249</v>
      </c>
      <c r="C33" s="85">
        <f>VLOOKUP(A33,'Forecast Workings'!$A$2:$J$29,10,0)</f>
        <v>0</v>
      </c>
      <c r="D33" s="48">
        <f>VLOOKUP(A33,'Forecast Workings'!$A$2:$M$29,13,0)</f>
        <v>0</v>
      </c>
      <c r="F33" s="52" t="str">
        <f t="shared" si="19"/>
        <v/>
      </c>
      <c r="G33" s="54">
        <f t="shared" si="9"/>
        <v>0</v>
      </c>
      <c r="H33" s="33" t="str">
        <f t="shared" si="10"/>
        <v/>
      </c>
      <c r="I33" s="33">
        <f>IFERROR(VLOOKUP(G33,'Raw Data'!$A$4:$O$1500,15,0),0)</f>
        <v>0</v>
      </c>
      <c r="J33" s="1"/>
      <c r="K33" s="70" t="str">
        <f>IF(M33=0,"",COUNTIF($N$16:N33,$H$13))</f>
        <v/>
      </c>
      <c r="L33" s="30">
        <f t="shared" si="25"/>
        <v>-6</v>
      </c>
      <c r="M33" s="54">
        <f t="shared" si="28"/>
        <v>0</v>
      </c>
      <c r="N33" s="33">
        <f t="shared" si="29"/>
        <v>0</v>
      </c>
      <c r="O33" s="33" t="str">
        <f t="shared" si="30"/>
        <v/>
      </c>
      <c r="P33" s="33">
        <f>IFERROR(VLOOKUP(M33,'Raw Data'!$A$4:$O$1500,15,0),0)</f>
        <v>0</v>
      </c>
      <c r="Q33" s="33"/>
      <c r="R33" s="30">
        <f>COUNTIF($U$16:U33,$AA$14)</f>
        <v>2</v>
      </c>
      <c r="S33" s="30">
        <f t="shared" si="26"/>
        <v>83</v>
      </c>
      <c r="T33" s="54">
        <f t="shared" si="12"/>
        <v>42183</v>
      </c>
      <c r="U33" s="33" t="str">
        <f t="shared" si="21"/>
        <v>Up To 40% Off,FS on $49</v>
      </c>
      <c r="V33" s="33">
        <f t="shared" si="13"/>
        <v>638</v>
      </c>
      <c r="W33" s="33">
        <f>IFERROR(VLOOKUP(T33,'Raw Data'!$A$4:$O$1500,15,0),0)</f>
        <v>1</v>
      </c>
      <c r="X33" s="35"/>
      <c r="Y33" s="42">
        <f t="shared" si="22"/>
        <v>-14</v>
      </c>
      <c r="Z33" s="72">
        <f t="shared" si="3"/>
        <v>0</v>
      </c>
      <c r="AA33" s="73">
        <f t="shared" si="23"/>
        <v>0</v>
      </c>
      <c r="AB33" s="73" t="str">
        <f t="shared" si="14"/>
        <v/>
      </c>
      <c r="AC33" s="73">
        <f>IFERROR(VLOOKUP(Z33,'Raw Data'!$A$4:$O$1500,15,0),0)</f>
        <v>0</v>
      </c>
      <c r="AD33" s="33"/>
      <c r="AE33" s="33" t="str">
        <f t="shared" si="15"/>
        <v>Thu</v>
      </c>
      <c r="AF33" s="114">
        <f t="shared" si="24"/>
        <v>15</v>
      </c>
      <c r="AG33" s="108">
        <f t="shared" si="4"/>
        <v>42040</v>
      </c>
      <c r="AH33" s="21" t="str">
        <f t="shared" si="5"/>
        <v>Flash Sale,$20 Off,FS on $49</v>
      </c>
      <c r="AI33" s="21">
        <f t="shared" si="6"/>
        <v>1738</v>
      </c>
      <c r="AJ33" s="21">
        <f t="shared" si="7"/>
        <v>2</v>
      </c>
      <c r="AK33" s="21">
        <f t="shared" si="8"/>
        <v>0</v>
      </c>
      <c r="AL33" s="21"/>
      <c r="AM33" s="21"/>
      <c r="AN33" s="21"/>
      <c r="AS33" s="112" t="str">
        <f t="shared" si="16"/>
        <v/>
      </c>
      <c r="AT33" s="112" t="str">
        <f>IF(AS33="","",COUNTIF($AS$13:AS33,AS33))</f>
        <v/>
      </c>
      <c r="AU33" s="147">
        <f t="shared" si="17"/>
        <v>20</v>
      </c>
      <c r="AV33" s="147">
        <f>COUNTIF($AZ$14:AZ33,AZ33)</f>
        <v>1</v>
      </c>
      <c r="AW33" s="147">
        <f>IFERROR(COUNTIF(AX$14:$BL33,AX33),"")</f>
        <v>3</v>
      </c>
      <c r="AX33" s="148" t="str">
        <f t="shared" si="18"/>
        <v>Fri</v>
      </c>
      <c r="AY33" s="149">
        <f>'Raw Data'!A23</f>
        <v>41628</v>
      </c>
      <c r="AZ33" s="150" t="str">
        <f>'Raw Data'!E23</f>
        <v>$10 Off,FS on $49</v>
      </c>
      <c r="BA33" s="150">
        <f>'Raw Data'!I23</f>
        <v>1868</v>
      </c>
      <c r="BB33" s="112"/>
      <c r="BC33" s="112"/>
      <c r="BD33" s="112">
        <f>'Raw Data'!O23</f>
        <v>3</v>
      </c>
      <c r="BH33" s="1"/>
      <c r="BI33" s="1"/>
      <c r="BJ33" s="1"/>
      <c r="BK33" t="s">
        <v>17</v>
      </c>
    </row>
    <row r="34" spans="1:63" ht="12.75" customHeight="1">
      <c r="A34" s="23">
        <f>'Forecast Workings'!A27</f>
        <v>42607</v>
      </c>
      <c r="B34" s="16">
        <f>'Forecast Workings'!I27</f>
        <v>1096.26</v>
      </c>
      <c r="C34" s="85">
        <f>VLOOKUP(A34,'Forecast Workings'!$A$2:$J$29,10,0)</f>
        <v>0</v>
      </c>
      <c r="D34" s="48">
        <f>VLOOKUP(A34,'Forecast Workings'!$A$2:$M$29,13,0)</f>
        <v>0</v>
      </c>
      <c r="F34" s="52" t="str">
        <f t="shared" si="19"/>
        <v/>
      </c>
      <c r="G34" s="54">
        <f t="shared" si="9"/>
        <v>0</v>
      </c>
      <c r="H34" s="33" t="str">
        <f t="shared" si="10"/>
        <v/>
      </c>
      <c r="I34" s="33">
        <f>IFERROR(VLOOKUP(G34,'Raw Data'!$A$4:$O$1500,15,0),0)</f>
        <v>0</v>
      </c>
      <c r="J34" s="1"/>
      <c r="K34" s="70" t="str">
        <f>IF(M34=0,"",COUNTIF($N$16:N34,$H$13))</f>
        <v/>
      </c>
      <c r="L34" s="30">
        <f t="shared" si="25"/>
        <v>-7</v>
      </c>
      <c r="M34" s="54">
        <f t="shared" si="28"/>
        <v>0</v>
      </c>
      <c r="N34" s="33">
        <f t="shared" si="29"/>
        <v>0</v>
      </c>
      <c r="O34" s="33" t="str">
        <f t="shared" si="30"/>
        <v/>
      </c>
      <c r="P34" s="33">
        <f>IFERROR(VLOOKUP(M34,'Raw Data'!$A$4:$O$1500,15,0),0)</f>
        <v>0</v>
      </c>
      <c r="Q34" s="33"/>
      <c r="R34" s="30">
        <f>COUNTIF($U$16:U34,$AA$14)</f>
        <v>2</v>
      </c>
      <c r="S34" s="30">
        <f t="shared" si="26"/>
        <v>82</v>
      </c>
      <c r="T34" s="54">
        <f t="shared" si="12"/>
        <v>42176</v>
      </c>
      <c r="U34" s="33" t="str">
        <f t="shared" si="21"/>
        <v>Up To 35% Off,FS on $49</v>
      </c>
      <c r="V34" s="33">
        <f t="shared" si="13"/>
        <v>644</v>
      </c>
      <c r="W34" s="33">
        <f>IFERROR(VLOOKUP(T34,'Raw Data'!$A$4:$O$1500,15,0),0)</f>
        <v>2</v>
      </c>
      <c r="X34" s="35"/>
      <c r="Y34" s="42">
        <f t="shared" si="22"/>
        <v>-15</v>
      </c>
      <c r="Z34" s="72">
        <f t="shared" si="3"/>
        <v>0</v>
      </c>
      <c r="AA34" s="73">
        <f t="shared" si="23"/>
        <v>0</v>
      </c>
      <c r="AB34" s="73" t="str">
        <f t="shared" si="14"/>
        <v/>
      </c>
      <c r="AC34" s="73">
        <f>IFERROR(VLOOKUP(Z34,'Raw Data'!$A$4:$O$1500,15,0),0)</f>
        <v>0</v>
      </c>
      <c r="AD34" s="33"/>
      <c r="AE34" s="33" t="str">
        <f t="shared" si="15"/>
        <v>Wed</v>
      </c>
      <c r="AF34" s="114">
        <f t="shared" si="24"/>
        <v>14</v>
      </c>
      <c r="AG34" s="108">
        <f t="shared" si="4"/>
        <v>42039</v>
      </c>
      <c r="AH34" s="21" t="str">
        <f t="shared" si="5"/>
        <v>Flash Sale,$20 Off,FS on $49</v>
      </c>
      <c r="AI34" s="21">
        <f t="shared" si="6"/>
        <v>1832</v>
      </c>
      <c r="AJ34" s="21">
        <f t="shared" si="7"/>
        <v>2</v>
      </c>
      <c r="AK34" s="21">
        <f t="shared" si="8"/>
        <v>0</v>
      </c>
      <c r="AL34" s="21"/>
      <c r="AM34" s="21"/>
      <c r="AN34" s="21"/>
      <c r="AS34" s="112" t="str">
        <f t="shared" si="16"/>
        <v/>
      </c>
      <c r="AT34" s="112" t="str">
        <f>IF(AS34="","",COUNTIF($AS$13:AS34,AS34))</f>
        <v/>
      </c>
      <c r="AU34" s="147">
        <f t="shared" si="17"/>
        <v>21</v>
      </c>
      <c r="AV34" s="147">
        <f>COUNTIF($AZ$14:AZ34,AZ34)</f>
        <v>1</v>
      </c>
      <c r="AW34" s="147">
        <f>IFERROR(COUNTIF(AX$14:$BL34,AX34),"")</f>
        <v>3</v>
      </c>
      <c r="AX34" s="148" t="str">
        <f t="shared" si="18"/>
        <v>Sat</v>
      </c>
      <c r="AY34" s="149">
        <f>'Raw Data'!A24</f>
        <v>41629</v>
      </c>
      <c r="AZ34" s="150" t="str">
        <f>'Raw Data'!E24</f>
        <v>Last Day For 2-Day Shipping</v>
      </c>
      <c r="BA34" s="150">
        <f>'Raw Data'!I24</f>
        <v>1107</v>
      </c>
      <c r="BB34" s="112"/>
      <c r="BC34" s="112"/>
      <c r="BD34" s="112">
        <f>'Raw Data'!O24</f>
        <v>1</v>
      </c>
      <c r="BH34" s="1"/>
      <c r="BI34" s="1"/>
      <c r="BJ34" s="1"/>
      <c r="BK34" t="s">
        <v>10</v>
      </c>
    </row>
    <row r="35" spans="1:63">
      <c r="A35" s="23">
        <f>'Forecast Workings'!A28</f>
        <v>42608</v>
      </c>
      <c r="B35" s="16">
        <f>'Forecast Workings'!I28</f>
        <v>1101</v>
      </c>
      <c r="C35" s="85">
        <f>VLOOKUP(A35,'Forecast Workings'!$A$2:$J$29,10,0)</f>
        <v>0</v>
      </c>
      <c r="D35" s="48">
        <f>VLOOKUP(A35,'Forecast Workings'!$A$2:$M$29,13,0)</f>
        <v>0</v>
      </c>
      <c r="F35" s="52" t="str">
        <f t="shared" si="19"/>
        <v/>
      </c>
      <c r="G35" s="54">
        <f t="shared" si="9"/>
        <v>0</v>
      </c>
      <c r="H35" s="33" t="str">
        <f t="shared" si="10"/>
        <v/>
      </c>
      <c r="I35" s="33">
        <f>IFERROR(VLOOKUP(G35,'Raw Data'!$A$4:$O$1500,15,0),0)</f>
        <v>0</v>
      </c>
      <c r="J35" s="1"/>
      <c r="K35" s="70" t="str">
        <f>IF(M35=0,"",COUNTIF($N$16:N35,$H$13))</f>
        <v/>
      </c>
      <c r="L35" s="30">
        <f t="shared" si="25"/>
        <v>-8</v>
      </c>
      <c r="M35" s="54">
        <f t="shared" si="28"/>
        <v>0</v>
      </c>
      <c r="N35" s="33">
        <f t="shared" si="29"/>
        <v>0</v>
      </c>
      <c r="O35" s="33" t="str">
        <f t="shared" si="30"/>
        <v/>
      </c>
      <c r="P35" s="33">
        <f>IFERROR(VLOOKUP(M35,'Raw Data'!$A$4:$O$1500,15,0),0)</f>
        <v>0</v>
      </c>
      <c r="Q35" s="33"/>
      <c r="R35" s="30">
        <f>COUNTIF($U$16:U35,$AA$14)</f>
        <v>2</v>
      </c>
      <c r="S35" s="30">
        <f t="shared" si="26"/>
        <v>81</v>
      </c>
      <c r="T35" s="54">
        <f t="shared" si="12"/>
        <v>42169</v>
      </c>
      <c r="U35" s="33" t="str">
        <f t="shared" si="21"/>
        <v>Up To 40% Off,FS on $49</v>
      </c>
      <c r="V35" s="33">
        <f t="shared" si="13"/>
        <v>679</v>
      </c>
      <c r="W35" s="33">
        <f>IFERROR(VLOOKUP(T35,'Raw Data'!$A$4:$O$1500,15,0),0)</f>
        <v>1</v>
      </c>
      <c r="X35" s="35"/>
      <c r="Y35" s="42">
        <f t="shared" si="22"/>
        <v>-16</v>
      </c>
      <c r="Z35" s="72">
        <f t="shared" si="3"/>
        <v>0</v>
      </c>
      <c r="AA35" s="73">
        <f t="shared" si="23"/>
        <v>0</v>
      </c>
      <c r="AB35" s="73" t="str">
        <f t="shared" si="14"/>
        <v/>
      </c>
      <c r="AC35" s="73">
        <f>IFERROR(VLOOKUP(Z35,'Raw Data'!$A$4:$O$1500,15,0),0)</f>
        <v>0</v>
      </c>
      <c r="AD35" s="33"/>
      <c r="AE35" s="33" t="str">
        <f t="shared" si="15"/>
        <v>Thu</v>
      </c>
      <c r="AF35" s="114">
        <f t="shared" si="24"/>
        <v>13</v>
      </c>
      <c r="AG35" s="108">
        <f t="shared" si="4"/>
        <v>42019</v>
      </c>
      <c r="AH35" s="21" t="str">
        <f t="shared" si="5"/>
        <v>Flash Sale,$10 Off,FS on $49</v>
      </c>
      <c r="AI35" s="21">
        <f t="shared" si="6"/>
        <v>1472</v>
      </c>
      <c r="AJ35" s="21">
        <f t="shared" si="7"/>
        <v>1</v>
      </c>
      <c r="AK35" s="21">
        <f t="shared" si="8"/>
        <v>0</v>
      </c>
      <c r="AL35" s="21"/>
      <c r="AM35" s="21"/>
      <c r="AN35" s="21"/>
      <c r="AS35" s="112" t="str">
        <f t="shared" si="16"/>
        <v/>
      </c>
      <c r="AT35" s="112" t="str">
        <f>IF(AS35="","",COUNTIF($AS$13:AS35,AS35))</f>
        <v/>
      </c>
      <c r="AU35" s="147">
        <f t="shared" si="17"/>
        <v>22</v>
      </c>
      <c r="AV35" s="147">
        <f>COUNTIF($AZ$14:AZ35,AZ35)</f>
        <v>1</v>
      </c>
      <c r="AW35" s="147">
        <f>IFERROR(COUNTIF(AX$14:$BL35,AX35),"")</f>
        <v>4</v>
      </c>
      <c r="AX35" s="148" t="str">
        <f t="shared" si="18"/>
        <v>Sun</v>
      </c>
      <c r="AY35" s="149">
        <f>'Raw Data'!A25</f>
        <v>41630</v>
      </c>
      <c r="AZ35" s="150" t="str">
        <f>'Raw Data'!E25</f>
        <v>Overnight Shipping</v>
      </c>
      <c r="BA35" s="150">
        <f>'Raw Data'!I25</f>
        <v>830</v>
      </c>
      <c r="BB35" s="112"/>
      <c r="BC35" s="112"/>
      <c r="BD35" s="112">
        <f>'Raw Data'!O25</f>
        <v>1</v>
      </c>
      <c r="BH35" s="1"/>
      <c r="BI35" s="1"/>
      <c r="BJ35" s="1"/>
      <c r="BK35" t="s">
        <v>740</v>
      </c>
    </row>
    <row r="36" spans="1:63">
      <c r="A36" s="23">
        <f>'Forecast Workings'!A29</f>
        <v>42609</v>
      </c>
      <c r="B36" s="16">
        <f>'Forecast Workings'!I29</f>
        <v>761.3</v>
      </c>
      <c r="C36" s="85">
        <f>VLOOKUP(A36,'Forecast Workings'!$A$2:$J$29,10,0)</f>
        <v>0</v>
      </c>
      <c r="D36" s="48">
        <f>VLOOKUP(A36,'Forecast Workings'!$A$2:$M$29,13,0)</f>
        <v>0</v>
      </c>
      <c r="F36" s="52" t="str">
        <f t="shared" si="19"/>
        <v/>
      </c>
      <c r="G36" s="54">
        <f t="shared" si="9"/>
        <v>0</v>
      </c>
      <c r="H36" s="33" t="str">
        <f t="shared" si="10"/>
        <v/>
      </c>
      <c r="I36" s="33">
        <f>IFERROR(VLOOKUP(G36,'Raw Data'!$A$4:$O$1500,15,0),0)</f>
        <v>0</v>
      </c>
      <c r="J36" s="1"/>
      <c r="K36" s="70" t="str">
        <f>IF(M36=0,"",COUNTIF($N$16:N36,$H$13))</f>
        <v/>
      </c>
      <c r="L36" s="30">
        <f t="shared" si="25"/>
        <v>-9</v>
      </c>
      <c r="M36" s="54">
        <f t="shared" si="28"/>
        <v>0</v>
      </c>
      <c r="N36" s="33">
        <f t="shared" si="29"/>
        <v>0</v>
      </c>
      <c r="O36" s="33" t="str">
        <f t="shared" si="30"/>
        <v/>
      </c>
      <c r="P36" s="33">
        <f>IFERROR(VLOOKUP(M36,'Raw Data'!$A$4:$O$1500,15,0),0)</f>
        <v>0</v>
      </c>
      <c r="Q36" s="33"/>
      <c r="R36" s="30">
        <f>COUNTIF($U$16:U36,$AA$14)</f>
        <v>2</v>
      </c>
      <c r="S36" s="30">
        <f t="shared" si="26"/>
        <v>80</v>
      </c>
      <c r="T36" s="54">
        <f t="shared" si="12"/>
        <v>42162</v>
      </c>
      <c r="U36" s="33" t="str">
        <f t="shared" si="21"/>
        <v>Up To 40% Off,FS on $49</v>
      </c>
      <c r="V36" s="33">
        <f t="shared" si="13"/>
        <v>717</v>
      </c>
      <c r="W36" s="33">
        <f>IFERROR(VLOOKUP(T36,'Raw Data'!$A$4:$O$1500,15,0),0)</f>
        <v>2</v>
      </c>
      <c r="X36" s="35"/>
      <c r="Y36" s="42">
        <f t="shared" si="22"/>
        <v>-17</v>
      </c>
      <c r="Z36" s="72">
        <f t="shared" si="3"/>
        <v>0</v>
      </c>
      <c r="AA36" s="73">
        <f t="shared" si="23"/>
        <v>0</v>
      </c>
      <c r="AB36" s="73" t="str">
        <f t="shared" si="14"/>
        <v/>
      </c>
      <c r="AC36" s="73">
        <f>IFERROR(VLOOKUP(Z36,'Raw Data'!$A$4:$O$1500,15,0),0)</f>
        <v>0</v>
      </c>
      <c r="AD36" s="33"/>
      <c r="AE36" s="33" t="str">
        <f t="shared" si="15"/>
        <v>Wed</v>
      </c>
      <c r="AF36" s="114">
        <f t="shared" si="24"/>
        <v>12</v>
      </c>
      <c r="AG36" s="108">
        <f t="shared" si="4"/>
        <v>42018</v>
      </c>
      <c r="AH36" s="21" t="str">
        <f t="shared" si="5"/>
        <v>Flash Sale,$10 Off,FS on $49</v>
      </c>
      <c r="AI36" s="21">
        <f t="shared" si="6"/>
        <v>1752</v>
      </c>
      <c r="AJ36" s="21">
        <f t="shared" si="7"/>
        <v>2</v>
      </c>
      <c r="AK36" s="21">
        <f t="shared" si="8"/>
        <v>0</v>
      </c>
      <c r="AL36" s="21"/>
      <c r="AM36" s="21"/>
      <c r="AN36" s="21"/>
      <c r="AS36" s="112" t="str">
        <f t="shared" si="16"/>
        <v/>
      </c>
      <c r="AT36" s="112" t="str">
        <f>IF(AS36="","",COUNTIF($AS$13:AS36,AS36))</f>
        <v/>
      </c>
      <c r="AU36" s="147">
        <f t="shared" si="17"/>
        <v>23</v>
      </c>
      <c r="AV36" s="147">
        <f>COUNTIF($AZ$14:AZ36,AZ36)</f>
        <v>1</v>
      </c>
      <c r="AW36" s="147">
        <f>IFERROR(COUNTIF(AX$14:$BL36,AX36),"")</f>
        <v>4</v>
      </c>
      <c r="AX36" s="148" t="str">
        <f t="shared" si="18"/>
        <v>Mon</v>
      </c>
      <c r="AY36" s="149">
        <f>'Raw Data'!A26</f>
        <v>41631</v>
      </c>
      <c r="AZ36" s="150" t="str">
        <f>'Raw Data'!E26</f>
        <v>Last Day For Overnight Ship</v>
      </c>
      <c r="BA36" s="150">
        <f>'Raw Data'!I26</f>
        <v>1390</v>
      </c>
      <c r="BB36" s="112"/>
      <c r="BC36" s="112"/>
      <c r="BD36" s="112">
        <f>'Raw Data'!O26</f>
        <v>1</v>
      </c>
      <c r="BH36" s="1"/>
      <c r="BI36" s="1"/>
      <c r="BJ36" s="1"/>
      <c r="BK36" t="s">
        <v>740</v>
      </c>
    </row>
    <row r="37" spans="1:63">
      <c r="A37" s="20"/>
      <c r="B37" s="20"/>
      <c r="C37" s="49"/>
      <c r="F37" s="52" t="str">
        <f t="shared" si="19"/>
        <v/>
      </c>
      <c r="G37" s="54">
        <f t="shared" si="9"/>
        <v>0</v>
      </c>
      <c r="H37" s="33" t="str">
        <f t="shared" si="10"/>
        <v/>
      </c>
      <c r="I37" s="33">
        <f>IFERROR(VLOOKUP(G37,'Raw Data'!$A$4:$O$1500,15,0),0)</f>
        <v>0</v>
      </c>
      <c r="J37" s="1"/>
      <c r="K37" s="70" t="str">
        <f>IF(M37=0,"",COUNTIF($N$16:N37,$H$13))</f>
        <v/>
      </c>
      <c r="L37" s="30">
        <f t="shared" ref="L37:L40" si="31">L36-1</f>
        <v>-10</v>
      </c>
      <c r="M37" s="54">
        <f t="shared" si="28"/>
        <v>0</v>
      </c>
      <c r="N37" s="33">
        <f t="shared" si="29"/>
        <v>0</v>
      </c>
      <c r="O37" s="33" t="str">
        <f t="shared" si="30"/>
        <v/>
      </c>
      <c r="P37" s="33">
        <f>IFERROR(VLOOKUP(M37,'Raw Data'!$A$4:$O$1500,15,0),0)</f>
        <v>0</v>
      </c>
      <c r="Q37" s="33"/>
      <c r="R37" s="30">
        <f>COUNTIF($U$16:U37,$AA$14)</f>
        <v>2</v>
      </c>
      <c r="S37" s="30">
        <f t="shared" si="26"/>
        <v>79</v>
      </c>
      <c r="T37" s="54">
        <f t="shared" si="12"/>
        <v>42155</v>
      </c>
      <c r="U37" s="33" t="str">
        <f t="shared" si="21"/>
        <v>20% Off,FS on $49</v>
      </c>
      <c r="V37" s="33">
        <f t="shared" si="13"/>
        <v>788</v>
      </c>
      <c r="W37" s="33">
        <f>IFERROR(VLOOKUP(T37,'Raw Data'!$A$4:$O$1500,15,0),0)</f>
        <v>2</v>
      </c>
      <c r="X37" s="35"/>
      <c r="Y37" s="21"/>
      <c r="Z37" s="21"/>
      <c r="AA37" s="21"/>
      <c r="AB37" s="21"/>
      <c r="AC37" s="33"/>
      <c r="AD37" s="33"/>
      <c r="AE37" s="33" t="str">
        <f t="shared" si="15"/>
        <v>Fri</v>
      </c>
      <c r="AF37" s="114">
        <f t="shared" si="24"/>
        <v>11</v>
      </c>
      <c r="AG37" s="108">
        <f t="shared" si="4"/>
        <v>41929</v>
      </c>
      <c r="AH37" s="21" t="str">
        <f t="shared" si="5"/>
        <v>Flash Sale,25% Off,FS on $49</v>
      </c>
      <c r="AI37" s="21">
        <f t="shared" si="6"/>
        <v>1229</v>
      </c>
      <c r="AJ37" s="21">
        <f t="shared" si="7"/>
        <v>2</v>
      </c>
      <c r="AK37" s="21">
        <f t="shared" si="8"/>
        <v>0</v>
      </c>
      <c r="AL37" s="21"/>
      <c r="AM37" s="21"/>
      <c r="AN37" s="21"/>
      <c r="AS37" s="112" t="str">
        <f t="shared" si="16"/>
        <v/>
      </c>
      <c r="AT37" s="112" t="str">
        <f>IF(AS37="","",COUNTIF($AS$13:AS37,AS37))</f>
        <v/>
      </c>
      <c r="AU37" s="147">
        <f t="shared" si="17"/>
        <v>24</v>
      </c>
      <c r="AV37" s="147">
        <f>COUNTIF($AZ$14:AZ37,AZ37)</f>
        <v>1</v>
      </c>
      <c r="AW37" s="147">
        <f>IFERROR(COUNTIF(AX$14:$BL37,AX37),"")</f>
        <v>4</v>
      </c>
      <c r="AX37" s="148" t="str">
        <f t="shared" si="18"/>
        <v>Tue</v>
      </c>
      <c r="AY37" s="149">
        <f>'Raw Data'!A27</f>
        <v>41632</v>
      </c>
      <c r="AZ37" s="150" t="str">
        <f>'Raw Data'!E27</f>
        <v>Buy $25, Get $5,FS on $49</v>
      </c>
      <c r="BA37" s="150">
        <f>'Raw Data'!I27</f>
        <v>868</v>
      </c>
      <c r="BB37" s="112"/>
      <c r="BC37" s="112"/>
      <c r="BD37" s="112">
        <f>'Raw Data'!O27</f>
        <v>1</v>
      </c>
      <c r="BH37" s="1"/>
      <c r="BI37" s="1"/>
      <c r="BJ37" s="1"/>
      <c r="BK37" t="s">
        <v>10</v>
      </c>
    </row>
    <row r="38" spans="1:63">
      <c r="A38" s="20"/>
      <c r="B38" s="20"/>
      <c r="C38" s="49"/>
      <c r="F38" s="52" t="str">
        <f t="shared" si="19"/>
        <v/>
      </c>
      <c r="G38" s="54">
        <f t="shared" si="9"/>
        <v>0</v>
      </c>
      <c r="H38" s="33" t="str">
        <f t="shared" si="10"/>
        <v/>
      </c>
      <c r="I38" s="33">
        <f>IFERROR(VLOOKUP(G38,'Raw Data'!$A$4:$O$1500,15,0),0)</f>
        <v>0</v>
      </c>
      <c r="J38" s="1"/>
      <c r="K38" s="70" t="str">
        <f>IF(M38=0,"",COUNTIF($N$16:N38,$H$13))</f>
        <v/>
      </c>
      <c r="L38" s="30">
        <f t="shared" si="31"/>
        <v>-11</v>
      </c>
      <c r="M38" s="54">
        <f t="shared" si="28"/>
        <v>0</v>
      </c>
      <c r="N38" s="33">
        <f t="shared" si="29"/>
        <v>0</v>
      </c>
      <c r="O38" s="33" t="str">
        <f t="shared" si="30"/>
        <v/>
      </c>
      <c r="P38" s="33">
        <f>IFERROR(VLOOKUP(M38,'Raw Data'!$A$4:$O$1500,15,0),0)</f>
        <v>0</v>
      </c>
      <c r="Q38" s="33"/>
      <c r="R38" s="30">
        <f>COUNTIF($U$16:U38,$AA$14)</f>
        <v>2</v>
      </c>
      <c r="S38" s="30">
        <f t="shared" si="26"/>
        <v>78</v>
      </c>
      <c r="T38" s="54">
        <f t="shared" si="12"/>
        <v>42148</v>
      </c>
      <c r="U38" s="33" t="str">
        <f t="shared" si="21"/>
        <v>$10 Off,FS on $49 Mobile</v>
      </c>
      <c r="V38" s="33">
        <f t="shared" si="13"/>
        <v>614</v>
      </c>
      <c r="W38" s="33">
        <f>IFERROR(VLOOKUP(T38,'Raw Data'!$A$4:$O$1500,15,0),0)</f>
        <v>1</v>
      </c>
      <c r="X38" s="35"/>
      <c r="Y38" s="21"/>
      <c r="Z38" s="21"/>
      <c r="AA38" s="21"/>
      <c r="AB38" s="21"/>
      <c r="AC38" s="33"/>
      <c r="AD38" s="33"/>
      <c r="AE38" s="33" t="str">
        <f t="shared" si="15"/>
        <v>Wed</v>
      </c>
      <c r="AF38" s="114">
        <f t="shared" si="24"/>
        <v>10</v>
      </c>
      <c r="AG38" s="108">
        <f t="shared" si="4"/>
        <v>41857</v>
      </c>
      <c r="AH38" s="21" t="str">
        <f t="shared" si="5"/>
        <v>Flash Sale,25% Off,FS on $49</v>
      </c>
      <c r="AI38" s="21">
        <f t="shared" si="6"/>
        <v>1179</v>
      </c>
      <c r="AJ38" s="21">
        <f t="shared" si="7"/>
        <v>1</v>
      </c>
      <c r="AK38" s="21">
        <f t="shared" si="8"/>
        <v>0</v>
      </c>
      <c r="AL38" s="21"/>
      <c r="AM38" s="21"/>
      <c r="AN38" s="21"/>
      <c r="AS38" s="112" t="str">
        <f t="shared" si="16"/>
        <v/>
      </c>
      <c r="AT38" s="112" t="str">
        <f>IF(AS38="","",COUNTIF($AS$13:AS38,AS38))</f>
        <v/>
      </c>
      <c r="AU38" s="147">
        <f t="shared" si="17"/>
        <v>25</v>
      </c>
      <c r="AV38" s="147">
        <f>COUNTIF($AZ$14:AZ38,AZ38)</f>
        <v>1</v>
      </c>
      <c r="AW38" s="147">
        <f>IFERROR(COUNTIF(AX$14:$BL38,AX38),"")</f>
        <v>4</v>
      </c>
      <c r="AX38" s="148" t="str">
        <f t="shared" si="18"/>
        <v>Wed</v>
      </c>
      <c r="AY38" s="149">
        <f>'Raw Data'!A28</f>
        <v>41633</v>
      </c>
      <c r="AZ38" s="150" t="str">
        <f>'Raw Data'!E28</f>
        <v>Christmas Day - No Operations</v>
      </c>
      <c r="BA38" s="150">
        <f>'Raw Data'!I28</f>
        <v>0</v>
      </c>
      <c r="BB38" s="112"/>
      <c r="BC38" s="112"/>
      <c r="BD38" s="112">
        <f>'Raw Data'!O28</f>
        <v>1</v>
      </c>
      <c r="BH38" s="1"/>
      <c r="BI38" s="1"/>
      <c r="BJ38" s="1"/>
      <c r="BK38" t="s">
        <v>285</v>
      </c>
    </row>
    <row r="39" spans="1:63" ht="15.75" customHeight="1">
      <c r="A39" s="18"/>
      <c r="B39" s="19"/>
      <c r="C39" s="50"/>
      <c r="D39" s="19"/>
      <c r="E39" s="19"/>
      <c r="F39" s="52" t="str">
        <f t="shared" si="19"/>
        <v/>
      </c>
      <c r="G39" s="54">
        <f t="shared" si="9"/>
        <v>0</v>
      </c>
      <c r="H39" s="33" t="str">
        <f t="shared" si="10"/>
        <v/>
      </c>
      <c r="I39" s="33">
        <f>IFERROR(VLOOKUP(G39,'Raw Data'!$A$4:$O$1500,15,0),0)</f>
        <v>0</v>
      </c>
      <c r="J39" s="1"/>
      <c r="K39" s="70" t="str">
        <f>IF(M39=0,"",COUNTIF($N$16:N39,$H$13))</f>
        <v/>
      </c>
      <c r="L39" s="30">
        <f t="shared" si="31"/>
        <v>-12</v>
      </c>
      <c r="M39" s="54">
        <f t="shared" si="28"/>
        <v>0</v>
      </c>
      <c r="N39" s="33">
        <f t="shared" si="29"/>
        <v>0</v>
      </c>
      <c r="O39" s="33" t="str">
        <f t="shared" si="30"/>
        <v/>
      </c>
      <c r="P39" s="33">
        <f>IFERROR(VLOOKUP(M39,'Raw Data'!$A$4:$O$1500,15,0),0)</f>
        <v>0</v>
      </c>
      <c r="Q39" s="33"/>
      <c r="R39" s="30">
        <f>COUNTIF($U$16:U39,$AA$14)</f>
        <v>2</v>
      </c>
      <c r="S39" s="30">
        <f t="shared" si="26"/>
        <v>77</v>
      </c>
      <c r="T39" s="54">
        <f t="shared" si="12"/>
        <v>42141</v>
      </c>
      <c r="U39" s="33" t="str">
        <f t="shared" si="21"/>
        <v>Up To 50% Off,FS on $49</v>
      </c>
      <c r="V39" s="33">
        <f t="shared" si="13"/>
        <v>762</v>
      </c>
      <c r="W39" s="33">
        <f>IFERROR(VLOOKUP(T39,'Raw Data'!$A$4:$O$1500,15,0),0)</f>
        <v>2</v>
      </c>
      <c r="X39" s="35"/>
      <c r="Y39" s="21"/>
      <c r="Z39" s="21"/>
      <c r="AA39" s="21"/>
      <c r="AB39" s="21"/>
      <c r="AC39" s="33"/>
      <c r="AD39" s="33"/>
      <c r="AE39" s="33" t="str">
        <f t="shared" si="15"/>
        <v>Tue</v>
      </c>
      <c r="AF39" s="114">
        <f t="shared" si="24"/>
        <v>9</v>
      </c>
      <c r="AG39" s="108">
        <f t="shared" si="4"/>
        <v>41856</v>
      </c>
      <c r="AH39" s="21" t="str">
        <f t="shared" si="5"/>
        <v>Flash Sale,25% Off,FS on $49</v>
      </c>
      <c r="AI39" s="21">
        <f t="shared" si="6"/>
        <v>1378</v>
      </c>
      <c r="AJ39" s="21">
        <f t="shared" si="7"/>
        <v>2</v>
      </c>
      <c r="AK39" s="21">
        <f t="shared" si="8"/>
        <v>0</v>
      </c>
      <c r="AL39" s="21"/>
      <c r="AM39" s="21"/>
      <c r="AN39" s="21"/>
      <c r="AS39" s="112" t="str">
        <f t="shared" si="16"/>
        <v/>
      </c>
      <c r="AT39" s="112" t="str">
        <f>IF(AS39="","",COUNTIF($AS$13:AS39,AS39))</f>
        <v/>
      </c>
      <c r="AU39" s="147">
        <f t="shared" si="17"/>
        <v>26</v>
      </c>
      <c r="AV39" s="147">
        <f>COUNTIF($AZ$14:AZ39,AZ39)</f>
        <v>6</v>
      </c>
      <c r="AW39" s="147">
        <f>IFERROR(COUNTIF(AX$14:$BL39,AX39),"")</f>
        <v>4</v>
      </c>
      <c r="AX39" s="148" t="str">
        <f t="shared" si="18"/>
        <v>Thu</v>
      </c>
      <c r="AY39" s="149">
        <f>'Raw Data'!A29</f>
        <v>41634</v>
      </c>
      <c r="AZ39" s="150" t="str">
        <f>'Raw Data'!E29</f>
        <v>No Email Drop</v>
      </c>
      <c r="BA39" s="150">
        <f>'Raw Data'!I29</f>
        <v>1485</v>
      </c>
      <c r="BB39" s="112"/>
      <c r="BC39" s="112"/>
      <c r="BD39" s="112">
        <f>'Raw Data'!O29</f>
        <v>0</v>
      </c>
      <c r="BH39" s="1"/>
      <c r="BI39" s="1"/>
      <c r="BJ39" s="1"/>
      <c r="BK39" t="s">
        <v>285</v>
      </c>
    </row>
    <row r="40" spans="1:63">
      <c r="A40" s="18"/>
      <c r="B40" s="20"/>
      <c r="C40" s="49"/>
      <c r="D40" s="20"/>
      <c r="E40" s="20"/>
      <c r="F40" s="52" t="str">
        <f t="shared" si="19"/>
        <v/>
      </c>
      <c r="G40" s="54">
        <f t="shared" si="9"/>
        <v>0</v>
      </c>
      <c r="H40" s="33" t="str">
        <f t="shared" si="10"/>
        <v/>
      </c>
      <c r="I40" s="33">
        <f>IFERROR(VLOOKUP(G40,'Raw Data'!$A$4:$O$1500,15,0),0)</f>
        <v>0</v>
      </c>
      <c r="J40" s="1"/>
      <c r="K40" s="70" t="str">
        <f>IF(M40=0,"",COUNTIF($N$16:N40,$H$13))</f>
        <v/>
      </c>
      <c r="L40" s="30">
        <f t="shared" si="31"/>
        <v>-13</v>
      </c>
      <c r="M40" s="54">
        <f t="shared" si="28"/>
        <v>0</v>
      </c>
      <c r="N40" s="33">
        <f t="shared" si="29"/>
        <v>0</v>
      </c>
      <c r="O40" s="33" t="str">
        <f t="shared" si="30"/>
        <v/>
      </c>
      <c r="P40" s="33">
        <f>IFERROR(VLOOKUP(M40,'Raw Data'!$A$4:$O$1500,15,0),0)</f>
        <v>0</v>
      </c>
      <c r="Q40" s="33"/>
      <c r="R40" s="30">
        <f>COUNTIF($U$16:U40,$AA$14)</f>
        <v>2</v>
      </c>
      <c r="S40" s="30">
        <f t="shared" si="26"/>
        <v>76</v>
      </c>
      <c r="T40" s="54">
        <f t="shared" si="12"/>
        <v>42134</v>
      </c>
      <c r="U40" s="33" t="str">
        <f t="shared" si="21"/>
        <v>Free Ship No Min</v>
      </c>
      <c r="V40" s="33">
        <f t="shared" si="13"/>
        <v>609</v>
      </c>
      <c r="W40" s="33">
        <f>IFERROR(VLOOKUP(T40,'Raw Data'!$A$4:$O$1500,15,0),0)</f>
        <v>1</v>
      </c>
      <c r="X40" s="35"/>
      <c r="Y40" s="21"/>
      <c r="Z40" s="21"/>
      <c r="AA40" s="21"/>
      <c r="AB40" s="21"/>
      <c r="AC40" s="33"/>
      <c r="AD40" s="33"/>
      <c r="AE40" s="33" t="str">
        <f t="shared" si="15"/>
        <v>Mon</v>
      </c>
      <c r="AF40" s="114">
        <f t="shared" si="24"/>
        <v>8</v>
      </c>
      <c r="AG40" s="108">
        <f t="shared" si="4"/>
        <v>41834</v>
      </c>
      <c r="AH40" s="21" t="str">
        <f t="shared" si="5"/>
        <v>Flash Sale,30% Off,FS on $49</v>
      </c>
      <c r="AI40" s="21">
        <f t="shared" si="6"/>
        <v>1437</v>
      </c>
      <c r="AJ40" s="21">
        <f t="shared" si="7"/>
        <v>2</v>
      </c>
      <c r="AK40" s="21">
        <f t="shared" si="8"/>
        <v>0</v>
      </c>
      <c r="AL40" s="21"/>
      <c r="AM40" s="21"/>
      <c r="AN40" s="21"/>
      <c r="AS40" s="112" t="str">
        <f t="shared" si="16"/>
        <v/>
      </c>
      <c r="AT40" s="112" t="str">
        <f>IF(AS40="","",COUNTIF($AS$13:AS40,AS40))</f>
        <v/>
      </c>
      <c r="AU40" s="147">
        <f t="shared" si="17"/>
        <v>27</v>
      </c>
      <c r="AV40" s="147">
        <f>COUNTIF($AZ$14:AZ40,AZ40)</f>
        <v>1</v>
      </c>
      <c r="AW40" s="147">
        <f>IFERROR(COUNTIF(AX$14:$BL40,AX40),"")</f>
        <v>4</v>
      </c>
      <c r="AX40" s="148" t="str">
        <f t="shared" si="18"/>
        <v>Fri</v>
      </c>
      <c r="AY40" s="149">
        <f>'Raw Data'!A30</f>
        <v>41635</v>
      </c>
      <c r="AZ40" s="150" t="str">
        <f>'Raw Data'!E30</f>
        <v>Up To 65% Off,FS on $49</v>
      </c>
      <c r="BA40" s="150">
        <f>'Raw Data'!I30</f>
        <v>1431</v>
      </c>
      <c r="BB40" s="112"/>
      <c r="BC40" s="112"/>
      <c r="BD40" s="112">
        <f>'Raw Data'!O30</f>
        <v>1</v>
      </c>
      <c r="BH40" s="1"/>
      <c r="BI40" s="1"/>
      <c r="BJ40" s="1"/>
      <c r="BK40" t="s">
        <v>165</v>
      </c>
    </row>
    <row r="41" spans="1:63">
      <c r="A41" s="18"/>
      <c r="B41" s="20"/>
      <c r="C41" s="49"/>
      <c r="D41" s="20"/>
      <c r="E41" s="20"/>
      <c r="F41" s="52" t="str">
        <f t="shared" si="19"/>
        <v/>
      </c>
      <c r="G41" s="54">
        <f t="shared" si="9"/>
        <v>0</v>
      </c>
      <c r="H41" s="33" t="str">
        <f t="shared" si="10"/>
        <v/>
      </c>
      <c r="I41" s="33">
        <f>IFERROR(VLOOKUP(G41,'Raw Data'!$A$4:$O$1500,15,0),0)</f>
        <v>0</v>
      </c>
      <c r="J41" s="1"/>
      <c r="K41" s="70" t="str">
        <f>IF(M41=0,"",COUNTIF($N$16:N41,$H$13))</f>
        <v/>
      </c>
      <c r="L41" s="30">
        <f t="shared" ref="L41:L47" si="32">L40-1</f>
        <v>-14</v>
      </c>
      <c r="M41" s="54">
        <f t="shared" si="28"/>
        <v>0</v>
      </c>
      <c r="N41" s="33">
        <f t="shared" si="29"/>
        <v>0</v>
      </c>
      <c r="O41" s="33" t="str">
        <f t="shared" si="30"/>
        <v/>
      </c>
      <c r="P41" s="33">
        <f>IFERROR(VLOOKUP(M41,'Raw Data'!$A$4:$O$1500,15,0),0)</f>
        <v>0</v>
      </c>
      <c r="Q41" s="33"/>
      <c r="R41" s="30">
        <f>COUNTIF($U$16:U41,$AA$14)</f>
        <v>3</v>
      </c>
      <c r="S41" s="30">
        <f t="shared" si="26"/>
        <v>75</v>
      </c>
      <c r="T41" s="54">
        <f t="shared" si="12"/>
        <v>42127</v>
      </c>
      <c r="U41" s="33" t="str">
        <f t="shared" si="21"/>
        <v>No Email Drop</v>
      </c>
      <c r="V41" s="33">
        <f t="shared" si="13"/>
        <v>560</v>
      </c>
      <c r="W41" s="33">
        <f>IFERROR(VLOOKUP(T41,'Raw Data'!$A$4:$O$1500,15,0),0)</f>
        <v>0</v>
      </c>
      <c r="X41" s="35"/>
      <c r="Y41" s="21"/>
      <c r="Z41" s="21"/>
      <c r="AA41" s="21"/>
      <c r="AB41" s="21"/>
      <c r="AC41" s="33"/>
      <c r="AD41" s="33"/>
      <c r="AE41" s="33" t="str">
        <f t="shared" si="15"/>
        <v>Sun</v>
      </c>
      <c r="AF41" s="114">
        <f t="shared" si="24"/>
        <v>7</v>
      </c>
      <c r="AG41" s="108">
        <f t="shared" si="4"/>
        <v>41826</v>
      </c>
      <c r="AH41" s="21" t="str">
        <f t="shared" si="5"/>
        <v>Free Ship Flash Sale,Up To 40% Off,FS on $49</v>
      </c>
      <c r="AI41" s="21">
        <f t="shared" si="6"/>
        <v>658</v>
      </c>
      <c r="AJ41" s="21">
        <f t="shared" si="7"/>
        <v>2</v>
      </c>
      <c r="AK41" s="21">
        <f t="shared" si="8"/>
        <v>0</v>
      </c>
      <c r="AL41" s="21"/>
      <c r="AM41" s="21"/>
      <c r="AN41" s="21"/>
      <c r="AS41" s="112" t="str">
        <f t="shared" si="16"/>
        <v/>
      </c>
      <c r="AT41" s="112" t="str">
        <f>IF(AS41="","",COUNTIF($AS$13:AS41,AS41))</f>
        <v/>
      </c>
      <c r="AU41" s="147">
        <f t="shared" si="17"/>
        <v>28</v>
      </c>
      <c r="AV41" s="147">
        <f>COUNTIF($AZ$14:AZ41,AZ41)</f>
        <v>7</v>
      </c>
      <c r="AW41" s="147">
        <f>IFERROR(COUNTIF(AX$14:$BL41,AX41),"")</f>
        <v>4</v>
      </c>
      <c r="AX41" s="148" t="str">
        <f t="shared" si="18"/>
        <v>Sat</v>
      </c>
      <c r="AY41" s="149">
        <f>'Raw Data'!A31</f>
        <v>41636</v>
      </c>
      <c r="AZ41" s="150" t="str">
        <f>'Raw Data'!E31</f>
        <v>No Email Drop</v>
      </c>
      <c r="BA41" s="150">
        <f>'Raw Data'!I31</f>
        <v>1006</v>
      </c>
      <c r="BB41" s="112"/>
      <c r="BC41" s="112"/>
      <c r="BD41" s="112">
        <f>'Raw Data'!O31</f>
        <v>0</v>
      </c>
      <c r="BH41" s="1"/>
      <c r="BI41" s="1"/>
      <c r="BJ41" s="1"/>
      <c r="BK41" t="s">
        <v>10</v>
      </c>
    </row>
    <row r="42" spans="1:63">
      <c r="A42" s="18"/>
      <c r="B42" s="20"/>
      <c r="C42" s="49"/>
      <c r="D42" s="20"/>
      <c r="E42" s="20"/>
      <c r="F42" s="52" t="str">
        <f t="shared" si="19"/>
        <v/>
      </c>
      <c r="G42" s="54">
        <f t="shared" si="9"/>
        <v>0</v>
      </c>
      <c r="H42" s="33" t="str">
        <f t="shared" si="10"/>
        <v/>
      </c>
      <c r="I42" s="33">
        <f>IFERROR(VLOOKUP(G42,'Raw Data'!$A$4:$O$1500,15,0),0)</f>
        <v>0</v>
      </c>
      <c r="J42" s="1"/>
      <c r="K42" s="70" t="str">
        <f>IF(M42=0,"",COUNTIF($N$16:N42,$H$13))</f>
        <v/>
      </c>
      <c r="L42" s="30">
        <f t="shared" si="32"/>
        <v>-15</v>
      </c>
      <c r="M42" s="54">
        <f t="shared" si="28"/>
        <v>0</v>
      </c>
      <c r="N42" s="33">
        <f t="shared" si="29"/>
        <v>0</v>
      </c>
      <c r="O42" s="33" t="str">
        <f t="shared" si="30"/>
        <v/>
      </c>
      <c r="P42" s="33">
        <f>IFERROR(VLOOKUP(M42,'Raw Data'!$A$4:$O$1500,15,0),0)</f>
        <v>0</v>
      </c>
      <c r="Q42" s="33"/>
      <c r="R42" s="30">
        <f>COUNTIF($U$16:U42,$AA$14)</f>
        <v>3</v>
      </c>
      <c r="S42" s="30">
        <f t="shared" si="26"/>
        <v>74</v>
      </c>
      <c r="T42" s="54">
        <f t="shared" si="12"/>
        <v>42120</v>
      </c>
      <c r="U42" s="33" t="str">
        <f t="shared" si="21"/>
        <v>15% Off,FS on $60</v>
      </c>
      <c r="V42" s="33">
        <f t="shared" si="13"/>
        <v>661</v>
      </c>
      <c r="W42" s="33">
        <f>IFERROR(VLOOKUP(T42,'Raw Data'!$A$4:$O$1500,15,0),0)</f>
        <v>1</v>
      </c>
      <c r="X42" s="35"/>
      <c r="Y42" s="21"/>
      <c r="Z42" s="21"/>
      <c r="AA42" s="21"/>
      <c r="AB42" s="21"/>
      <c r="AC42" s="33"/>
      <c r="AD42" s="33"/>
      <c r="AE42" s="33" t="str">
        <f t="shared" si="15"/>
        <v>Mon</v>
      </c>
      <c r="AF42" s="114">
        <f t="shared" si="24"/>
        <v>6</v>
      </c>
      <c r="AG42" s="108">
        <f t="shared" si="4"/>
        <v>41813</v>
      </c>
      <c r="AH42" s="21" t="str">
        <f t="shared" si="5"/>
        <v>Flash Sale,30% Off,FS on $49</v>
      </c>
      <c r="AI42" s="21">
        <f t="shared" si="6"/>
        <v>1328</v>
      </c>
      <c r="AJ42" s="21">
        <f t="shared" si="7"/>
        <v>2</v>
      </c>
      <c r="AK42" s="21">
        <f t="shared" si="8"/>
        <v>0</v>
      </c>
      <c r="AL42" s="21"/>
      <c r="AM42" s="21"/>
      <c r="AN42" s="21"/>
      <c r="AS42" s="112" t="str">
        <f t="shared" si="16"/>
        <v/>
      </c>
      <c r="AT42" s="112" t="str">
        <f>IF(AS42="","",COUNTIF($AS$13:AS42,AS42))</f>
        <v/>
      </c>
      <c r="AU42" s="147">
        <f t="shared" si="17"/>
        <v>29</v>
      </c>
      <c r="AV42" s="147">
        <f>COUNTIF($AZ$14:AZ42,AZ42)</f>
        <v>1</v>
      </c>
      <c r="AW42" s="147">
        <f>IFERROR(COUNTIF(AX$14:$BL42,AX42),"")</f>
        <v>5</v>
      </c>
      <c r="AX42" s="148" t="str">
        <f t="shared" si="18"/>
        <v>Sun</v>
      </c>
      <c r="AY42" s="149">
        <f>'Raw Data'!A32</f>
        <v>41637</v>
      </c>
      <c r="AZ42" s="150" t="str">
        <f>'Raw Data'!E32</f>
        <v>20% Off,FS on $49</v>
      </c>
      <c r="BA42" s="150">
        <f>'Raw Data'!I32</f>
        <v>1060</v>
      </c>
      <c r="BB42" s="112"/>
      <c r="BC42" s="112"/>
      <c r="BD42" s="112">
        <f>'Raw Data'!O32</f>
        <v>1</v>
      </c>
      <c r="BH42" s="1"/>
      <c r="BI42" s="1"/>
      <c r="BJ42" s="1"/>
      <c r="BK42" t="s">
        <v>484</v>
      </c>
    </row>
    <row r="43" spans="1:63">
      <c r="A43" s="18"/>
      <c r="B43" s="20"/>
      <c r="C43" s="49"/>
      <c r="D43" s="20"/>
      <c r="E43" s="20"/>
      <c r="F43" s="52" t="str">
        <f t="shared" si="19"/>
        <v/>
      </c>
      <c r="G43" s="54">
        <f t="shared" si="9"/>
        <v>0</v>
      </c>
      <c r="H43" s="33" t="str">
        <f t="shared" si="10"/>
        <v/>
      </c>
      <c r="I43" s="33">
        <f>IFERROR(VLOOKUP(G43,'Raw Data'!$A$4:$O$1500,15,0),0)</f>
        <v>0</v>
      </c>
      <c r="J43" s="1"/>
      <c r="K43" s="70" t="str">
        <f>IF(M43=0,"",COUNTIF($N$16:N43,$H$13))</f>
        <v/>
      </c>
      <c r="L43" s="30">
        <f t="shared" si="32"/>
        <v>-16</v>
      </c>
      <c r="M43" s="54">
        <f t="shared" si="28"/>
        <v>0</v>
      </c>
      <c r="N43" s="33">
        <f t="shared" si="29"/>
        <v>0</v>
      </c>
      <c r="O43" s="33" t="str">
        <f t="shared" si="30"/>
        <v/>
      </c>
      <c r="P43" s="33">
        <f>IFERROR(VLOOKUP(M43,'Raw Data'!$A$4:$O$1500,15,0),0)</f>
        <v>0</v>
      </c>
      <c r="Q43" s="33"/>
      <c r="R43" s="30">
        <f>COUNTIF($U$16:U43,$AA$14)</f>
        <v>3</v>
      </c>
      <c r="S43" s="30">
        <f t="shared" si="26"/>
        <v>73</v>
      </c>
      <c r="T43" s="54">
        <f t="shared" si="12"/>
        <v>42113</v>
      </c>
      <c r="U43" s="33" t="str">
        <f t="shared" si="21"/>
        <v>15% Off,FS on $60</v>
      </c>
      <c r="V43" s="33">
        <f t="shared" si="13"/>
        <v>681</v>
      </c>
      <c r="W43" s="33">
        <f>IFERROR(VLOOKUP(T43,'Raw Data'!$A$4:$O$1500,15,0),0)</f>
        <v>2</v>
      </c>
      <c r="X43" s="35"/>
      <c r="Y43" s="21"/>
      <c r="Z43" s="21"/>
      <c r="AA43" s="21"/>
      <c r="AB43" s="21"/>
      <c r="AC43" s="33"/>
      <c r="AD43" s="33"/>
      <c r="AE43" s="33" t="str">
        <f t="shared" si="15"/>
        <v>Mon</v>
      </c>
      <c r="AF43" s="114">
        <f t="shared" si="24"/>
        <v>5</v>
      </c>
      <c r="AG43" s="108">
        <f t="shared" si="4"/>
        <v>41785</v>
      </c>
      <c r="AH43" s="21" t="str">
        <f t="shared" si="5"/>
        <v>Flash Sale,Free Ship No Min,FSNM</v>
      </c>
      <c r="AI43" s="21">
        <f t="shared" si="6"/>
        <v>744</v>
      </c>
      <c r="AJ43" s="21">
        <f t="shared" si="7"/>
        <v>1</v>
      </c>
      <c r="AK43" s="21">
        <f t="shared" si="8"/>
        <v>0</v>
      </c>
      <c r="AL43" s="21"/>
      <c r="AM43" s="21"/>
      <c r="AN43" s="21"/>
      <c r="AS43" s="112" t="str">
        <f t="shared" si="16"/>
        <v/>
      </c>
      <c r="AT43" s="112" t="str">
        <f>IF(AS43="","",COUNTIF($AS$13:AS43,AS43))</f>
        <v/>
      </c>
      <c r="AU43" s="147">
        <f t="shared" si="17"/>
        <v>30</v>
      </c>
      <c r="AV43" s="147">
        <f>COUNTIF($AZ$14:AZ43,AZ43)</f>
        <v>2</v>
      </c>
      <c r="AW43" s="147">
        <f>IFERROR(COUNTIF(AX$14:$BL43,AX43),"")</f>
        <v>5</v>
      </c>
      <c r="AX43" s="148" t="str">
        <f t="shared" si="18"/>
        <v>Mon</v>
      </c>
      <c r="AY43" s="149">
        <f>'Raw Data'!A33</f>
        <v>41638</v>
      </c>
      <c r="AZ43" s="150" t="str">
        <f>'Raw Data'!E33</f>
        <v>20% Off,FS on $49</v>
      </c>
      <c r="BA43" s="150">
        <f>'Raw Data'!I33</f>
        <v>1661</v>
      </c>
      <c r="BB43" s="112"/>
      <c r="BC43" s="112"/>
      <c r="BD43" s="112">
        <f>'Raw Data'!O33</f>
        <v>1</v>
      </c>
      <c r="BH43" s="1"/>
      <c r="BI43" s="1"/>
      <c r="BJ43" s="1"/>
      <c r="BK43" t="s">
        <v>175</v>
      </c>
    </row>
    <row r="44" spans="1:63">
      <c r="A44" s="18"/>
      <c r="B44" s="20"/>
      <c r="C44" s="49"/>
      <c r="D44" s="20"/>
      <c r="E44" s="20"/>
      <c r="F44" s="52" t="str">
        <f t="shared" si="19"/>
        <v/>
      </c>
      <c r="G44" s="54">
        <f t="shared" si="9"/>
        <v>0</v>
      </c>
      <c r="H44" s="33" t="str">
        <f t="shared" si="10"/>
        <v/>
      </c>
      <c r="I44" s="33">
        <f>IFERROR(VLOOKUP(G44,'Raw Data'!$A$4:$O$1500,15,0),0)</f>
        <v>0</v>
      </c>
      <c r="J44" s="1"/>
      <c r="K44" s="70" t="str">
        <f>IF(M44=0,"",COUNTIF($N$16:N44,$H$13))</f>
        <v/>
      </c>
      <c r="L44" s="30">
        <f t="shared" si="32"/>
        <v>-17</v>
      </c>
      <c r="M44" s="54">
        <f t="shared" si="28"/>
        <v>0</v>
      </c>
      <c r="N44" s="33">
        <f t="shared" si="29"/>
        <v>0</v>
      </c>
      <c r="O44" s="33" t="str">
        <f t="shared" si="30"/>
        <v/>
      </c>
      <c r="P44" s="33">
        <f>IFERROR(VLOOKUP(M44,'Raw Data'!$A$4:$O$1500,15,0),0)</f>
        <v>0</v>
      </c>
      <c r="Q44" s="33"/>
      <c r="R44" s="30">
        <f>COUNTIF($U$16:U44,$AA$14)</f>
        <v>3</v>
      </c>
      <c r="S44" s="30">
        <f t="shared" si="26"/>
        <v>72</v>
      </c>
      <c r="T44" s="54">
        <f t="shared" si="12"/>
        <v>42106</v>
      </c>
      <c r="U44" s="33" t="str">
        <f t="shared" si="21"/>
        <v>Flash Sale,25% Off,FS on $49</v>
      </c>
      <c r="V44" s="33">
        <f t="shared" si="13"/>
        <v>798</v>
      </c>
      <c r="W44" s="33">
        <f>IFERROR(VLOOKUP(T44,'Raw Data'!$A$4:$O$1500,15,0),0)</f>
        <v>1</v>
      </c>
      <c r="X44" s="35"/>
      <c r="Y44" s="21"/>
      <c r="Z44" s="21"/>
      <c r="AA44" s="21"/>
      <c r="AB44" s="21"/>
      <c r="AC44" s="33"/>
      <c r="AD44" s="33"/>
      <c r="AE44" s="33" t="str">
        <f t="shared" si="15"/>
        <v>Tue</v>
      </c>
      <c r="AF44" s="114">
        <f t="shared" si="24"/>
        <v>4</v>
      </c>
      <c r="AG44" s="108">
        <f t="shared" si="4"/>
        <v>41730</v>
      </c>
      <c r="AH44" s="21" t="str">
        <f t="shared" si="5"/>
        <v>Flash Sale,30% Off,FS on $49</v>
      </c>
      <c r="AI44" s="21">
        <f t="shared" si="6"/>
        <v>1424</v>
      </c>
      <c r="AJ44" s="21">
        <f t="shared" si="7"/>
        <v>1</v>
      </c>
      <c r="AK44" s="21">
        <f t="shared" si="8"/>
        <v>0</v>
      </c>
      <c r="AL44" s="21"/>
      <c r="AM44" s="21"/>
      <c r="AN44" s="21"/>
      <c r="AS44" s="112" t="str">
        <f t="shared" si="16"/>
        <v/>
      </c>
      <c r="AT44" s="112" t="str">
        <f>IF(AS44="","",COUNTIF($AS$13:AS44,AS44))</f>
        <v/>
      </c>
      <c r="AU44" s="147">
        <f t="shared" si="17"/>
        <v>31</v>
      </c>
      <c r="AV44" s="147">
        <f>COUNTIF($AZ$14:AZ44,AZ44)</f>
        <v>8</v>
      </c>
      <c r="AW44" s="147">
        <f>IFERROR(COUNTIF(AX$14:$BL44,AX44),"")</f>
        <v>5</v>
      </c>
      <c r="AX44" s="148" t="str">
        <f t="shared" si="18"/>
        <v>Tue</v>
      </c>
      <c r="AY44" s="149">
        <f>'Raw Data'!A34</f>
        <v>41639</v>
      </c>
      <c r="AZ44" s="150" t="str">
        <f>'Raw Data'!E34</f>
        <v>No Email Drop</v>
      </c>
      <c r="BA44" s="150">
        <f>'Raw Data'!I34</f>
        <v>1203</v>
      </c>
      <c r="BB44" s="112"/>
      <c r="BC44" s="112"/>
      <c r="BD44" s="112">
        <f>'Raw Data'!O34</f>
        <v>1</v>
      </c>
      <c r="BH44" s="1"/>
      <c r="BI44" s="1"/>
      <c r="BJ44" s="1"/>
    </row>
    <row r="45" spans="1:63">
      <c r="A45" s="18"/>
      <c r="B45" s="20"/>
      <c r="C45" s="49"/>
      <c r="D45" s="20"/>
      <c r="E45" s="20"/>
      <c r="F45" s="52" t="str">
        <f t="shared" si="19"/>
        <v/>
      </c>
      <c r="G45" s="54">
        <f t="shared" si="9"/>
        <v>0</v>
      </c>
      <c r="H45" s="33" t="str">
        <f t="shared" si="10"/>
        <v/>
      </c>
      <c r="I45" s="33">
        <f>IFERROR(VLOOKUP(G45,'Raw Data'!$A$4:$O$1500,15,0),0)</f>
        <v>0</v>
      </c>
      <c r="J45" s="1"/>
      <c r="K45" s="70" t="str">
        <f>IF(M45=0,"",COUNTIF($N$16:N45,$H$13))</f>
        <v/>
      </c>
      <c r="L45" s="30">
        <f t="shared" si="32"/>
        <v>-18</v>
      </c>
      <c r="M45" s="54">
        <f t="shared" si="28"/>
        <v>0</v>
      </c>
      <c r="N45" s="33">
        <f t="shared" si="29"/>
        <v>0</v>
      </c>
      <c r="O45" s="33" t="str">
        <f t="shared" si="30"/>
        <v/>
      </c>
      <c r="P45" s="33">
        <f>IFERROR(VLOOKUP(M45,'Raw Data'!$A$4:$O$1500,15,0),0)</f>
        <v>0</v>
      </c>
      <c r="Q45" s="33"/>
      <c r="R45" s="30">
        <f>COUNTIF($U$16:U45,$AA$14)</f>
        <v>3</v>
      </c>
      <c r="S45" s="30">
        <f t="shared" si="26"/>
        <v>71</v>
      </c>
      <c r="T45" s="54">
        <f t="shared" si="12"/>
        <v>42099</v>
      </c>
      <c r="U45" s="33" t="str">
        <f t="shared" si="21"/>
        <v>$5 Off, FS on $50</v>
      </c>
      <c r="V45" s="33">
        <f t="shared" si="13"/>
        <v>423</v>
      </c>
      <c r="W45" s="33">
        <f>IFERROR(VLOOKUP(T45,'Raw Data'!$A$4:$O$1500,15,0),0)</f>
        <v>1</v>
      </c>
      <c r="X45" s="35"/>
      <c r="Y45" s="21"/>
      <c r="Z45" s="21"/>
      <c r="AA45" s="21"/>
      <c r="AB45" s="21"/>
      <c r="AC45" s="33"/>
      <c r="AD45" s="33"/>
      <c r="AE45" s="33" t="str">
        <f t="shared" si="15"/>
        <v>Mon</v>
      </c>
      <c r="AF45" s="114">
        <f t="shared" si="24"/>
        <v>3</v>
      </c>
      <c r="AG45" s="108">
        <f t="shared" si="4"/>
        <v>41729</v>
      </c>
      <c r="AH45" s="21" t="str">
        <f t="shared" si="5"/>
        <v>Flash Sale,30% Off,FS on $49</v>
      </c>
      <c r="AI45" s="21">
        <f t="shared" si="6"/>
        <v>1629</v>
      </c>
      <c r="AJ45" s="21">
        <f t="shared" si="7"/>
        <v>1</v>
      </c>
      <c r="AK45" s="21">
        <f t="shared" si="8"/>
        <v>0</v>
      </c>
      <c r="AL45" s="21"/>
      <c r="AM45" s="21"/>
      <c r="AN45" s="21"/>
      <c r="AS45" s="112" t="str">
        <f t="shared" si="16"/>
        <v/>
      </c>
      <c r="AT45" s="112" t="str">
        <f>IF(AS45="","",COUNTIF($AS$13:AS45,AS45))</f>
        <v/>
      </c>
      <c r="AU45" s="147">
        <f t="shared" si="17"/>
        <v>32</v>
      </c>
      <c r="AV45" s="147">
        <f>COUNTIF($AZ$14:AZ45,AZ45)</f>
        <v>3</v>
      </c>
      <c r="AW45" s="147">
        <f>IFERROR(COUNTIF(AX$14:$BL45,AX45),"")</f>
        <v>5</v>
      </c>
      <c r="AX45" s="148" t="str">
        <f t="shared" si="18"/>
        <v>Wed</v>
      </c>
      <c r="AY45" s="149">
        <f>'Raw Data'!A35</f>
        <v>41640</v>
      </c>
      <c r="AZ45" s="150" t="str">
        <f>'Raw Data'!E35</f>
        <v>25% Off,FS on $49</v>
      </c>
      <c r="BA45" s="150">
        <f>'Raw Data'!I35</f>
        <v>745</v>
      </c>
      <c r="BB45" s="112"/>
      <c r="BC45" s="112"/>
      <c r="BD45" s="112">
        <f>'Raw Data'!O35</f>
        <v>1</v>
      </c>
      <c r="BH45" s="1"/>
      <c r="BI45" s="1"/>
      <c r="BJ45" s="1"/>
    </row>
    <row r="46" spans="1:63">
      <c r="F46" s="52" t="str">
        <f t="shared" si="19"/>
        <v/>
      </c>
      <c r="G46" s="54">
        <f t="shared" si="9"/>
        <v>0</v>
      </c>
      <c r="H46" s="33" t="str">
        <f t="shared" si="10"/>
        <v/>
      </c>
      <c r="I46" s="33">
        <f>IFERROR(VLOOKUP(G46,'Raw Data'!$A$4:$O$1500,15,0),0)</f>
        <v>0</v>
      </c>
      <c r="J46" s="1"/>
      <c r="K46" s="70" t="str">
        <f>IF(M46=0,"",COUNTIF($N$16:N46,$H$13))</f>
        <v/>
      </c>
      <c r="L46" s="30">
        <f t="shared" si="32"/>
        <v>-19</v>
      </c>
      <c r="M46" s="54">
        <f t="shared" si="28"/>
        <v>0</v>
      </c>
      <c r="N46" s="33">
        <f t="shared" si="29"/>
        <v>0</v>
      </c>
      <c r="O46" s="33" t="str">
        <f t="shared" si="30"/>
        <v/>
      </c>
      <c r="P46" s="33">
        <f>IFERROR(VLOOKUP(M46,'Raw Data'!$A$4:$O$1500,15,0),0)</f>
        <v>0</v>
      </c>
      <c r="Q46" s="33"/>
      <c r="R46" s="30">
        <f>COUNTIF($U$16:U46,$AA$14)</f>
        <v>3</v>
      </c>
      <c r="S46" s="30">
        <f t="shared" si="26"/>
        <v>70</v>
      </c>
      <c r="T46" s="54">
        <f t="shared" si="12"/>
        <v>42092</v>
      </c>
      <c r="U46" s="33" t="str">
        <f t="shared" si="21"/>
        <v>Adverts Only</v>
      </c>
      <c r="V46" s="33">
        <f t="shared" si="13"/>
        <v>641</v>
      </c>
      <c r="W46" s="33">
        <f>IFERROR(VLOOKUP(T46,'Raw Data'!$A$4:$O$1500,15,0),0)</f>
        <v>1</v>
      </c>
      <c r="X46" s="35"/>
      <c r="Y46" s="21"/>
      <c r="Z46" s="21"/>
      <c r="AA46" s="21"/>
      <c r="AB46" s="21"/>
      <c r="AC46" s="33"/>
      <c r="AD46" s="33"/>
      <c r="AE46" s="33" t="str">
        <f t="shared" si="15"/>
        <v>Wed</v>
      </c>
      <c r="AF46" s="114">
        <f t="shared" si="24"/>
        <v>2</v>
      </c>
      <c r="AG46" s="108">
        <f t="shared" si="4"/>
        <v>41668</v>
      </c>
      <c r="AH46" s="21" t="str">
        <f t="shared" si="5"/>
        <v>Flash Sale,30% Off,FS on $49</v>
      </c>
      <c r="AI46" s="21">
        <f t="shared" si="6"/>
        <v>1641</v>
      </c>
      <c r="AJ46" s="21">
        <f t="shared" si="7"/>
        <v>1</v>
      </c>
      <c r="AK46" s="21">
        <f t="shared" si="8"/>
        <v>0</v>
      </c>
      <c r="AL46" s="21"/>
      <c r="AM46" s="21"/>
      <c r="AN46" s="21"/>
      <c r="AS46" s="112" t="str">
        <f t="shared" si="16"/>
        <v/>
      </c>
      <c r="AT46" s="112" t="str">
        <f>IF(AS46="","",COUNTIF($AS$13:AS46,AS46))</f>
        <v/>
      </c>
      <c r="AU46" s="147">
        <f t="shared" si="17"/>
        <v>33</v>
      </c>
      <c r="AV46" s="147">
        <f>COUNTIF($AZ$14:AZ46,AZ46)</f>
        <v>9</v>
      </c>
      <c r="AW46" s="147">
        <f>IFERROR(COUNTIF(AX$14:$BL46,AX46),"")</f>
        <v>5</v>
      </c>
      <c r="AX46" s="148" t="str">
        <f t="shared" si="18"/>
        <v>Thu</v>
      </c>
      <c r="AY46" s="149">
        <f>'Raw Data'!A36</f>
        <v>41641</v>
      </c>
      <c r="AZ46" s="150" t="str">
        <f>'Raw Data'!E36</f>
        <v>No Email Drop</v>
      </c>
      <c r="BA46" s="150">
        <f>'Raw Data'!I36</f>
        <v>1513</v>
      </c>
      <c r="BB46" s="112"/>
      <c r="BC46" s="112"/>
      <c r="BD46" s="112">
        <f>'Raw Data'!O36</f>
        <v>1</v>
      </c>
      <c r="BH46" s="1"/>
      <c r="BI46" s="1"/>
      <c r="BJ46" s="1"/>
    </row>
    <row r="47" spans="1:63">
      <c r="F47" s="52" t="str">
        <f t="shared" si="19"/>
        <v/>
      </c>
      <c r="G47" s="54">
        <f t="shared" si="9"/>
        <v>0</v>
      </c>
      <c r="H47" s="33" t="str">
        <f t="shared" si="10"/>
        <v/>
      </c>
      <c r="I47" s="33">
        <f>IFERROR(VLOOKUP(G47,'Raw Data'!$A$4:$O$1500,15,0),0)</f>
        <v>0</v>
      </c>
      <c r="J47" s="1"/>
      <c r="K47" s="70" t="str">
        <f>IF(M47=0,"",COUNTIF($N$16:N47,$H$13))</f>
        <v/>
      </c>
      <c r="L47" s="30">
        <f t="shared" si="32"/>
        <v>-20</v>
      </c>
      <c r="M47" s="54">
        <f t="shared" si="11"/>
        <v>0</v>
      </c>
      <c r="N47" s="33">
        <f t="shared" ref="N47" si="33">IFERROR(IF(M47=0,0,TEXT(M47,"DDD")),"")</f>
        <v>0</v>
      </c>
      <c r="O47" s="33" t="str">
        <f t="shared" si="27"/>
        <v/>
      </c>
      <c r="P47" s="33">
        <f>IFERROR(VLOOKUP(M47,'Raw Data'!$A$4:$O$1500,15,0),0)</f>
        <v>0</v>
      </c>
      <c r="Q47" s="33"/>
      <c r="R47" s="30">
        <f>COUNTIF($U$16:U47,$AA$14)</f>
        <v>3</v>
      </c>
      <c r="S47" s="30">
        <f t="shared" si="26"/>
        <v>69</v>
      </c>
      <c r="T47" s="54">
        <f t="shared" si="12"/>
        <v>42085</v>
      </c>
      <c r="U47" s="33" t="str">
        <f t="shared" si="21"/>
        <v>Tiered Promo</v>
      </c>
      <c r="V47" s="33">
        <f t="shared" si="13"/>
        <v>755</v>
      </c>
      <c r="W47" s="33">
        <f>IFERROR(VLOOKUP(T47,'Raw Data'!$A$4:$O$1500,15,0),0)</f>
        <v>1</v>
      </c>
      <c r="X47" s="35"/>
      <c r="Y47" s="21"/>
      <c r="Z47" s="21"/>
      <c r="AA47" s="21"/>
      <c r="AB47" s="21"/>
      <c r="AC47" s="33"/>
      <c r="AD47" s="33"/>
      <c r="AE47" s="33" t="str">
        <f t="shared" si="15"/>
        <v>Tue</v>
      </c>
      <c r="AF47" s="114">
        <f t="shared" si="24"/>
        <v>1</v>
      </c>
      <c r="AG47" s="108">
        <f t="shared" si="4"/>
        <v>41667</v>
      </c>
      <c r="AH47" s="21" t="str">
        <f t="shared" si="5"/>
        <v>Flash Sale,30% Off,FS on $49</v>
      </c>
      <c r="AI47" s="21">
        <f t="shared" si="6"/>
        <v>1946</v>
      </c>
      <c r="AJ47" s="21">
        <f t="shared" si="7"/>
        <v>2</v>
      </c>
      <c r="AK47" s="21">
        <f t="shared" si="8"/>
        <v>0</v>
      </c>
      <c r="AL47" s="21"/>
      <c r="AM47" s="21"/>
      <c r="AN47" s="21"/>
      <c r="AS47" s="112" t="str">
        <f t="shared" si="16"/>
        <v/>
      </c>
      <c r="AT47" s="112" t="str">
        <f>IF(AS47="","",COUNTIF($AS$13:AS47,AS47))</f>
        <v/>
      </c>
      <c r="AU47" s="147">
        <f t="shared" si="17"/>
        <v>34</v>
      </c>
      <c r="AV47" s="147">
        <f>COUNTIF($AZ$14:AZ47,AZ47)</f>
        <v>10</v>
      </c>
      <c r="AW47" s="147">
        <f>IFERROR(COUNTIF(AX$14:$BL47,AX47),"")</f>
        <v>5</v>
      </c>
      <c r="AX47" s="148" t="str">
        <f t="shared" si="18"/>
        <v>Fri</v>
      </c>
      <c r="AY47" s="149">
        <f>'Raw Data'!A37</f>
        <v>41642</v>
      </c>
      <c r="AZ47" s="150" t="str">
        <f>'Raw Data'!E37</f>
        <v>No Email Drop</v>
      </c>
      <c r="BA47" s="150">
        <f>'Raw Data'!I37</f>
        <v>1358</v>
      </c>
      <c r="BB47" s="112"/>
      <c r="BC47" s="112"/>
      <c r="BD47" s="112">
        <f>'Raw Data'!O37</f>
        <v>1</v>
      </c>
      <c r="BH47" s="1"/>
      <c r="BI47" s="1"/>
      <c r="BJ47" s="1"/>
    </row>
    <row r="48" spans="1:63">
      <c r="F48" s="52" t="str">
        <f t="shared" si="19"/>
        <v/>
      </c>
      <c r="G48" s="54">
        <f t="shared" si="9"/>
        <v>0</v>
      </c>
      <c r="H48" s="33" t="str">
        <f t="shared" si="10"/>
        <v/>
      </c>
      <c r="I48" s="33">
        <f>IFERROR(VLOOKUP(G48,'Raw Data'!$A$4:$O$1500,15,0),0)</f>
        <v>0</v>
      </c>
      <c r="J48" s="1"/>
      <c r="K48" s="70" t="str">
        <f>IF(M48=0,"",COUNTIF($N$16:N48,$H$13))</f>
        <v/>
      </c>
      <c r="L48" s="30">
        <f t="shared" ref="L48:L61" si="34">L47-1</f>
        <v>-21</v>
      </c>
      <c r="M48" s="54">
        <f t="shared" ref="M48:M79" si="35">IFERROR(SUMPRODUCT(($AV$14:$AV$1000=L48)*($AZ$14:$AZ$1000=$N$14)*$AY$14:$AY$1000),"")</f>
        <v>0</v>
      </c>
      <c r="N48" s="33">
        <f t="shared" ref="N48:N61" si="36">IFERROR(IF(M48=0,0,TEXT(M48,"DDD")),"")</f>
        <v>0</v>
      </c>
      <c r="O48" s="33" t="str">
        <f t="shared" si="27"/>
        <v/>
      </c>
      <c r="P48" s="33">
        <f>IFERROR(VLOOKUP(M48,'Raw Data'!$A$4:$O$1500,15,0),0)</f>
        <v>0</v>
      </c>
      <c r="Q48" s="33"/>
      <c r="R48" s="30">
        <f>COUNTIF($U$16:U48,$AA$14)</f>
        <v>3</v>
      </c>
      <c r="S48" s="30">
        <f t="shared" si="26"/>
        <v>68</v>
      </c>
      <c r="T48" s="54">
        <f t="shared" ref="T48:T79" si="37">IFERROR(SUMPRODUCT(($AW$14:$AW$1000=S48)*($AX$14:$AX$1000=$U$13)*$AY$14:$AY$1000),"")</f>
        <v>42078</v>
      </c>
      <c r="U48" s="33" t="str">
        <f t="shared" ref="U48:U79" si="38">IFERROR(VLOOKUP(T48,$AY$13:$BA$1000,2,0),"")</f>
        <v>Reveal Your Deal Promo,15, 20% Off</v>
      </c>
      <c r="V48" s="33">
        <f t="shared" ref="V48:V79" si="39">IFERROR(VLOOKUP(T48,$AY$13:$BA$1000,3,0),"")</f>
        <v>875</v>
      </c>
      <c r="W48" s="33">
        <f>IFERROR(VLOOKUP(T48,'Raw Data'!$A$4:$O$1500,15,0),0)</f>
        <v>2</v>
      </c>
      <c r="X48" s="35"/>
      <c r="Y48" s="21"/>
      <c r="Z48" s="21"/>
      <c r="AA48" s="21"/>
      <c r="AB48" s="21"/>
      <c r="AC48" s="33"/>
      <c r="AD48" s="33"/>
      <c r="AE48" s="33" t="str">
        <f t="shared" ref="AE48:AE111" si="40">TEXT(AG48,"DDD")</f>
        <v/>
      </c>
      <c r="AF48" s="114" t="str">
        <f t="shared" si="24"/>
        <v/>
      </c>
      <c r="AG48" s="108" t="str">
        <f t="shared" ref="AG48:AG111" si="41">IF(AF48="","",VLOOKUP(AF48,$AT$14:$BC$1042,6,0))</f>
        <v/>
      </c>
      <c r="AH48" s="21" t="str">
        <f t="shared" ref="AH48:AH111" si="42">IF(AF48="","",VLOOKUP(AF48,$AT$14:$BC$1042,7,0))</f>
        <v/>
      </c>
      <c r="AI48" s="21" t="str">
        <f t="shared" ref="AI48:AI111" si="43">IF(AF48="","",VLOOKUP(AF48,$AT$14:$BC$1042,8,0))</f>
        <v/>
      </c>
      <c r="AJ48" s="21" t="str">
        <f t="shared" ref="AJ48:AJ111" si="44">IF(AF48="","",VLOOKUP(AF48,$AT$14:$BD$1042,11,0))</f>
        <v/>
      </c>
      <c r="AK48" s="21" t="str">
        <f t="shared" ref="AK48:AK111" si="45">IF(AG48="","",VLOOKUP(AG48,$AY$14:$BD$1042,5,0))</f>
        <v/>
      </c>
      <c r="AL48" s="21"/>
      <c r="AM48" s="21"/>
      <c r="AN48" s="21"/>
      <c r="AS48" s="112" t="str">
        <f t="shared" si="16"/>
        <v/>
      </c>
      <c r="AT48" s="112" t="str">
        <f>IF(AS48="","",COUNTIF($AS$13:AS48,AS48))</f>
        <v/>
      </c>
      <c r="AU48" s="147">
        <f t="shared" si="17"/>
        <v>35</v>
      </c>
      <c r="AV48" s="147">
        <f>COUNTIF($AZ$14:AZ48,AZ48)</f>
        <v>11</v>
      </c>
      <c r="AW48" s="147">
        <f>IFERROR(COUNTIF(AX$14:$BL48,AX48),"")</f>
        <v>5</v>
      </c>
      <c r="AX48" s="148" t="str">
        <f t="shared" si="18"/>
        <v>Sat</v>
      </c>
      <c r="AY48" s="149">
        <f>'Raw Data'!A38</f>
        <v>41643</v>
      </c>
      <c r="AZ48" s="150" t="str">
        <f>'Raw Data'!E38</f>
        <v>No Email Drop</v>
      </c>
      <c r="BA48" s="150">
        <f>'Raw Data'!I38</f>
        <v>1055</v>
      </c>
      <c r="BB48" s="112"/>
      <c r="BC48" s="112"/>
      <c r="BD48" s="112">
        <f>'Raw Data'!O38</f>
        <v>1</v>
      </c>
      <c r="BH48" s="1"/>
      <c r="BI48" s="1"/>
      <c r="BJ48" s="1"/>
    </row>
    <row r="49" spans="6:62">
      <c r="F49" s="52" t="str">
        <f t="shared" si="19"/>
        <v/>
      </c>
      <c r="G49" s="54">
        <f t="shared" si="9"/>
        <v>0</v>
      </c>
      <c r="H49" s="33" t="str">
        <f t="shared" si="10"/>
        <v/>
      </c>
      <c r="I49" s="33">
        <f>IFERROR(VLOOKUP(G49,'Raw Data'!$A$4:$O$1500,15,0),0)</f>
        <v>0</v>
      </c>
      <c r="J49" s="1"/>
      <c r="K49" s="70" t="str">
        <f>IF(M49=0,"",COUNTIF($N$16:N49,$H$13))</f>
        <v/>
      </c>
      <c r="L49" s="30">
        <f t="shared" si="34"/>
        <v>-22</v>
      </c>
      <c r="M49" s="54">
        <f t="shared" si="35"/>
        <v>0</v>
      </c>
      <c r="N49" s="33">
        <f t="shared" si="36"/>
        <v>0</v>
      </c>
      <c r="O49" s="33" t="str">
        <f t="shared" si="27"/>
        <v/>
      </c>
      <c r="P49" s="33">
        <f>IFERROR(VLOOKUP(M49,'Raw Data'!$A$4:$O$1500,15,0),0)</f>
        <v>0</v>
      </c>
      <c r="Q49" s="33"/>
      <c r="R49" s="30">
        <f>COUNTIF($U$16:U49,$AA$14)</f>
        <v>3</v>
      </c>
      <c r="S49" s="30">
        <f t="shared" si="26"/>
        <v>67</v>
      </c>
      <c r="T49" s="54">
        <f t="shared" si="37"/>
        <v>42071</v>
      </c>
      <c r="U49" s="33" t="str">
        <f t="shared" si="38"/>
        <v>Free Ship No Min</v>
      </c>
      <c r="V49" s="33">
        <f t="shared" si="39"/>
        <v>938</v>
      </c>
      <c r="W49" s="33">
        <f>IFERROR(VLOOKUP(T49,'Raw Data'!$A$4:$O$1500,15,0),0)</f>
        <v>1</v>
      </c>
      <c r="X49" s="35"/>
      <c r="Y49" s="21"/>
      <c r="Z49" s="21"/>
      <c r="AA49" s="21"/>
      <c r="AB49" s="21"/>
      <c r="AC49" s="33"/>
      <c r="AD49" s="33"/>
      <c r="AE49" s="33" t="str">
        <f t="shared" si="40"/>
        <v/>
      </c>
      <c r="AF49" s="114" t="str">
        <f t="shared" si="24"/>
        <v/>
      </c>
      <c r="AG49" s="108" t="str">
        <f t="shared" si="41"/>
        <v/>
      </c>
      <c r="AH49" s="21" t="str">
        <f t="shared" si="42"/>
        <v/>
      </c>
      <c r="AI49" s="21" t="str">
        <f t="shared" si="43"/>
        <v/>
      </c>
      <c r="AJ49" s="21" t="str">
        <f t="shared" si="44"/>
        <v/>
      </c>
      <c r="AK49" s="21" t="str">
        <f t="shared" si="45"/>
        <v/>
      </c>
      <c r="AL49" s="21"/>
      <c r="AM49" s="21"/>
      <c r="AN49" s="21"/>
      <c r="AS49" s="112" t="str">
        <f t="shared" si="16"/>
        <v/>
      </c>
      <c r="AT49" s="112" t="str">
        <f>IF(AS49="","",COUNTIF($AS$13:AS49,AS49))</f>
        <v/>
      </c>
      <c r="AU49" s="147">
        <f t="shared" si="17"/>
        <v>36</v>
      </c>
      <c r="AV49" s="147">
        <f>COUNTIF($AZ$14:AZ49,AZ49)</f>
        <v>4</v>
      </c>
      <c r="AW49" s="147">
        <f>IFERROR(COUNTIF(AX$14:$BL49,AX49),"")</f>
        <v>6</v>
      </c>
      <c r="AX49" s="148" t="str">
        <f t="shared" si="18"/>
        <v>Sun</v>
      </c>
      <c r="AY49" s="149">
        <f>'Raw Data'!A39</f>
        <v>41644</v>
      </c>
      <c r="AZ49" s="150" t="str">
        <f>'Raw Data'!E39</f>
        <v>25% Off,FS on $49</v>
      </c>
      <c r="BA49" s="150">
        <f>'Raw Data'!I39</f>
        <v>1037</v>
      </c>
      <c r="BB49" s="112"/>
      <c r="BC49" s="112"/>
      <c r="BD49" s="112">
        <f>'Raw Data'!O39</f>
        <v>1</v>
      </c>
      <c r="BH49" s="1"/>
      <c r="BI49" s="1"/>
      <c r="BJ49" s="1"/>
    </row>
    <row r="50" spans="6:62">
      <c r="F50" s="52" t="str">
        <f t="shared" si="19"/>
        <v/>
      </c>
      <c r="G50" s="54">
        <f t="shared" si="9"/>
        <v>0</v>
      </c>
      <c r="H50" s="33" t="str">
        <f t="shared" si="10"/>
        <v/>
      </c>
      <c r="I50" s="33">
        <f>IFERROR(VLOOKUP(G50,'Raw Data'!$A$4:$O$1500,15,0),0)</f>
        <v>0</v>
      </c>
      <c r="J50" s="1"/>
      <c r="K50" s="70" t="str">
        <f>IF(M50=0,"",COUNTIF($N$16:N50,$H$13))</f>
        <v/>
      </c>
      <c r="L50" s="30">
        <f t="shared" si="34"/>
        <v>-23</v>
      </c>
      <c r="M50" s="54">
        <f t="shared" si="35"/>
        <v>0</v>
      </c>
      <c r="N50" s="33">
        <f t="shared" si="36"/>
        <v>0</v>
      </c>
      <c r="O50" s="33" t="str">
        <f t="shared" si="27"/>
        <v/>
      </c>
      <c r="P50" s="33">
        <f>IFERROR(VLOOKUP(M50,'Raw Data'!$A$4:$O$1500,15,0),0)</f>
        <v>0</v>
      </c>
      <c r="Q50" s="33"/>
      <c r="R50" s="30">
        <f>COUNTIF($U$16:U50,$AA$14)</f>
        <v>3</v>
      </c>
      <c r="S50" s="30">
        <f t="shared" si="26"/>
        <v>66</v>
      </c>
      <c r="T50" s="54">
        <f t="shared" si="37"/>
        <v>42064</v>
      </c>
      <c r="U50" s="33" t="str">
        <f t="shared" si="38"/>
        <v>30% Off,FS on $100</v>
      </c>
      <c r="V50" s="33">
        <f t="shared" si="39"/>
        <v>989</v>
      </c>
      <c r="W50" s="33">
        <f>IFERROR(VLOOKUP(T50,'Raw Data'!$A$4:$O$1500,15,0),0)</f>
        <v>1</v>
      </c>
      <c r="X50" s="35"/>
      <c r="Y50" s="21"/>
      <c r="Z50" s="21"/>
      <c r="AA50" s="21"/>
      <c r="AB50" s="21"/>
      <c r="AC50" s="33"/>
      <c r="AD50" s="33"/>
      <c r="AE50" s="33" t="str">
        <f t="shared" si="40"/>
        <v/>
      </c>
      <c r="AF50" s="114" t="str">
        <f t="shared" si="24"/>
        <v/>
      </c>
      <c r="AG50" s="108" t="str">
        <f t="shared" si="41"/>
        <v/>
      </c>
      <c r="AH50" s="21" t="str">
        <f t="shared" si="42"/>
        <v/>
      </c>
      <c r="AI50" s="21" t="str">
        <f t="shared" si="43"/>
        <v/>
      </c>
      <c r="AJ50" s="21" t="str">
        <f t="shared" si="44"/>
        <v/>
      </c>
      <c r="AK50" s="21" t="str">
        <f t="shared" si="45"/>
        <v/>
      </c>
      <c r="AL50" s="21"/>
      <c r="AM50" s="21"/>
      <c r="AN50" s="21"/>
      <c r="AS50" s="112" t="str">
        <f t="shared" si="16"/>
        <v/>
      </c>
      <c r="AT50" s="112" t="str">
        <f>IF(AS50="","",COUNTIF($AS$13:AS50,AS50))</f>
        <v/>
      </c>
      <c r="AU50" s="147">
        <f t="shared" si="17"/>
        <v>37</v>
      </c>
      <c r="AV50" s="147">
        <f>COUNTIF($AZ$14:AZ50,AZ50)</f>
        <v>12</v>
      </c>
      <c r="AW50" s="147">
        <f>IFERROR(COUNTIF(AX$14:$BL50,AX50),"")</f>
        <v>6</v>
      </c>
      <c r="AX50" s="148" t="str">
        <f t="shared" si="18"/>
        <v>Mon</v>
      </c>
      <c r="AY50" s="149">
        <f>'Raw Data'!A40</f>
        <v>41645</v>
      </c>
      <c r="AZ50" s="150" t="str">
        <f>'Raw Data'!E40</f>
        <v>No Email Drop</v>
      </c>
      <c r="BA50" s="150">
        <f>'Raw Data'!I40</f>
        <v>1632</v>
      </c>
      <c r="BB50" s="112"/>
      <c r="BC50" s="112"/>
      <c r="BD50" s="112">
        <f>'Raw Data'!O40</f>
        <v>1</v>
      </c>
      <c r="BH50" s="1"/>
      <c r="BI50" s="1"/>
      <c r="BJ50" s="1"/>
    </row>
    <row r="51" spans="6:62">
      <c r="F51" s="52" t="str">
        <f t="shared" si="19"/>
        <v/>
      </c>
      <c r="G51" s="54">
        <f t="shared" si="9"/>
        <v>0</v>
      </c>
      <c r="H51" s="33" t="str">
        <f t="shared" si="10"/>
        <v/>
      </c>
      <c r="I51" s="33">
        <f>IFERROR(VLOOKUP(G51,'Raw Data'!$A$4:$O$1500,15,0),0)</f>
        <v>0</v>
      </c>
      <c r="J51" s="1"/>
      <c r="K51" s="70" t="str">
        <f>IF(M51=0,"",COUNTIF($N$16:N51,$H$13))</f>
        <v/>
      </c>
      <c r="L51" s="30">
        <f t="shared" si="34"/>
        <v>-24</v>
      </c>
      <c r="M51" s="54">
        <f t="shared" si="35"/>
        <v>0</v>
      </c>
      <c r="N51" s="33">
        <f t="shared" si="36"/>
        <v>0</v>
      </c>
      <c r="O51" s="33" t="str">
        <f t="shared" ref="O51:O82" si="46">IFERROR(VLOOKUP(M51,$AY$14:$BA$1000,3,0),"")</f>
        <v/>
      </c>
      <c r="P51" s="33">
        <f>IFERROR(VLOOKUP(M51,'Raw Data'!$A$4:$O$1500,15,0),0)</f>
        <v>0</v>
      </c>
      <c r="Q51" s="33"/>
      <c r="R51" s="30">
        <f>COUNTIF($U$16:U51,$AA$14)</f>
        <v>3</v>
      </c>
      <c r="S51" s="30">
        <f t="shared" si="26"/>
        <v>65</v>
      </c>
      <c r="T51" s="54">
        <f t="shared" si="37"/>
        <v>42057</v>
      </c>
      <c r="U51" s="33" t="str">
        <f t="shared" si="38"/>
        <v>Tiered Promo</v>
      </c>
      <c r="V51" s="33">
        <f t="shared" si="39"/>
        <v>816</v>
      </c>
      <c r="W51" s="33">
        <f>IFERROR(VLOOKUP(T51,'Raw Data'!$A$4:$O$1500,15,0),0)</f>
        <v>1</v>
      </c>
      <c r="X51" s="35"/>
      <c r="Y51" s="21"/>
      <c r="Z51" s="21"/>
      <c r="AA51" s="21"/>
      <c r="AB51" s="21"/>
      <c r="AC51" s="33"/>
      <c r="AD51" s="33"/>
      <c r="AE51" s="33" t="str">
        <f t="shared" si="40"/>
        <v/>
      </c>
      <c r="AF51" s="114" t="str">
        <f t="shared" si="24"/>
        <v/>
      </c>
      <c r="AG51" s="108" t="str">
        <f t="shared" si="41"/>
        <v/>
      </c>
      <c r="AH51" s="21" t="str">
        <f t="shared" si="42"/>
        <v/>
      </c>
      <c r="AI51" s="21" t="str">
        <f t="shared" si="43"/>
        <v/>
      </c>
      <c r="AJ51" s="21" t="str">
        <f t="shared" si="44"/>
        <v/>
      </c>
      <c r="AK51" s="21" t="str">
        <f t="shared" si="45"/>
        <v/>
      </c>
      <c r="AL51" s="21"/>
      <c r="AM51" s="21"/>
      <c r="AN51" s="21"/>
      <c r="AS51" s="112" t="str">
        <f t="shared" si="16"/>
        <v/>
      </c>
      <c r="AT51" s="112" t="str">
        <f>IF(AS51="","",COUNTIF($AS$13:AS51,AS51))</f>
        <v/>
      </c>
      <c r="AU51" s="147">
        <f t="shared" si="17"/>
        <v>38</v>
      </c>
      <c r="AV51" s="147">
        <f>COUNTIF($AZ$14:AZ51,AZ51)</f>
        <v>13</v>
      </c>
      <c r="AW51" s="147">
        <f>IFERROR(COUNTIF(AX$14:$BL51,AX51),"")</f>
        <v>6</v>
      </c>
      <c r="AX51" s="148" t="str">
        <f t="shared" si="18"/>
        <v>Tue</v>
      </c>
      <c r="AY51" s="149">
        <f>'Raw Data'!A41</f>
        <v>41646</v>
      </c>
      <c r="AZ51" s="150" t="str">
        <f>'Raw Data'!E41</f>
        <v>No Email Drop</v>
      </c>
      <c r="BA51" s="150">
        <f>'Raw Data'!I41</f>
        <v>1308</v>
      </c>
      <c r="BB51" s="112"/>
      <c r="BC51" s="112"/>
      <c r="BD51" s="112">
        <f>'Raw Data'!O41</f>
        <v>1</v>
      </c>
      <c r="BH51" s="1"/>
      <c r="BI51" s="1"/>
      <c r="BJ51" s="1"/>
    </row>
    <row r="52" spans="6:62">
      <c r="F52" s="52" t="str">
        <f t="shared" si="19"/>
        <v/>
      </c>
      <c r="G52" s="54">
        <f t="shared" si="9"/>
        <v>0</v>
      </c>
      <c r="H52" s="33" t="str">
        <f t="shared" si="10"/>
        <v/>
      </c>
      <c r="I52" s="33">
        <f>IFERROR(VLOOKUP(G52,'Raw Data'!$A$4:$O$1500,15,0),0)</f>
        <v>0</v>
      </c>
      <c r="J52" s="1"/>
      <c r="K52" s="70" t="str">
        <f>IF(M52=0,"",COUNTIF($N$16:N52,$H$13))</f>
        <v/>
      </c>
      <c r="L52" s="30">
        <f t="shared" si="34"/>
        <v>-25</v>
      </c>
      <c r="M52" s="54">
        <f t="shared" si="35"/>
        <v>0</v>
      </c>
      <c r="N52" s="33">
        <f t="shared" si="36"/>
        <v>0</v>
      </c>
      <c r="O52" s="33" t="str">
        <f t="shared" si="46"/>
        <v/>
      </c>
      <c r="P52" s="33">
        <f>IFERROR(VLOOKUP(M52,'Raw Data'!$A$4:$O$1500,15,0),0)</f>
        <v>0</v>
      </c>
      <c r="Q52" s="33"/>
      <c r="R52" s="30">
        <f>COUNTIF($U$16:U52,$AA$14)</f>
        <v>3</v>
      </c>
      <c r="S52" s="30">
        <f t="shared" si="26"/>
        <v>64</v>
      </c>
      <c r="T52" s="54">
        <f t="shared" si="37"/>
        <v>42050</v>
      </c>
      <c r="U52" s="33" t="str">
        <f t="shared" si="38"/>
        <v>$10 Off,FS on $49 Mobile</v>
      </c>
      <c r="V52" s="33">
        <f t="shared" si="39"/>
        <v>948</v>
      </c>
      <c r="W52" s="33">
        <f>IFERROR(VLOOKUP(T52,'Raw Data'!$A$4:$O$1500,15,0),0)</f>
        <v>1</v>
      </c>
      <c r="X52" s="35"/>
      <c r="Y52" s="21"/>
      <c r="Z52" s="21"/>
      <c r="AA52" s="21"/>
      <c r="AB52" s="21"/>
      <c r="AC52" s="33"/>
      <c r="AD52" s="33"/>
      <c r="AE52" s="33" t="str">
        <f t="shared" si="40"/>
        <v/>
      </c>
      <c r="AF52" s="114" t="str">
        <f t="shared" si="24"/>
        <v/>
      </c>
      <c r="AG52" s="108" t="str">
        <f t="shared" si="41"/>
        <v/>
      </c>
      <c r="AH52" s="21" t="str">
        <f t="shared" si="42"/>
        <v/>
      </c>
      <c r="AI52" s="21" t="str">
        <f t="shared" si="43"/>
        <v/>
      </c>
      <c r="AJ52" s="21" t="str">
        <f t="shared" si="44"/>
        <v/>
      </c>
      <c r="AK52" s="21" t="str">
        <f t="shared" si="45"/>
        <v/>
      </c>
      <c r="AL52" s="21"/>
      <c r="AM52" s="21"/>
      <c r="AN52" s="21"/>
      <c r="AS52" s="112" t="str">
        <f t="shared" si="16"/>
        <v/>
      </c>
      <c r="AT52" s="112" t="str">
        <f>IF(AS52="","",COUNTIF($AS$13:AS52,AS52))</f>
        <v/>
      </c>
      <c r="AU52" s="147">
        <f t="shared" si="17"/>
        <v>39</v>
      </c>
      <c r="AV52" s="147">
        <f>COUNTIF($AZ$14:AZ52,AZ52)</f>
        <v>5</v>
      </c>
      <c r="AW52" s="147">
        <f>IFERROR(COUNTIF(AX$14:$BL52,AX52),"")</f>
        <v>6</v>
      </c>
      <c r="AX52" s="148" t="str">
        <f t="shared" si="18"/>
        <v>Wed</v>
      </c>
      <c r="AY52" s="149">
        <f>'Raw Data'!A42</f>
        <v>41647</v>
      </c>
      <c r="AZ52" s="150" t="str">
        <f>'Raw Data'!E42</f>
        <v>25% Off,FS on $49</v>
      </c>
      <c r="BA52" s="150">
        <f>'Raw Data'!I42</f>
        <v>1506</v>
      </c>
      <c r="BB52" s="112"/>
      <c r="BC52" s="112"/>
      <c r="BD52" s="112">
        <f>'Raw Data'!O42</f>
        <v>1</v>
      </c>
      <c r="BH52" s="1"/>
      <c r="BI52" s="1"/>
      <c r="BJ52" s="1"/>
    </row>
    <row r="53" spans="6:62">
      <c r="F53" s="52" t="str">
        <f t="shared" si="19"/>
        <v/>
      </c>
      <c r="G53" s="54">
        <f t="shared" si="9"/>
        <v>0</v>
      </c>
      <c r="H53" s="33" t="str">
        <f t="shared" si="10"/>
        <v/>
      </c>
      <c r="I53" s="33">
        <f>IFERROR(VLOOKUP(G53,'Raw Data'!$A$4:$O$1500,15,0),0)</f>
        <v>0</v>
      </c>
      <c r="J53" s="1"/>
      <c r="K53" s="70" t="str">
        <f>IF(M53=0,"",COUNTIF($N$16:N53,$H$13))</f>
        <v/>
      </c>
      <c r="L53" s="30">
        <f t="shared" si="34"/>
        <v>-26</v>
      </c>
      <c r="M53" s="54">
        <f t="shared" si="35"/>
        <v>0</v>
      </c>
      <c r="N53" s="33">
        <f t="shared" si="36"/>
        <v>0</v>
      </c>
      <c r="O53" s="33" t="str">
        <f t="shared" si="46"/>
        <v/>
      </c>
      <c r="P53" s="33">
        <f>IFERROR(VLOOKUP(M53,'Raw Data'!$A$4:$O$1500,15,0),0)</f>
        <v>0</v>
      </c>
      <c r="Q53" s="33"/>
      <c r="R53" s="30">
        <f>COUNTIF($U$16:U53,$AA$14)</f>
        <v>3</v>
      </c>
      <c r="S53" s="30">
        <f t="shared" si="26"/>
        <v>63</v>
      </c>
      <c r="T53" s="54">
        <f t="shared" si="37"/>
        <v>42043</v>
      </c>
      <c r="U53" s="33" t="str">
        <f t="shared" si="38"/>
        <v>Up To 40% Off,FS on $49</v>
      </c>
      <c r="V53" s="33">
        <f t="shared" si="39"/>
        <v>799</v>
      </c>
      <c r="W53" s="33">
        <f>IFERROR(VLOOKUP(T53,'Raw Data'!$A$4:$O$1500,15,0),0)</f>
        <v>1</v>
      </c>
      <c r="X53" s="35"/>
      <c r="Y53" s="21"/>
      <c r="Z53" s="21"/>
      <c r="AA53" s="21"/>
      <c r="AB53" s="21"/>
      <c r="AC53" s="33"/>
      <c r="AD53" s="33"/>
      <c r="AE53" s="33" t="str">
        <f t="shared" si="40"/>
        <v/>
      </c>
      <c r="AF53" s="114" t="str">
        <f t="shared" si="24"/>
        <v/>
      </c>
      <c r="AG53" s="108" t="str">
        <f t="shared" si="41"/>
        <v/>
      </c>
      <c r="AH53" s="21" t="str">
        <f t="shared" si="42"/>
        <v/>
      </c>
      <c r="AI53" s="21" t="str">
        <f t="shared" si="43"/>
        <v/>
      </c>
      <c r="AJ53" s="21" t="str">
        <f t="shared" si="44"/>
        <v/>
      </c>
      <c r="AK53" s="21" t="str">
        <f t="shared" si="45"/>
        <v/>
      </c>
      <c r="AL53" s="21"/>
      <c r="AM53" s="21"/>
      <c r="AN53" s="21"/>
      <c r="AS53" s="112" t="str">
        <f t="shared" si="16"/>
        <v/>
      </c>
      <c r="AT53" s="112" t="str">
        <f>IF(AS53="","",COUNTIF($AS$13:AS53,AS53))</f>
        <v/>
      </c>
      <c r="AU53" s="147">
        <f t="shared" si="17"/>
        <v>40</v>
      </c>
      <c r="AV53" s="147">
        <f>COUNTIF($AZ$14:AZ53,AZ53)</f>
        <v>14</v>
      </c>
      <c r="AW53" s="147">
        <f>IFERROR(COUNTIF(AX$14:$BL53,AX53),"")</f>
        <v>6</v>
      </c>
      <c r="AX53" s="148" t="str">
        <f t="shared" si="18"/>
        <v>Thu</v>
      </c>
      <c r="AY53" s="149">
        <f>'Raw Data'!A43</f>
        <v>41648</v>
      </c>
      <c r="AZ53" s="150" t="str">
        <f>'Raw Data'!E43</f>
        <v>No Email Drop</v>
      </c>
      <c r="BA53" s="150">
        <f>'Raw Data'!I43</f>
        <v>1359</v>
      </c>
      <c r="BB53" s="112"/>
      <c r="BC53" s="112"/>
      <c r="BD53" s="112">
        <f>'Raw Data'!O43</f>
        <v>1</v>
      </c>
      <c r="BH53" s="1"/>
      <c r="BI53" s="1"/>
      <c r="BJ53" s="1"/>
    </row>
    <row r="54" spans="6:62">
      <c r="F54" s="52" t="str">
        <f t="shared" si="19"/>
        <v/>
      </c>
      <c r="G54" s="54">
        <f t="shared" si="9"/>
        <v>0</v>
      </c>
      <c r="H54" s="33" t="str">
        <f t="shared" si="10"/>
        <v/>
      </c>
      <c r="I54" s="33">
        <f>IFERROR(VLOOKUP(G54,'Raw Data'!$A$4:$O$1500,15,0),0)</f>
        <v>0</v>
      </c>
      <c r="J54" s="1"/>
      <c r="K54" s="70" t="str">
        <f>IF(M54=0,"",COUNTIF($N$16:N54,$H$13))</f>
        <v/>
      </c>
      <c r="L54" s="30">
        <f t="shared" si="34"/>
        <v>-27</v>
      </c>
      <c r="M54" s="54">
        <f t="shared" si="35"/>
        <v>0</v>
      </c>
      <c r="N54" s="33">
        <f t="shared" si="36"/>
        <v>0</v>
      </c>
      <c r="O54" s="33" t="str">
        <f t="shared" si="46"/>
        <v/>
      </c>
      <c r="P54" s="33">
        <f>IFERROR(VLOOKUP(M54,'Raw Data'!$A$4:$O$1500,15,0),0)</f>
        <v>0</v>
      </c>
      <c r="Q54" s="33"/>
      <c r="R54" s="30">
        <f>COUNTIF($U$16:U54,$AA$14)</f>
        <v>3</v>
      </c>
      <c r="S54" s="30">
        <f t="shared" si="26"/>
        <v>62</v>
      </c>
      <c r="T54" s="54">
        <f t="shared" si="37"/>
        <v>42036</v>
      </c>
      <c r="U54" s="33" t="str">
        <f t="shared" si="38"/>
        <v>Up To 40% Off,FS on $49</v>
      </c>
      <c r="V54" s="33">
        <f t="shared" si="39"/>
        <v>667</v>
      </c>
      <c r="W54" s="33">
        <f>IFERROR(VLOOKUP(T54,'Raw Data'!$A$4:$O$1500,15,0),0)</f>
        <v>1</v>
      </c>
      <c r="X54" s="35"/>
      <c r="Y54" s="21"/>
      <c r="Z54" s="21"/>
      <c r="AA54" s="21"/>
      <c r="AB54" s="21"/>
      <c r="AC54" s="33"/>
      <c r="AD54" s="33"/>
      <c r="AE54" s="33" t="str">
        <f t="shared" si="40"/>
        <v/>
      </c>
      <c r="AF54" s="114" t="str">
        <f t="shared" si="24"/>
        <v/>
      </c>
      <c r="AG54" s="108" t="str">
        <f t="shared" si="41"/>
        <v/>
      </c>
      <c r="AH54" s="21" t="str">
        <f t="shared" si="42"/>
        <v/>
      </c>
      <c r="AI54" s="21" t="str">
        <f t="shared" si="43"/>
        <v/>
      </c>
      <c r="AJ54" s="21" t="str">
        <f t="shared" si="44"/>
        <v/>
      </c>
      <c r="AK54" s="21" t="str">
        <f t="shared" si="45"/>
        <v/>
      </c>
      <c r="AL54" s="21"/>
      <c r="AM54" s="21"/>
      <c r="AN54" s="21"/>
      <c r="AS54" s="112" t="str">
        <f t="shared" si="16"/>
        <v/>
      </c>
      <c r="AT54" s="112" t="str">
        <f>IF(AS54="","",COUNTIF($AS$13:AS54,AS54))</f>
        <v/>
      </c>
      <c r="AU54" s="147">
        <f t="shared" si="17"/>
        <v>41</v>
      </c>
      <c r="AV54" s="147">
        <f>COUNTIF($AZ$14:AZ54,AZ54)</f>
        <v>1</v>
      </c>
      <c r="AW54" s="147">
        <f>IFERROR(COUNTIF(AX$14:$BL54,AX54),"")</f>
        <v>6</v>
      </c>
      <c r="AX54" s="148" t="str">
        <f t="shared" si="18"/>
        <v>Fri</v>
      </c>
      <c r="AY54" s="149">
        <f>'Raw Data'!A44</f>
        <v>41649</v>
      </c>
      <c r="AZ54" s="150" t="str">
        <f>'Raw Data'!E44</f>
        <v>$30 Off,FS on $100</v>
      </c>
      <c r="BA54" s="150">
        <f>'Raw Data'!I44</f>
        <v>1721</v>
      </c>
      <c r="BB54" s="112"/>
      <c r="BC54" s="112"/>
      <c r="BD54" s="112">
        <f>'Raw Data'!O44</f>
        <v>1</v>
      </c>
      <c r="BH54" s="1"/>
      <c r="BI54" s="1"/>
      <c r="BJ54" s="1"/>
    </row>
    <row r="55" spans="6:62">
      <c r="F55" s="52" t="str">
        <f t="shared" si="19"/>
        <v/>
      </c>
      <c r="G55" s="54">
        <f t="shared" si="9"/>
        <v>0</v>
      </c>
      <c r="H55" s="33" t="str">
        <f t="shared" si="10"/>
        <v/>
      </c>
      <c r="I55" s="33">
        <f>IFERROR(VLOOKUP(G55,'Raw Data'!$A$4:$O$1500,15,0),0)</f>
        <v>0</v>
      </c>
      <c r="J55" s="1"/>
      <c r="K55" s="70" t="str">
        <f>IF(M55=0,"",COUNTIF($N$16:N55,$H$13))</f>
        <v/>
      </c>
      <c r="L55" s="30">
        <f t="shared" si="34"/>
        <v>-28</v>
      </c>
      <c r="M55" s="54">
        <f t="shared" si="35"/>
        <v>0</v>
      </c>
      <c r="N55" s="33">
        <f t="shared" si="36"/>
        <v>0</v>
      </c>
      <c r="O55" s="33" t="str">
        <f t="shared" si="46"/>
        <v/>
      </c>
      <c r="P55" s="33">
        <f>IFERROR(VLOOKUP(M55,'Raw Data'!$A$4:$O$1500,15,0),0)</f>
        <v>0</v>
      </c>
      <c r="Q55" s="33"/>
      <c r="R55" s="30">
        <f>COUNTIF($U$16:U55,$AA$14)</f>
        <v>3</v>
      </c>
      <c r="S55" s="30">
        <f t="shared" si="26"/>
        <v>61</v>
      </c>
      <c r="T55" s="54">
        <f t="shared" si="37"/>
        <v>42029</v>
      </c>
      <c r="U55" s="33" t="str">
        <f t="shared" si="38"/>
        <v>Up To 50% Off,FS on $49</v>
      </c>
      <c r="V55" s="33">
        <f t="shared" si="39"/>
        <v>790</v>
      </c>
      <c r="W55" s="33">
        <f>IFERROR(VLOOKUP(T55,'Raw Data'!$A$4:$O$1500,15,0),0)</f>
        <v>1</v>
      </c>
      <c r="X55" s="35"/>
      <c r="Y55" s="21"/>
      <c r="Z55" s="21"/>
      <c r="AA55" s="21"/>
      <c r="AB55" s="21"/>
      <c r="AC55" s="33"/>
      <c r="AD55" s="33"/>
      <c r="AE55" s="33" t="str">
        <f t="shared" si="40"/>
        <v/>
      </c>
      <c r="AF55" s="114" t="str">
        <f t="shared" si="24"/>
        <v/>
      </c>
      <c r="AG55" s="108" t="str">
        <f t="shared" si="41"/>
        <v/>
      </c>
      <c r="AH55" s="21" t="str">
        <f t="shared" si="42"/>
        <v/>
      </c>
      <c r="AI55" s="21" t="str">
        <f t="shared" si="43"/>
        <v/>
      </c>
      <c r="AJ55" s="21" t="str">
        <f t="shared" si="44"/>
        <v/>
      </c>
      <c r="AK55" s="21" t="str">
        <f t="shared" si="45"/>
        <v/>
      </c>
      <c r="AL55" s="21"/>
      <c r="AM55" s="21"/>
      <c r="AN55" s="21"/>
      <c r="AS55" s="112" t="str">
        <f t="shared" si="16"/>
        <v/>
      </c>
      <c r="AT55" s="112" t="str">
        <f>IF(AS55="","",COUNTIF($AS$13:AS55,AS55))</f>
        <v/>
      </c>
      <c r="AU55" s="147">
        <f t="shared" si="17"/>
        <v>42</v>
      </c>
      <c r="AV55" s="147">
        <f>COUNTIF($AZ$14:AZ55,AZ55)</f>
        <v>2</v>
      </c>
      <c r="AW55" s="147">
        <f>IFERROR(COUNTIF(AX$14:$BL55,AX55),"")</f>
        <v>6</v>
      </c>
      <c r="AX55" s="148" t="str">
        <f t="shared" si="18"/>
        <v>Sat</v>
      </c>
      <c r="AY55" s="149">
        <f>'Raw Data'!A45</f>
        <v>41650</v>
      </c>
      <c r="AZ55" s="150" t="str">
        <f>'Raw Data'!E45</f>
        <v>$30 Off,FS on $100</v>
      </c>
      <c r="BA55" s="150">
        <f>'Raw Data'!I45</f>
        <v>1565</v>
      </c>
      <c r="BB55" s="112"/>
      <c r="BC55" s="112"/>
      <c r="BD55" s="112">
        <f>'Raw Data'!O45</f>
        <v>1</v>
      </c>
      <c r="BH55" s="1"/>
      <c r="BI55" s="1"/>
      <c r="BJ55" s="1"/>
    </row>
    <row r="56" spans="6:62">
      <c r="F56" s="52" t="str">
        <f t="shared" si="19"/>
        <v/>
      </c>
      <c r="G56" s="54">
        <f t="shared" si="9"/>
        <v>0</v>
      </c>
      <c r="H56" s="33" t="str">
        <f t="shared" si="10"/>
        <v/>
      </c>
      <c r="I56" s="33">
        <f>IFERROR(VLOOKUP(G56,'Raw Data'!$A$4:$O$1500,15,0),0)</f>
        <v>0</v>
      </c>
      <c r="J56" s="1"/>
      <c r="K56" s="70" t="str">
        <f>IF(M56=0,"",COUNTIF($N$16:N56,$H$13))</f>
        <v/>
      </c>
      <c r="L56" s="30">
        <f t="shared" si="34"/>
        <v>-29</v>
      </c>
      <c r="M56" s="54">
        <f t="shared" si="35"/>
        <v>0</v>
      </c>
      <c r="N56" s="33">
        <f t="shared" si="36"/>
        <v>0</v>
      </c>
      <c r="O56" s="33" t="str">
        <f t="shared" si="46"/>
        <v/>
      </c>
      <c r="P56" s="33">
        <f>IFERROR(VLOOKUP(M56,'Raw Data'!$A$4:$O$1500,15,0),0)</f>
        <v>0</v>
      </c>
      <c r="Q56" s="33"/>
      <c r="R56" s="30">
        <f>COUNTIF($U$16:U56,$AA$14)</f>
        <v>3</v>
      </c>
      <c r="S56" s="30">
        <f t="shared" si="26"/>
        <v>60</v>
      </c>
      <c r="T56" s="54">
        <f t="shared" si="37"/>
        <v>42022</v>
      </c>
      <c r="U56" s="33" t="str">
        <f t="shared" si="38"/>
        <v>Up To 50% Off,FS on $49</v>
      </c>
      <c r="V56" s="33">
        <f t="shared" si="39"/>
        <v>814</v>
      </c>
      <c r="W56" s="33">
        <f>IFERROR(VLOOKUP(T56,'Raw Data'!$A$4:$O$1500,15,0),0)</f>
        <v>1</v>
      </c>
      <c r="X56" s="35"/>
      <c r="Y56" s="21"/>
      <c r="Z56" s="21"/>
      <c r="AA56" s="21"/>
      <c r="AB56" s="21"/>
      <c r="AC56" s="33"/>
      <c r="AD56" s="33"/>
      <c r="AE56" s="33" t="str">
        <f t="shared" si="40"/>
        <v/>
      </c>
      <c r="AF56" s="114" t="str">
        <f t="shared" si="24"/>
        <v/>
      </c>
      <c r="AG56" s="108" t="str">
        <f t="shared" si="41"/>
        <v/>
      </c>
      <c r="AH56" s="21" t="str">
        <f t="shared" si="42"/>
        <v/>
      </c>
      <c r="AI56" s="21" t="str">
        <f t="shared" si="43"/>
        <v/>
      </c>
      <c r="AJ56" s="21" t="str">
        <f t="shared" si="44"/>
        <v/>
      </c>
      <c r="AK56" s="21" t="str">
        <f t="shared" si="45"/>
        <v/>
      </c>
      <c r="AL56" s="21"/>
      <c r="AM56" s="21"/>
      <c r="AN56" s="21"/>
      <c r="AS56" s="112" t="str">
        <f t="shared" si="16"/>
        <v/>
      </c>
      <c r="AT56" s="112" t="str">
        <f>IF(AS56="","",COUNTIF($AS$13:AS56,AS56))</f>
        <v/>
      </c>
      <c r="AU56" s="147">
        <f t="shared" si="17"/>
        <v>43</v>
      </c>
      <c r="AV56" s="147">
        <f>COUNTIF($AZ$14:AZ56,AZ56)</f>
        <v>3</v>
      </c>
      <c r="AW56" s="147">
        <f>IFERROR(COUNTIF(AX$14:$BL56,AX56),"")</f>
        <v>7</v>
      </c>
      <c r="AX56" s="148" t="str">
        <f t="shared" si="18"/>
        <v>Sun</v>
      </c>
      <c r="AY56" s="149">
        <f>'Raw Data'!A46</f>
        <v>41651</v>
      </c>
      <c r="AZ56" s="150" t="str">
        <f>'Raw Data'!E46</f>
        <v>$30 Off,FS on $100</v>
      </c>
      <c r="BA56" s="150">
        <f>'Raw Data'!I46</f>
        <v>1655</v>
      </c>
      <c r="BB56" s="112"/>
      <c r="BC56" s="112"/>
      <c r="BD56" s="112">
        <f>'Raw Data'!O46</f>
        <v>1</v>
      </c>
      <c r="BH56" s="1"/>
      <c r="BI56" s="1"/>
      <c r="BJ56" s="1"/>
    </row>
    <row r="57" spans="6:62">
      <c r="F57" s="52" t="str">
        <f t="shared" si="19"/>
        <v/>
      </c>
      <c r="G57" s="54">
        <f t="shared" si="9"/>
        <v>0</v>
      </c>
      <c r="H57" s="33" t="str">
        <f t="shared" si="10"/>
        <v/>
      </c>
      <c r="I57" s="33">
        <f>IFERROR(VLOOKUP(G57,'Raw Data'!$A$4:$O$1500,15,0),0)</f>
        <v>0</v>
      </c>
      <c r="J57" s="1"/>
      <c r="K57" s="70" t="str">
        <f>IF(M57=0,"",COUNTIF($N$16:N57,$H$13))</f>
        <v/>
      </c>
      <c r="L57" s="30">
        <f t="shared" si="34"/>
        <v>-30</v>
      </c>
      <c r="M57" s="54">
        <f t="shared" si="35"/>
        <v>0</v>
      </c>
      <c r="N57" s="33">
        <f t="shared" si="36"/>
        <v>0</v>
      </c>
      <c r="O57" s="33" t="str">
        <f t="shared" si="46"/>
        <v/>
      </c>
      <c r="P57" s="33">
        <f>IFERROR(VLOOKUP(M57,'Raw Data'!$A$4:$O$1500,15,0),0)</f>
        <v>0</v>
      </c>
      <c r="Q57" s="33"/>
      <c r="R57" s="30">
        <f>COUNTIF($U$16:U57,$AA$14)</f>
        <v>3</v>
      </c>
      <c r="S57" s="30">
        <f t="shared" si="26"/>
        <v>59</v>
      </c>
      <c r="T57" s="54">
        <f t="shared" si="37"/>
        <v>42015</v>
      </c>
      <c r="U57" s="33" t="str">
        <f t="shared" si="38"/>
        <v>Up To 35% Off,FS on $49</v>
      </c>
      <c r="V57" s="33">
        <f t="shared" si="39"/>
        <v>767</v>
      </c>
      <c r="W57" s="33">
        <f>IFERROR(VLOOKUP(T57,'Raw Data'!$A$4:$O$1500,15,0),0)</f>
        <v>1</v>
      </c>
      <c r="X57" s="35"/>
      <c r="Y57" s="21"/>
      <c r="Z57" s="21"/>
      <c r="AA57" s="21"/>
      <c r="AB57" s="21"/>
      <c r="AC57" s="33"/>
      <c r="AD57" s="33"/>
      <c r="AE57" s="33" t="str">
        <f t="shared" si="40"/>
        <v/>
      </c>
      <c r="AF57" s="114" t="str">
        <f t="shared" si="24"/>
        <v/>
      </c>
      <c r="AG57" s="108" t="str">
        <f t="shared" si="41"/>
        <v/>
      </c>
      <c r="AH57" s="21" t="str">
        <f t="shared" si="42"/>
        <v/>
      </c>
      <c r="AI57" s="21" t="str">
        <f t="shared" si="43"/>
        <v/>
      </c>
      <c r="AJ57" s="21" t="str">
        <f t="shared" si="44"/>
        <v/>
      </c>
      <c r="AK57" s="21" t="str">
        <f t="shared" si="45"/>
        <v/>
      </c>
      <c r="AL57" s="21"/>
      <c r="AM57" s="21"/>
      <c r="AN57" s="21"/>
      <c r="AS57" s="112" t="str">
        <f t="shared" si="16"/>
        <v/>
      </c>
      <c r="AT57" s="112" t="str">
        <f>IF(AS57="","",COUNTIF($AS$13:AS57,AS57))</f>
        <v/>
      </c>
      <c r="AU57" s="147">
        <f t="shared" si="17"/>
        <v>44</v>
      </c>
      <c r="AV57" s="147">
        <f>COUNTIF($AZ$14:AZ57,AZ57)</f>
        <v>15</v>
      </c>
      <c r="AW57" s="147">
        <f>IFERROR(COUNTIF(AX$14:$BL57,AX57),"")</f>
        <v>7</v>
      </c>
      <c r="AX57" s="148" t="str">
        <f t="shared" si="18"/>
        <v>Mon</v>
      </c>
      <c r="AY57" s="149">
        <f>'Raw Data'!A47</f>
        <v>41652</v>
      </c>
      <c r="AZ57" s="150" t="str">
        <f>'Raw Data'!E47</f>
        <v>No Email Drop</v>
      </c>
      <c r="BA57" s="150">
        <f>'Raw Data'!I47</f>
        <v>1432</v>
      </c>
      <c r="BB57" s="112"/>
      <c r="BC57" s="112"/>
      <c r="BD57" s="112">
        <f>'Raw Data'!O47</f>
        <v>1</v>
      </c>
      <c r="BH57" s="1"/>
      <c r="BI57" s="1"/>
      <c r="BJ57" s="1"/>
    </row>
    <row r="58" spans="6:62">
      <c r="F58" s="52" t="str">
        <f t="shared" si="19"/>
        <v/>
      </c>
      <c r="G58" s="54">
        <f t="shared" si="9"/>
        <v>0</v>
      </c>
      <c r="H58" s="33" t="str">
        <f t="shared" si="10"/>
        <v/>
      </c>
      <c r="I58" s="33">
        <f>IFERROR(VLOOKUP(G58,'Raw Data'!$A$4:$O$1500,15,0),0)</f>
        <v>0</v>
      </c>
      <c r="J58" s="1"/>
      <c r="K58" s="70" t="str">
        <f>IF(M58=0,"",COUNTIF($N$16:N58,$H$13))</f>
        <v/>
      </c>
      <c r="L58" s="30">
        <f t="shared" si="34"/>
        <v>-31</v>
      </c>
      <c r="M58" s="54">
        <f t="shared" si="35"/>
        <v>0</v>
      </c>
      <c r="N58" s="33">
        <f t="shared" si="36"/>
        <v>0</v>
      </c>
      <c r="O58" s="33" t="str">
        <f t="shared" si="46"/>
        <v/>
      </c>
      <c r="P58" s="33">
        <f>IFERROR(VLOOKUP(M58,'Raw Data'!$A$4:$O$1500,15,0),0)</f>
        <v>0</v>
      </c>
      <c r="Q58" s="33"/>
      <c r="R58" s="30">
        <f>COUNTIF($U$16:U58,$AA$14)</f>
        <v>3</v>
      </c>
      <c r="S58" s="30">
        <f t="shared" si="26"/>
        <v>58</v>
      </c>
      <c r="T58" s="54">
        <f t="shared" si="37"/>
        <v>42008</v>
      </c>
      <c r="U58" s="33" t="str">
        <f t="shared" si="38"/>
        <v>Omnichannel Promo</v>
      </c>
      <c r="V58" s="33">
        <f t="shared" si="39"/>
        <v>1154</v>
      </c>
      <c r="W58" s="33">
        <f>IFERROR(VLOOKUP(T58,'Raw Data'!$A$4:$O$1500,15,0),0)</f>
        <v>2</v>
      </c>
      <c r="X58" s="35"/>
      <c r="Y58" s="21"/>
      <c r="Z58" s="21"/>
      <c r="AA58" s="21"/>
      <c r="AB58" s="21"/>
      <c r="AC58" s="33"/>
      <c r="AD58" s="33"/>
      <c r="AE58" s="33" t="str">
        <f t="shared" si="40"/>
        <v/>
      </c>
      <c r="AF58" s="114" t="str">
        <f t="shared" si="24"/>
        <v/>
      </c>
      <c r="AG58" s="108" t="str">
        <f t="shared" si="41"/>
        <v/>
      </c>
      <c r="AH58" s="21" t="str">
        <f t="shared" si="42"/>
        <v/>
      </c>
      <c r="AI58" s="21" t="str">
        <f t="shared" si="43"/>
        <v/>
      </c>
      <c r="AJ58" s="21" t="str">
        <f t="shared" si="44"/>
        <v/>
      </c>
      <c r="AK58" s="21" t="str">
        <f t="shared" si="45"/>
        <v/>
      </c>
      <c r="AL58" s="21"/>
      <c r="AM58" s="21"/>
      <c r="AN58" s="21"/>
      <c r="AS58" s="112" t="str">
        <f t="shared" si="16"/>
        <v/>
      </c>
      <c r="AT58" s="112" t="str">
        <f>IF(AS58="","",COUNTIF($AS$13:AS58,AS58))</f>
        <v/>
      </c>
      <c r="AU58" s="147">
        <f t="shared" si="17"/>
        <v>45</v>
      </c>
      <c r="AV58" s="147">
        <f>COUNTIF($AZ$14:AZ58,AZ58)</f>
        <v>1</v>
      </c>
      <c r="AW58" s="147">
        <f>IFERROR(COUNTIF(AX$14:$BL58,AX58),"")</f>
        <v>7</v>
      </c>
      <c r="AX58" s="148" t="str">
        <f t="shared" si="18"/>
        <v>Tue</v>
      </c>
      <c r="AY58" s="149">
        <f>'Raw Data'!A48</f>
        <v>41653</v>
      </c>
      <c r="AZ58" s="150" t="str">
        <f>'Raw Data'!E48</f>
        <v>$15 Off,FS on $49</v>
      </c>
      <c r="BA58" s="150">
        <f>'Raw Data'!I48</f>
        <v>1533</v>
      </c>
      <c r="BB58" s="112"/>
      <c r="BC58" s="112"/>
      <c r="BD58" s="112">
        <f>'Raw Data'!O48</f>
        <v>1</v>
      </c>
      <c r="BH58" s="1"/>
      <c r="BI58" s="1"/>
      <c r="BJ58" s="1"/>
    </row>
    <row r="59" spans="6:62">
      <c r="F59" s="52" t="str">
        <f t="shared" si="19"/>
        <v/>
      </c>
      <c r="G59" s="54">
        <f t="shared" si="9"/>
        <v>0</v>
      </c>
      <c r="H59" s="33" t="str">
        <f t="shared" si="10"/>
        <v/>
      </c>
      <c r="I59" s="33">
        <f>IFERROR(VLOOKUP(G59,'Raw Data'!$A$4:$O$1500,15,0),0)</f>
        <v>0</v>
      </c>
      <c r="J59" s="1"/>
      <c r="K59" s="70" t="str">
        <f>IF(M59=0,"",COUNTIF($N$16:N59,$H$13))</f>
        <v/>
      </c>
      <c r="L59" s="30">
        <f t="shared" si="34"/>
        <v>-32</v>
      </c>
      <c r="M59" s="54">
        <f t="shared" si="35"/>
        <v>0</v>
      </c>
      <c r="N59" s="33">
        <f t="shared" si="36"/>
        <v>0</v>
      </c>
      <c r="O59" s="33" t="str">
        <f t="shared" si="46"/>
        <v/>
      </c>
      <c r="P59" s="33">
        <f>IFERROR(VLOOKUP(M59,'Raw Data'!$A$4:$O$1500,15,0),0)</f>
        <v>0</v>
      </c>
      <c r="Q59" s="33"/>
      <c r="R59" s="30">
        <f>COUNTIF($U$16:U59,$AA$14)</f>
        <v>3</v>
      </c>
      <c r="S59" s="30">
        <f t="shared" si="26"/>
        <v>57</v>
      </c>
      <c r="T59" s="54">
        <f t="shared" si="37"/>
        <v>42001</v>
      </c>
      <c r="U59" s="33" t="str">
        <f t="shared" si="38"/>
        <v>Up To 40% Off,FS on $49</v>
      </c>
      <c r="V59" s="33">
        <f t="shared" si="39"/>
        <v>846</v>
      </c>
      <c r="W59" s="33">
        <f>IFERROR(VLOOKUP(T59,'Raw Data'!$A$4:$O$1500,15,0),0)</f>
        <v>2</v>
      </c>
      <c r="X59" s="35"/>
      <c r="Y59" s="21"/>
      <c r="Z59" s="21"/>
      <c r="AA59" s="21"/>
      <c r="AB59" s="21"/>
      <c r="AC59" s="33"/>
      <c r="AD59" s="33"/>
      <c r="AE59" s="33" t="str">
        <f t="shared" si="40"/>
        <v/>
      </c>
      <c r="AF59" s="114" t="str">
        <f t="shared" si="24"/>
        <v/>
      </c>
      <c r="AG59" s="108" t="str">
        <f t="shared" si="41"/>
        <v/>
      </c>
      <c r="AH59" s="21" t="str">
        <f t="shared" si="42"/>
        <v/>
      </c>
      <c r="AI59" s="21" t="str">
        <f t="shared" si="43"/>
        <v/>
      </c>
      <c r="AJ59" s="21" t="str">
        <f t="shared" si="44"/>
        <v/>
      </c>
      <c r="AK59" s="21" t="str">
        <f t="shared" si="45"/>
        <v/>
      </c>
      <c r="AL59" s="21"/>
      <c r="AM59" s="21"/>
      <c r="AN59" s="21"/>
      <c r="AS59" s="112" t="str">
        <f t="shared" si="16"/>
        <v/>
      </c>
      <c r="AT59" s="112" t="str">
        <f>IF(AS59="","",COUNTIF($AS$13:AS59,AS59))</f>
        <v/>
      </c>
      <c r="AU59" s="147">
        <f t="shared" si="17"/>
        <v>46</v>
      </c>
      <c r="AV59" s="147">
        <f>COUNTIF($AZ$14:AZ59,AZ59)</f>
        <v>16</v>
      </c>
      <c r="AW59" s="147">
        <f>IFERROR(COUNTIF(AX$14:$BL59,AX59),"")</f>
        <v>7</v>
      </c>
      <c r="AX59" s="148" t="str">
        <f t="shared" si="18"/>
        <v>Wed</v>
      </c>
      <c r="AY59" s="149">
        <f>'Raw Data'!A49</f>
        <v>41654</v>
      </c>
      <c r="AZ59" s="150" t="str">
        <f>'Raw Data'!E49</f>
        <v>No Email Drop</v>
      </c>
      <c r="BA59" s="150">
        <f>'Raw Data'!I49</f>
        <v>1254</v>
      </c>
      <c r="BB59" s="112"/>
      <c r="BC59" s="112"/>
      <c r="BD59" s="112">
        <f>'Raw Data'!O49</f>
        <v>1</v>
      </c>
      <c r="BH59" s="1"/>
      <c r="BI59" s="1"/>
      <c r="BJ59" s="1"/>
    </row>
    <row r="60" spans="6:62">
      <c r="F60" s="52" t="str">
        <f t="shared" si="19"/>
        <v/>
      </c>
      <c r="G60" s="54">
        <f t="shared" si="9"/>
        <v>0</v>
      </c>
      <c r="H60" s="33" t="str">
        <f t="shared" si="10"/>
        <v/>
      </c>
      <c r="I60" s="33">
        <f>IFERROR(VLOOKUP(G60,'Raw Data'!$A$4:$O$1500,15,0),0)</f>
        <v>0</v>
      </c>
      <c r="J60" s="1"/>
      <c r="K60" s="70" t="str">
        <f>IF(M60=0,"",COUNTIF($N$16:N60,$H$13))</f>
        <v/>
      </c>
      <c r="L60" s="30">
        <f t="shared" si="34"/>
        <v>-33</v>
      </c>
      <c r="M60" s="54">
        <f t="shared" si="35"/>
        <v>0</v>
      </c>
      <c r="N60" s="33">
        <f t="shared" si="36"/>
        <v>0</v>
      </c>
      <c r="O60" s="33" t="str">
        <f t="shared" si="46"/>
        <v/>
      </c>
      <c r="P60" s="33">
        <f>IFERROR(VLOOKUP(M60,'Raw Data'!$A$4:$O$1500,15,0),0)</f>
        <v>0</v>
      </c>
      <c r="Q60" s="33"/>
      <c r="R60" s="30">
        <f>COUNTIF($U$16:U60,$AA$14)</f>
        <v>3</v>
      </c>
      <c r="S60" s="30">
        <f t="shared" si="26"/>
        <v>56</v>
      </c>
      <c r="T60" s="54">
        <f t="shared" si="37"/>
        <v>41994</v>
      </c>
      <c r="U60" s="33" t="str">
        <f t="shared" si="38"/>
        <v>Overnight Shipping</v>
      </c>
      <c r="V60" s="33">
        <f t="shared" si="39"/>
        <v>811</v>
      </c>
      <c r="W60" s="33">
        <f>IFERROR(VLOOKUP(T60,'Raw Data'!$A$4:$O$1500,15,0),0)</f>
        <v>1</v>
      </c>
      <c r="X60" s="35"/>
      <c r="Y60" s="21"/>
      <c r="Z60" s="21"/>
      <c r="AA60" s="21"/>
      <c r="AB60" s="21"/>
      <c r="AC60" s="33"/>
      <c r="AD60" s="33"/>
      <c r="AE60" s="33" t="str">
        <f t="shared" si="40"/>
        <v/>
      </c>
      <c r="AF60" s="114" t="str">
        <f t="shared" si="24"/>
        <v/>
      </c>
      <c r="AG60" s="108" t="str">
        <f t="shared" si="41"/>
        <v/>
      </c>
      <c r="AH60" s="21" t="str">
        <f t="shared" si="42"/>
        <v/>
      </c>
      <c r="AI60" s="21" t="str">
        <f t="shared" si="43"/>
        <v/>
      </c>
      <c r="AJ60" s="21" t="str">
        <f t="shared" si="44"/>
        <v/>
      </c>
      <c r="AK60" s="21" t="str">
        <f t="shared" si="45"/>
        <v/>
      </c>
      <c r="AL60" s="21"/>
      <c r="AM60" s="21"/>
      <c r="AN60" s="21"/>
      <c r="AS60" s="112" t="str">
        <f t="shared" si="16"/>
        <v/>
      </c>
      <c r="AT60" s="112" t="str">
        <f>IF(AS60="","",COUNTIF($AS$13:AS60,AS60))</f>
        <v/>
      </c>
      <c r="AU60" s="147">
        <f t="shared" si="17"/>
        <v>47</v>
      </c>
      <c r="AV60" s="147">
        <f>COUNTIF($AZ$14:AZ60,AZ60)</f>
        <v>2</v>
      </c>
      <c r="AW60" s="147">
        <f>IFERROR(COUNTIF(AX$14:$BL60,AX60),"")</f>
        <v>7</v>
      </c>
      <c r="AX60" s="148" t="str">
        <f t="shared" si="18"/>
        <v>Thu</v>
      </c>
      <c r="AY60" s="149">
        <f>'Raw Data'!A50</f>
        <v>41655</v>
      </c>
      <c r="AZ60" s="150" t="str">
        <f>'Raw Data'!E50</f>
        <v>$15 Off,FS on $49</v>
      </c>
      <c r="BA60" s="150">
        <f>'Raw Data'!I50</f>
        <v>1390</v>
      </c>
      <c r="BB60" s="112"/>
      <c r="BC60" s="112"/>
      <c r="BD60" s="112">
        <f>'Raw Data'!O50</f>
        <v>1</v>
      </c>
      <c r="BH60" s="1"/>
      <c r="BI60" s="1"/>
      <c r="BJ60" s="1"/>
    </row>
    <row r="61" spans="6:62">
      <c r="F61" s="52" t="str">
        <f t="shared" si="19"/>
        <v/>
      </c>
      <c r="G61" s="54">
        <f t="shared" si="9"/>
        <v>0</v>
      </c>
      <c r="H61" s="33" t="str">
        <f t="shared" si="10"/>
        <v/>
      </c>
      <c r="I61" s="33">
        <f>IFERROR(VLOOKUP(G61,'Raw Data'!$A$4:$O$1500,15,0),0)</f>
        <v>0</v>
      </c>
      <c r="J61" s="1"/>
      <c r="K61" s="70" t="str">
        <f>IF(M61=0,"",COUNTIF($N$16:N61,$H$13))</f>
        <v/>
      </c>
      <c r="L61" s="30">
        <f t="shared" si="34"/>
        <v>-34</v>
      </c>
      <c r="M61" s="54">
        <f t="shared" si="35"/>
        <v>0</v>
      </c>
      <c r="N61" s="33">
        <f t="shared" si="36"/>
        <v>0</v>
      </c>
      <c r="O61" s="33" t="str">
        <f t="shared" si="46"/>
        <v/>
      </c>
      <c r="P61" s="33">
        <f>IFERROR(VLOOKUP(M61,'Raw Data'!$A$4:$O$1500,15,0),0)</f>
        <v>0</v>
      </c>
      <c r="Q61" s="33"/>
      <c r="R61" s="30">
        <f>COUNTIF($U$16:U61,$AA$14)</f>
        <v>3</v>
      </c>
      <c r="S61" s="30">
        <f t="shared" si="26"/>
        <v>55</v>
      </c>
      <c r="T61" s="54">
        <f t="shared" si="37"/>
        <v>41987</v>
      </c>
      <c r="U61" s="33" t="str">
        <f t="shared" si="38"/>
        <v>20% Off on Supplies,FS on $49</v>
      </c>
      <c r="V61" s="33">
        <f t="shared" si="39"/>
        <v>1023</v>
      </c>
      <c r="W61" s="33">
        <f>IFERROR(VLOOKUP(T61,'Raw Data'!$A$4:$O$1500,15,0),0)</f>
        <v>1</v>
      </c>
      <c r="X61" s="35"/>
      <c r="Y61" s="21"/>
      <c r="Z61" s="21"/>
      <c r="AA61" s="21"/>
      <c r="AB61" s="21"/>
      <c r="AC61" s="33"/>
      <c r="AD61" s="33"/>
      <c r="AE61" s="33" t="str">
        <f t="shared" si="40"/>
        <v/>
      </c>
      <c r="AF61" s="114" t="str">
        <f t="shared" si="24"/>
        <v/>
      </c>
      <c r="AG61" s="108" t="str">
        <f t="shared" si="41"/>
        <v/>
      </c>
      <c r="AH61" s="21" t="str">
        <f t="shared" si="42"/>
        <v/>
      </c>
      <c r="AI61" s="21" t="str">
        <f t="shared" si="43"/>
        <v/>
      </c>
      <c r="AJ61" s="21" t="str">
        <f t="shared" si="44"/>
        <v/>
      </c>
      <c r="AK61" s="21" t="str">
        <f t="shared" si="45"/>
        <v/>
      </c>
      <c r="AL61" s="21"/>
      <c r="AM61" s="21"/>
      <c r="AN61" s="21"/>
      <c r="AS61" s="112" t="str">
        <f t="shared" si="16"/>
        <v/>
      </c>
      <c r="AT61" s="112" t="str">
        <f>IF(AS61="","",COUNTIF($AS$13:AS61,AS61))</f>
        <v/>
      </c>
      <c r="AU61" s="147">
        <f t="shared" si="17"/>
        <v>48</v>
      </c>
      <c r="AV61" s="147">
        <f>COUNTIF($AZ$14:AZ61,AZ61)</f>
        <v>17</v>
      </c>
      <c r="AW61" s="147">
        <f>IFERROR(COUNTIF(AX$14:$BL61,AX61),"")</f>
        <v>7</v>
      </c>
      <c r="AX61" s="148" t="str">
        <f t="shared" si="18"/>
        <v>Fri</v>
      </c>
      <c r="AY61" s="149">
        <f>'Raw Data'!A51</f>
        <v>41656</v>
      </c>
      <c r="AZ61" s="150" t="str">
        <f>'Raw Data'!E51</f>
        <v>No Email Drop</v>
      </c>
      <c r="BA61" s="150">
        <f>'Raw Data'!I51</f>
        <v>1268</v>
      </c>
      <c r="BB61" s="112"/>
      <c r="BC61" s="112"/>
      <c r="BD61" s="112">
        <f>'Raw Data'!O51</f>
        <v>1</v>
      </c>
      <c r="BH61" s="1"/>
      <c r="BI61" s="1"/>
      <c r="BJ61" s="1"/>
    </row>
    <row r="62" spans="6:62">
      <c r="F62" s="52" t="str">
        <f t="shared" si="19"/>
        <v/>
      </c>
      <c r="G62" s="54">
        <f t="shared" si="9"/>
        <v>0</v>
      </c>
      <c r="H62" s="33" t="str">
        <f t="shared" si="10"/>
        <v/>
      </c>
      <c r="I62" s="33">
        <f>IFERROR(VLOOKUP(G62,'Raw Data'!$A$4:$O$1500,15,0),0)</f>
        <v>0</v>
      </c>
      <c r="J62" s="1"/>
      <c r="K62" s="70" t="str">
        <f>IF(M62=0,"",COUNTIF($N$16:N62,$H$13))</f>
        <v/>
      </c>
      <c r="L62" s="30">
        <f t="shared" ref="L62:L81" si="47">L61-1</f>
        <v>-35</v>
      </c>
      <c r="M62" s="54">
        <f t="shared" si="35"/>
        <v>0</v>
      </c>
      <c r="N62" s="33">
        <f t="shared" ref="N62:N81" si="48">IFERROR(IF(M62=0,0,TEXT(M62,"DDD")),"")</f>
        <v>0</v>
      </c>
      <c r="O62" s="33" t="str">
        <f t="shared" si="46"/>
        <v/>
      </c>
      <c r="P62" s="33">
        <f>IFERROR(VLOOKUP(M62,'Raw Data'!$A$4:$O$1500,15,0),0)</f>
        <v>0</v>
      </c>
      <c r="Q62" s="33"/>
      <c r="R62" s="30">
        <f>COUNTIF($U$16:U62,$AA$14)</f>
        <v>3</v>
      </c>
      <c r="S62" s="30">
        <f t="shared" si="26"/>
        <v>54</v>
      </c>
      <c r="T62" s="54">
        <f t="shared" si="37"/>
        <v>41980</v>
      </c>
      <c r="U62" s="33" t="str">
        <f t="shared" si="38"/>
        <v>$15 Off,FS on $75</v>
      </c>
      <c r="V62" s="33">
        <f t="shared" si="39"/>
        <v>947</v>
      </c>
      <c r="W62" s="33">
        <f>IFERROR(VLOOKUP(T62,'Raw Data'!$A$4:$O$1500,15,0),0)</f>
        <v>1</v>
      </c>
      <c r="X62" s="35"/>
      <c r="Y62" s="21"/>
      <c r="Z62" s="21"/>
      <c r="AA62" s="21"/>
      <c r="AB62" s="21"/>
      <c r="AC62" s="21"/>
      <c r="AD62" s="21"/>
      <c r="AE62" s="33" t="str">
        <f t="shared" si="40"/>
        <v/>
      </c>
      <c r="AF62" s="114" t="str">
        <f t="shared" si="24"/>
        <v/>
      </c>
      <c r="AG62" s="108" t="str">
        <f t="shared" si="41"/>
        <v/>
      </c>
      <c r="AH62" s="21" t="str">
        <f t="shared" si="42"/>
        <v/>
      </c>
      <c r="AI62" s="21" t="str">
        <f t="shared" si="43"/>
        <v/>
      </c>
      <c r="AJ62" s="21" t="str">
        <f t="shared" si="44"/>
        <v/>
      </c>
      <c r="AK62" s="21" t="str">
        <f t="shared" si="45"/>
        <v/>
      </c>
      <c r="AL62" s="21"/>
      <c r="AM62" s="21"/>
      <c r="AN62" s="21"/>
      <c r="AS62" s="112" t="str">
        <f t="shared" si="16"/>
        <v/>
      </c>
      <c r="AT62" s="112" t="str">
        <f>IF(AS62="","",COUNTIF($AS$13:AS62,AS62))</f>
        <v/>
      </c>
      <c r="AU62" s="147">
        <f t="shared" si="17"/>
        <v>49</v>
      </c>
      <c r="AV62" s="147">
        <f>COUNTIF($AZ$14:AZ62,AZ62)</f>
        <v>18</v>
      </c>
      <c r="AW62" s="147">
        <f>IFERROR(COUNTIF(AX$14:$BL62,AX62),"")</f>
        <v>7</v>
      </c>
      <c r="AX62" s="148" t="str">
        <f t="shared" si="18"/>
        <v>Sat</v>
      </c>
      <c r="AY62" s="149">
        <f>'Raw Data'!A52</f>
        <v>41657</v>
      </c>
      <c r="AZ62" s="150" t="str">
        <f>'Raw Data'!E52</f>
        <v>No Email Drop</v>
      </c>
      <c r="BA62" s="150">
        <f>'Raw Data'!I52</f>
        <v>919</v>
      </c>
      <c r="BB62" s="112"/>
      <c r="BC62" s="112"/>
      <c r="BD62" s="112">
        <f>'Raw Data'!O52</f>
        <v>1</v>
      </c>
      <c r="BH62" s="1"/>
      <c r="BI62" s="1"/>
      <c r="BJ62" s="1"/>
    </row>
    <row r="63" spans="6:62">
      <c r="I63" s="33">
        <f>IFERROR(VLOOKUP(G63,'Raw Data'!$A$4:$O$1500,15,0),0)</f>
        <v>0</v>
      </c>
      <c r="J63" s="1"/>
      <c r="K63" s="70" t="str">
        <f>IF(M63=0,"",COUNTIF($N$16:N63,$H$13))</f>
        <v/>
      </c>
      <c r="L63" s="30">
        <f t="shared" si="47"/>
        <v>-36</v>
      </c>
      <c r="M63" s="54">
        <f t="shared" si="35"/>
        <v>0</v>
      </c>
      <c r="N63" s="33">
        <f t="shared" si="48"/>
        <v>0</v>
      </c>
      <c r="O63" s="33" t="str">
        <f t="shared" si="46"/>
        <v/>
      </c>
      <c r="P63" s="33">
        <f>IFERROR(VLOOKUP(M63,'Raw Data'!$A$4:$O$1500,15,0),0)</f>
        <v>0</v>
      </c>
      <c r="Q63" s="33"/>
      <c r="R63" s="30">
        <f>COUNTIF($U$16:U63,$AA$14)</f>
        <v>3</v>
      </c>
      <c r="S63" s="30">
        <f t="shared" si="26"/>
        <v>53</v>
      </c>
      <c r="T63" s="54">
        <f t="shared" si="37"/>
        <v>41973</v>
      </c>
      <c r="U63" s="33" t="str">
        <f t="shared" si="38"/>
        <v>Cyber Savings</v>
      </c>
      <c r="V63" s="33">
        <f t="shared" si="39"/>
        <v>948</v>
      </c>
      <c r="W63" s="33">
        <f>IFERROR(VLOOKUP(T63,'Raw Data'!$A$4:$O$1500,15,0),0)</f>
        <v>1</v>
      </c>
      <c r="X63" s="35"/>
      <c r="Y63" s="21"/>
      <c r="Z63" s="21"/>
      <c r="AA63" s="21"/>
      <c r="AB63" s="21"/>
      <c r="AC63" s="21"/>
      <c r="AD63" s="21"/>
      <c r="AE63" s="33" t="str">
        <f t="shared" si="40"/>
        <v/>
      </c>
      <c r="AF63" s="114" t="str">
        <f t="shared" si="24"/>
        <v/>
      </c>
      <c r="AG63" s="108" t="str">
        <f t="shared" si="41"/>
        <v/>
      </c>
      <c r="AH63" s="21" t="str">
        <f t="shared" si="42"/>
        <v/>
      </c>
      <c r="AI63" s="21" t="str">
        <f t="shared" si="43"/>
        <v/>
      </c>
      <c r="AJ63" s="21" t="str">
        <f t="shared" si="44"/>
        <v/>
      </c>
      <c r="AK63" s="21" t="str">
        <f t="shared" si="45"/>
        <v/>
      </c>
      <c r="AL63" s="21"/>
      <c r="AM63" s="21"/>
      <c r="AN63" s="21"/>
      <c r="AS63" s="112" t="str">
        <f t="shared" si="16"/>
        <v/>
      </c>
      <c r="AT63" s="112" t="str">
        <f>IF(AS63="","",COUNTIF($AS$13:AS63,AS63))</f>
        <v/>
      </c>
      <c r="AU63" s="147">
        <f t="shared" si="17"/>
        <v>50</v>
      </c>
      <c r="AV63" s="147">
        <f>COUNTIF($AZ$14:AZ63,AZ63)</f>
        <v>3</v>
      </c>
      <c r="AW63" s="147">
        <f>IFERROR(COUNTIF(AX$14:$BL63,AX63),"")</f>
        <v>8</v>
      </c>
      <c r="AX63" s="148" t="str">
        <f t="shared" si="18"/>
        <v>Sun</v>
      </c>
      <c r="AY63" s="149">
        <f>'Raw Data'!A53</f>
        <v>41658</v>
      </c>
      <c r="AZ63" s="150" t="str">
        <f>'Raw Data'!E53</f>
        <v>20% Off,FS on $49</v>
      </c>
      <c r="BA63" s="150">
        <f>'Raw Data'!I53</f>
        <v>809</v>
      </c>
      <c r="BB63" s="112"/>
      <c r="BC63" s="112"/>
      <c r="BD63" s="112">
        <f>'Raw Data'!O53</f>
        <v>1</v>
      </c>
      <c r="BH63" s="1"/>
      <c r="BI63" s="1"/>
      <c r="BJ63" s="1"/>
    </row>
    <row r="64" spans="6:62">
      <c r="I64" s="33">
        <f>IFERROR(VLOOKUP(G64,'Raw Data'!$A$4:$O$1500,15,0),0)</f>
        <v>0</v>
      </c>
      <c r="J64" s="1"/>
      <c r="K64" s="70" t="str">
        <f>IF(M64=0,"",COUNTIF($N$16:N64,$H$13))</f>
        <v/>
      </c>
      <c r="L64" s="30">
        <f t="shared" si="47"/>
        <v>-37</v>
      </c>
      <c r="M64" s="54">
        <f t="shared" si="35"/>
        <v>0</v>
      </c>
      <c r="N64" s="33">
        <f t="shared" si="48"/>
        <v>0</v>
      </c>
      <c r="O64" s="33" t="str">
        <f t="shared" si="46"/>
        <v/>
      </c>
      <c r="P64" s="33">
        <f>IFERROR(VLOOKUP(M64,'Raw Data'!$A$4:$O$1500,15,0),0)</f>
        <v>0</v>
      </c>
      <c r="Q64" s="33"/>
      <c r="R64" s="30">
        <f>COUNTIF($U$16:U64,$AA$14)</f>
        <v>3</v>
      </c>
      <c r="S64" s="30">
        <f t="shared" si="26"/>
        <v>52</v>
      </c>
      <c r="T64" s="54">
        <f t="shared" si="37"/>
        <v>41966</v>
      </c>
      <c r="U64" s="33" t="str">
        <f t="shared" si="38"/>
        <v>$5 Off Natural Dog and Cat Food,FS on $49</v>
      </c>
      <c r="V64" s="33">
        <f t="shared" si="39"/>
        <v>756</v>
      </c>
      <c r="W64" s="33">
        <f>IFERROR(VLOOKUP(T64,'Raw Data'!$A$4:$O$1500,15,0),0)</f>
        <v>1</v>
      </c>
      <c r="X64" s="35"/>
      <c r="Y64" s="21"/>
      <c r="Z64" s="21"/>
      <c r="AA64" s="21"/>
      <c r="AB64" s="21"/>
      <c r="AC64" s="21"/>
      <c r="AD64" s="21"/>
      <c r="AE64" s="33" t="str">
        <f t="shared" si="40"/>
        <v/>
      </c>
      <c r="AF64" s="114" t="str">
        <f t="shared" si="24"/>
        <v/>
      </c>
      <c r="AG64" s="108" t="str">
        <f t="shared" si="41"/>
        <v/>
      </c>
      <c r="AH64" s="21" t="str">
        <f t="shared" si="42"/>
        <v/>
      </c>
      <c r="AI64" s="21" t="str">
        <f t="shared" si="43"/>
        <v/>
      </c>
      <c r="AJ64" s="21" t="str">
        <f t="shared" si="44"/>
        <v/>
      </c>
      <c r="AK64" s="21" t="str">
        <f t="shared" si="45"/>
        <v/>
      </c>
      <c r="AL64" s="21"/>
      <c r="AM64" s="21"/>
      <c r="AN64" s="21"/>
      <c r="AS64" s="112" t="str">
        <f t="shared" si="16"/>
        <v/>
      </c>
      <c r="AT64" s="112" t="str">
        <f>IF(AS64="","",COUNTIF($AS$13:AS64,AS64))</f>
        <v/>
      </c>
      <c r="AU64" s="147">
        <f t="shared" si="17"/>
        <v>51</v>
      </c>
      <c r="AV64" s="147">
        <f>COUNTIF($AZ$14:AZ64,AZ64)</f>
        <v>19</v>
      </c>
      <c r="AW64" s="147">
        <f>IFERROR(COUNTIF(AX$14:$BL64,AX64),"")</f>
        <v>8</v>
      </c>
      <c r="AX64" s="148" t="str">
        <f t="shared" si="18"/>
        <v>Mon</v>
      </c>
      <c r="AY64" s="149">
        <f>'Raw Data'!A54</f>
        <v>41659</v>
      </c>
      <c r="AZ64" s="150" t="str">
        <f>'Raw Data'!E54</f>
        <v>No Email Drop</v>
      </c>
      <c r="BA64" s="150">
        <f>'Raw Data'!I54</f>
        <v>1324</v>
      </c>
      <c r="BB64" s="112"/>
      <c r="BC64" s="112"/>
      <c r="BD64" s="112">
        <f>'Raw Data'!O54</f>
        <v>1</v>
      </c>
      <c r="BH64" s="1"/>
      <c r="BI64" s="1"/>
      <c r="BJ64" s="1"/>
    </row>
    <row r="65" spans="9:62">
      <c r="I65" s="33">
        <f>IFERROR(VLOOKUP(G65,'Raw Data'!$A$4:$O$1500,15,0),0)</f>
        <v>0</v>
      </c>
      <c r="J65" s="1"/>
      <c r="K65" s="70" t="str">
        <f>IF(M65=0,"",COUNTIF($N$16:N65,$H$13))</f>
        <v/>
      </c>
      <c r="L65" s="30">
        <f t="shared" si="47"/>
        <v>-38</v>
      </c>
      <c r="M65" s="54">
        <f t="shared" si="35"/>
        <v>0</v>
      </c>
      <c r="N65" s="33">
        <f t="shared" si="48"/>
        <v>0</v>
      </c>
      <c r="O65" s="33" t="str">
        <f t="shared" si="46"/>
        <v/>
      </c>
      <c r="P65" s="33">
        <f>IFERROR(VLOOKUP(M65,'Raw Data'!$A$4:$O$1500,15,0),0)</f>
        <v>0</v>
      </c>
      <c r="Q65" s="33"/>
      <c r="R65" s="30">
        <f>COUNTIF($U$16:U65,$AA$14)</f>
        <v>3</v>
      </c>
      <c r="S65" s="30">
        <f t="shared" si="26"/>
        <v>51</v>
      </c>
      <c r="T65" s="54">
        <f t="shared" si="37"/>
        <v>41959</v>
      </c>
      <c r="U65" s="33" t="str">
        <f t="shared" si="38"/>
        <v>25% Off,FS on $49</v>
      </c>
      <c r="V65" s="33">
        <f t="shared" si="39"/>
        <v>741</v>
      </c>
      <c r="W65" s="33">
        <f>IFERROR(VLOOKUP(T65,'Raw Data'!$A$4:$O$1500,15,0),0)</f>
        <v>2</v>
      </c>
      <c r="X65" s="35"/>
      <c r="Y65" s="21"/>
      <c r="Z65" s="21"/>
      <c r="AA65" s="21"/>
      <c r="AB65" s="21"/>
      <c r="AC65" s="21"/>
      <c r="AD65" s="21"/>
      <c r="AE65" s="33" t="str">
        <f t="shared" si="40"/>
        <v/>
      </c>
      <c r="AF65" s="114" t="str">
        <f t="shared" si="24"/>
        <v/>
      </c>
      <c r="AG65" s="108" t="str">
        <f t="shared" si="41"/>
        <v/>
      </c>
      <c r="AH65" s="21" t="str">
        <f t="shared" si="42"/>
        <v/>
      </c>
      <c r="AI65" s="21" t="str">
        <f t="shared" si="43"/>
        <v/>
      </c>
      <c r="AJ65" s="21" t="str">
        <f t="shared" si="44"/>
        <v/>
      </c>
      <c r="AK65" s="21" t="str">
        <f t="shared" si="45"/>
        <v/>
      </c>
      <c r="AL65" s="21"/>
      <c r="AM65" s="21"/>
      <c r="AN65" s="21"/>
      <c r="AS65" s="112" t="str">
        <f t="shared" si="16"/>
        <v/>
      </c>
      <c r="AT65" s="112" t="str">
        <f>IF(AS65="","",COUNTIF($AS$13:AS65,AS65))</f>
        <v/>
      </c>
      <c r="AU65" s="147">
        <f t="shared" si="17"/>
        <v>52</v>
      </c>
      <c r="AV65" s="147">
        <f>COUNTIF($AZ$14:AZ65,AZ65)</f>
        <v>4</v>
      </c>
      <c r="AW65" s="147">
        <f>IFERROR(COUNTIF(AX$14:$BL65,AX65),"")</f>
        <v>8</v>
      </c>
      <c r="AX65" s="148" t="str">
        <f t="shared" si="18"/>
        <v>Tue</v>
      </c>
      <c r="AY65" s="149">
        <f>'Raw Data'!A55</f>
        <v>41660</v>
      </c>
      <c r="AZ65" s="150" t="str">
        <f>'Raw Data'!E55</f>
        <v>20% Off,FS on $49</v>
      </c>
      <c r="BA65" s="150">
        <f>'Raw Data'!I55</f>
        <v>1221</v>
      </c>
      <c r="BB65" s="112"/>
      <c r="BC65" s="112"/>
      <c r="BD65" s="112">
        <f>'Raw Data'!O55</f>
        <v>1</v>
      </c>
      <c r="BH65" s="1"/>
      <c r="BI65" s="1"/>
      <c r="BJ65" s="1"/>
    </row>
    <row r="66" spans="9:62">
      <c r="I66" s="33">
        <f>IFERROR(VLOOKUP(G66,'Raw Data'!$A$4:$O$1500,15,0),0)</f>
        <v>0</v>
      </c>
      <c r="K66" s="70" t="str">
        <f>IF(M66=0,"",COUNTIF($N$16:N66,$H$13))</f>
        <v/>
      </c>
      <c r="L66" s="30">
        <f t="shared" si="47"/>
        <v>-39</v>
      </c>
      <c r="M66" s="54">
        <f t="shared" si="35"/>
        <v>0</v>
      </c>
      <c r="N66" s="33">
        <f t="shared" si="48"/>
        <v>0</v>
      </c>
      <c r="O66" s="33" t="str">
        <f t="shared" si="46"/>
        <v/>
      </c>
      <c r="P66" s="33">
        <f>IFERROR(VLOOKUP(M66,'Raw Data'!$A$4:$O$1500,15,0),0)</f>
        <v>0</v>
      </c>
      <c r="Q66" s="33"/>
      <c r="R66" s="30">
        <f>COUNTIF($U$16:U66,$AA$14)</f>
        <v>3</v>
      </c>
      <c r="S66" s="30">
        <f t="shared" si="26"/>
        <v>50</v>
      </c>
      <c r="T66" s="54">
        <f t="shared" si="37"/>
        <v>41952</v>
      </c>
      <c r="U66" s="33" t="str">
        <f t="shared" si="38"/>
        <v>20% Off,FS on $49 Omni</v>
      </c>
      <c r="V66" s="33">
        <f t="shared" si="39"/>
        <v>838</v>
      </c>
      <c r="W66" s="33">
        <f>IFERROR(VLOOKUP(T66,'Raw Data'!$A$4:$O$1500,15,0),0)</f>
        <v>1</v>
      </c>
      <c r="X66" s="35"/>
      <c r="Y66" s="21"/>
      <c r="Z66" s="21"/>
      <c r="AA66" s="21"/>
      <c r="AB66" s="21"/>
      <c r="AC66" s="21"/>
      <c r="AD66" s="21"/>
      <c r="AE66" s="33" t="str">
        <f t="shared" si="40"/>
        <v/>
      </c>
      <c r="AF66" s="114" t="str">
        <f t="shared" si="24"/>
        <v/>
      </c>
      <c r="AG66" s="108" t="str">
        <f t="shared" si="41"/>
        <v/>
      </c>
      <c r="AH66" s="21" t="str">
        <f t="shared" si="42"/>
        <v/>
      </c>
      <c r="AI66" s="21" t="str">
        <f t="shared" si="43"/>
        <v/>
      </c>
      <c r="AJ66" s="21" t="str">
        <f t="shared" si="44"/>
        <v/>
      </c>
      <c r="AK66" s="21" t="str">
        <f t="shared" si="45"/>
        <v/>
      </c>
      <c r="AL66" s="21"/>
      <c r="AM66" s="21"/>
      <c r="AN66" s="21"/>
      <c r="AS66" s="112" t="str">
        <f t="shared" si="16"/>
        <v/>
      </c>
      <c r="AT66" s="112" t="str">
        <f>IF(AS66="","",COUNTIF($AS$13:AS66,AS66))</f>
        <v/>
      </c>
      <c r="AU66" s="147">
        <f t="shared" si="17"/>
        <v>53</v>
      </c>
      <c r="AV66" s="147">
        <f>COUNTIF($AZ$14:AZ66,AZ66)</f>
        <v>20</v>
      </c>
      <c r="AW66" s="147">
        <f>IFERROR(COUNTIF(AX$14:$BL66,AX66),"")</f>
        <v>8</v>
      </c>
      <c r="AX66" s="148" t="str">
        <f t="shared" si="18"/>
        <v>Wed</v>
      </c>
      <c r="AY66" s="149">
        <f>'Raw Data'!A56</f>
        <v>41661</v>
      </c>
      <c r="AZ66" s="150" t="str">
        <f>'Raw Data'!E56</f>
        <v>No Email Drop</v>
      </c>
      <c r="BA66" s="150">
        <f>'Raw Data'!I56</f>
        <v>1195</v>
      </c>
      <c r="BB66" s="112"/>
      <c r="BC66" s="112"/>
      <c r="BD66" s="112">
        <f>'Raw Data'!O56</f>
        <v>1</v>
      </c>
    </row>
    <row r="67" spans="9:62">
      <c r="I67" s="33">
        <f>IFERROR(VLOOKUP(G67,'Raw Data'!$A$4:$O$1500,15,0),0)</f>
        <v>0</v>
      </c>
      <c r="K67" s="70" t="str">
        <f>IF(M67=0,"",COUNTIF($N$16:N67,$H$13))</f>
        <v/>
      </c>
      <c r="L67" s="30">
        <f t="shared" si="47"/>
        <v>-40</v>
      </c>
      <c r="M67" s="54">
        <f t="shared" si="35"/>
        <v>0</v>
      </c>
      <c r="N67" s="33">
        <f t="shared" si="48"/>
        <v>0</v>
      </c>
      <c r="O67" s="33" t="str">
        <f t="shared" si="46"/>
        <v/>
      </c>
      <c r="P67" s="33">
        <f>IFERROR(VLOOKUP(M67,'Raw Data'!$A$4:$O$1500,15,0),0)</f>
        <v>0</v>
      </c>
      <c r="Q67" s="33"/>
      <c r="R67" s="30">
        <f>COUNTIF($U$16:U67,$AA$14)</f>
        <v>3</v>
      </c>
      <c r="S67" s="30">
        <f t="shared" si="26"/>
        <v>49</v>
      </c>
      <c r="T67" s="54">
        <f t="shared" si="37"/>
        <v>41945</v>
      </c>
      <c r="U67" s="33" t="str">
        <f t="shared" si="38"/>
        <v>Up To 40% Off,FS on $49</v>
      </c>
      <c r="V67" s="33">
        <f t="shared" si="39"/>
        <v>710</v>
      </c>
      <c r="W67" s="33">
        <f>IFERROR(VLOOKUP(T67,'Raw Data'!$A$4:$O$1500,15,0),0)</f>
        <v>2</v>
      </c>
      <c r="X67" s="35"/>
      <c r="Y67" s="21"/>
      <c r="Z67" s="21"/>
      <c r="AA67" s="21"/>
      <c r="AB67" s="21"/>
      <c r="AC67" s="21"/>
      <c r="AD67" s="21"/>
      <c r="AE67" s="33" t="str">
        <f t="shared" si="40"/>
        <v/>
      </c>
      <c r="AF67" s="114" t="str">
        <f t="shared" si="24"/>
        <v/>
      </c>
      <c r="AG67" s="108" t="str">
        <f t="shared" si="41"/>
        <v/>
      </c>
      <c r="AH67" s="21" t="str">
        <f t="shared" si="42"/>
        <v/>
      </c>
      <c r="AI67" s="21" t="str">
        <f t="shared" si="43"/>
        <v/>
      </c>
      <c r="AJ67" s="21" t="str">
        <f t="shared" si="44"/>
        <v/>
      </c>
      <c r="AK67" s="21" t="str">
        <f t="shared" si="45"/>
        <v/>
      </c>
      <c r="AL67" s="21"/>
      <c r="AM67" s="21"/>
      <c r="AN67" s="21"/>
      <c r="AS67" s="112" t="str">
        <f t="shared" si="16"/>
        <v/>
      </c>
      <c r="AT67" s="112" t="str">
        <f>IF(AS67="","",COUNTIF($AS$13:AS67,AS67))</f>
        <v/>
      </c>
      <c r="AU67" s="147">
        <f t="shared" si="17"/>
        <v>54</v>
      </c>
      <c r="AV67" s="147">
        <f>COUNTIF($AZ$14:AZ67,AZ67)</f>
        <v>5</v>
      </c>
      <c r="AW67" s="147">
        <f>IFERROR(COUNTIF(AX$14:$BL67,AX67),"")</f>
        <v>8</v>
      </c>
      <c r="AX67" s="148" t="str">
        <f t="shared" si="18"/>
        <v>Thu</v>
      </c>
      <c r="AY67" s="149">
        <f>'Raw Data'!A57</f>
        <v>41662</v>
      </c>
      <c r="AZ67" s="150" t="str">
        <f>'Raw Data'!E57</f>
        <v>20% Off,FS on $49</v>
      </c>
      <c r="BA67" s="150">
        <f>'Raw Data'!I57</f>
        <v>1212</v>
      </c>
      <c r="BB67" s="112"/>
      <c r="BC67" s="112"/>
      <c r="BD67" s="112">
        <f>'Raw Data'!O57</f>
        <v>1</v>
      </c>
    </row>
    <row r="68" spans="9:62">
      <c r="I68" s="33">
        <f>IFERROR(VLOOKUP(G68,'Raw Data'!$A$4:$O$1500,15,0),0)</f>
        <v>0</v>
      </c>
      <c r="K68" s="70" t="str">
        <f>IF(M68=0,"",COUNTIF($N$16:N68,$H$13))</f>
        <v/>
      </c>
      <c r="L68" s="30">
        <f t="shared" si="47"/>
        <v>-41</v>
      </c>
      <c r="M68" s="54">
        <f t="shared" si="35"/>
        <v>0</v>
      </c>
      <c r="N68" s="33">
        <f t="shared" si="48"/>
        <v>0</v>
      </c>
      <c r="O68" s="33" t="str">
        <f t="shared" si="46"/>
        <v/>
      </c>
      <c r="P68" s="33">
        <f>IFERROR(VLOOKUP(M68,'Raw Data'!$A$4:$O$1500,15,0),0)</f>
        <v>0</v>
      </c>
      <c r="Q68" s="33"/>
      <c r="R68" s="30">
        <f>COUNTIF($U$16:U68,$AA$14)</f>
        <v>3</v>
      </c>
      <c r="S68" s="30">
        <f t="shared" si="26"/>
        <v>48</v>
      </c>
      <c r="T68" s="54">
        <f t="shared" si="37"/>
        <v>41938</v>
      </c>
      <c r="U68" s="33" t="str">
        <f t="shared" si="38"/>
        <v>Free Ship No Min</v>
      </c>
      <c r="V68" s="33">
        <f t="shared" si="39"/>
        <v>764</v>
      </c>
      <c r="W68" s="33">
        <f>IFERROR(VLOOKUP(T68,'Raw Data'!$A$4:$O$1500,15,0),0)</f>
        <v>1</v>
      </c>
      <c r="X68" s="35"/>
      <c r="Y68" s="21"/>
      <c r="Z68" s="21"/>
      <c r="AA68" s="21"/>
      <c r="AB68" s="21"/>
      <c r="AC68" s="21"/>
      <c r="AD68" s="21"/>
      <c r="AE68" s="33" t="str">
        <f t="shared" si="40"/>
        <v/>
      </c>
      <c r="AF68" s="114" t="str">
        <f t="shared" si="24"/>
        <v/>
      </c>
      <c r="AG68" s="108" t="str">
        <f t="shared" si="41"/>
        <v/>
      </c>
      <c r="AH68" s="21" t="str">
        <f t="shared" si="42"/>
        <v/>
      </c>
      <c r="AI68" s="21" t="str">
        <f t="shared" si="43"/>
        <v/>
      </c>
      <c r="AJ68" s="21" t="str">
        <f t="shared" si="44"/>
        <v/>
      </c>
      <c r="AK68" s="21" t="str">
        <f t="shared" si="45"/>
        <v/>
      </c>
      <c r="AL68" s="21"/>
      <c r="AM68" s="21"/>
      <c r="AN68" s="21"/>
      <c r="AS68" s="112" t="str">
        <f t="shared" si="16"/>
        <v/>
      </c>
      <c r="AT68" s="112" t="str">
        <f>IF(AS68="","",COUNTIF($AS$13:AS68,AS68))</f>
        <v/>
      </c>
      <c r="AU68" s="147">
        <f t="shared" si="17"/>
        <v>55</v>
      </c>
      <c r="AV68" s="147">
        <f>COUNTIF($AZ$14:AZ68,AZ68)</f>
        <v>21</v>
      </c>
      <c r="AW68" s="147">
        <f>IFERROR(COUNTIF(AX$14:$BL68,AX68),"")</f>
        <v>8</v>
      </c>
      <c r="AX68" s="148" t="str">
        <f t="shared" si="18"/>
        <v>Fri</v>
      </c>
      <c r="AY68" s="149">
        <f>'Raw Data'!A58</f>
        <v>41663</v>
      </c>
      <c r="AZ68" s="150" t="str">
        <f>'Raw Data'!E58</f>
        <v>No Email Drop</v>
      </c>
      <c r="BA68" s="150">
        <f>'Raw Data'!I58</f>
        <v>1138</v>
      </c>
      <c r="BB68" s="112"/>
      <c r="BC68" s="112"/>
      <c r="BD68" s="112">
        <f>'Raw Data'!O58</f>
        <v>1</v>
      </c>
    </row>
    <row r="69" spans="9:62">
      <c r="I69" s="33">
        <f>IFERROR(VLOOKUP(G69,'Raw Data'!$A$4:$O$1500,15,0),0)</f>
        <v>0</v>
      </c>
      <c r="K69" s="70" t="str">
        <f>IF(M69=0,"",COUNTIF($N$16:N69,$H$13))</f>
        <v/>
      </c>
      <c r="L69" s="30">
        <f t="shared" si="47"/>
        <v>-42</v>
      </c>
      <c r="M69" s="54">
        <f t="shared" si="35"/>
        <v>0</v>
      </c>
      <c r="N69" s="33">
        <f t="shared" si="48"/>
        <v>0</v>
      </c>
      <c r="O69" s="33" t="str">
        <f t="shared" si="46"/>
        <v/>
      </c>
      <c r="P69" s="33">
        <f>IFERROR(VLOOKUP(M69,'Raw Data'!$A$4:$O$1500,15,0),0)</f>
        <v>0</v>
      </c>
      <c r="Q69" s="33"/>
      <c r="R69" s="30">
        <f>COUNTIF($U$16:U69,$AA$14)</f>
        <v>3</v>
      </c>
      <c r="S69" s="30">
        <f t="shared" si="26"/>
        <v>47</v>
      </c>
      <c r="T69" s="54">
        <f t="shared" si="37"/>
        <v>41931</v>
      </c>
      <c r="U69" s="33" t="str">
        <f t="shared" si="38"/>
        <v>$15 Off,FS on $49</v>
      </c>
      <c r="V69" s="33">
        <f t="shared" si="39"/>
        <v>877</v>
      </c>
      <c r="W69" s="33">
        <f>IFERROR(VLOOKUP(T69,'Raw Data'!$A$4:$O$1500,15,0),0)</f>
        <v>2</v>
      </c>
      <c r="X69" s="35"/>
      <c r="Y69" s="21"/>
      <c r="Z69" s="21"/>
      <c r="AA69" s="21"/>
      <c r="AB69" s="21"/>
      <c r="AC69" s="21"/>
      <c r="AD69" s="21"/>
      <c r="AE69" s="33" t="str">
        <f t="shared" si="40"/>
        <v/>
      </c>
      <c r="AF69" s="114" t="str">
        <f t="shared" si="24"/>
        <v/>
      </c>
      <c r="AG69" s="108" t="str">
        <f t="shared" si="41"/>
        <v/>
      </c>
      <c r="AH69" s="21" t="str">
        <f t="shared" si="42"/>
        <v/>
      </c>
      <c r="AI69" s="21" t="str">
        <f t="shared" si="43"/>
        <v/>
      </c>
      <c r="AJ69" s="21" t="str">
        <f t="shared" si="44"/>
        <v/>
      </c>
      <c r="AK69" s="21" t="str">
        <f t="shared" si="45"/>
        <v/>
      </c>
      <c r="AL69" s="21"/>
      <c r="AM69" s="21"/>
      <c r="AN69" s="21"/>
      <c r="AS69" s="112" t="str">
        <f t="shared" si="16"/>
        <v/>
      </c>
      <c r="AT69" s="112" t="str">
        <f>IF(AS69="","",COUNTIF($AS$13:AS69,AS69))</f>
        <v/>
      </c>
      <c r="AU69" s="147">
        <f t="shared" si="17"/>
        <v>56</v>
      </c>
      <c r="AV69" s="147">
        <f>COUNTIF($AZ$14:AZ69,AZ69)</f>
        <v>6</v>
      </c>
      <c r="AW69" s="147">
        <f>IFERROR(COUNTIF(AX$14:$BL69,AX69),"")</f>
        <v>8</v>
      </c>
      <c r="AX69" s="148" t="str">
        <f t="shared" si="18"/>
        <v>Sat</v>
      </c>
      <c r="AY69" s="149">
        <f>'Raw Data'!A59</f>
        <v>41664</v>
      </c>
      <c r="AZ69" s="150" t="str">
        <f>'Raw Data'!E59</f>
        <v>20% Off,FS on $49</v>
      </c>
      <c r="BA69" s="150">
        <f>'Raw Data'!I59</f>
        <v>1055</v>
      </c>
      <c r="BB69" s="112"/>
      <c r="BC69" s="112"/>
      <c r="BD69" s="112">
        <f>'Raw Data'!O59</f>
        <v>1</v>
      </c>
    </row>
    <row r="70" spans="9:62">
      <c r="I70" s="33">
        <f>IFERROR(VLOOKUP(G70,'Raw Data'!$A$4:$O$1500,15,0),0)</f>
        <v>0</v>
      </c>
      <c r="K70" s="70" t="str">
        <f>IF(M70=0,"",COUNTIF($N$16:N70,$H$13))</f>
        <v/>
      </c>
      <c r="L70" s="30">
        <f t="shared" si="47"/>
        <v>-43</v>
      </c>
      <c r="M70" s="54">
        <f t="shared" si="35"/>
        <v>0</v>
      </c>
      <c r="N70" s="33">
        <f t="shared" si="48"/>
        <v>0</v>
      </c>
      <c r="O70" s="33" t="str">
        <f t="shared" si="46"/>
        <v/>
      </c>
      <c r="P70" s="33">
        <f>IFERROR(VLOOKUP(M70,'Raw Data'!$A$4:$O$1500,15,0),0)</f>
        <v>0</v>
      </c>
      <c r="Q70" s="33"/>
      <c r="R70" s="30">
        <f>COUNTIF($U$16:U70,$AA$14)</f>
        <v>3</v>
      </c>
      <c r="S70" s="30">
        <f t="shared" si="26"/>
        <v>46</v>
      </c>
      <c r="T70" s="54">
        <f t="shared" si="37"/>
        <v>41924</v>
      </c>
      <c r="U70" s="33" t="str">
        <f t="shared" si="38"/>
        <v>10% Off,FS on $49</v>
      </c>
      <c r="V70" s="33">
        <f t="shared" si="39"/>
        <v>709</v>
      </c>
      <c r="W70" s="33">
        <f>IFERROR(VLOOKUP(T70,'Raw Data'!$A$4:$O$1500,15,0),0)</f>
        <v>1</v>
      </c>
      <c r="X70" s="35"/>
      <c r="Y70" s="21"/>
      <c r="Z70" s="21"/>
      <c r="AA70" s="21"/>
      <c r="AB70" s="21"/>
      <c r="AC70" s="21"/>
      <c r="AD70" s="21"/>
      <c r="AE70" s="33" t="str">
        <f t="shared" si="40"/>
        <v/>
      </c>
      <c r="AF70" s="114" t="str">
        <f t="shared" si="24"/>
        <v/>
      </c>
      <c r="AG70" s="108" t="str">
        <f t="shared" si="41"/>
        <v/>
      </c>
      <c r="AH70" s="21" t="str">
        <f t="shared" si="42"/>
        <v/>
      </c>
      <c r="AI70" s="21" t="str">
        <f t="shared" si="43"/>
        <v/>
      </c>
      <c r="AJ70" s="21" t="str">
        <f t="shared" si="44"/>
        <v/>
      </c>
      <c r="AK70" s="21" t="str">
        <f t="shared" si="45"/>
        <v/>
      </c>
      <c r="AL70" s="21"/>
      <c r="AM70" s="21"/>
      <c r="AN70" s="21"/>
      <c r="AS70" s="112" t="str">
        <f t="shared" si="16"/>
        <v/>
      </c>
      <c r="AT70" s="112" t="str">
        <f>IF(AS70="","",COUNTIF($AS$13:AS70,AS70))</f>
        <v/>
      </c>
      <c r="AU70" s="147">
        <f t="shared" si="17"/>
        <v>57</v>
      </c>
      <c r="AV70" s="147">
        <f>COUNTIF($AZ$14:AZ70,AZ70)</f>
        <v>1</v>
      </c>
      <c r="AW70" s="147">
        <f>IFERROR(COUNTIF(AX$14:$BL70,AX70),"")</f>
        <v>9</v>
      </c>
      <c r="AX70" s="148" t="str">
        <f t="shared" si="18"/>
        <v>Sun</v>
      </c>
      <c r="AY70" s="149">
        <f>'Raw Data'!A60</f>
        <v>41665</v>
      </c>
      <c r="AZ70" s="150" t="str">
        <f>'Raw Data'!E60</f>
        <v>Reveal Your Deal Promo,$10, $20, $30 Off,FS on $49</v>
      </c>
      <c r="BA70" s="150">
        <f>'Raw Data'!I60</f>
        <v>1016</v>
      </c>
      <c r="BB70" s="112"/>
      <c r="BC70" s="112"/>
      <c r="BD70" s="112">
        <f>'Raw Data'!O60</f>
        <v>2</v>
      </c>
    </row>
    <row r="71" spans="9:62">
      <c r="I71" s="33">
        <f>IFERROR(VLOOKUP(G71,'Raw Data'!$A$4:$O$1500,15,0),0)</f>
        <v>0</v>
      </c>
      <c r="K71" s="70" t="str">
        <f>IF(M71=0,"",COUNTIF($N$16:N71,$H$13))</f>
        <v/>
      </c>
      <c r="L71" s="30">
        <f t="shared" si="47"/>
        <v>-44</v>
      </c>
      <c r="M71" s="54">
        <f t="shared" si="35"/>
        <v>0</v>
      </c>
      <c r="N71" s="33">
        <f t="shared" si="48"/>
        <v>0</v>
      </c>
      <c r="O71" s="33" t="str">
        <f t="shared" si="46"/>
        <v/>
      </c>
      <c r="P71" s="33">
        <f>IFERROR(VLOOKUP(M71,'Raw Data'!$A$4:$O$1500,15,0),0)</f>
        <v>0</v>
      </c>
      <c r="Q71" s="33"/>
      <c r="R71" s="30">
        <f>COUNTIF($U$16:U71,$AA$14)</f>
        <v>3</v>
      </c>
      <c r="S71" s="30">
        <f t="shared" si="26"/>
        <v>45</v>
      </c>
      <c r="T71" s="54">
        <f t="shared" si="37"/>
        <v>41917</v>
      </c>
      <c r="U71" s="33" t="str">
        <f t="shared" si="38"/>
        <v>$5 Off, FS on $50</v>
      </c>
      <c r="V71" s="33">
        <f t="shared" si="39"/>
        <v>721</v>
      </c>
      <c r="W71" s="33">
        <f>IFERROR(VLOOKUP(T71,'Raw Data'!$A$4:$O$1500,15,0),0)</f>
        <v>1</v>
      </c>
      <c r="X71" s="35"/>
      <c r="Y71" s="21"/>
      <c r="Z71" s="21"/>
      <c r="AA71" s="21"/>
      <c r="AB71" s="21"/>
      <c r="AC71" s="21"/>
      <c r="AD71" s="21"/>
      <c r="AE71" s="33" t="str">
        <f t="shared" si="40"/>
        <v/>
      </c>
      <c r="AF71" s="114" t="str">
        <f t="shared" si="24"/>
        <v/>
      </c>
      <c r="AG71" s="108" t="str">
        <f t="shared" si="41"/>
        <v/>
      </c>
      <c r="AH71" s="21" t="str">
        <f t="shared" si="42"/>
        <v/>
      </c>
      <c r="AI71" s="21" t="str">
        <f t="shared" si="43"/>
        <v/>
      </c>
      <c r="AJ71" s="21" t="str">
        <f t="shared" si="44"/>
        <v/>
      </c>
      <c r="AK71" s="21" t="str">
        <f t="shared" si="45"/>
        <v/>
      </c>
      <c r="AL71" s="21"/>
      <c r="AM71" s="21"/>
      <c r="AN71" s="21"/>
      <c r="AS71" s="112" t="str">
        <f t="shared" si="16"/>
        <v/>
      </c>
      <c r="AT71" s="112" t="str">
        <f>IF(AS71="","",COUNTIF($AS$13:AS71,AS71))</f>
        <v/>
      </c>
      <c r="AU71" s="147">
        <f t="shared" si="17"/>
        <v>58</v>
      </c>
      <c r="AV71" s="147">
        <f>COUNTIF($AZ$14:AZ71,AZ71)</f>
        <v>22</v>
      </c>
      <c r="AW71" s="147">
        <f>IFERROR(COUNTIF(AX$14:$BL71,AX71),"")</f>
        <v>9</v>
      </c>
      <c r="AX71" s="148" t="str">
        <f t="shared" si="18"/>
        <v>Mon</v>
      </c>
      <c r="AY71" s="149">
        <f>'Raw Data'!A61</f>
        <v>41666</v>
      </c>
      <c r="AZ71" s="150" t="str">
        <f>'Raw Data'!E61</f>
        <v>No Email Drop</v>
      </c>
      <c r="BA71" s="150">
        <f>'Raw Data'!I61</f>
        <v>1134</v>
      </c>
      <c r="BB71" s="112"/>
      <c r="BC71" s="112"/>
      <c r="BD71" s="112">
        <f>'Raw Data'!O61</f>
        <v>1</v>
      </c>
    </row>
    <row r="72" spans="9:62">
      <c r="I72" s="33">
        <f>IFERROR(VLOOKUP(G72,'Raw Data'!$A$4:$O$1500,15,0),0)</f>
        <v>0</v>
      </c>
      <c r="K72" s="70" t="str">
        <f>IF(M72=0,"",COUNTIF($N$16:N72,$H$13))</f>
        <v/>
      </c>
      <c r="L72" s="30">
        <f t="shared" si="47"/>
        <v>-45</v>
      </c>
      <c r="M72" s="54">
        <f t="shared" si="35"/>
        <v>0</v>
      </c>
      <c r="N72" s="33">
        <f t="shared" si="48"/>
        <v>0</v>
      </c>
      <c r="O72" s="33" t="str">
        <f t="shared" si="46"/>
        <v/>
      </c>
      <c r="P72" s="33">
        <f>IFERROR(VLOOKUP(M72,'Raw Data'!$A$4:$O$1500,15,0),0)</f>
        <v>0</v>
      </c>
      <c r="Q72" s="33"/>
      <c r="R72" s="30">
        <f>COUNTIF($U$16:U72,$AA$14)</f>
        <v>3</v>
      </c>
      <c r="S72" s="30">
        <f t="shared" si="26"/>
        <v>44</v>
      </c>
      <c r="T72" s="54">
        <f t="shared" si="37"/>
        <v>41910</v>
      </c>
      <c r="U72" s="33" t="str">
        <f t="shared" si="38"/>
        <v>Up To 50% Off,FS on $49</v>
      </c>
      <c r="V72" s="33">
        <f t="shared" si="39"/>
        <v>738</v>
      </c>
      <c r="W72" s="33">
        <f>IFERROR(VLOOKUP(T72,'Raw Data'!$A$4:$O$1500,15,0),0)</f>
        <v>2</v>
      </c>
      <c r="X72" s="35"/>
      <c r="Y72" s="21"/>
      <c r="Z72" s="21"/>
      <c r="AA72" s="21"/>
      <c r="AB72" s="21"/>
      <c r="AC72" s="21"/>
      <c r="AD72" s="21"/>
      <c r="AE72" s="33" t="str">
        <f t="shared" si="40"/>
        <v/>
      </c>
      <c r="AF72" s="114" t="str">
        <f t="shared" si="24"/>
        <v/>
      </c>
      <c r="AG72" s="108" t="str">
        <f t="shared" si="41"/>
        <v/>
      </c>
      <c r="AH72" s="21" t="str">
        <f t="shared" si="42"/>
        <v/>
      </c>
      <c r="AI72" s="21" t="str">
        <f t="shared" si="43"/>
        <v/>
      </c>
      <c r="AJ72" s="21" t="str">
        <f t="shared" si="44"/>
        <v/>
      </c>
      <c r="AK72" s="21" t="str">
        <f t="shared" si="45"/>
        <v/>
      </c>
      <c r="AL72" s="21"/>
      <c r="AM72" s="21"/>
      <c r="AN72" s="21"/>
      <c r="AS72" s="112">
        <f t="shared" si="16"/>
        <v>1</v>
      </c>
      <c r="AT72" s="112">
        <f>IF(AS72="","",COUNTIF($AS$13:AS72,AS72))</f>
        <v>1</v>
      </c>
      <c r="AU72" s="147">
        <f t="shared" si="17"/>
        <v>59</v>
      </c>
      <c r="AV72" s="147">
        <f>COUNTIF($AZ$14:AZ72,AZ72)</f>
        <v>1</v>
      </c>
      <c r="AW72" s="147">
        <f>IFERROR(COUNTIF(AX$14:$BL72,AX72),"")</f>
        <v>9</v>
      </c>
      <c r="AX72" s="148" t="str">
        <f t="shared" si="18"/>
        <v>Tue</v>
      </c>
      <c r="AY72" s="149">
        <f>'Raw Data'!A62</f>
        <v>41667</v>
      </c>
      <c r="AZ72" s="150" t="str">
        <f>'Raw Data'!E62</f>
        <v>Flash Sale,30% Off,FS on $49</v>
      </c>
      <c r="BA72" s="150">
        <f>'Raw Data'!I62</f>
        <v>1946</v>
      </c>
      <c r="BB72" s="112"/>
      <c r="BC72" s="112"/>
      <c r="BD72" s="112">
        <f>'Raw Data'!O62</f>
        <v>2</v>
      </c>
    </row>
    <row r="73" spans="9:62">
      <c r="I73" s="33">
        <f>IFERROR(VLOOKUP(G73,'Raw Data'!$A$4:$O$1500,15,0),0)</f>
        <v>0</v>
      </c>
      <c r="K73" s="70" t="str">
        <f>IF(M73=0,"",COUNTIF($N$16:N73,$H$13))</f>
        <v/>
      </c>
      <c r="L73" s="30">
        <f t="shared" si="47"/>
        <v>-46</v>
      </c>
      <c r="M73" s="54">
        <f t="shared" si="35"/>
        <v>0</v>
      </c>
      <c r="N73" s="33">
        <f t="shared" si="48"/>
        <v>0</v>
      </c>
      <c r="O73" s="33" t="str">
        <f t="shared" si="46"/>
        <v/>
      </c>
      <c r="P73" s="33">
        <f>IFERROR(VLOOKUP(M73,'Raw Data'!$A$4:$O$1500,15,0),0)</f>
        <v>0</v>
      </c>
      <c r="Q73" s="33"/>
      <c r="R73" s="30">
        <f>COUNTIF($U$16:U73,$AA$14)</f>
        <v>3</v>
      </c>
      <c r="S73" s="30">
        <f t="shared" si="26"/>
        <v>43</v>
      </c>
      <c r="T73" s="54">
        <f t="shared" si="37"/>
        <v>41903</v>
      </c>
      <c r="U73" s="33" t="str">
        <f t="shared" si="38"/>
        <v>Up To 50% Off,FS on $49</v>
      </c>
      <c r="V73" s="33">
        <f t="shared" si="39"/>
        <v>796</v>
      </c>
      <c r="W73" s="33">
        <f>IFERROR(VLOOKUP(T73,'Raw Data'!$A$4:$O$1500,15,0),0)</f>
        <v>1</v>
      </c>
      <c r="X73" s="35"/>
      <c r="Y73" s="21"/>
      <c r="Z73" s="21"/>
      <c r="AA73" s="21"/>
      <c r="AB73" s="21"/>
      <c r="AC73" s="21"/>
      <c r="AD73" s="21"/>
      <c r="AE73" s="33" t="str">
        <f t="shared" si="40"/>
        <v/>
      </c>
      <c r="AF73" s="114" t="str">
        <f t="shared" si="24"/>
        <v/>
      </c>
      <c r="AG73" s="108" t="str">
        <f t="shared" si="41"/>
        <v/>
      </c>
      <c r="AH73" s="21" t="str">
        <f t="shared" si="42"/>
        <v/>
      </c>
      <c r="AI73" s="21" t="str">
        <f t="shared" si="43"/>
        <v/>
      </c>
      <c r="AJ73" s="21" t="str">
        <f t="shared" si="44"/>
        <v/>
      </c>
      <c r="AK73" s="21" t="str">
        <f t="shared" si="45"/>
        <v/>
      </c>
      <c r="AL73" s="21"/>
      <c r="AM73" s="21"/>
      <c r="AN73" s="21"/>
      <c r="AS73" s="112">
        <f t="shared" si="16"/>
        <v>1</v>
      </c>
      <c r="AT73" s="112">
        <f>IF(AS73="","",COUNTIF($AS$13:AS73,AS73))</f>
        <v>2</v>
      </c>
      <c r="AU73" s="147">
        <f t="shared" si="17"/>
        <v>60</v>
      </c>
      <c r="AV73" s="147">
        <f>COUNTIF($AZ$14:AZ73,AZ73)</f>
        <v>2</v>
      </c>
      <c r="AW73" s="147">
        <f>IFERROR(COUNTIF(AX$14:$BL73,AX73),"")</f>
        <v>9</v>
      </c>
      <c r="AX73" s="148" t="str">
        <f t="shared" si="18"/>
        <v>Wed</v>
      </c>
      <c r="AY73" s="149">
        <f>'Raw Data'!A63</f>
        <v>41668</v>
      </c>
      <c r="AZ73" s="150" t="str">
        <f>'Raw Data'!E63</f>
        <v>Flash Sale,30% Off,FS on $49</v>
      </c>
      <c r="BA73" s="150">
        <f>'Raw Data'!I63</f>
        <v>1641</v>
      </c>
      <c r="BB73" s="112"/>
      <c r="BC73" s="112"/>
      <c r="BD73" s="112">
        <f>'Raw Data'!O63</f>
        <v>1</v>
      </c>
    </row>
    <row r="74" spans="9:62">
      <c r="I74" s="33">
        <f>IFERROR(VLOOKUP(G74,'Raw Data'!$A$4:$O$1500,15,0),0)</f>
        <v>0</v>
      </c>
      <c r="K74" s="70" t="str">
        <f>IF(M74=0,"",COUNTIF($N$16:N74,$H$13))</f>
        <v/>
      </c>
      <c r="L74" s="30">
        <f t="shared" si="47"/>
        <v>-47</v>
      </c>
      <c r="M74" s="54">
        <f t="shared" si="35"/>
        <v>0</v>
      </c>
      <c r="N74" s="33">
        <f t="shared" si="48"/>
        <v>0</v>
      </c>
      <c r="O74" s="33" t="str">
        <f t="shared" si="46"/>
        <v/>
      </c>
      <c r="P74" s="33">
        <f>IFERROR(VLOOKUP(M74,'Raw Data'!$A$4:$O$1500,15,0),0)</f>
        <v>0</v>
      </c>
      <c r="Q74" s="33"/>
      <c r="R74" s="30">
        <f>COUNTIF($U$16:U74,$AA$14)</f>
        <v>3</v>
      </c>
      <c r="S74" s="30">
        <f t="shared" si="26"/>
        <v>42</v>
      </c>
      <c r="T74" s="54">
        <f t="shared" si="37"/>
        <v>41896</v>
      </c>
      <c r="U74" s="33" t="str">
        <f t="shared" si="38"/>
        <v>Bonus Week</v>
      </c>
      <c r="V74" s="33">
        <f t="shared" si="39"/>
        <v>726</v>
      </c>
      <c r="W74" s="33">
        <f>IFERROR(VLOOKUP(T74,'Raw Data'!$A$4:$O$1500,15,0),0)</f>
        <v>1</v>
      </c>
      <c r="X74" s="35"/>
      <c r="Y74" s="21"/>
      <c r="Z74" s="21"/>
      <c r="AA74" s="21"/>
      <c r="AB74" s="21"/>
      <c r="AC74" s="21"/>
      <c r="AD74" s="21"/>
      <c r="AE74" s="33" t="str">
        <f t="shared" si="40"/>
        <v/>
      </c>
      <c r="AF74" s="114" t="str">
        <f t="shared" si="24"/>
        <v/>
      </c>
      <c r="AG74" s="108" t="str">
        <f t="shared" si="41"/>
        <v/>
      </c>
      <c r="AH74" s="21" t="str">
        <f t="shared" si="42"/>
        <v/>
      </c>
      <c r="AI74" s="21" t="str">
        <f t="shared" si="43"/>
        <v/>
      </c>
      <c r="AJ74" s="21" t="str">
        <f t="shared" si="44"/>
        <v/>
      </c>
      <c r="AK74" s="21" t="str">
        <f t="shared" si="45"/>
        <v/>
      </c>
      <c r="AL74" s="21"/>
      <c r="AM74" s="21"/>
      <c r="AN74" s="21"/>
      <c r="AS74" s="112" t="str">
        <f t="shared" si="16"/>
        <v/>
      </c>
      <c r="AT74" s="112" t="str">
        <f>IF(AS74="","",COUNTIF($AS$13:AS74,AS74))</f>
        <v/>
      </c>
      <c r="AU74" s="147">
        <f t="shared" si="17"/>
        <v>61</v>
      </c>
      <c r="AV74" s="147">
        <f>COUNTIF($AZ$14:AZ74,AZ74)</f>
        <v>23</v>
      </c>
      <c r="AW74" s="147">
        <f>IFERROR(COUNTIF(AX$14:$BL74,AX74),"")</f>
        <v>9</v>
      </c>
      <c r="AX74" s="148" t="str">
        <f t="shared" si="18"/>
        <v>Thu</v>
      </c>
      <c r="AY74" s="149">
        <f>'Raw Data'!A64</f>
        <v>41669</v>
      </c>
      <c r="AZ74" s="150" t="str">
        <f>'Raw Data'!E64</f>
        <v>No Email Drop</v>
      </c>
      <c r="BA74" s="150">
        <f>'Raw Data'!I64</f>
        <v>1049</v>
      </c>
      <c r="BB74" s="112"/>
      <c r="BC74" s="112"/>
      <c r="BD74" s="112">
        <f>'Raw Data'!O64</f>
        <v>1</v>
      </c>
    </row>
    <row r="75" spans="9:62">
      <c r="I75" s="33">
        <f>IFERROR(VLOOKUP(G75,'Raw Data'!$A$4:$O$1500,15,0),0)</f>
        <v>0</v>
      </c>
      <c r="K75" s="70" t="str">
        <f>IF(M75=0,"",COUNTIF($N$16:N75,$H$13))</f>
        <v/>
      </c>
      <c r="L75" s="30">
        <f t="shared" si="47"/>
        <v>-48</v>
      </c>
      <c r="M75" s="54">
        <f t="shared" si="35"/>
        <v>0</v>
      </c>
      <c r="N75" s="33">
        <f t="shared" si="48"/>
        <v>0</v>
      </c>
      <c r="O75" s="33" t="str">
        <f t="shared" si="46"/>
        <v/>
      </c>
      <c r="P75" s="33">
        <f>IFERROR(VLOOKUP(M75,'Raw Data'!$A$4:$O$1500,15,0),0)</f>
        <v>0</v>
      </c>
      <c r="Q75" s="33"/>
      <c r="R75" s="30">
        <f>COUNTIF($U$16:U75,$AA$14)</f>
        <v>3</v>
      </c>
      <c r="S75" s="30">
        <f t="shared" si="26"/>
        <v>41</v>
      </c>
      <c r="T75" s="54">
        <f t="shared" si="37"/>
        <v>41889</v>
      </c>
      <c r="U75" s="33" t="str">
        <f t="shared" si="38"/>
        <v>Up To 40% Off,FS on $49</v>
      </c>
      <c r="V75" s="33">
        <f t="shared" si="39"/>
        <v>727</v>
      </c>
      <c r="W75" s="33">
        <f>IFERROR(VLOOKUP(T75,'Raw Data'!$A$4:$O$1500,15,0),0)</f>
        <v>1</v>
      </c>
      <c r="X75" s="35"/>
      <c r="Y75" s="21"/>
      <c r="Z75" s="21"/>
      <c r="AA75" s="21"/>
      <c r="AB75" s="21"/>
      <c r="AC75" s="21"/>
      <c r="AD75" s="21"/>
      <c r="AE75" s="33" t="str">
        <f t="shared" si="40"/>
        <v/>
      </c>
      <c r="AF75" s="114" t="str">
        <f t="shared" si="24"/>
        <v/>
      </c>
      <c r="AG75" s="108" t="str">
        <f t="shared" si="41"/>
        <v/>
      </c>
      <c r="AH75" s="21" t="str">
        <f t="shared" si="42"/>
        <v/>
      </c>
      <c r="AI75" s="21" t="str">
        <f t="shared" si="43"/>
        <v/>
      </c>
      <c r="AJ75" s="21" t="str">
        <f t="shared" si="44"/>
        <v/>
      </c>
      <c r="AK75" s="21" t="str">
        <f t="shared" si="45"/>
        <v/>
      </c>
      <c r="AL75" s="21"/>
      <c r="AM75" s="21"/>
      <c r="AN75" s="21"/>
      <c r="AS75" s="112" t="str">
        <f t="shared" si="16"/>
        <v/>
      </c>
      <c r="AT75" s="112" t="str">
        <f>IF(AS75="","",COUNTIF($AS$13:AS75,AS75))</f>
        <v/>
      </c>
      <c r="AU75" s="147">
        <f t="shared" si="17"/>
        <v>62</v>
      </c>
      <c r="AV75" s="147">
        <f>COUNTIF($AZ$14:AZ75,AZ75)</f>
        <v>2</v>
      </c>
      <c r="AW75" s="147">
        <f>IFERROR(COUNTIF(AX$14:$BL75,AX75),"")</f>
        <v>9</v>
      </c>
      <c r="AX75" s="148" t="str">
        <f t="shared" si="18"/>
        <v>Fri</v>
      </c>
      <c r="AY75" s="149">
        <f>'Raw Data'!A65</f>
        <v>41670</v>
      </c>
      <c r="AZ75" s="150" t="str">
        <f>'Raw Data'!E65</f>
        <v>Free Ship No Min</v>
      </c>
      <c r="BA75" s="150">
        <f>'Raw Data'!I65</f>
        <v>1395</v>
      </c>
      <c r="BB75" s="112"/>
      <c r="BC75" s="112"/>
      <c r="BD75" s="112">
        <f>'Raw Data'!O65</f>
        <v>1</v>
      </c>
    </row>
    <row r="76" spans="9:62">
      <c r="I76" s="33">
        <f>IFERROR(VLOOKUP(G76,'Raw Data'!$A$4:$O$1500,15,0),0)</f>
        <v>0</v>
      </c>
      <c r="K76" s="70" t="str">
        <f>IF(M76=0,"",COUNTIF($N$16:N76,$H$13))</f>
        <v/>
      </c>
      <c r="L76" s="30">
        <f t="shared" si="47"/>
        <v>-49</v>
      </c>
      <c r="M76" s="54">
        <f t="shared" si="35"/>
        <v>0</v>
      </c>
      <c r="N76" s="33">
        <f t="shared" si="48"/>
        <v>0</v>
      </c>
      <c r="O76" s="33" t="str">
        <f t="shared" si="46"/>
        <v/>
      </c>
      <c r="P76" s="33">
        <f>IFERROR(VLOOKUP(M76,'Raw Data'!$A$4:$O$1500,15,0),0)</f>
        <v>0</v>
      </c>
      <c r="Q76" s="33"/>
      <c r="R76" s="30">
        <f>COUNTIF($U$16:U76,$AA$14)</f>
        <v>3</v>
      </c>
      <c r="S76" s="30">
        <f t="shared" si="26"/>
        <v>40</v>
      </c>
      <c r="T76" s="54">
        <f t="shared" si="37"/>
        <v>41882</v>
      </c>
      <c r="U76" s="33" t="str">
        <f t="shared" si="38"/>
        <v>15% Off,FS on $49</v>
      </c>
      <c r="V76" s="33">
        <f t="shared" si="39"/>
        <v>694</v>
      </c>
      <c r="W76" s="33">
        <f>IFERROR(VLOOKUP(T76,'Raw Data'!$A$4:$O$1500,15,0),0)</f>
        <v>1</v>
      </c>
      <c r="X76" s="35"/>
      <c r="Y76" s="21"/>
      <c r="Z76" s="21"/>
      <c r="AA76" s="21"/>
      <c r="AB76" s="21"/>
      <c r="AC76" s="21"/>
      <c r="AD76" s="21"/>
      <c r="AE76" s="33" t="str">
        <f t="shared" si="40"/>
        <v/>
      </c>
      <c r="AF76" s="114" t="str">
        <f t="shared" si="24"/>
        <v/>
      </c>
      <c r="AG76" s="108" t="str">
        <f t="shared" si="41"/>
        <v/>
      </c>
      <c r="AH76" s="21" t="str">
        <f t="shared" si="42"/>
        <v/>
      </c>
      <c r="AI76" s="21" t="str">
        <f t="shared" si="43"/>
        <v/>
      </c>
      <c r="AJ76" s="21" t="str">
        <f t="shared" si="44"/>
        <v/>
      </c>
      <c r="AK76" s="21" t="str">
        <f t="shared" si="45"/>
        <v/>
      </c>
      <c r="AL76" s="21"/>
      <c r="AM76" s="21"/>
      <c r="AN76" s="21"/>
      <c r="AS76" s="112" t="str">
        <f t="shared" si="16"/>
        <v/>
      </c>
      <c r="AT76" s="112" t="str">
        <f>IF(AS76="","",COUNTIF($AS$13:AS76,AS76))</f>
        <v/>
      </c>
      <c r="AU76" s="147">
        <f t="shared" si="17"/>
        <v>63</v>
      </c>
      <c r="AV76" s="147">
        <f>COUNTIF($AZ$14:AZ76,AZ76)</f>
        <v>24</v>
      </c>
      <c r="AW76" s="147">
        <f>IFERROR(COUNTIF(AX$14:$BL76,AX76),"")</f>
        <v>9</v>
      </c>
      <c r="AX76" s="148" t="str">
        <f t="shared" si="18"/>
        <v>Sat</v>
      </c>
      <c r="AY76" s="149">
        <f>'Raw Data'!A66</f>
        <v>41671</v>
      </c>
      <c r="AZ76" s="150" t="str">
        <f>'Raw Data'!E66</f>
        <v>No Email Drop</v>
      </c>
      <c r="BA76" s="150">
        <f>'Raw Data'!I66</f>
        <v>944</v>
      </c>
      <c r="BB76" s="112"/>
      <c r="BC76" s="112"/>
      <c r="BD76" s="112">
        <f>'Raw Data'!O66</f>
        <v>0</v>
      </c>
    </row>
    <row r="77" spans="9:62">
      <c r="I77" s="33">
        <f>IFERROR(VLOOKUP(G77,'Raw Data'!$A$4:$O$1500,15,0),0)</f>
        <v>0</v>
      </c>
      <c r="K77" s="70" t="str">
        <f>IF(M77=0,"",COUNTIF($N$16:N77,$H$13))</f>
        <v/>
      </c>
      <c r="L77" s="30">
        <f t="shared" si="47"/>
        <v>-50</v>
      </c>
      <c r="M77" s="54">
        <f t="shared" si="35"/>
        <v>0</v>
      </c>
      <c r="N77" s="33">
        <f t="shared" si="48"/>
        <v>0</v>
      </c>
      <c r="O77" s="33" t="str">
        <f t="shared" si="46"/>
        <v/>
      </c>
      <c r="P77" s="33">
        <f>IFERROR(VLOOKUP(M77,'Raw Data'!$A$4:$O$1500,15,0),0)</f>
        <v>0</v>
      </c>
      <c r="Q77" s="33"/>
      <c r="R77" s="30">
        <f>COUNTIF($U$16:U77,$AA$14)</f>
        <v>3</v>
      </c>
      <c r="S77" s="30">
        <f t="shared" si="26"/>
        <v>39</v>
      </c>
      <c r="T77" s="54">
        <f t="shared" si="37"/>
        <v>41875</v>
      </c>
      <c r="U77" s="33" t="str">
        <f t="shared" si="38"/>
        <v>$5 Off,FS on $35</v>
      </c>
      <c r="V77" s="33">
        <f t="shared" si="39"/>
        <v>919</v>
      </c>
      <c r="W77" s="33">
        <f>IFERROR(VLOOKUP(T77,'Raw Data'!$A$4:$O$1500,15,0),0)</f>
        <v>2</v>
      </c>
      <c r="X77" s="35"/>
      <c r="Y77" s="21"/>
      <c r="Z77" s="21"/>
      <c r="AA77" s="21"/>
      <c r="AB77" s="21"/>
      <c r="AC77" s="21"/>
      <c r="AD77" s="21"/>
      <c r="AE77" s="33" t="str">
        <f t="shared" si="40"/>
        <v/>
      </c>
      <c r="AF77" s="114" t="str">
        <f t="shared" si="24"/>
        <v/>
      </c>
      <c r="AG77" s="108" t="str">
        <f t="shared" si="41"/>
        <v/>
      </c>
      <c r="AH77" s="21" t="str">
        <f t="shared" si="42"/>
        <v/>
      </c>
      <c r="AI77" s="21" t="str">
        <f t="shared" si="43"/>
        <v/>
      </c>
      <c r="AJ77" s="21" t="str">
        <f t="shared" si="44"/>
        <v/>
      </c>
      <c r="AK77" s="21" t="str">
        <f t="shared" si="45"/>
        <v/>
      </c>
      <c r="AL77" s="21"/>
      <c r="AM77" s="21"/>
      <c r="AN77" s="21"/>
      <c r="AS77" s="112" t="str">
        <f t="shared" si="16"/>
        <v/>
      </c>
      <c r="AT77" s="112" t="str">
        <f>IF(AS77="","",COUNTIF($AS$13:AS77,AS77))</f>
        <v/>
      </c>
      <c r="AU77" s="147">
        <f t="shared" si="17"/>
        <v>64</v>
      </c>
      <c r="AV77" s="147">
        <f>COUNTIF($AZ$14:AZ77,AZ77)</f>
        <v>1</v>
      </c>
      <c r="AW77" s="147">
        <f>IFERROR(COUNTIF(AX$14:$BL77,AX77),"")</f>
        <v>10</v>
      </c>
      <c r="AX77" s="148" t="str">
        <f t="shared" si="18"/>
        <v>Sun</v>
      </c>
      <c r="AY77" s="149">
        <f>'Raw Data'!A67</f>
        <v>41672</v>
      </c>
      <c r="AZ77" s="150" t="str">
        <f>'Raw Data'!E67</f>
        <v>Groundhog Day,20% Off,FS on $49</v>
      </c>
      <c r="BA77" s="150">
        <f>'Raw Data'!I67</f>
        <v>842</v>
      </c>
      <c r="BB77" s="112"/>
      <c r="BC77" s="112"/>
      <c r="BD77" s="112">
        <f>'Raw Data'!O67</f>
        <v>1</v>
      </c>
    </row>
    <row r="78" spans="9:62">
      <c r="I78" s="33">
        <f>IFERROR(VLOOKUP(G78,'Raw Data'!$A$4:$O$1500,15,0),0)</f>
        <v>0</v>
      </c>
      <c r="K78" s="70" t="str">
        <f>IF(M78=0,"",COUNTIF($N$16:N78,$H$13))</f>
        <v/>
      </c>
      <c r="L78" s="30">
        <f t="shared" si="47"/>
        <v>-51</v>
      </c>
      <c r="M78" s="54">
        <f t="shared" si="35"/>
        <v>0</v>
      </c>
      <c r="N78" s="33">
        <f t="shared" si="48"/>
        <v>0</v>
      </c>
      <c r="O78" s="33" t="str">
        <f t="shared" si="46"/>
        <v/>
      </c>
      <c r="P78" s="33">
        <f>IFERROR(VLOOKUP(M78,'Raw Data'!$A$4:$O$1500,15,0),0)</f>
        <v>0</v>
      </c>
      <c r="Q78" s="33"/>
      <c r="R78" s="30">
        <f>COUNTIF($U$16:U78,$AA$14)</f>
        <v>3</v>
      </c>
      <c r="S78" s="30">
        <f t="shared" si="26"/>
        <v>38</v>
      </c>
      <c r="T78" s="54">
        <f t="shared" si="37"/>
        <v>41868</v>
      </c>
      <c r="U78" s="33" t="str">
        <f t="shared" si="38"/>
        <v>30-50% Off,FS on $49</v>
      </c>
      <c r="V78" s="33">
        <f t="shared" si="39"/>
        <v>783</v>
      </c>
      <c r="W78" s="33">
        <f>IFERROR(VLOOKUP(T78,'Raw Data'!$A$4:$O$1500,15,0),0)</f>
        <v>1</v>
      </c>
      <c r="X78" s="35"/>
      <c r="Y78" s="21"/>
      <c r="Z78" s="21"/>
      <c r="AA78" s="21"/>
      <c r="AB78" s="21"/>
      <c r="AC78" s="21"/>
      <c r="AD78" s="21"/>
      <c r="AE78" s="33" t="str">
        <f t="shared" si="40"/>
        <v/>
      </c>
      <c r="AF78" s="114" t="str">
        <f t="shared" si="24"/>
        <v/>
      </c>
      <c r="AG78" s="108" t="str">
        <f t="shared" si="41"/>
        <v/>
      </c>
      <c r="AH78" s="21" t="str">
        <f t="shared" si="42"/>
        <v/>
      </c>
      <c r="AI78" s="21" t="str">
        <f t="shared" si="43"/>
        <v/>
      </c>
      <c r="AJ78" s="21" t="str">
        <f t="shared" si="44"/>
        <v/>
      </c>
      <c r="AK78" s="21" t="str">
        <f t="shared" si="45"/>
        <v/>
      </c>
      <c r="AL78" s="21"/>
      <c r="AM78" s="21"/>
      <c r="AN78" s="21"/>
      <c r="AS78" s="112" t="str">
        <f t="shared" si="16"/>
        <v/>
      </c>
      <c r="AT78" s="112" t="str">
        <f>IF(AS78="","",COUNTIF($AS$13:AS78,AS78))</f>
        <v/>
      </c>
      <c r="AU78" s="147">
        <f t="shared" si="17"/>
        <v>65</v>
      </c>
      <c r="AV78" s="147">
        <f>COUNTIF($AZ$14:AZ78,AZ78)</f>
        <v>7</v>
      </c>
      <c r="AW78" s="147">
        <f>IFERROR(COUNTIF(AX$14:$BL78,AX78),"")</f>
        <v>10</v>
      </c>
      <c r="AX78" s="148" t="str">
        <f t="shared" si="18"/>
        <v>Mon</v>
      </c>
      <c r="AY78" s="149">
        <f>'Raw Data'!A68</f>
        <v>41673</v>
      </c>
      <c r="AZ78" s="150" t="str">
        <f>'Raw Data'!E68</f>
        <v>20% Off,FS on $49</v>
      </c>
      <c r="BA78" s="150">
        <f>'Raw Data'!I68</f>
        <v>1461</v>
      </c>
      <c r="BB78" s="112"/>
      <c r="BC78" s="112"/>
      <c r="BD78" s="112">
        <f>'Raw Data'!O68</f>
        <v>1</v>
      </c>
    </row>
    <row r="79" spans="9:62">
      <c r="I79" s="33">
        <f>IFERROR(VLOOKUP(G79,'Raw Data'!$A$4:$O$1500,15,0),0)</f>
        <v>0</v>
      </c>
      <c r="K79" s="70" t="str">
        <f>IF(M79=0,"",COUNTIF($N$16:N79,$H$13))</f>
        <v/>
      </c>
      <c r="L79" s="30">
        <f t="shared" si="47"/>
        <v>-52</v>
      </c>
      <c r="M79" s="54">
        <f t="shared" si="35"/>
        <v>0</v>
      </c>
      <c r="N79" s="33">
        <f t="shared" si="48"/>
        <v>0</v>
      </c>
      <c r="O79" s="33" t="str">
        <f t="shared" si="46"/>
        <v/>
      </c>
      <c r="P79" s="33">
        <f>IFERROR(VLOOKUP(M79,'Raw Data'!$A$4:$O$1500,15,0),0)</f>
        <v>0</v>
      </c>
      <c r="Q79" s="33"/>
      <c r="R79" s="30">
        <f>COUNTIF($U$16:U79,$AA$14)</f>
        <v>3</v>
      </c>
      <c r="S79" s="30">
        <f t="shared" si="26"/>
        <v>37</v>
      </c>
      <c r="T79" s="54">
        <f t="shared" si="37"/>
        <v>41861</v>
      </c>
      <c r="U79" s="33" t="str">
        <f t="shared" si="38"/>
        <v>7 DOD, 50% Dog</v>
      </c>
      <c r="V79" s="33">
        <f t="shared" si="39"/>
        <v>705</v>
      </c>
      <c r="W79" s="33">
        <f>IFERROR(VLOOKUP(T79,'Raw Data'!$A$4:$O$1500,15,0),0)</f>
        <v>1</v>
      </c>
      <c r="X79" s="35"/>
      <c r="Y79" s="21"/>
      <c r="Z79" s="21"/>
      <c r="AA79" s="21"/>
      <c r="AB79" s="21"/>
      <c r="AC79" s="21"/>
      <c r="AD79" s="21"/>
      <c r="AE79" s="33" t="str">
        <f t="shared" si="40"/>
        <v/>
      </c>
      <c r="AF79" s="114" t="str">
        <f t="shared" si="24"/>
        <v/>
      </c>
      <c r="AG79" s="108" t="str">
        <f t="shared" si="41"/>
        <v/>
      </c>
      <c r="AH79" s="21" t="str">
        <f t="shared" si="42"/>
        <v/>
      </c>
      <c r="AI79" s="21" t="str">
        <f t="shared" si="43"/>
        <v/>
      </c>
      <c r="AJ79" s="21" t="str">
        <f t="shared" si="44"/>
        <v/>
      </c>
      <c r="AK79" s="21" t="str">
        <f t="shared" si="45"/>
        <v/>
      </c>
      <c r="AL79" s="21"/>
      <c r="AM79" s="21"/>
      <c r="AN79" s="21"/>
      <c r="AS79" s="112" t="str">
        <f t="shared" si="16"/>
        <v/>
      </c>
      <c r="AT79" s="112" t="str">
        <f>IF(AS79="","",COUNTIF($AS$13:AS79,AS79))</f>
        <v/>
      </c>
      <c r="AU79" s="147">
        <f t="shared" si="17"/>
        <v>66</v>
      </c>
      <c r="AV79" s="147">
        <f>COUNTIF($AZ$14:AZ79,AZ79)</f>
        <v>25</v>
      </c>
      <c r="AW79" s="147">
        <f>IFERROR(COUNTIF(AX$14:$BL79,AX79),"")</f>
        <v>10</v>
      </c>
      <c r="AX79" s="148" t="str">
        <f t="shared" si="18"/>
        <v>Tue</v>
      </c>
      <c r="AY79" s="149">
        <f>'Raw Data'!A69</f>
        <v>41674</v>
      </c>
      <c r="AZ79" s="150" t="str">
        <f>'Raw Data'!E69</f>
        <v>No Email Drop</v>
      </c>
      <c r="BA79" s="150">
        <f>'Raw Data'!I69</f>
        <v>1341</v>
      </c>
      <c r="BB79" s="112"/>
      <c r="BC79" s="112"/>
      <c r="BD79" s="112">
        <f>'Raw Data'!O69</f>
        <v>0</v>
      </c>
    </row>
    <row r="80" spans="9:62">
      <c r="I80" s="33">
        <f>IFERROR(VLOOKUP(G80,'Raw Data'!$A$4:$O$1500,15,0),0)</f>
        <v>0</v>
      </c>
      <c r="K80" s="70" t="str">
        <f>IF(M80=0,"",COUNTIF($N$16:N80,$H$13))</f>
        <v/>
      </c>
      <c r="L80" s="30">
        <f t="shared" si="47"/>
        <v>-53</v>
      </c>
      <c r="M80" s="54">
        <f t="shared" ref="M80:M110" si="49">IFERROR(SUMPRODUCT(($AV$14:$AV$1000=L80)*($AZ$14:$AZ$1000=$N$14)*$AY$14:$AY$1000),"")</f>
        <v>0</v>
      </c>
      <c r="N80" s="33">
        <f t="shared" si="48"/>
        <v>0</v>
      </c>
      <c r="O80" s="33" t="str">
        <f t="shared" si="46"/>
        <v/>
      </c>
      <c r="P80" s="33">
        <f>IFERROR(VLOOKUP(M80,'Raw Data'!$A$4:$O$1500,15,0),0)</f>
        <v>0</v>
      </c>
      <c r="Q80" s="33"/>
      <c r="R80" s="30">
        <f>COUNTIF($U$16:U80,$AA$14)</f>
        <v>3</v>
      </c>
      <c r="S80" s="30">
        <f t="shared" si="26"/>
        <v>36</v>
      </c>
      <c r="T80" s="54">
        <f t="shared" ref="T80:T111" si="50">IFERROR(SUMPRODUCT(($AW$14:$AW$1000=S80)*($AX$14:$AX$1000=$U$13)*$AY$14:$AY$1000),"")</f>
        <v>41854</v>
      </c>
      <c r="U80" s="33" t="str">
        <f t="shared" ref="U80:U111" si="51">IFERROR(VLOOKUP(T80,$AY$13:$BA$1000,2,0),"")</f>
        <v>RD Event</v>
      </c>
      <c r="V80" s="33">
        <f t="shared" ref="V80:V115" si="52">IFERROR(VLOOKUP(T80,$AY$13:$BA$1000,3,0),"")</f>
        <v>622</v>
      </c>
      <c r="W80" s="33">
        <f>IFERROR(VLOOKUP(T80,'Raw Data'!$A$4:$O$1500,15,0),0)</f>
        <v>1</v>
      </c>
      <c r="X80" s="35"/>
      <c r="Y80" s="21"/>
      <c r="Z80" s="21"/>
      <c r="AA80" s="21"/>
      <c r="AB80" s="21"/>
      <c r="AC80" s="21"/>
      <c r="AD80" s="21"/>
      <c r="AE80" s="33" t="str">
        <f t="shared" si="40"/>
        <v/>
      </c>
      <c r="AF80" s="114" t="str">
        <f t="shared" si="24"/>
        <v/>
      </c>
      <c r="AG80" s="108" t="str">
        <f t="shared" si="41"/>
        <v/>
      </c>
      <c r="AH80" s="21" t="str">
        <f t="shared" si="42"/>
        <v/>
      </c>
      <c r="AI80" s="21" t="str">
        <f t="shared" si="43"/>
        <v/>
      </c>
      <c r="AJ80" s="21" t="str">
        <f t="shared" si="44"/>
        <v/>
      </c>
      <c r="AK80" s="21" t="str">
        <f t="shared" si="45"/>
        <v/>
      </c>
      <c r="AL80" s="21"/>
      <c r="AM80" s="21"/>
      <c r="AN80" s="21"/>
      <c r="AS80" s="112" t="str">
        <f t="shared" ref="AS80:AS143" si="53">IFERROR(IF(FIND($AT$12,AZ80)&gt;0,1,0),"")</f>
        <v/>
      </c>
      <c r="AT80" s="112" t="str">
        <f>IF(AS80="","",COUNTIF($AS$13:AS80,AS80))</f>
        <v/>
      </c>
      <c r="AU80" s="147">
        <f t="shared" ref="AU80:AU143" si="54">AU79+1</f>
        <v>67</v>
      </c>
      <c r="AV80" s="147">
        <f>COUNTIF($AZ$14:AZ80,AZ80)</f>
        <v>8</v>
      </c>
      <c r="AW80" s="147">
        <f>IFERROR(COUNTIF(AX$14:$BL80,AX80),"")</f>
        <v>10</v>
      </c>
      <c r="AX80" s="148" t="str">
        <f t="shared" ref="AX80:AX143" si="55">TEXT(AY80,"ddd")</f>
        <v>Wed</v>
      </c>
      <c r="AY80" s="149">
        <f>'Raw Data'!A70</f>
        <v>41675</v>
      </c>
      <c r="AZ80" s="150" t="str">
        <f>'Raw Data'!E70</f>
        <v>20% Off,FS on $49</v>
      </c>
      <c r="BA80" s="150">
        <f>'Raw Data'!I70</f>
        <v>1744</v>
      </c>
      <c r="BB80" s="112"/>
      <c r="BC80" s="112"/>
      <c r="BD80" s="112">
        <f>'Raw Data'!O70</f>
        <v>2</v>
      </c>
    </row>
    <row r="81" spans="9:56">
      <c r="I81" s="33">
        <f>IFERROR(VLOOKUP(G81,'Raw Data'!$A$4:$O$1500,15,0),0)</f>
        <v>0</v>
      </c>
      <c r="K81" s="70" t="str">
        <f>IF(M81=0,"",COUNTIF($N$16:N81,$H$13))</f>
        <v/>
      </c>
      <c r="L81" s="30">
        <f t="shared" si="47"/>
        <v>-54</v>
      </c>
      <c r="M81" s="54">
        <f t="shared" si="49"/>
        <v>0</v>
      </c>
      <c r="N81" s="33">
        <f t="shared" si="48"/>
        <v>0</v>
      </c>
      <c r="O81" s="33" t="str">
        <f t="shared" si="46"/>
        <v/>
      </c>
      <c r="P81" s="33">
        <f>IFERROR(VLOOKUP(M81,'Raw Data'!$A$4:$O$1500,15,0),0)</f>
        <v>0</v>
      </c>
      <c r="Q81" s="33"/>
      <c r="R81" s="30">
        <f>COUNTIF($U$16:U81,$AA$14)</f>
        <v>3</v>
      </c>
      <c r="S81" s="30">
        <f t="shared" si="26"/>
        <v>35</v>
      </c>
      <c r="T81" s="54">
        <f t="shared" si="50"/>
        <v>41847</v>
      </c>
      <c r="U81" s="33" t="str">
        <f t="shared" si="51"/>
        <v>20-40% Off,FS on $49</v>
      </c>
      <c r="V81" s="33">
        <f t="shared" si="52"/>
        <v>606</v>
      </c>
      <c r="W81" s="33">
        <f>IFERROR(VLOOKUP(T81,'Raw Data'!$A$4:$O$1500,15,0),0)</f>
        <v>1</v>
      </c>
      <c r="X81" s="35"/>
      <c r="Y81" s="21"/>
      <c r="Z81" s="21"/>
      <c r="AA81" s="21"/>
      <c r="AB81" s="21"/>
      <c r="AC81" s="21"/>
      <c r="AD81" s="21"/>
      <c r="AE81" s="33" t="str">
        <f t="shared" si="40"/>
        <v/>
      </c>
      <c r="AF81" s="114" t="str">
        <f t="shared" ref="AF81:AF144" si="56">IFERROR(IF(AF80=1,"",AF80-1),"")</f>
        <v/>
      </c>
      <c r="AG81" s="108" t="str">
        <f t="shared" si="41"/>
        <v/>
      </c>
      <c r="AH81" s="21" t="str">
        <f t="shared" si="42"/>
        <v/>
      </c>
      <c r="AI81" s="21" t="str">
        <f t="shared" si="43"/>
        <v/>
      </c>
      <c r="AJ81" s="21" t="str">
        <f t="shared" si="44"/>
        <v/>
      </c>
      <c r="AK81" s="21" t="str">
        <f t="shared" si="45"/>
        <v/>
      </c>
      <c r="AL81" s="21"/>
      <c r="AM81" s="21"/>
      <c r="AN81" s="21"/>
      <c r="AS81" s="112" t="str">
        <f t="shared" si="53"/>
        <v/>
      </c>
      <c r="AT81" s="112" t="str">
        <f>IF(AS81="","",COUNTIF($AS$13:AS81,AS81))</f>
        <v/>
      </c>
      <c r="AU81" s="147">
        <f t="shared" si="54"/>
        <v>68</v>
      </c>
      <c r="AV81" s="147">
        <f>COUNTIF($AZ$14:AZ81,AZ81)</f>
        <v>1</v>
      </c>
      <c r="AW81" s="147">
        <f>IFERROR(COUNTIF(AX$14:$BL81,AX81),"")</f>
        <v>10</v>
      </c>
      <c r="AX81" s="148" t="str">
        <f t="shared" si="55"/>
        <v>Thu</v>
      </c>
      <c r="AY81" s="149">
        <f>'Raw Data'!A71</f>
        <v>41676</v>
      </c>
      <c r="AZ81" s="150" t="str">
        <f>'Raw Data'!E71</f>
        <v>Treat Thursday,FS on $49</v>
      </c>
      <c r="BA81" s="150">
        <f>'Raw Data'!I71</f>
        <v>1346</v>
      </c>
      <c r="BB81" s="112"/>
      <c r="BC81" s="112"/>
      <c r="BD81" s="112">
        <f>'Raw Data'!O71</f>
        <v>1</v>
      </c>
    </row>
    <row r="82" spans="9:56">
      <c r="I82" s="33">
        <f>IFERROR(VLOOKUP(G82,'Raw Data'!$A$4:$O$1500,15,0),0)</f>
        <v>0</v>
      </c>
      <c r="K82" s="70" t="str">
        <f>IF(M82=0,"",COUNTIF($N$16:N82,$H$13))</f>
        <v/>
      </c>
      <c r="L82" s="30">
        <f t="shared" ref="L82:L110" si="57">L81-1</f>
        <v>-55</v>
      </c>
      <c r="M82" s="54">
        <f t="shared" si="49"/>
        <v>0</v>
      </c>
      <c r="N82" s="33">
        <f t="shared" ref="N82:N110" si="58">IFERROR(IF(M82=0,0,TEXT(M82,"DDD")),"")</f>
        <v>0</v>
      </c>
      <c r="O82" s="33" t="str">
        <f t="shared" si="46"/>
        <v/>
      </c>
      <c r="P82" s="33">
        <f>IFERROR(VLOOKUP(M82,'Raw Data'!$A$4:$O$1500,15,0),0)</f>
        <v>0</v>
      </c>
      <c r="Q82" s="33"/>
      <c r="R82" s="30">
        <f>COUNTIF($U$16:U82,$AA$14)</f>
        <v>4</v>
      </c>
      <c r="S82" s="30">
        <f t="shared" ref="S82:S115" si="59">IF(S81-1&lt;0,0,S81-1)</f>
        <v>34</v>
      </c>
      <c r="T82" s="54">
        <f t="shared" si="50"/>
        <v>41840</v>
      </c>
      <c r="U82" s="33" t="str">
        <f t="shared" si="51"/>
        <v>No Email Drop</v>
      </c>
      <c r="V82" s="33">
        <f t="shared" si="52"/>
        <v>535</v>
      </c>
      <c r="W82" s="33">
        <f>IFERROR(VLOOKUP(T82,'Raw Data'!$A$4:$O$1500,15,0),0)</f>
        <v>0</v>
      </c>
      <c r="X82" s="35"/>
      <c r="Y82" s="21"/>
      <c r="Z82" s="21"/>
      <c r="AA82" s="21"/>
      <c r="AB82" s="21"/>
      <c r="AC82" s="21"/>
      <c r="AD82" s="21"/>
      <c r="AE82" s="33" t="str">
        <f t="shared" si="40"/>
        <v/>
      </c>
      <c r="AF82" s="114" t="str">
        <f t="shared" si="56"/>
        <v/>
      </c>
      <c r="AG82" s="108" t="str">
        <f t="shared" si="41"/>
        <v/>
      </c>
      <c r="AH82" s="21" t="str">
        <f t="shared" si="42"/>
        <v/>
      </c>
      <c r="AI82" s="21" t="str">
        <f t="shared" si="43"/>
        <v/>
      </c>
      <c r="AJ82" s="21" t="str">
        <f t="shared" si="44"/>
        <v/>
      </c>
      <c r="AK82" s="21" t="str">
        <f t="shared" si="45"/>
        <v/>
      </c>
      <c r="AL82" s="21"/>
      <c r="AM82" s="21"/>
      <c r="AN82" s="21"/>
      <c r="AS82" s="112" t="str">
        <f t="shared" si="53"/>
        <v/>
      </c>
      <c r="AT82" s="112" t="str">
        <f>IF(AS82="","",COUNTIF($AS$13:AS82,AS82))</f>
        <v/>
      </c>
      <c r="AU82" s="147">
        <f t="shared" si="54"/>
        <v>69</v>
      </c>
      <c r="AV82" s="147">
        <f>COUNTIF($AZ$14:AZ82,AZ82)</f>
        <v>26</v>
      </c>
      <c r="AW82" s="147">
        <f>IFERROR(COUNTIF(AX$14:$BL82,AX82),"")</f>
        <v>10</v>
      </c>
      <c r="AX82" s="148" t="str">
        <f t="shared" si="55"/>
        <v>Fri</v>
      </c>
      <c r="AY82" s="149">
        <f>'Raw Data'!A72</f>
        <v>41677</v>
      </c>
      <c r="AZ82" s="150" t="str">
        <f>'Raw Data'!E72</f>
        <v>No Email Drop</v>
      </c>
      <c r="BA82" s="150">
        <f>'Raw Data'!I72</f>
        <v>1096</v>
      </c>
      <c r="BB82" s="112"/>
      <c r="BC82" s="112"/>
      <c r="BD82" s="112">
        <f>'Raw Data'!O72</f>
        <v>0</v>
      </c>
    </row>
    <row r="83" spans="9:56">
      <c r="K83" s="70" t="str">
        <f>IF(M83=0,"",COUNTIF($N$16:N83,$H$13))</f>
        <v/>
      </c>
      <c r="L83" s="30">
        <f t="shared" si="57"/>
        <v>-56</v>
      </c>
      <c r="M83" s="54">
        <f t="shared" si="49"/>
        <v>0</v>
      </c>
      <c r="N83" s="33">
        <f t="shared" si="58"/>
        <v>0</v>
      </c>
      <c r="O83" s="33" t="str">
        <f t="shared" ref="O83:O110" si="60">IFERROR(VLOOKUP(M83,$AY$14:$BA$1000,3,0),"")</f>
        <v/>
      </c>
      <c r="P83" s="33">
        <f>IFERROR(VLOOKUP(M83,'Raw Data'!$A$4:$O$1500,15,0),0)</f>
        <v>0</v>
      </c>
      <c r="Q83" s="33"/>
      <c r="R83" s="30">
        <f>COUNTIF($U$16:U83,$AA$14)</f>
        <v>4</v>
      </c>
      <c r="S83" s="30">
        <f t="shared" si="59"/>
        <v>33</v>
      </c>
      <c r="T83" s="54">
        <f t="shared" si="50"/>
        <v>41833</v>
      </c>
      <c r="U83" s="33" t="str">
        <f t="shared" si="51"/>
        <v>FS on $49</v>
      </c>
      <c r="V83" s="33">
        <f t="shared" si="52"/>
        <v>607</v>
      </c>
      <c r="W83" s="33">
        <f>IFERROR(VLOOKUP(T83,'Raw Data'!$A$4:$O$1500,15,0),0)</f>
        <v>1</v>
      </c>
      <c r="X83" s="35"/>
      <c r="Y83" s="21"/>
      <c r="Z83" s="21"/>
      <c r="AA83" s="21"/>
      <c r="AB83" s="21"/>
      <c r="AC83" s="21"/>
      <c r="AD83" s="21"/>
      <c r="AE83" s="33" t="str">
        <f t="shared" si="40"/>
        <v/>
      </c>
      <c r="AF83" s="114" t="str">
        <f t="shared" si="56"/>
        <v/>
      </c>
      <c r="AG83" s="108" t="str">
        <f t="shared" si="41"/>
        <v/>
      </c>
      <c r="AH83" s="21" t="str">
        <f t="shared" si="42"/>
        <v/>
      </c>
      <c r="AI83" s="21" t="str">
        <f t="shared" si="43"/>
        <v/>
      </c>
      <c r="AJ83" s="21" t="str">
        <f t="shared" si="44"/>
        <v/>
      </c>
      <c r="AK83" s="21" t="str">
        <f t="shared" si="45"/>
        <v/>
      </c>
      <c r="AL83" s="21"/>
      <c r="AM83" s="21"/>
      <c r="AN83" s="21"/>
      <c r="AS83" s="112" t="str">
        <f t="shared" si="53"/>
        <v/>
      </c>
      <c r="AT83" s="112" t="str">
        <f>IF(AS83="","",COUNTIF($AS$13:AS83,AS83))</f>
        <v/>
      </c>
      <c r="AU83" s="147">
        <f t="shared" si="54"/>
        <v>70</v>
      </c>
      <c r="AV83" s="147">
        <f>COUNTIF($AZ$14:AZ83,AZ83)</f>
        <v>2</v>
      </c>
      <c r="AW83" s="147">
        <f>IFERROR(COUNTIF(AX$14:$BL83,AX83),"")</f>
        <v>10</v>
      </c>
      <c r="AX83" s="148" t="str">
        <f t="shared" si="55"/>
        <v>Sat</v>
      </c>
      <c r="AY83" s="149">
        <f>'Raw Data'!A73</f>
        <v>41678</v>
      </c>
      <c r="AZ83" s="150" t="str">
        <f>'Raw Data'!E73</f>
        <v>$10 Off,FS on $49</v>
      </c>
      <c r="BA83" s="150">
        <f>'Raw Data'!I73</f>
        <v>1174</v>
      </c>
      <c r="BB83" s="112"/>
      <c r="BC83" s="112"/>
      <c r="BD83" s="112">
        <f>'Raw Data'!O73</f>
        <v>1</v>
      </c>
    </row>
    <row r="84" spans="9:56">
      <c r="K84" s="70" t="str">
        <f>IF(M84=0,"",COUNTIF($N$16:N84,$H$13))</f>
        <v/>
      </c>
      <c r="L84" s="30">
        <f t="shared" si="57"/>
        <v>-57</v>
      </c>
      <c r="M84" s="54">
        <f t="shared" si="49"/>
        <v>0</v>
      </c>
      <c r="N84" s="33">
        <f t="shared" si="58"/>
        <v>0</v>
      </c>
      <c r="O84" s="33" t="str">
        <f t="shared" si="60"/>
        <v/>
      </c>
      <c r="P84" s="33">
        <f>IFERROR(VLOOKUP(M84,'Raw Data'!$A$4:$O$1500,15,0),0)</f>
        <v>0</v>
      </c>
      <c r="Q84" s="33"/>
      <c r="R84" s="30">
        <f>COUNTIF($U$16:U84,$AA$14)</f>
        <v>4</v>
      </c>
      <c r="S84" s="30">
        <f t="shared" si="59"/>
        <v>32</v>
      </c>
      <c r="T84" s="54">
        <f t="shared" si="50"/>
        <v>41826</v>
      </c>
      <c r="U84" s="33" t="str">
        <f t="shared" si="51"/>
        <v>Free Ship Flash Sale,Up To 40% Off,FS on $49</v>
      </c>
      <c r="V84" s="33">
        <f t="shared" si="52"/>
        <v>658</v>
      </c>
      <c r="W84" s="33">
        <f>IFERROR(VLOOKUP(T84,'Raw Data'!$A$4:$O$1500,15,0),0)</f>
        <v>2</v>
      </c>
      <c r="X84" s="35"/>
      <c r="Y84" s="21"/>
      <c r="Z84" s="21"/>
      <c r="AA84" s="21"/>
      <c r="AB84" s="21"/>
      <c r="AC84" s="21"/>
      <c r="AD84" s="21"/>
      <c r="AE84" s="33" t="str">
        <f t="shared" si="40"/>
        <v/>
      </c>
      <c r="AF84" s="114" t="str">
        <f t="shared" si="56"/>
        <v/>
      </c>
      <c r="AG84" s="108" t="str">
        <f t="shared" si="41"/>
        <v/>
      </c>
      <c r="AH84" s="21" t="str">
        <f t="shared" si="42"/>
        <v/>
      </c>
      <c r="AI84" s="21" t="str">
        <f t="shared" si="43"/>
        <v/>
      </c>
      <c r="AJ84" s="21" t="str">
        <f t="shared" si="44"/>
        <v/>
      </c>
      <c r="AK84" s="21" t="str">
        <f t="shared" si="45"/>
        <v/>
      </c>
      <c r="AL84" s="21"/>
      <c r="AM84" s="21"/>
      <c r="AN84" s="21"/>
      <c r="AS84" s="112" t="str">
        <f t="shared" si="53"/>
        <v/>
      </c>
      <c r="AT84" s="112" t="str">
        <f>IF(AS84="","",COUNTIF($AS$13:AS84,AS84))</f>
        <v/>
      </c>
      <c r="AU84" s="147">
        <f t="shared" si="54"/>
        <v>71</v>
      </c>
      <c r="AV84" s="147">
        <f>COUNTIF($AZ$14:AZ84,AZ84)</f>
        <v>1</v>
      </c>
      <c r="AW84" s="147">
        <f>IFERROR(COUNTIF(AX$14:$BL84,AX84),"")</f>
        <v>11</v>
      </c>
      <c r="AX84" s="148" t="str">
        <f t="shared" si="55"/>
        <v>Sun</v>
      </c>
      <c r="AY84" s="149">
        <f>'Raw Data'!A74</f>
        <v>41679</v>
      </c>
      <c r="AZ84" s="150" t="str">
        <f>'Raw Data'!E74</f>
        <v>Double Points,FS on $49</v>
      </c>
      <c r="BA84" s="150">
        <f>'Raw Data'!I74</f>
        <v>830</v>
      </c>
      <c r="BB84" s="112"/>
      <c r="BC84" s="112"/>
      <c r="BD84" s="112">
        <f>'Raw Data'!O74</f>
        <v>1</v>
      </c>
    </row>
    <row r="85" spans="9:56">
      <c r="K85" s="70" t="str">
        <f>IF(M85=0,"",COUNTIF($N$16:N85,$H$13))</f>
        <v/>
      </c>
      <c r="L85" s="30">
        <f t="shared" si="57"/>
        <v>-58</v>
      </c>
      <c r="M85" s="54">
        <f t="shared" si="49"/>
        <v>0</v>
      </c>
      <c r="N85" s="33">
        <f t="shared" si="58"/>
        <v>0</v>
      </c>
      <c r="O85" s="33" t="str">
        <f t="shared" si="60"/>
        <v/>
      </c>
      <c r="P85" s="33">
        <f>IFERROR(VLOOKUP(M85,'Raw Data'!$A$4:$O$1500,15,0),0)</f>
        <v>0</v>
      </c>
      <c r="Q85" s="33"/>
      <c r="R85" s="30">
        <f>COUNTIF($U$16:U85,$AA$14)</f>
        <v>4</v>
      </c>
      <c r="S85" s="30">
        <f t="shared" si="59"/>
        <v>31</v>
      </c>
      <c r="T85" s="54">
        <f t="shared" si="50"/>
        <v>41819</v>
      </c>
      <c r="U85" s="33" t="str">
        <f t="shared" si="51"/>
        <v>Reveal Your Deal Promo,15, 20, 30% Off</v>
      </c>
      <c r="V85" s="33">
        <f t="shared" si="52"/>
        <v>624</v>
      </c>
      <c r="W85" s="33">
        <f>IFERROR(VLOOKUP(T85,'Raw Data'!$A$4:$O$1500,15,0),0)</f>
        <v>2</v>
      </c>
      <c r="X85" s="35"/>
      <c r="Y85" s="21"/>
      <c r="Z85" s="21"/>
      <c r="AA85" s="21"/>
      <c r="AB85" s="21"/>
      <c r="AC85" s="21"/>
      <c r="AD85" s="21"/>
      <c r="AE85" s="33" t="str">
        <f t="shared" si="40"/>
        <v/>
      </c>
      <c r="AF85" s="114" t="str">
        <f t="shared" si="56"/>
        <v/>
      </c>
      <c r="AG85" s="108" t="str">
        <f t="shared" si="41"/>
        <v/>
      </c>
      <c r="AH85" s="21" t="str">
        <f t="shared" si="42"/>
        <v/>
      </c>
      <c r="AI85" s="21" t="str">
        <f t="shared" si="43"/>
        <v/>
      </c>
      <c r="AJ85" s="21" t="str">
        <f t="shared" si="44"/>
        <v/>
      </c>
      <c r="AK85" s="21" t="str">
        <f t="shared" si="45"/>
        <v/>
      </c>
      <c r="AL85" s="21"/>
      <c r="AM85" s="21"/>
      <c r="AN85" s="21"/>
      <c r="AS85" s="112" t="str">
        <f t="shared" si="53"/>
        <v/>
      </c>
      <c r="AT85" s="112" t="str">
        <f>IF(AS85="","",COUNTIF($AS$13:AS85,AS85))</f>
        <v/>
      </c>
      <c r="AU85" s="147">
        <f t="shared" si="54"/>
        <v>72</v>
      </c>
      <c r="AV85" s="147">
        <f>COUNTIF($AZ$14:AZ85,AZ85)</f>
        <v>27</v>
      </c>
      <c r="AW85" s="147">
        <f>IFERROR(COUNTIF(AX$14:$BL85,AX85),"")</f>
        <v>11</v>
      </c>
      <c r="AX85" s="148" t="str">
        <f t="shared" si="55"/>
        <v>Mon</v>
      </c>
      <c r="AY85" s="149">
        <f>'Raw Data'!A75</f>
        <v>41680</v>
      </c>
      <c r="AZ85" s="150" t="str">
        <f>'Raw Data'!E75</f>
        <v>No Email Drop</v>
      </c>
      <c r="BA85" s="150">
        <f>'Raw Data'!I75</f>
        <v>1216</v>
      </c>
      <c r="BB85" s="112"/>
      <c r="BC85" s="112"/>
      <c r="BD85" s="112">
        <f>'Raw Data'!O75</f>
        <v>0</v>
      </c>
    </row>
    <row r="86" spans="9:56">
      <c r="K86" s="70" t="str">
        <f>IF(M86=0,"",COUNTIF($N$16:N86,$H$13))</f>
        <v/>
      </c>
      <c r="L86" s="30">
        <f t="shared" si="57"/>
        <v>-59</v>
      </c>
      <c r="M86" s="54">
        <f t="shared" si="49"/>
        <v>0</v>
      </c>
      <c r="N86" s="33">
        <f t="shared" si="58"/>
        <v>0</v>
      </c>
      <c r="O86" s="33" t="str">
        <f t="shared" si="60"/>
        <v/>
      </c>
      <c r="P86" s="33">
        <f>IFERROR(VLOOKUP(M86,'Raw Data'!$A$4:$O$1500,15,0),0)</f>
        <v>0</v>
      </c>
      <c r="Q86" s="33"/>
      <c r="R86" s="30">
        <f>COUNTIF($U$16:U86,$AA$14)</f>
        <v>4</v>
      </c>
      <c r="S86" s="30">
        <f t="shared" si="59"/>
        <v>30</v>
      </c>
      <c r="T86" s="54">
        <f t="shared" si="50"/>
        <v>41812</v>
      </c>
      <c r="U86" s="33" t="str">
        <f t="shared" si="51"/>
        <v>$5 Off,FS on $25</v>
      </c>
      <c r="V86" s="33">
        <f t="shared" si="52"/>
        <v>579</v>
      </c>
      <c r="W86" s="33">
        <f>IFERROR(VLOOKUP(T86,'Raw Data'!$A$4:$O$1500,15,0),0)</f>
        <v>1</v>
      </c>
      <c r="X86" s="35"/>
      <c r="Y86" s="21"/>
      <c r="Z86" s="21"/>
      <c r="AA86" s="21"/>
      <c r="AB86" s="21"/>
      <c r="AC86" s="21"/>
      <c r="AD86" s="21"/>
      <c r="AE86" s="33" t="str">
        <f t="shared" si="40"/>
        <v/>
      </c>
      <c r="AF86" s="114" t="str">
        <f t="shared" si="56"/>
        <v/>
      </c>
      <c r="AG86" s="108" t="str">
        <f t="shared" si="41"/>
        <v/>
      </c>
      <c r="AH86" s="21" t="str">
        <f t="shared" si="42"/>
        <v/>
      </c>
      <c r="AI86" s="21" t="str">
        <f t="shared" si="43"/>
        <v/>
      </c>
      <c r="AJ86" s="21" t="str">
        <f t="shared" si="44"/>
        <v/>
      </c>
      <c r="AK86" s="21" t="str">
        <f t="shared" si="45"/>
        <v/>
      </c>
      <c r="AL86" s="21"/>
      <c r="AM86" s="21"/>
      <c r="AN86" s="21"/>
      <c r="AS86" s="112" t="str">
        <f t="shared" si="53"/>
        <v/>
      </c>
      <c r="AT86" s="112" t="str">
        <f>IF(AS86="","",COUNTIF($AS$13:AS86,AS86))</f>
        <v/>
      </c>
      <c r="AU86" s="147">
        <f t="shared" si="54"/>
        <v>73</v>
      </c>
      <c r="AV86" s="147">
        <f>COUNTIF($AZ$14:AZ86,AZ86)</f>
        <v>2</v>
      </c>
      <c r="AW86" s="147">
        <f>IFERROR(COUNTIF(AX$14:$BL86,AX86),"")</f>
        <v>11</v>
      </c>
      <c r="AX86" s="148" t="str">
        <f t="shared" si="55"/>
        <v>Tue</v>
      </c>
      <c r="AY86" s="149">
        <f>'Raw Data'!A76</f>
        <v>41681</v>
      </c>
      <c r="AZ86" s="150" t="str">
        <f>'Raw Data'!E76</f>
        <v>Double Points,FS on $49</v>
      </c>
      <c r="BA86" s="150">
        <f>'Raw Data'!I76</f>
        <v>1312</v>
      </c>
      <c r="BB86" s="112"/>
      <c r="BC86" s="112"/>
      <c r="BD86" s="112">
        <f>'Raw Data'!O76</f>
        <v>1</v>
      </c>
    </row>
    <row r="87" spans="9:56">
      <c r="K87" s="70" t="str">
        <f>IF(M87=0,"",COUNTIF($N$16:N87,$H$13))</f>
        <v/>
      </c>
      <c r="L87" s="30">
        <f t="shared" si="57"/>
        <v>-60</v>
      </c>
      <c r="M87" s="54">
        <f t="shared" si="49"/>
        <v>0</v>
      </c>
      <c r="N87" s="33">
        <f t="shared" si="58"/>
        <v>0</v>
      </c>
      <c r="O87" s="33" t="str">
        <f t="shared" si="60"/>
        <v/>
      </c>
      <c r="P87" s="33">
        <f>IFERROR(VLOOKUP(M87,'Raw Data'!$A$4:$O$1500,15,0),0)</f>
        <v>0</v>
      </c>
      <c r="Q87" s="33"/>
      <c r="R87" s="30">
        <f>COUNTIF($U$16:U87,$AA$14)</f>
        <v>4</v>
      </c>
      <c r="S87" s="30">
        <f t="shared" si="59"/>
        <v>29</v>
      </c>
      <c r="T87" s="54">
        <f t="shared" si="50"/>
        <v>41805</v>
      </c>
      <c r="U87" s="33" t="str">
        <f t="shared" si="51"/>
        <v>25% Off,FS on $49</v>
      </c>
      <c r="V87" s="33">
        <f t="shared" si="52"/>
        <v>519</v>
      </c>
      <c r="W87" s="33">
        <f>IFERROR(VLOOKUP(T87,'Raw Data'!$A$4:$O$1500,15,0),0)</f>
        <v>1</v>
      </c>
      <c r="X87" s="35"/>
      <c r="Y87" s="21"/>
      <c r="Z87" s="21"/>
      <c r="AA87" s="21"/>
      <c r="AB87" s="21"/>
      <c r="AC87" s="21"/>
      <c r="AD87" s="21"/>
      <c r="AE87" s="33" t="str">
        <f t="shared" si="40"/>
        <v/>
      </c>
      <c r="AF87" s="114" t="str">
        <f t="shared" si="56"/>
        <v/>
      </c>
      <c r="AG87" s="108" t="str">
        <f t="shared" si="41"/>
        <v/>
      </c>
      <c r="AH87" s="21" t="str">
        <f t="shared" si="42"/>
        <v/>
      </c>
      <c r="AI87" s="21" t="str">
        <f t="shared" si="43"/>
        <v/>
      </c>
      <c r="AJ87" s="21" t="str">
        <f t="shared" si="44"/>
        <v/>
      </c>
      <c r="AK87" s="21" t="str">
        <f t="shared" si="45"/>
        <v/>
      </c>
      <c r="AL87" s="21"/>
      <c r="AM87" s="21"/>
      <c r="AN87" s="21"/>
      <c r="AS87" s="112" t="str">
        <f t="shared" si="53"/>
        <v/>
      </c>
      <c r="AT87" s="112" t="str">
        <f>IF(AS87="","",COUNTIF($AS$13:AS87,AS87))</f>
        <v/>
      </c>
      <c r="AU87" s="147">
        <f t="shared" si="54"/>
        <v>74</v>
      </c>
      <c r="AV87" s="147">
        <f>COUNTIF($AZ$14:AZ87,AZ87)</f>
        <v>28</v>
      </c>
      <c r="AW87" s="147">
        <f>IFERROR(COUNTIF(AX$14:$BL87,AX87),"")</f>
        <v>11</v>
      </c>
      <c r="AX87" s="148" t="str">
        <f t="shared" si="55"/>
        <v>Wed</v>
      </c>
      <c r="AY87" s="149">
        <f>'Raw Data'!A77</f>
        <v>41682</v>
      </c>
      <c r="AZ87" s="150" t="str">
        <f>'Raw Data'!E77</f>
        <v>No Email Drop</v>
      </c>
      <c r="BA87" s="150">
        <f>'Raw Data'!I77</f>
        <v>1162</v>
      </c>
      <c r="BB87" s="112"/>
      <c r="BC87" s="112"/>
      <c r="BD87" s="112">
        <f>'Raw Data'!O77</f>
        <v>0</v>
      </c>
    </row>
    <row r="88" spans="9:56">
      <c r="K88" s="70" t="str">
        <f>IF(M88=0,"",COUNTIF($N$16:N88,$H$13))</f>
        <v/>
      </c>
      <c r="L88" s="30">
        <f t="shared" si="57"/>
        <v>-61</v>
      </c>
      <c r="M88" s="54">
        <f t="shared" si="49"/>
        <v>0</v>
      </c>
      <c r="N88" s="33">
        <f t="shared" si="58"/>
        <v>0</v>
      </c>
      <c r="O88" s="33" t="str">
        <f t="shared" si="60"/>
        <v/>
      </c>
      <c r="P88" s="33">
        <f>IFERROR(VLOOKUP(M88,'Raw Data'!$A$4:$O$1500,15,0),0)</f>
        <v>0</v>
      </c>
      <c r="Q88" s="33"/>
      <c r="R88" s="30">
        <f>COUNTIF($U$16:U88,$AA$14)</f>
        <v>4</v>
      </c>
      <c r="S88" s="30">
        <f t="shared" si="59"/>
        <v>28</v>
      </c>
      <c r="T88" s="54">
        <f t="shared" si="50"/>
        <v>41798</v>
      </c>
      <c r="U88" s="33" t="str">
        <f t="shared" si="51"/>
        <v>30% Off,FS on $75</v>
      </c>
      <c r="V88" s="33">
        <f t="shared" si="52"/>
        <v>629</v>
      </c>
      <c r="W88" s="33">
        <f>IFERROR(VLOOKUP(T88,'Raw Data'!$A$4:$O$1500,15,0),0)</f>
        <v>1</v>
      </c>
      <c r="X88" s="35"/>
      <c r="Y88" s="21"/>
      <c r="Z88" s="21"/>
      <c r="AA88" s="21"/>
      <c r="AB88" s="21"/>
      <c r="AC88" s="21"/>
      <c r="AD88" s="21"/>
      <c r="AE88" s="33" t="str">
        <f t="shared" si="40"/>
        <v/>
      </c>
      <c r="AF88" s="114" t="str">
        <f t="shared" si="56"/>
        <v/>
      </c>
      <c r="AG88" s="108" t="str">
        <f t="shared" si="41"/>
        <v/>
      </c>
      <c r="AH88" s="21" t="str">
        <f t="shared" si="42"/>
        <v/>
      </c>
      <c r="AI88" s="21" t="str">
        <f t="shared" si="43"/>
        <v/>
      </c>
      <c r="AJ88" s="21" t="str">
        <f t="shared" si="44"/>
        <v/>
      </c>
      <c r="AK88" s="21" t="str">
        <f t="shared" si="45"/>
        <v/>
      </c>
      <c r="AL88" s="21"/>
      <c r="AM88" s="21"/>
      <c r="AN88" s="21"/>
      <c r="AS88" s="112" t="str">
        <f t="shared" si="53"/>
        <v/>
      </c>
      <c r="AT88" s="112" t="str">
        <f>IF(AS88="","",COUNTIF($AS$13:AS88,AS88))</f>
        <v/>
      </c>
      <c r="AU88" s="147">
        <f t="shared" si="54"/>
        <v>75</v>
      </c>
      <c r="AV88" s="147">
        <f>COUNTIF($AZ$14:AZ88,AZ88)</f>
        <v>3</v>
      </c>
      <c r="AW88" s="147">
        <f>IFERROR(COUNTIF(AX$14:$BL88,AX88),"")</f>
        <v>11</v>
      </c>
      <c r="AX88" s="148" t="str">
        <f t="shared" si="55"/>
        <v>Thu</v>
      </c>
      <c r="AY88" s="149">
        <f>'Raw Data'!A78</f>
        <v>41683</v>
      </c>
      <c r="AZ88" s="150" t="str">
        <f>'Raw Data'!E78</f>
        <v>Double Points,FS on $49</v>
      </c>
      <c r="BA88" s="150">
        <f>'Raw Data'!I78</f>
        <v>1193</v>
      </c>
      <c r="BB88" s="112"/>
      <c r="BC88" s="112"/>
      <c r="BD88" s="112">
        <f>'Raw Data'!O78</f>
        <v>1</v>
      </c>
    </row>
    <row r="89" spans="9:56">
      <c r="K89" s="70" t="str">
        <f>IF(M89=0,"",COUNTIF($N$16:N89,$H$13))</f>
        <v/>
      </c>
      <c r="L89" s="30">
        <f t="shared" si="57"/>
        <v>-62</v>
      </c>
      <c r="M89" s="54">
        <f t="shared" si="49"/>
        <v>0</v>
      </c>
      <c r="N89" s="33">
        <f t="shared" si="58"/>
        <v>0</v>
      </c>
      <c r="O89" s="33" t="str">
        <f t="shared" si="60"/>
        <v/>
      </c>
      <c r="P89" s="33">
        <f>IFERROR(VLOOKUP(M89,'Raw Data'!$A$4:$O$1500,15,0),0)</f>
        <v>0</v>
      </c>
      <c r="Q89" s="33"/>
      <c r="R89" s="30">
        <f>COUNTIF($U$16:U89,$AA$14)</f>
        <v>4</v>
      </c>
      <c r="S89" s="30">
        <f t="shared" si="59"/>
        <v>27</v>
      </c>
      <c r="T89" s="54">
        <f t="shared" si="50"/>
        <v>41791</v>
      </c>
      <c r="U89" s="33" t="str">
        <f t="shared" si="51"/>
        <v>20% Off,FS on $49</v>
      </c>
      <c r="V89" s="33">
        <f t="shared" si="52"/>
        <v>537</v>
      </c>
      <c r="W89" s="33">
        <f>IFERROR(VLOOKUP(T89,'Raw Data'!$A$4:$O$1500,15,0),0)</f>
        <v>1</v>
      </c>
      <c r="X89" s="35"/>
      <c r="Y89" s="21"/>
      <c r="Z89" s="21"/>
      <c r="AA89" s="21"/>
      <c r="AB89" s="21"/>
      <c r="AC89" s="21"/>
      <c r="AD89" s="21"/>
      <c r="AE89" s="33" t="str">
        <f t="shared" si="40"/>
        <v/>
      </c>
      <c r="AF89" s="114" t="str">
        <f t="shared" si="56"/>
        <v/>
      </c>
      <c r="AG89" s="108" t="str">
        <f t="shared" si="41"/>
        <v/>
      </c>
      <c r="AH89" s="21" t="str">
        <f t="shared" si="42"/>
        <v/>
      </c>
      <c r="AI89" s="21" t="str">
        <f t="shared" si="43"/>
        <v/>
      </c>
      <c r="AJ89" s="21" t="str">
        <f t="shared" si="44"/>
        <v/>
      </c>
      <c r="AK89" s="21" t="str">
        <f t="shared" si="45"/>
        <v/>
      </c>
      <c r="AL89" s="21"/>
      <c r="AM89" s="21"/>
      <c r="AN89" s="21"/>
      <c r="AS89" s="112" t="str">
        <f t="shared" si="53"/>
        <v/>
      </c>
      <c r="AT89" s="112" t="str">
        <f>IF(AS89="","",COUNTIF($AS$13:AS89,AS89))</f>
        <v/>
      </c>
      <c r="AU89" s="147">
        <f t="shared" si="54"/>
        <v>76</v>
      </c>
      <c r="AV89" s="147">
        <f>COUNTIF($AZ$14:AZ89,AZ89)</f>
        <v>1</v>
      </c>
      <c r="AW89" s="147">
        <f>IFERROR(COUNTIF(AX$14:$BL89,AX89),"")</f>
        <v>11</v>
      </c>
      <c r="AX89" s="148" t="str">
        <f t="shared" si="55"/>
        <v>Fri</v>
      </c>
      <c r="AY89" s="149">
        <f>'Raw Data'!A79</f>
        <v>41684</v>
      </c>
      <c r="AZ89" s="150" t="str">
        <f>'Raw Data'!E79</f>
        <v>Valentine's Day,25% Off on Supplies,FS on $49</v>
      </c>
      <c r="BA89" s="150">
        <f>'Raw Data'!I79</f>
        <v>1228</v>
      </c>
      <c r="BB89" s="112"/>
      <c r="BC89" s="112"/>
      <c r="BD89" s="112">
        <f>'Raw Data'!O79</f>
        <v>1</v>
      </c>
    </row>
    <row r="90" spans="9:56">
      <c r="K90" s="70" t="str">
        <f>IF(M90=0,"",COUNTIF($N$16:N90,$H$13))</f>
        <v/>
      </c>
      <c r="L90" s="30">
        <f t="shared" si="57"/>
        <v>-63</v>
      </c>
      <c r="M90" s="54">
        <f t="shared" si="49"/>
        <v>0</v>
      </c>
      <c r="N90" s="33">
        <f t="shared" si="58"/>
        <v>0</v>
      </c>
      <c r="O90" s="33" t="str">
        <f t="shared" si="60"/>
        <v/>
      </c>
      <c r="P90" s="33">
        <f>IFERROR(VLOOKUP(M90,'Raw Data'!$A$4:$O$1500,15,0),0)</f>
        <v>0</v>
      </c>
      <c r="Q90" s="33"/>
      <c r="R90" s="30">
        <f>COUNTIF($U$16:U90,$AA$14)</f>
        <v>4</v>
      </c>
      <c r="S90" s="30">
        <f t="shared" si="59"/>
        <v>26</v>
      </c>
      <c r="T90" s="54">
        <f t="shared" si="50"/>
        <v>41784</v>
      </c>
      <c r="U90" s="33" t="str">
        <f t="shared" si="51"/>
        <v>30-50% Off,FS on $49</v>
      </c>
      <c r="V90" s="33">
        <f t="shared" si="52"/>
        <v>511</v>
      </c>
      <c r="W90" s="33">
        <f>IFERROR(VLOOKUP(T90,'Raw Data'!$A$4:$O$1500,15,0),0)</f>
        <v>2</v>
      </c>
      <c r="X90" s="35"/>
      <c r="Y90" s="21"/>
      <c r="Z90" s="21"/>
      <c r="AA90" s="21"/>
      <c r="AB90" s="21"/>
      <c r="AC90" s="21"/>
      <c r="AD90" s="21"/>
      <c r="AE90" s="33" t="str">
        <f t="shared" si="40"/>
        <v/>
      </c>
      <c r="AF90" s="114" t="str">
        <f t="shared" si="56"/>
        <v/>
      </c>
      <c r="AG90" s="108" t="str">
        <f t="shared" si="41"/>
        <v/>
      </c>
      <c r="AH90" s="21" t="str">
        <f t="shared" si="42"/>
        <v/>
      </c>
      <c r="AI90" s="21" t="str">
        <f t="shared" si="43"/>
        <v/>
      </c>
      <c r="AJ90" s="21" t="str">
        <f t="shared" si="44"/>
        <v/>
      </c>
      <c r="AK90" s="21" t="str">
        <f t="shared" si="45"/>
        <v/>
      </c>
      <c r="AL90" s="21"/>
      <c r="AM90" s="21"/>
      <c r="AN90" s="21"/>
      <c r="AS90" s="112" t="str">
        <f t="shared" si="53"/>
        <v/>
      </c>
      <c r="AT90" s="112" t="str">
        <f>IF(AS90="","",COUNTIF($AS$13:AS90,AS90))</f>
        <v/>
      </c>
      <c r="AU90" s="147">
        <f t="shared" si="54"/>
        <v>77</v>
      </c>
      <c r="AV90" s="147">
        <f>COUNTIF($AZ$14:AZ90,AZ90)</f>
        <v>2</v>
      </c>
      <c r="AW90" s="147">
        <f>IFERROR(COUNTIF(AX$14:$BL90,AX90),"")</f>
        <v>11</v>
      </c>
      <c r="AX90" s="148" t="str">
        <f t="shared" si="55"/>
        <v>Sat</v>
      </c>
      <c r="AY90" s="149">
        <f>'Raw Data'!A80</f>
        <v>41685</v>
      </c>
      <c r="AZ90" s="150" t="str">
        <f>'Raw Data'!E80</f>
        <v>Valentine's Day,25% Off on Supplies,FS on $49</v>
      </c>
      <c r="BA90" s="150">
        <f>'Raw Data'!I80</f>
        <v>1126</v>
      </c>
      <c r="BB90" s="112"/>
      <c r="BC90" s="112"/>
      <c r="BD90" s="112">
        <f>'Raw Data'!O80</f>
        <v>1</v>
      </c>
    </row>
    <row r="91" spans="9:56">
      <c r="K91" s="70" t="str">
        <f>IF(M91=0,"",COUNTIF($N$16:N91,$H$13))</f>
        <v/>
      </c>
      <c r="L91" s="30">
        <f t="shared" si="57"/>
        <v>-64</v>
      </c>
      <c r="M91" s="54">
        <f t="shared" si="49"/>
        <v>0</v>
      </c>
      <c r="N91" s="33">
        <f t="shared" si="58"/>
        <v>0</v>
      </c>
      <c r="O91" s="33" t="str">
        <f t="shared" si="60"/>
        <v/>
      </c>
      <c r="P91" s="33">
        <f>IFERROR(VLOOKUP(M91,'Raw Data'!$A$4:$O$1500,15,0),0)</f>
        <v>0</v>
      </c>
      <c r="Q91" s="33"/>
      <c r="R91" s="30">
        <f>COUNTIF($U$16:U91,$AA$14)</f>
        <v>4</v>
      </c>
      <c r="S91" s="30">
        <f t="shared" si="59"/>
        <v>25</v>
      </c>
      <c r="T91" s="54">
        <f t="shared" si="50"/>
        <v>41777</v>
      </c>
      <c r="U91" s="33" t="str">
        <f t="shared" si="51"/>
        <v>$10 Off,FS on $49</v>
      </c>
      <c r="V91" s="33">
        <f t="shared" si="52"/>
        <v>549</v>
      </c>
      <c r="W91" s="33">
        <f>IFERROR(VLOOKUP(T91,'Raw Data'!$A$4:$O$1500,15,0),0)</f>
        <v>1</v>
      </c>
      <c r="X91" s="35"/>
      <c r="Y91" s="21"/>
      <c r="Z91" s="21"/>
      <c r="AA91" s="21"/>
      <c r="AB91" s="21"/>
      <c r="AC91" s="21"/>
      <c r="AD91" s="21"/>
      <c r="AE91" s="33" t="str">
        <f t="shared" si="40"/>
        <v/>
      </c>
      <c r="AF91" s="114" t="str">
        <f t="shared" si="56"/>
        <v/>
      </c>
      <c r="AG91" s="108" t="str">
        <f t="shared" si="41"/>
        <v/>
      </c>
      <c r="AH91" s="21" t="str">
        <f t="shared" si="42"/>
        <v/>
      </c>
      <c r="AI91" s="21" t="str">
        <f t="shared" si="43"/>
        <v/>
      </c>
      <c r="AJ91" s="21" t="str">
        <f t="shared" si="44"/>
        <v/>
      </c>
      <c r="AK91" s="21" t="str">
        <f t="shared" si="45"/>
        <v/>
      </c>
      <c r="AL91" s="21"/>
      <c r="AM91" s="21"/>
      <c r="AN91" s="21"/>
      <c r="AS91" s="112" t="str">
        <f t="shared" si="53"/>
        <v/>
      </c>
      <c r="AT91" s="112" t="str">
        <f>IF(AS91="","",COUNTIF($AS$13:AS91,AS91))</f>
        <v/>
      </c>
      <c r="AU91" s="147">
        <f t="shared" si="54"/>
        <v>78</v>
      </c>
      <c r="AV91" s="147">
        <f>COUNTIF($AZ$14:AZ91,AZ91)</f>
        <v>29</v>
      </c>
      <c r="AW91" s="147">
        <f>IFERROR(COUNTIF(AX$14:$BL91,AX91),"")</f>
        <v>12</v>
      </c>
      <c r="AX91" s="148" t="str">
        <f t="shared" si="55"/>
        <v>Sun</v>
      </c>
      <c r="AY91" s="149">
        <f>'Raw Data'!A81</f>
        <v>41686</v>
      </c>
      <c r="AZ91" s="150" t="str">
        <f>'Raw Data'!E81</f>
        <v>No Email Drop</v>
      </c>
      <c r="BA91" s="150">
        <f>'Raw Data'!I81</f>
        <v>777</v>
      </c>
      <c r="BB91" s="112"/>
      <c r="BC91" s="112"/>
      <c r="BD91" s="112">
        <f>'Raw Data'!O81</f>
        <v>0</v>
      </c>
    </row>
    <row r="92" spans="9:56">
      <c r="K92" s="70" t="str">
        <f>IF(M92=0,"",COUNTIF($N$16:N92,$H$13))</f>
        <v/>
      </c>
      <c r="L92" s="30">
        <f t="shared" si="57"/>
        <v>-65</v>
      </c>
      <c r="M92" s="54">
        <f t="shared" si="49"/>
        <v>0</v>
      </c>
      <c r="N92" s="33">
        <f t="shared" si="58"/>
        <v>0</v>
      </c>
      <c r="O92" s="33" t="str">
        <f t="shared" si="60"/>
        <v/>
      </c>
      <c r="P92" s="33">
        <f>IFERROR(VLOOKUP(M92,'Raw Data'!$A$4:$O$1500,15,0),0)</f>
        <v>0</v>
      </c>
      <c r="Q92" s="33"/>
      <c r="R92" s="30">
        <f>COUNTIF($U$16:U92,$AA$14)</f>
        <v>4</v>
      </c>
      <c r="S92" s="30">
        <f t="shared" si="59"/>
        <v>24</v>
      </c>
      <c r="T92" s="54">
        <f t="shared" si="50"/>
        <v>41770</v>
      </c>
      <c r="U92" s="33" t="str">
        <f t="shared" si="51"/>
        <v>$30 Off,FS on $100</v>
      </c>
      <c r="V92" s="33">
        <f t="shared" si="52"/>
        <v>446</v>
      </c>
      <c r="W92" s="33">
        <f>IFERROR(VLOOKUP(T92,'Raw Data'!$A$4:$O$1500,15,0),0)</f>
        <v>1</v>
      </c>
      <c r="X92" s="35"/>
      <c r="Y92" s="21"/>
      <c r="Z92" s="21"/>
      <c r="AA92" s="21"/>
      <c r="AB92" s="21"/>
      <c r="AC92" s="21"/>
      <c r="AD92" s="21"/>
      <c r="AE92" s="33" t="str">
        <f t="shared" si="40"/>
        <v/>
      </c>
      <c r="AF92" s="114" t="str">
        <f t="shared" si="56"/>
        <v/>
      </c>
      <c r="AG92" s="108" t="str">
        <f t="shared" si="41"/>
        <v/>
      </c>
      <c r="AH92" s="21" t="str">
        <f t="shared" si="42"/>
        <v/>
      </c>
      <c r="AI92" s="21" t="str">
        <f t="shared" si="43"/>
        <v/>
      </c>
      <c r="AJ92" s="21" t="str">
        <f t="shared" si="44"/>
        <v/>
      </c>
      <c r="AK92" s="21" t="str">
        <f t="shared" si="45"/>
        <v/>
      </c>
      <c r="AL92" s="21"/>
      <c r="AM92" s="21"/>
      <c r="AN92" s="21"/>
      <c r="AS92" s="112" t="str">
        <f t="shared" si="53"/>
        <v/>
      </c>
      <c r="AT92" s="112" t="str">
        <f>IF(AS92="","",COUNTIF($AS$13:AS92,AS92))</f>
        <v/>
      </c>
      <c r="AU92" s="147">
        <f t="shared" si="54"/>
        <v>79</v>
      </c>
      <c r="AV92" s="147">
        <f>COUNTIF($AZ$14:AZ92,AZ92)</f>
        <v>1</v>
      </c>
      <c r="AW92" s="147">
        <f>IFERROR(COUNTIF(AX$14:$BL92,AX92),"")</f>
        <v>12</v>
      </c>
      <c r="AX92" s="148" t="str">
        <f t="shared" si="55"/>
        <v>Mon</v>
      </c>
      <c r="AY92" s="149">
        <f>'Raw Data'!A82</f>
        <v>41687</v>
      </c>
      <c r="AZ92" s="150" t="str">
        <f>'Raw Data'!E82</f>
        <v>President's Day,20% Off,FS on $49</v>
      </c>
      <c r="BA92" s="150">
        <f>'Raw Data'!I82</f>
        <v>1337</v>
      </c>
      <c r="BB92" s="112"/>
      <c r="BC92" s="112"/>
      <c r="BD92" s="112">
        <f>'Raw Data'!O82</f>
        <v>1</v>
      </c>
    </row>
    <row r="93" spans="9:56">
      <c r="K93" s="70" t="str">
        <f>IF(M93=0,"",COUNTIF($N$16:N93,$H$13))</f>
        <v/>
      </c>
      <c r="L93" s="30">
        <f t="shared" si="57"/>
        <v>-66</v>
      </c>
      <c r="M93" s="54">
        <f t="shared" si="49"/>
        <v>0</v>
      </c>
      <c r="N93" s="33">
        <f t="shared" si="58"/>
        <v>0</v>
      </c>
      <c r="O93" s="33" t="str">
        <f t="shared" si="60"/>
        <v/>
      </c>
      <c r="P93" s="33">
        <f>IFERROR(VLOOKUP(M93,'Raw Data'!$A$4:$O$1500,15,0),0)</f>
        <v>0</v>
      </c>
      <c r="Q93" s="33"/>
      <c r="R93" s="30">
        <f>COUNTIF($U$16:U93,$AA$14)</f>
        <v>4</v>
      </c>
      <c r="S93" s="30">
        <f t="shared" si="59"/>
        <v>23</v>
      </c>
      <c r="T93" s="54">
        <f t="shared" si="50"/>
        <v>41763</v>
      </c>
      <c r="U93" s="33" t="str">
        <f t="shared" si="51"/>
        <v>RD Event,Up To 15% Off,FS on $49</v>
      </c>
      <c r="V93" s="33">
        <f t="shared" si="52"/>
        <v>546</v>
      </c>
      <c r="W93" s="33">
        <f>IFERROR(VLOOKUP(T93,'Raw Data'!$A$4:$O$1500,15,0),0)</f>
        <v>1</v>
      </c>
      <c r="X93" s="26"/>
      <c r="Y93" s="21"/>
      <c r="Z93" s="21"/>
      <c r="AA93" s="21"/>
      <c r="AB93" s="21"/>
      <c r="AC93" s="21"/>
      <c r="AD93" s="21"/>
      <c r="AE93" s="33" t="str">
        <f t="shared" si="40"/>
        <v/>
      </c>
      <c r="AF93" s="114" t="str">
        <f t="shared" si="56"/>
        <v/>
      </c>
      <c r="AG93" s="108" t="str">
        <f t="shared" si="41"/>
        <v/>
      </c>
      <c r="AH93" s="21" t="str">
        <f t="shared" si="42"/>
        <v/>
      </c>
      <c r="AI93" s="21" t="str">
        <f t="shared" si="43"/>
        <v/>
      </c>
      <c r="AJ93" s="21" t="str">
        <f t="shared" si="44"/>
        <v/>
      </c>
      <c r="AK93" s="21" t="str">
        <f t="shared" si="45"/>
        <v/>
      </c>
      <c r="AL93" s="21"/>
      <c r="AM93" s="21"/>
      <c r="AN93" s="21"/>
      <c r="AS93" s="112" t="str">
        <f t="shared" si="53"/>
        <v/>
      </c>
      <c r="AT93" s="112" t="str">
        <f>IF(AS93="","",COUNTIF($AS$13:AS93,AS93))</f>
        <v/>
      </c>
      <c r="AU93" s="147">
        <f t="shared" si="54"/>
        <v>80</v>
      </c>
      <c r="AV93" s="147">
        <f>COUNTIF($AZ$14:AZ93,AZ93)</f>
        <v>30</v>
      </c>
      <c r="AW93" s="147">
        <f>IFERROR(COUNTIF(AX$14:$BL93,AX93),"")</f>
        <v>12</v>
      </c>
      <c r="AX93" s="148" t="str">
        <f t="shared" si="55"/>
        <v>Tue</v>
      </c>
      <c r="AY93" s="149">
        <f>'Raw Data'!A83</f>
        <v>41688</v>
      </c>
      <c r="AZ93" s="150" t="str">
        <f>'Raw Data'!E83</f>
        <v>No Email Drop</v>
      </c>
      <c r="BA93" s="150">
        <f>'Raw Data'!I83</f>
        <v>1083</v>
      </c>
      <c r="BB93" s="112"/>
      <c r="BC93" s="112"/>
      <c r="BD93" s="112">
        <f>'Raw Data'!O83</f>
        <v>0</v>
      </c>
    </row>
    <row r="94" spans="9:56">
      <c r="K94" s="70" t="str">
        <f>IF(M94=0,"",COUNTIF($N$16:N94,$H$13))</f>
        <v/>
      </c>
      <c r="L94" s="30">
        <f t="shared" si="57"/>
        <v>-67</v>
      </c>
      <c r="M94" s="54">
        <f t="shared" si="49"/>
        <v>0</v>
      </c>
      <c r="N94" s="33">
        <f t="shared" si="58"/>
        <v>0</v>
      </c>
      <c r="O94" s="33" t="str">
        <f t="shared" si="60"/>
        <v/>
      </c>
      <c r="P94" s="33">
        <f>IFERROR(VLOOKUP(M94,'Raw Data'!$A$4:$O$1500,15,0),0)</f>
        <v>0</v>
      </c>
      <c r="Q94" s="33"/>
      <c r="R94" s="30">
        <f>COUNTIF($U$16:U94,$AA$14)</f>
        <v>5</v>
      </c>
      <c r="S94" s="30">
        <f t="shared" si="59"/>
        <v>22</v>
      </c>
      <c r="T94" s="54">
        <f t="shared" si="50"/>
        <v>41756</v>
      </c>
      <c r="U94" s="33" t="str">
        <f t="shared" si="51"/>
        <v>No Email Drop</v>
      </c>
      <c r="V94" s="33">
        <f t="shared" si="52"/>
        <v>619</v>
      </c>
      <c r="W94" s="33">
        <f>IFERROR(VLOOKUP(T94,'Raw Data'!$A$4:$O$1500,15,0),0)</f>
        <v>0</v>
      </c>
      <c r="X94" s="26"/>
      <c r="Y94" s="21"/>
      <c r="Z94" s="21"/>
      <c r="AA94" s="21"/>
      <c r="AB94" s="21"/>
      <c r="AC94" s="21"/>
      <c r="AD94" s="21"/>
      <c r="AE94" s="33" t="str">
        <f t="shared" si="40"/>
        <v/>
      </c>
      <c r="AF94" s="114" t="str">
        <f t="shared" si="56"/>
        <v/>
      </c>
      <c r="AG94" s="108" t="str">
        <f t="shared" si="41"/>
        <v/>
      </c>
      <c r="AH94" s="21" t="str">
        <f t="shared" si="42"/>
        <v/>
      </c>
      <c r="AI94" s="21" t="str">
        <f t="shared" si="43"/>
        <v/>
      </c>
      <c r="AJ94" s="21" t="str">
        <f t="shared" si="44"/>
        <v/>
      </c>
      <c r="AK94" s="21" t="str">
        <f t="shared" si="45"/>
        <v/>
      </c>
      <c r="AL94" s="21"/>
      <c r="AM94" s="21"/>
      <c r="AN94" s="21"/>
      <c r="AS94" s="112" t="str">
        <f t="shared" si="53"/>
        <v/>
      </c>
      <c r="AT94" s="112" t="str">
        <f>IF(AS94="","",COUNTIF($AS$13:AS94,AS94))</f>
        <v/>
      </c>
      <c r="AU94" s="147">
        <f t="shared" si="54"/>
        <v>81</v>
      </c>
      <c r="AV94" s="147">
        <f>COUNTIF($AZ$14:AZ94,AZ94)</f>
        <v>2</v>
      </c>
      <c r="AW94" s="147">
        <f>IFERROR(COUNTIF(AX$14:$BL94,AX94),"")</f>
        <v>12</v>
      </c>
      <c r="AX94" s="148" t="str">
        <f t="shared" si="55"/>
        <v>Wed</v>
      </c>
      <c r="AY94" s="149">
        <f>'Raw Data'!A84</f>
        <v>41689</v>
      </c>
      <c r="AZ94" s="150" t="str">
        <f>'Raw Data'!E84</f>
        <v>President's Day,20% Off,FS on $49</v>
      </c>
      <c r="BA94" s="150">
        <f>'Raw Data'!I84</f>
        <v>1380</v>
      </c>
      <c r="BB94" s="112"/>
      <c r="BC94" s="112"/>
      <c r="BD94" s="112">
        <f>'Raw Data'!O84</f>
        <v>1</v>
      </c>
    </row>
    <row r="95" spans="9:56">
      <c r="K95" s="70" t="str">
        <f>IF(M95=0,"",COUNTIF($N$16:N95,$H$13))</f>
        <v/>
      </c>
      <c r="L95" s="30">
        <f t="shared" si="57"/>
        <v>-68</v>
      </c>
      <c r="M95" s="54">
        <f t="shared" si="49"/>
        <v>0</v>
      </c>
      <c r="N95" s="33">
        <f t="shared" si="58"/>
        <v>0</v>
      </c>
      <c r="O95" s="33" t="str">
        <f t="shared" si="60"/>
        <v/>
      </c>
      <c r="P95" s="33">
        <f>IFERROR(VLOOKUP(M95,'Raw Data'!$A$4:$O$1500,15,0),0)</f>
        <v>0</v>
      </c>
      <c r="Q95" s="33"/>
      <c r="R95" s="30">
        <f>COUNTIF($U$16:U95,$AA$14)</f>
        <v>5</v>
      </c>
      <c r="S95" s="30">
        <f t="shared" si="59"/>
        <v>21</v>
      </c>
      <c r="T95" s="54">
        <f t="shared" si="50"/>
        <v>41749</v>
      </c>
      <c r="U95" s="33" t="str">
        <f t="shared" si="51"/>
        <v>Up To 40% Off,FS on $49</v>
      </c>
      <c r="V95" s="33">
        <f t="shared" si="52"/>
        <v>417</v>
      </c>
      <c r="W95" s="33">
        <f>IFERROR(VLOOKUP(T95,'Raw Data'!$A$4:$O$1500,15,0),0)</f>
        <v>1</v>
      </c>
      <c r="X95" s="26"/>
      <c r="Y95" s="21"/>
      <c r="Z95" s="21"/>
      <c r="AA95" s="21"/>
      <c r="AB95" s="21"/>
      <c r="AC95" s="21"/>
      <c r="AD95" s="21"/>
      <c r="AE95" s="33" t="str">
        <f t="shared" si="40"/>
        <v/>
      </c>
      <c r="AF95" s="114" t="str">
        <f t="shared" si="56"/>
        <v/>
      </c>
      <c r="AG95" s="108" t="str">
        <f t="shared" si="41"/>
        <v/>
      </c>
      <c r="AH95" s="21" t="str">
        <f t="shared" si="42"/>
        <v/>
      </c>
      <c r="AI95" s="21" t="str">
        <f t="shared" si="43"/>
        <v/>
      </c>
      <c r="AJ95" s="21" t="str">
        <f t="shared" si="44"/>
        <v/>
      </c>
      <c r="AK95" s="21" t="str">
        <f t="shared" si="45"/>
        <v/>
      </c>
      <c r="AL95" s="21"/>
      <c r="AM95" s="21"/>
      <c r="AN95" s="21"/>
      <c r="AS95" s="112" t="str">
        <f t="shared" si="53"/>
        <v/>
      </c>
      <c r="AT95" s="112" t="str">
        <f>IF(AS95="","",COUNTIF($AS$13:AS95,AS95))</f>
        <v/>
      </c>
      <c r="AU95" s="147">
        <f t="shared" si="54"/>
        <v>82</v>
      </c>
      <c r="AV95" s="147">
        <f>COUNTIF($AZ$14:AZ95,AZ95)</f>
        <v>2</v>
      </c>
      <c r="AW95" s="147">
        <f>IFERROR(COUNTIF(AX$14:$BL95,AX95),"")</f>
        <v>12</v>
      </c>
      <c r="AX95" s="148" t="str">
        <f t="shared" si="55"/>
        <v>Thu</v>
      </c>
      <c r="AY95" s="149">
        <f>'Raw Data'!A85</f>
        <v>41690</v>
      </c>
      <c r="AZ95" s="150" t="str">
        <f>'Raw Data'!E85</f>
        <v>Treat Thursday,FS on $49</v>
      </c>
      <c r="BA95" s="150">
        <f>'Raw Data'!I85</f>
        <v>1219</v>
      </c>
      <c r="BB95" s="112"/>
      <c r="BC95" s="112"/>
      <c r="BD95" s="112">
        <f>'Raw Data'!O85</f>
        <v>1</v>
      </c>
    </row>
    <row r="96" spans="9:56">
      <c r="K96" s="70" t="str">
        <f>IF(M96=0,"",COUNTIF($N$16:N96,$H$13))</f>
        <v/>
      </c>
      <c r="L96" s="30">
        <f t="shared" si="57"/>
        <v>-69</v>
      </c>
      <c r="M96" s="54">
        <f t="shared" si="49"/>
        <v>0</v>
      </c>
      <c r="N96" s="33">
        <f t="shared" si="58"/>
        <v>0</v>
      </c>
      <c r="O96" s="33" t="str">
        <f t="shared" si="60"/>
        <v/>
      </c>
      <c r="P96" s="33">
        <f>IFERROR(VLOOKUP(M96,'Raw Data'!$A$4:$O$1500,15,0),0)</f>
        <v>0</v>
      </c>
      <c r="Q96" s="33"/>
      <c r="R96" s="30">
        <f>COUNTIF($U$16:U96,$AA$14)</f>
        <v>6</v>
      </c>
      <c r="S96" s="30">
        <f t="shared" si="59"/>
        <v>20</v>
      </c>
      <c r="T96" s="54">
        <f t="shared" si="50"/>
        <v>41742</v>
      </c>
      <c r="U96" s="33" t="str">
        <f t="shared" si="51"/>
        <v>No Email Drop</v>
      </c>
      <c r="V96" s="33">
        <f t="shared" si="52"/>
        <v>542</v>
      </c>
      <c r="W96" s="33">
        <f>IFERROR(VLOOKUP(T96,'Raw Data'!$A$4:$O$1500,15,0),0)</f>
        <v>0</v>
      </c>
      <c r="X96" s="26"/>
      <c r="Y96" s="21"/>
      <c r="Z96" s="21"/>
      <c r="AA96" s="21"/>
      <c r="AB96" s="21"/>
      <c r="AC96" s="21"/>
      <c r="AD96" s="21"/>
      <c r="AE96" s="33" t="str">
        <f t="shared" si="40"/>
        <v/>
      </c>
      <c r="AF96" s="114" t="str">
        <f t="shared" si="56"/>
        <v/>
      </c>
      <c r="AG96" s="108" t="str">
        <f t="shared" si="41"/>
        <v/>
      </c>
      <c r="AH96" s="21" t="str">
        <f t="shared" si="42"/>
        <v/>
      </c>
      <c r="AI96" s="21" t="str">
        <f t="shared" si="43"/>
        <v/>
      </c>
      <c r="AJ96" s="21" t="str">
        <f t="shared" si="44"/>
        <v/>
      </c>
      <c r="AK96" s="21" t="str">
        <f t="shared" si="45"/>
        <v/>
      </c>
      <c r="AL96" s="21"/>
      <c r="AM96" s="21"/>
      <c r="AN96" s="21"/>
      <c r="AS96" s="112" t="str">
        <f t="shared" si="53"/>
        <v/>
      </c>
      <c r="AT96" s="112" t="str">
        <f>IF(AS96="","",COUNTIF($AS$13:AS96,AS96))</f>
        <v/>
      </c>
      <c r="AU96" s="147">
        <f t="shared" si="54"/>
        <v>83</v>
      </c>
      <c r="AV96" s="147">
        <f>COUNTIF($AZ$14:AZ96,AZ96)</f>
        <v>31</v>
      </c>
      <c r="AW96" s="147">
        <f>IFERROR(COUNTIF(AX$14:$BL96,AX96),"")</f>
        <v>12</v>
      </c>
      <c r="AX96" s="148" t="str">
        <f t="shared" si="55"/>
        <v>Fri</v>
      </c>
      <c r="AY96" s="149">
        <f>'Raw Data'!A86</f>
        <v>41691</v>
      </c>
      <c r="AZ96" s="150" t="str">
        <f>'Raw Data'!E86</f>
        <v>No Email Drop</v>
      </c>
      <c r="BA96" s="150">
        <f>'Raw Data'!I86</f>
        <v>1006</v>
      </c>
      <c r="BB96" s="112"/>
      <c r="BC96" s="112"/>
      <c r="BD96" s="112">
        <f>'Raw Data'!O86</f>
        <v>0</v>
      </c>
    </row>
    <row r="97" spans="11:56">
      <c r="K97" s="70" t="str">
        <f>IF(M97=0,"",COUNTIF($N$16:N97,$H$13))</f>
        <v/>
      </c>
      <c r="L97" s="30">
        <f t="shared" si="57"/>
        <v>-70</v>
      </c>
      <c r="M97" s="54">
        <f t="shared" si="49"/>
        <v>0</v>
      </c>
      <c r="N97" s="33">
        <f t="shared" si="58"/>
        <v>0</v>
      </c>
      <c r="O97" s="33" t="str">
        <f t="shared" si="60"/>
        <v/>
      </c>
      <c r="P97" s="33">
        <f>IFERROR(VLOOKUP(M97,'Raw Data'!$A$4:$O$1500,15,0),0)</f>
        <v>0</v>
      </c>
      <c r="Q97" s="33"/>
      <c r="R97" s="30">
        <f>COUNTIF($U$16:U97,$AA$14)</f>
        <v>6</v>
      </c>
      <c r="S97" s="30">
        <f t="shared" si="59"/>
        <v>19</v>
      </c>
      <c r="T97" s="54">
        <f t="shared" si="50"/>
        <v>41735</v>
      </c>
      <c r="U97" s="33" t="str">
        <f t="shared" si="51"/>
        <v>$20 Off,FS on $80</v>
      </c>
      <c r="V97" s="33">
        <f t="shared" si="52"/>
        <v>654</v>
      </c>
      <c r="W97" s="33">
        <f>IFERROR(VLOOKUP(T97,'Raw Data'!$A$4:$O$1500,15,0),0)</f>
        <v>1</v>
      </c>
      <c r="X97" s="26"/>
      <c r="Y97" s="21"/>
      <c r="Z97" s="21"/>
      <c r="AA97" s="21"/>
      <c r="AB97" s="21"/>
      <c r="AC97" s="21"/>
      <c r="AD97" s="21"/>
      <c r="AE97" s="33" t="str">
        <f t="shared" si="40"/>
        <v/>
      </c>
      <c r="AF97" s="114" t="str">
        <f t="shared" si="56"/>
        <v/>
      </c>
      <c r="AG97" s="108" t="str">
        <f t="shared" si="41"/>
        <v/>
      </c>
      <c r="AH97" s="21" t="str">
        <f t="shared" si="42"/>
        <v/>
      </c>
      <c r="AI97" s="21" t="str">
        <f t="shared" si="43"/>
        <v/>
      </c>
      <c r="AJ97" s="21" t="str">
        <f t="shared" si="44"/>
        <v/>
      </c>
      <c r="AK97" s="21" t="str">
        <f t="shared" si="45"/>
        <v/>
      </c>
      <c r="AL97" s="21"/>
      <c r="AM97" s="21"/>
      <c r="AN97" s="21"/>
      <c r="AS97" s="112" t="str">
        <f t="shared" si="53"/>
        <v/>
      </c>
      <c r="AT97" s="112" t="str">
        <f>IF(AS97="","",COUNTIF($AS$13:AS97,AS97))</f>
        <v/>
      </c>
      <c r="AU97" s="147">
        <f t="shared" si="54"/>
        <v>84</v>
      </c>
      <c r="AV97" s="147">
        <f>COUNTIF($AZ$14:AZ97,AZ97)</f>
        <v>1</v>
      </c>
      <c r="AW97" s="147">
        <f>IFERROR(COUNTIF(AX$14:$BL97,AX97),"")</f>
        <v>12</v>
      </c>
      <c r="AX97" s="148" t="str">
        <f t="shared" si="55"/>
        <v>Sat</v>
      </c>
      <c r="AY97" s="149">
        <f>'Raw Data'!A87</f>
        <v>41692</v>
      </c>
      <c r="AZ97" s="150" t="str">
        <f>'Raw Data'!E87</f>
        <v>RD Event,20% Off on Food,FS on $49</v>
      </c>
      <c r="BA97" s="150">
        <f>'Raw Data'!I87</f>
        <v>998</v>
      </c>
      <c r="BB97" s="112"/>
      <c r="BC97" s="112"/>
      <c r="BD97" s="112">
        <f>'Raw Data'!O87</f>
        <v>1</v>
      </c>
    </row>
    <row r="98" spans="11:56">
      <c r="K98" s="70" t="str">
        <f>IF(M98=0,"",COUNTIF($N$16:N98,$H$13))</f>
        <v/>
      </c>
      <c r="L98" s="30">
        <f t="shared" si="57"/>
        <v>-71</v>
      </c>
      <c r="M98" s="54">
        <f t="shared" si="49"/>
        <v>0</v>
      </c>
      <c r="N98" s="33">
        <f t="shared" si="58"/>
        <v>0</v>
      </c>
      <c r="O98" s="33" t="str">
        <f t="shared" si="60"/>
        <v/>
      </c>
      <c r="P98" s="33">
        <f>IFERROR(VLOOKUP(M98,'Raw Data'!$A$4:$O$1500,15,0),0)</f>
        <v>0</v>
      </c>
      <c r="Q98" s="33"/>
      <c r="R98" s="30">
        <f>COUNTIF($U$16:U98,$AA$14)</f>
        <v>7</v>
      </c>
      <c r="S98" s="30">
        <f t="shared" si="59"/>
        <v>18</v>
      </c>
      <c r="T98" s="54">
        <f t="shared" si="50"/>
        <v>41728</v>
      </c>
      <c r="U98" s="33" t="str">
        <f t="shared" si="51"/>
        <v>No Email Drop</v>
      </c>
      <c r="V98" s="33">
        <f t="shared" si="52"/>
        <v>719</v>
      </c>
      <c r="W98" s="33">
        <f>IFERROR(VLOOKUP(T98,'Raw Data'!$A$4:$O$1500,15,0),0)</f>
        <v>0</v>
      </c>
      <c r="X98" s="26"/>
      <c r="Y98" s="21"/>
      <c r="Z98" s="21"/>
      <c r="AA98" s="21"/>
      <c r="AB98" s="21"/>
      <c r="AC98" s="21"/>
      <c r="AD98" s="21"/>
      <c r="AE98" s="33" t="str">
        <f t="shared" si="40"/>
        <v/>
      </c>
      <c r="AF98" s="114" t="str">
        <f t="shared" si="56"/>
        <v/>
      </c>
      <c r="AG98" s="108" t="str">
        <f t="shared" si="41"/>
        <v/>
      </c>
      <c r="AH98" s="21" t="str">
        <f t="shared" si="42"/>
        <v/>
      </c>
      <c r="AI98" s="21" t="str">
        <f t="shared" si="43"/>
        <v/>
      </c>
      <c r="AJ98" s="21" t="str">
        <f t="shared" si="44"/>
        <v/>
      </c>
      <c r="AK98" s="21" t="str">
        <f t="shared" si="45"/>
        <v/>
      </c>
      <c r="AL98" s="21"/>
      <c r="AM98" s="21"/>
      <c r="AN98" s="21"/>
      <c r="AS98" s="112" t="str">
        <f t="shared" si="53"/>
        <v/>
      </c>
      <c r="AT98" s="112" t="str">
        <f>IF(AS98="","",COUNTIF($AS$13:AS98,AS98))</f>
        <v/>
      </c>
      <c r="AU98" s="147">
        <f t="shared" si="54"/>
        <v>85</v>
      </c>
      <c r="AV98" s="147">
        <f>COUNTIF($AZ$14:AZ98,AZ98)</f>
        <v>1</v>
      </c>
      <c r="AW98" s="147">
        <f>IFERROR(COUNTIF(AX$14:$BL98,AX98),"")</f>
        <v>13</v>
      </c>
      <c r="AX98" s="148" t="str">
        <f t="shared" si="55"/>
        <v>Sun</v>
      </c>
      <c r="AY98" s="149">
        <f>'Raw Data'!A88</f>
        <v>41693</v>
      </c>
      <c r="AZ98" s="150" t="str">
        <f>'Raw Data'!E88</f>
        <v>Free Ship No Min,20% Off</v>
      </c>
      <c r="BA98" s="150">
        <f>'Raw Data'!I88</f>
        <v>1213</v>
      </c>
      <c r="BB98" s="112"/>
      <c r="BC98" s="112"/>
      <c r="BD98" s="112">
        <f>'Raw Data'!O88</f>
        <v>1</v>
      </c>
    </row>
    <row r="99" spans="11:56">
      <c r="K99" s="70" t="str">
        <f>IF(M99=0,"",COUNTIF($N$16:N99,$H$13))</f>
        <v/>
      </c>
      <c r="L99" s="30">
        <f t="shared" si="57"/>
        <v>-72</v>
      </c>
      <c r="M99" s="54">
        <f t="shared" si="49"/>
        <v>0</v>
      </c>
      <c r="N99" s="33">
        <f t="shared" si="58"/>
        <v>0</v>
      </c>
      <c r="O99" s="33" t="str">
        <f t="shared" si="60"/>
        <v/>
      </c>
      <c r="P99" s="33">
        <f>IFERROR(VLOOKUP(M99,'Raw Data'!$A$4:$O$1500,15,0),0)</f>
        <v>0</v>
      </c>
      <c r="Q99" s="33"/>
      <c r="R99" s="30">
        <f>COUNTIF($U$16:U99,$AA$14)</f>
        <v>7</v>
      </c>
      <c r="S99" s="30">
        <f t="shared" si="59"/>
        <v>17</v>
      </c>
      <c r="T99" s="54">
        <f t="shared" si="50"/>
        <v>41721</v>
      </c>
      <c r="U99" s="33" t="str">
        <f t="shared" si="51"/>
        <v>Reveal Your Deal Promo,20, 25, 30% Off,FS on $75</v>
      </c>
      <c r="V99" s="33">
        <f t="shared" si="52"/>
        <v>979</v>
      </c>
      <c r="W99" s="33">
        <f>IFERROR(VLOOKUP(T99,'Raw Data'!$A$4:$O$1500,15,0),0)</f>
        <v>2</v>
      </c>
      <c r="X99" s="26"/>
      <c r="Y99" s="21"/>
      <c r="Z99" s="21"/>
      <c r="AA99" s="21"/>
      <c r="AB99" s="21"/>
      <c r="AC99" s="21"/>
      <c r="AD99" s="21"/>
      <c r="AE99" s="33" t="str">
        <f t="shared" si="40"/>
        <v/>
      </c>
      <c r="AF99" s="114" t="str">
        <f t="shared" si="56"/>
        <v/>
      </c>
      <c r="AG99" s="108" t="str">
        <f t="shared" si="41"/>
        <v/>
      </c>
      <c r="AH99" s="21" t="str">
        <f t="shared" si="42"/>
        <v/>
      </c>
      <c r="AI99" s="21" t="str">
        <f t="shared" si="43"/>
        <v/>
      </c>
      <c r="AJ99" s="21" t="str">
        <f t="shared" si="44"/>
        <v/>
      </c>
      <c r="AK99" s="21" t="str">
        <f t="shared" si="45"/>
        <v/>
      </c>
      <c r="AL99" s="21"/>
      <c r="AM99" s="21"/>
      <c r="AN99" s="21"/>
      <c r="AS99" s="112" t="str">
        <f t="shared" si="53"/>
        <v/>
      </c>
      <c r="AT99" s="112" t="str">
        <f>IF(AS99="","",COUNTIF($AS$13:AS99,AS99))</f>
        <v/>
      </c>
      <c r="AU99" s="147">
        <f t="shared" si="54"/>
        <v>86</v>
      </c>
      <c r="AV99" s="147">
        <f>COUNTIF($AZ$14:AZ99,AZ99)</f>
        <v>2</v>
      </c>
      <c r="AW99" s="147">
        <f>IFERROR(COUNTIF(AX$14:$BL99,AX99),"")</f>
        <v>13</v>
      </c>
      <c r="AX99" s="148" t="str">
        <f t="shared" si="55"/>
        <v>Mon</v>
      </c>
      <c r="AY99" s="149">
        <f>'Raw Data'!A89</f>
        <v>41694</v>
      </c>
      <c r="AZ99" s="150" t="str">
        <f>'Raw Data'!E89</f>
        <v>Free Ship No Min,20% Off</v>
      </c>
      <c r="BA99" s="150">
        <f>'Raw Data'!I89</f>
        <v>1914</v>
      </c>
      <c r="BB99" s="112"/>
      <c r="BC99" s="112"/>
      <c r="BD99" s="112">
        <f>'Raw Data'!O89</f>
        <v>1</v>
      </c>
    </row>
    <row r="100" spans="11:56">
      <c r="K100" s="70" t="str">
        <f>IF(M100=0,"",COUNTIF($N$16:N100,$H$13))</f>
        <v/>
      </c>
      <c r="L100" s="30">
        <f t="shared" si="57"/>
        <v>-73</v>
      </c>
      <c r="M100" s="54">
        <f t="shared" si="49"/>
        <v>0</v>
      </c>
      <c r="N100" s="33">
        <f t="shared" si="58"/>
        <v>0</v>
      </c>
      <c r="O100" s="33" t="str">
        <f t="shared" si="60"/>
        <v/>
      </c>
      <c r="P100" s="33">
        <f>IFERROR(VLOOKUP(M100,'Raw Data'!$A$4:$O$1500,15,0),0)</f>
        <v>0</v>
      </c>
      <c r="Q100" s="33"/>
      <c r="R100" s="30">
        <f>COUNTIF($U$16:U100,$AA$14)</f>
        <v>7</v>
      </c>
      <c r="S100" s="30">
        <f t="shared" si="59"/>
        <v>16</v>
      </c>
      <c r="T100" s="54">
        <f t="shared" si="50"/>
        <v>41714</v>
      </c>
      <c r="U100" s="33" t="str">
        <f t="shared" si="51"/>
        <v>Lucky Saving,17% Off,FS on $49</v>
      </c>
      <c r="V100" s="33">
        <f t="shared" si="52"/>
        <v>710</v>
      </c>
      <c r="W100" s="33">
        <f>IFERROR(VLOOKUP(T100,'Raw Data'!$A$4:$O$1500,15,0),0)</f>
        <v>1</v>
      </c>
      <c r="X100" s="26"/>
      <c r="Y100" s="21"/>
      <c r="Z100" s="21"/>
      <c r="AA100" s="21"/>
      <c r="AB100" s="21"/>
      <c r="AC100" s="21"/>
      <c r="AD100" s="21"/>
      <c r="AE100" s="33" t="str">
        <f t="shared" si="40"/>
        <v/>
      </c>
      <c r="AF100" s="114" t="str">
        <f t="shared" si="56"/>
        <v/>
      </c>
      <c r="AG100" s="108" t="str">
        <f t="shared" si="41"/>
        <v/>
      </c>
      <c r="AH100" s="21" t="str">
        <f t="shared" si="42"/>
        <v/>
      </c>
      <c r="AI100" s="21" t="str">
        <f t="shared" si="43"/>
        <v/>
      </c>
      <c r="AJ100" s="21" t="str">
        <f t="shared" si="44"/>
        <v/>
      </c>
      <c r="AK100" s="21" t="str">
        <f t="shared" si="45"/>
        <v/>
      </c>
      <c r="AL100" s="21"/>
      <c r="AM100" s="21"/>
      <c r="AN100" s="21"/>
      <c r="AS100" s="112" t="str">
        <f t="shared" si="53"/>
        <v/>
      </c>
      <c r="AT100" s="112" t="str">
        <f>IF(AS100="","",COUNTIF($AS$13:AS100,AS100))</f>
        <v/>
      </c>
      <c r="AU100" s="147">
        <f t="shared" si="54"/>
        <v>87</v>
      </c>
      <c r="AV100" s="147">
        <f>COUNTIF($AZ$14:AZ100,AZ100)</f>
        <v>32</v>
      </c>
      <c r="AW100" s="147">
        <f>IFERROR(COUNTIF(AX$14:$BL100,AX100),"")</f>
        <v>13</v>
      </c>
      <c r="AX100" s="148" t="str">
        <f t="shared" si="55"/>
        <v>Tue</v>
      </c>
      <c r="AY100" s="149">
        <f>'Raw Data'!A90</f>
        <v>41695</v>
      </c>
      <c r="AZ100" s="150" t="str">
        <f>'Raw Data'!E90</f>
        <v>No Email Drop</v>
      </c>
      <c r="BA100" s="150">
        <f>'Raw Data'!I90</f>
        <v>1208</v>
      </c>
      <c r="BB100" s="112"/>
      <c r="BC100" s="112"/>
      <c r="BD100" s="112">
        <f>'Raw Data'!O90</f>
        <v>0</v>
      </c>
    </row>
    <row r="101" spans="11:56">
      <c r="K101" s="70" t="str">
        <f>IF(M101=0,"",COUNTIF($N$16:N101,$H$13))</f>
        <v/>
      </c>
      <c r="L101" s="30">
        <f t="shared" si="57"/>
        <v>-74</v>
      </c>
      <c r="M101" s="54">
        <f t="shared" si="49"/>
        <v>0</v>
      </c>
      <c r="N101" s="33">
        <f t="shared" si="58"/>
        <v>0</v>
      </c>
      <c r="O101" s="33" t="str">
        <f t="shared" si="60"/>
        <v/>
      </c>
      <c r="P101" s="33">
        <f>IFERROR(VLOOKUP(M101,'Raw Data'!$A$4:$O$1500,15,0),0)</f>
        <v>0</v>
      </c>
      <c r="Q101" s="33"/>
      <c r="R101" s="30">
        <f>COUNTIF($U$16:U101,$AA$14)</f>
        <v>7</v>
      </c>
      <c r="S101" s="30">
        <f t="shared" si="59"/>
        <v>15</v>
      </c>
      <c r="T101" s="54">
        <f t="shared" si="50"/>
        <v>41707</v>
      </c>
      <c r="U101" s="33" t="str">
        <f t="shared" si="51"/>
        <v>25% Off,FS on $49</v>
      </c>
      <c r="V101" s="33">
        <f t="shared" si="52"/>
        <v>881</v>
      </c>
      <c r="W101" s="33">
        <f>IFERROR(VLOOKUP(T101,'Raw Data'!$A$4:$O$1500,15,0),0)</f>
        <v>1</v>
      </c>
      <c r="X101" s="26"/>
      <c r="Y101" s="21"/>
      <c r="Z101" s="21"/>
      <c r="AA101" s="21"/>
      <c r="AB101" s="21"/>
      <c r="AC101" s="21"/>
      <c r="AD101" s="21"/>
      <c r="AE101" s="33" t="str">
        <f t="shared" si="40"/>
        <v/>
      </c>
      <c r="AF101" s="114" t="str">
        <f t="shared" si="56"/>
        <v/>
      </c>
      <c r="AG101" s="108" t="str">
        <f t="shared" si="41"/>
        <v/>
      </c>
      <c r="AH101" s="21" t="str">
        <f t="shared" si="42"/>
        <v/>
      </c>
      <c r="AI101" s="21" t="str">
        <f t="shared" si="43"/>
        <v/>
      </c>
      <c r="AJ101" s="21" t="str">
        <f t="shared" si="44"/>
        <v/>
      </c>
      <c r="AK101" s="21" t="str">
        <f t="shared" si="45"/>
        <v/>
      </c>
      <c r="AL101" s="21"/>
      <c r="AM101" s="21"/>
      <c r="AN101" s="21"/>
      <c r="AS101" s="112" t="str">
        <f t="shared" si="53"/>
        <v/>
      </c>
      <c r="AT101" s="112" t="str">
        <f>IF(AS101="","",COUNTIF($AS$13:AS101,AS101))</f>
        <v/>
      </c>
      <c r="AU101" s="147">
        <f t="shared" si="54"/>
        <v>88</v>
      </c>
      <c r="AV101" s="147">
        <f>COUNTIF($AZ$14:AZ101,AZ101)</f>
        <v>1</v>
      </c>
      <c r="AW101" s="147">
        <f>IFERROR(COUNTIF(AX$14:$BL101,AX101),"")</f>
        <v>13</v>
      </c>
      <c r="AX101" s="148" t="str">
        <f t="shared" si="55"/>
        <v>Wed</v>
      </c>
      <c r="AY101" s="149">
        <f>'Raw Data'!A91</f>
        <v>41696</v>
      </c>
      <c r="AZ101" s="150" t="str">
        <f>'Raw Data'!E91</f>
        <v>15% Off,FS on $60</v>
      </c>
      <c r="BA101" s="150">
        <f>'Raw Data'!I91</f>
        <v>1492</v>
      </c>
      <c r="BB101" s="112"/>
      <c r="BC101" s="112"/>
      <c r="BD101" s="112">
        <f>'Raw Data'!O91</f>
        <v>2</v>
      </c>
    </row>
    <row r="102" spans="11:56">
      <c r="K102" s="70" t="str">
        <f>IF(M102=0,"",COUNTIF($N$16:N102,$H$13))</f>
        <v/>
      </c>
      <c r="L102" s="30">
        <f t="shared" si="57"/>
        <v>-75</v>
      </c>
      <c r="M102" s="54">
        <f t="shared" si="49"/>
        <v>0</v>
      </c>
      <c r="N102" s="33">
        <f t="shared" si="58"/>
        <v>0</v>
      </c>
      <c r="O102" s="33" t="str">
        <f t="shared" si="60"/>
        <v/>
      </c>
      <c r="P102" s="33">
        <f>IFERROR(VLOOKUP(M102,'Raw Data'!$A$4:$O$1500,15,0),0)</f>
        <v>0</v>
      </c>
      <c r="Q102" s="33"/>
      <c r="R102" s="30">
        <f>COUNTIF($U$16:U102,$AA$14)</f>
        <v>7</v>
      </c>
      <c r="S102" s="30">
        <f t="shared" si="59"/>
        <v>14</v>
      </c>
      <c r="T102" s="54">
        <f t="shared" si="50"/>
        <v>41700</v>
      </c>
      <c r="U102" s="33" t="str">
        <f t="shared" si="51"/>
        <v>Up To 20% Off,FS on $49</v>
      </c>
      <c r="V102" s="33">
        <f t="shared" si="52"/>
        <v>767</v>
      </c>
      <c r="W102" s="33">
        <f>IFERROR(VLOOKUP(T102,'Raw Data'!$A$4:$O$1500,15,0),0)</f>
        <v>1</v>
      </c>
      <c r="X102" s="26"/>
      <c r="Y102" s="21"/>
      <c r="Z102" s="21"/>
      <c r="AA102" s="21"/>
      <c r="AB102" s="21"/>
      <c r="AC102" s="21"/>
      <c r="AD102" s="21"/>
      <c r="AE102" s="33" t="str">
        <f t="shared" si="40"/>
        <v/>
      </c>
      <c r="AF102" s="114" t="str">
        <f t="shared" si="56"/>
        <v/>
      </c>
      <c r="AG102" s="108" t="str">
        <f t="shared" si="41"/>
        <v/>
      </c>
      <c r="AH102" s="21" t="str">
        <f t="shared" si="42"/>
        <v/>
      </c>
      <c r="AI102" s="21" t="str">
        <f t="shared" si="43"/>
        <v/>
      </c>
      <c r="AJ102" s="21" t="str">
        <f t="shared" si="44"/>
        <v/>
      </c>
      <c r="AK102" s="21" t="str">
        <f t="shared" si="45"/>
        <v/>
      </c>
      <c r="AL102" s="21"/>
      <c r="AM102" s="21"/>
      <c r="AN102" s="21"/>
      <c r="AS102" s="112" t="str">
        <f t="shared" si="53"/>
        <v/>
      </c>
      <c r="AT102" s="112" t="str">
        <f>IF(AS102="","",COUNTIF($AS$13:AS102,AS102))</f>
        <v/>
      </c>
      <c r="AU102" s="147">
        <f t="shared" si="54"/>
        <v>89</v>
      </c>
      <c r="AV102" s="147">
        <f>COUNTIF($AZ$14:AZ102,AZ102)</f>
        <v>1</v>
      </c>
      <c r="AW102" s="147">
        <f>IFERROR(COUNTIF(AX$14:$BL102,AX102),"")</f>
        <v>13</v>
      </c>
      <c r="AX102" s="148" t="str">
        <f t="shared" si="55"/>
        <v>Thu</v>
      </c>
      <c r="AY102" s="149">
        <f>'Raw Data'!A92</f>
        <v>41697</v>
      </c>
      <c r="AZ102" s="150" t="str">
        <f>'Raw Data'!E92</f>
        <v>Treat Thursday</v>
      </c>
      <c r="BA102" s="150">
        <f>'Raw Data'!I92</f>
        <v>1297</v>
      </c>
      <c r="BB102" s="112"/>
      <c r="BC102" s="112"/>
      <c r="BD102" s="112">
        <f>'Raw Data'!O92</f>
        <v>1</v>
      </c>
    </row>
    <row r="103" spans="11:56">
      <c r="K103" s="70" t="str">
        <f>IF(M103=0,"",COUNTIF($N$16:N103,$H$13))</f>
        <v/>
      </c>
      <c r="L103" s="30">
        <f t="shared" si="57"/>
        <v>-76</v>
      </c>
      <c r="M103" s="54">
        <f t="shared" si="49"/>
        <v>0</v>
      </c>
      <c r="N103" s="33">
        <f t="shared" si="58"/>
        <v>0</v>
      </c>
      <c r="O103" s="33" t="str">
        <f t="shared" si="60"/>
        <v/>
      </c>
      <c r="P103" s="33">
        <f>IFERROR(VLOOKUP(M103,'Raw Data'!$A$4:$O$1500,15,0),0)</f>
        <v>0</v>
      </c>
      <c r="Q103" s="33"/>
      <c r="R103" s="30">
        <f>COUNTIF($U$16:U103,$AA$14)</f>
        <v>7</v>
      </c>
      <c r="S103" s="30">
        <f t="shared" si="59"/>
        <v>13</v>
      </c>
      <c r="T103" s="54">
        <f t="shared" si="50"/>
        <v>41693</v>
      </c>
      <c r="U103" s="33" t="str">
        <f t="shared" si="51"/>
        <v>Free Ship No Min,20% Off</v>
      </c>
      <c r="V103" s="33">
        <f t="shared" si="52"/>
        <v>1213</v>
      </c>
      <c r="W103" s="33">
        <f>IFERROR(VLOOKUP(T103,'Raw Data'!$A$4:$O$1500,15,0),0)</f>
        <v>1</v>
      </c>
      <c r="X103" s="26"/>
      <c r="Y103" s="21"/>
      <c r="Z103" s="21"/>
      <c r="AA103" s="21"/>
      <c r="AB103" s="21"/>
      <c r="AC103" s="21"/>
      <c r="AD103" s="21"/>
      <c r="AE103" s="33" t="str">
        <f t="shared" si="40"/>
        <v/>
      </c>
      <c r="AF103" s="114" t="str">
        <f t="shared" si="56"/>
        <v/>
      </c>
      <c r="AG103" s="108" t="str">
        <f t="shared" si="41"/>
        <v/>
      </c>
      <c r="AH103" s="21" t="str">
        <f t="shared" si="42"/>
        <v/>
      </c>
      <c r="AI103" s="21" t="str">
        <f t="shared" si="43"/>
        <v/>
      </c>
      <c r="AJ103" s="21" t="str">
        <f t="shared" si="44"/>
        <v/>
      </c>
      <c r="AK103" s="21" t="str">
        <f t="shared" si="45"/>
        <v/>
      </c>
      <c r="AL103" s="21"/>
      <c r="AM103" s="21"/>
      <c r="AN103" s="21"/>
      <c r="AS103" s="112" t="str">
        <f t="shared" si="53"/>
        <v/>
      </c>
      <c r="AT103" s="112" t="str">
        <f>IF(AS103="","",COUNTIF($AS$13:AS103,AS103))</f>
        <v/>
      </c>
      <c r="AU103" s="147">
        <f t="shared" si="54"/>
        <v>90</v>
      </c>
      <c r="AV103" s="147">
        <f>COUNTIF($AZ$14:AZ103,AZ103)</f>
        <v>33</v>
      </c>
      <c r="AW103" s="147">
        <f>IFERROR(COUNTIF(AX$14:$BL103,AX103),"")</f>
        <v>13</v>
      </c>
      <c r="AX103" s="148" t="str">
        <f t="shared" si="55"/>
        <v>Fri</v>
      </c>
      <c r="AY103" s="149">
        <f>'Raw Data'!A93</f>
        <v>41698</v>
      </c>
      <c r="AZ103" s="150" t="str">
        <f>'Raw Data'!E93</f>
        <v>No Email Drop</v>
      </c>
      <c r="BA103" s="150">
        <f>'Raw Data'!I93</f>
        <v>1191</v>
      </c>
      <c r="BB103" s="112"/>
      <c r="BC103" s="112"/>
      <c r="BD103" s="112">
        <f>'Raw Data'!O93</f>
        <v>0</v>
      </c>
    </row>
    <row r="104" spans="11:56">
      <c r="K104" s="70" t="str">
        <f>IF(M104=0,"",COUNTIF($N$16:N104,$H$13))</f>
        <v/>
      </c>
      <c r="L104" s="30">
        <f t="shared" si="57"/>
        <v>-77</v>
      </c>
      <c r="M104" s="54">
        <f t="shared" si="49"/>
        <v>0</v>
      </c>
      <c r="N104" s="33">
        <f t="shared" si="58"/>
        <v>0</v>
      </c>
      <c r="O104" s="33" t="str">
        <f t="shared" si="60"/>
        <v/>
      </c>
      <c r="P104" s="33">
        <f>IFERROR(VLOOKUP(M104,'Raw Data'!$A$4:$O$1500,15,0),0)</f>
        <v>0</v>
      </c>
      <c r="Q104" s="33"/>
      <c r="R104" s="30">
        <f>COUNTIF($U$16:U104,$AA$14)</f>
        <v>8</v>
      </c>
      <c r="S104" s="30">
        <f t="shared" si="59"/>
        <v>12</v>
      </c>
      <c r="T104" s="54">
        <f t="shared" si="50"/>
        <v>41686</v>
      </c>
      <c r="U104" s="33" t="str">
        <f t="shared" si="51"/>
        <v>No Email Drop</v>
      </c>
      <c r="V104" s="33">
        <f t="shared" si="52"/>
        <v>777</v>
      </c>
      <c r="W104" s="33">
        <f>IFERROR(VLOOKUP(T104,'Raw Data'!$A$4:$O$1500,15,0),0)</f>
        <v>0</v>
      </c>
      <c r="X104" s="26"/>
      <c r="Y104" s="21"/>
      <c r="Z104" s="21"/>
      <c r="AA104" s="21"/>
      <c r="AB104" s="21"/>
      <c r="AC104" s="21"/>
      <c r="AD104" s="21"/>
      <c r="AE104" s="33" t="str">
        <f t="shared" si="40"/>
        <v/>
      </c>
      <c r="AF104" s="114" t="str">
        <f t="shared" si="56"/>
        <v/>
      </c>
      <c r="AG104" s="108" t="str">
        <f t="shared" si="41"/>
        <v/>
      </c>
      <c r="AH104" s="21" t="str">
        <f t="shared" si="42"/>
        <v/>
      </c>
      <c r="AI104" s="21" t="str">
        <f t="shared" si="43"/>
        <v/>
      </c>
      <c r="AJ104" s="21" t="str">
        <f t="shared" si="44"/>
        <v/>
      </c>
      <c r="AK104" s="21" t="str">
        <f t="shared" si="45"/>
        <v/>
      </c>
      <c r="AL104" s="21"/>
      <c r="AM104" s="21"/>
      <c r="AN104" s="21"/>
      <c r="AS104" s="112" t="str">
        <f t="shared" si="53"/>
        <v/>
      </c>
      <c r="AT104" s="112" t="str">
        <f>IF(AS104="","",COUNTIF($AS$13:AS104,AS104))</f>
        <v/>
      </c>
      <c r="AU104" s="147">
        <f t="shared" si="54"/>
        <v>91</v>
      </c>
      <c r="AV104" s="147">
        <f>COUNTIF($AZ$14:AZ104,AZ104)</f>
        <v>34</v>
      </c>
      <c r="AW104" s="147">
        <f>IFERROR(COUNTIF(AX$14:$BL104,AX104),"")</f>
        <v>13</v>
      </c>
      <c r="AX104" s="148" t="str">
        <f t="shared" si="55"/>
        <v>Sat</v>
      </c>
      <c r="AY104" s="149">
        <f>'Raw Data'!A94</f>
        <v>41699</v>
      </c>
      <c r="AZ104" s="150" t="str">
        <f>'Raw Data'!E94</f>
        <v>No Email Drop</v>
      </c>
      <c r="BA104" s="150">
        <f>'Raw Data'!I94</f>
        <v>1127</v>
      </c>
      <c r="BB104" s="112"/>
      <c r="BC104" s="112"/>
      <c r="BD104" s="112">
        <f>'Raw Data'!O94</f>
        <v>0</v>
      </c>
    </row>
    <row r="105" spans="11:56">
      <c r="K105" s="70" t="str">
        <f>IF(M105=0,"",COUNTIF($N$16:N105,$H$13))</f>
        <v/>
      </c>
      <c r="L105" s="30">
        <f t="shared" si="57"/>
        <v>-78</v>
      </c>
      <c r="M105" s="54">
        <f t="shared" si="49"/>
        <v>0</v>
      </c>
      <c r="N105" s="33">
        <f t="shared" si="58"/>
        <v>0</v>
      </c>
      <c r="O105" s="33" t="str">
        <f t="shared" si="60"/>
        <v/>
      </c>
      <c r="P105" s="33">
        <f>IFERROR(VLOOKUP(M105,'Raw Data'!$A$4:$O$1500,15,0),0)</f>
        <v>0</v>
      </c>
      <c r="Q105" s="33"/>
      <c r="R105" s="30">
        <f>COUNTIF($U$16:U105,$AA$14)</f>
        <v>8</v>
      </c>
      <c r="S105" s="30">
        <f t="shared" si="59"/>
        <v>11</v>
      </c>
      <c r="T105" s="54">
        <f t="shared" si="50"/>
        <v>41679</v>
      </c>
      <c r="U105" s="33" t="str">
        <f t="shared" si="51"/>
        <v>Double Points,FS on $49</v>
      </c>
      <c r="V105" s="33">
        <f t="shared" si="52"/>
        <v>830</v>
      </c>
      <c r="W105" s="33">
        <f>IFERROR(VLOOKUP(T105,'Raw Data'!$A$4:$O$1500,15,0),0)</f>
        <v>1</v>
      </c>
      <c r="X105" s="26"/>
      <c r="Y105" s="21"/>
      <c r="Z105" s="21"/>
      <c r="AA105" s="21"/>
      <c r="AB105" s="21"/>
      <c r="AC105" s="21"/>
      <c r="AD105" s="21"/>
      <c r="AE105" s="33" t="str">
        <f t="shared" si="40"/>
        <v/>
      </c>
      <c r="AF105" s="114" t="str">
        <f t="shared" si="56"/>
        <v/>
      </c>
      <c r="AG105" s="108" t="str">
        <f t="shared" si="41"/>
        <v/>
      </c>
      <c r="AH105" s="21" t="str">
        <f t="shared" si="42"/>
        <v/>
      </c>
      <c r="AI105" s="21" t="str">
        <f t="shared" si="43"/>
        <v/>
      </c>
      <c r="AJ105" s="21" t="str">
        <f t="shared" si="44"/>
        <v/>
      </c>
      <c r="AK105" s="21" t="str">
        <f t="shared" si="45"/>
        <v/>
      </c>
      <c r="AL105" s="21"/>
      <c r="AM105" s="21"/>
      <c r="AN105" s="21"/>
      <c r="AS105" s="112" t="str">
        <f t="shared" si="53"/>
        <v/>
      </c>
      <c r="AT105" s="112" t="str">
        <f>IF(AS105="","",COUNTIF($AS$13:AS105,AS105))</f>
        <v/>
      </c>
      <c r="AU105" s="147">
        <f t="shared" si="54"/>
        <v>92</v>
      </c>
      <c r="AV105" s="147">
        <f>COUNTIF($AZ$14:AZ105,AZ105)</f>
        <v>1</v>
      </c>
      <c r="AW105" s="147">
        <f>IFERROR(COUNTIF(AX$14:$BL105,AX105),"")</f>
        <v>14</v>
      </c>
      <c r="AX105" s="148" t="str">
        <f t="shared" si="55"/>
        <v>Sun</v>
      </c>
      <c r="AY105" s="149">
        <f>'Raw Data'!A95</f>
        <v>41700</v>
      </c>
      <c r="AZ105" s="150" t="str">
        <f>'Raw Data'!E95</f>
        <v>Up To 20% Off,FS on $49</v>
      </c>
      <c r="BA105" s="150">
        <f>'Raw Data'!I95</f>
        <v>767</v>
      </c>
      <c r="BB105" s="112"/>
      <c r="BC105" s="112"/>
      <c r="BD105" s="112">
        <f>'Raw Data'!O95</f>
        <v>1</v>
      </c>
    </row>
    <row r="106" spans="11:56">
      <c r="K106" s="70" t="str">
        <f>IF(M106=0,"",COUNTIF($N$16:N106,$H$13))</f>
        <v/>
      </c>
      <c r="L106" s="30">
        <f t="shared" si="57"/>
        <v>-79</v>
      </c>
      <c r="M106" s="54">
        <f t="shared" si="49"/>
        <v>0</v>
      </c>
      <c r="N106" s="33">
        <f t="shared" si="58"/>
        <v>0</v>
      </c>
      <c r="O106" s="33" t="str">
        <f t="shared" si="60"/>
        <v/>
      </c>
      <c r="P106" s="33">
        <f>IFERROR(VLOOKUP(M106,'Raw Data'!$A$4:$O$1500,15,0),0)</f>
        <v>0</v>
      </c>
      <c r="Q106" s="33"/>
      <c r="R106" s="30">
        <f>COUNTIF($U$16:U106,$AA$14)</f>
        <v>8</v>
      </c>
      <c r="S106" s="30">
        <f t="shared" si="59"/>
        <v>10</v>
      </c>
      <c r="T106" s="54">
        <f t="shared" si="50"/>
        <v>41672</v>
      </c>
      <c r="U106" s="33" t="str">
        <f t="shared" si="51"/>
        <v>Groundhog Day,20% Off,FS on $49</v>
      </c>
      <c r="V106" s="33">
        <f t="shared" si="52"/>
        <v>842</v>
      </c>
      <c r="W106" s="33">
        <f>IFERROR(VLOOKUP(T106,'Raw Data'!$A$4:$O$1500,15,0),0)</f>
        <v>1</v>
      </c>
      <c r="X106" s="26"/>
      <c r="Y106" s="21"/>
      <c r="Z106" s="21"/>
      <c r="AA106" s="21"/>
      <c r="AB106" s="21"/>
      <c r="AC106" s="21"/>
      <c r="AD106" s="21"/>
      <c r="AE106" s="33" t="str">
        <f t="shared" si="40"/>
        <v/>
      </c>
      <c r="AF106" s="114" t="str">
        <f t="shared" si="56"/>
        <v/>
      </c>
      <c r="AG106" s="108" t="str">
        <f t="shared" si="41"/>
        <v/>
      </c>
      <c r="AH106" s="21" t="str">
        <f t="shared" si="42"/>
        <v/>
      </c>
      <c r="AI106" s="21" t="str">
        <f t="shared" si="43"/>
        <v/>
      </c>
      <c r="AJ106" s="21" t="str">
        <f t="shared" si="44"/>
        <v/>
      </c>
      <c r="AK106" s="21" t="str">
        <f t="shared" si="45"/>
        <v/>
      </c>
      <c r="AL106" s="21"/>
      <c r="AM106" s="21"/>
      <c r="AN106" s="21"/>
      <c r="AS106" s="112" t="str">
        <f t="shared" si="53"/>
        <v/>
      </c>
      <c r="AT106" s="112" t="str">
        <f>IF(AS106="","",COUNTIF($AS$13:AS106,AS106))</f>
        <v/>
      </c>
      <c r="AU106" s="147">
        <f t="shared" si="54"/>
        <v>93</v>
      </c>
      <c r="AV106" s="147">
        <f>COUNTIF($AZ$14:AZ106,AZ106)</f>
        <v>35</v>
      </c>
      <c r="AW106" s="147">
        <f>IFERROR(COUNTIF(AX$14:$BL106,AX106),"")</f>
        <v>14</v>
      </c>
      <c r="AX106" s="148" t="str">
        <f t="shared" si="55"/>
        <v>Mon</v>
      </c>
      <c r="AY106" s="149">
        <f>'Raw Data'!A96</f>
        <v>41701</v>
      </c>
      <c r="AZ106" s="150" t="str">
        <f>'Raw Data'!E96</f>
        <v>No Email Drop</v>
      </c>
      <c r="BA106" s="150">
        <f>'Raw Data'!I96</f>
        <v>1205</v>
      </c>
      <c r="BB106" s="112"/>
      <c r="BC106" s="112"/>
      <c r="BD106" s="112">
        <f>'Raw Data'!O96</f>
        <v>0</v>
      </c>
    </row>
    <row r="107" spans="11:56">
      <c r="K107" s="70" t="str">
        <f>IF(M107=0,"",COUNTIF($N$16:N107,$H$13))</f>
        <v/>
      </c>
      <c r="L107" s="30">
        <f t="shared" si="57"/>
        <v>-80</v>
      </c>
      <c r="M107" s="54">
        <f t="shared" si="49"/>
        <v>0</v>
      </c>
      <c r="N107" s="33">
        <f t="shared" si="58"/>
        <v>0</v>
      </c>
      <c r="O107" s="33" t="str">
        <f t="shared" si="60"/>
        <v/>
      </c>
      <c r="P107" s="33">
        <f>IFERROR(VLOOKUP(M107,'Raw Data'!$A$4:$O$1500,15,0),0)</f>
        <v>0</v>
      </c>
      <c r="Q107" s="33"/>
      <c r="R107" s="30">
        <f>COUNTIF($U$16:U107,$AA$14)</f>
        <v>8</v>
      </c>
      <c r="S107" s="30">
        <f t="shared" si="59"/>
        <v>9</v>
      </c>
      <c r="T107" s="54">
        <f t="shared" si="50"/>
        <v>41665</v>
      </c>
      <c r="U107" s="33" t="str">
        <f t="shared" si="51"/>
        <v>Reveal Your Deal Promo,$10, $20, $30 Off,FS on $49</v>
      </c>
      <c r="V107" s="33">
        <f t="shared" si="52"/>
        <v>1016</v>
      </c>
      <c r="W107" s="33">
        <f>IFERROR(VLOOKUP(T107,'Raw Data'!$A$4:$O$1500,15,0),0)</f>
        <v>2</v>
      </c>
      <c r="X107" s="26"/>
      <c r="Y107" s="21"/>
      <c r="Z107" s="21"/>
      <c r="AA107" s="21"/>
      <c r="AB107" s="21"/>
      <c r="AC107" s="21"/>
      <c r="AD107" s="21"/>
      <c r="AE107" s="33" t="str">
        <f t="shared" si="40"/>
        <v/>
      </c>
      <c r="AF107" s="114" t="str">
        <f t="shared" si="56"/>
        <v/>
      </c>
      <c r="AG107" s="108" t="str">
        <f t="shared" si="41"/>
        <v/>
      </c>
      <c r="AH107" s="21" t="str">
        <f t="shared" si="42"/>
        <v/>
      </c>
      <c r="AI107" s="21" t="str">
        <f t="shared" si="43"/>
        <v/>
      </c>
      <c r="AJ107" s="21" t="str">
        <f t="shared" si="44"/>
        <v/>
      </c>
      <c r="AK107" s="21" t="str">
        <f t="shared" si="45"/>
        <v/>
      </c>
      <c r="AL107" s="21"/>
      <c r="AM107" s="21"/>
      <c r="AN107" s="21"/>
      <c r="AS107" s="112" t="str">
        <f t="shared" si="53"/>
        <v/>
      </c>
      <c r="AT107" s="112" t="str">
        <f>IF(AS107="","",COUNTIF($AS$13:AS107,AS107))</f>
        <v/>
      </c>
      <c r="AU107" s="147">
        <f t="shared" si="54"/>
        <v>94</v>
      </c>
      <c r="AV107" s="147">
        <f>COUNTIF($AZ$14:AZ107,AZ107)</f>
        <v>2</v>
      </c>
      <c r="AW107" s="147">
        <f>IFERROR(COUNTIF(AX$14:$BL107,AX107),"")</f>
        <v>14</v>
      </c>
      <c r="AX107" s="148" t="str">
        <f t="shared" si="55"/>
        <v>Tue</v>
      </c>
      <c r="AY107" s="149">
        <f>'Raw Data'!A97</f>
        <v>41702</v>
      </c>
      <c r="AZ107" s="150" t="str">
        <f>'Raw Data'!E97</f>
        <v>Up To 20% Off,FS on $49</v>
      </c>
      <c r="BA107" s="150">
        <f>'Raw Data'!I97</f>
        <v>1274</v>
      </c>
      <c r="BB107" s="112"/>
      <c r="BC107" s="112"/>
      <c r="BD107" s="112">
        <f>'Raw Data'!O97</f>
        <v>1</v>
      </c>
    </row>
    <row r="108" spans="11:56">
      <c r="K108" s="70" t="str">
        <f>IF(M108=0,"",COUNTIF($N$16:N108,$H$13))</f>
        <v/>
      </c>
      <c r="L108" s="30">
        <f t="shared" si="57"/>
        <v>-81</v>
      </c>
      <c r="M108" s="54">
        <f t="shared" si="49"/>
        <v>0</v>
      </c>
      <c r="N108" s="33">
        <f t="shared" si="58"/>
        <v>0</v>
      </c>
      <c r="O108" s="33" t="str">
        <f t="shared" si="60"/>
        <v/>
      </c>
      <c r="P108" s="33">
        <f>IFERROR(VLOOKUP(M108,'Raw Data'!$A$4:$O$1500,15,0),0)</f>
        <v>0</v>
      </c>
      <c r="Q108" s="33"/>
      <c r="R108" s="30">
        <f>COUNTIF($U$16:U108,$AA$14)</f>
        <v>8</v>
      </c>
      <c r="S108" s="30">
        <f t="shared" si="59"/>
        <v>8</v>
      </c>
      <c r="T108" s="54">
        <f t="shared" si="50"/>
        <v>41658</v>
      </c>
      <c r="U108" s="33" t="str">
        <f t="shared" si="51"/>
        <v>20% Off,FS on $49</v>
      </c>
      <c r="V108" s="33">
        <f t="shared" si="52"/>
        <v>809</v>
      </c>
      <c r="W108" s="33">
        <f>IFERROR(VLOOKUP(T108,'Raw Data'!$A$4:$O$1500,15,0),0)</f>
        <v>1</v>
      </c>
      <c r="X108" s="26"/>
      <c r="Y108" s="21"/>
      <c r="Z108" s="21"/>
      <c r="AA108" s="21"/>
      <c r="AB108" s="21"/>
      <c r="AC108" s="21"/>
      <c r="AD108" s="21"/>
      <c r="AE108" s="33" t="str">
        <f t="shared" si="40"/>
        <v/>
      </c>
      <c r="AF108" s="114" t="str">
        <f t="shared" si="56"/>
        <v/>
      </c>
      <c r="AG108" s="108" t="str">
        <f t="shared" si="41"/>
        <v/>
      </c>
      <c r="AH108" s="21" t="str">
        <f t="shared" si="42"/>
        <v/>
      </c>
      <c r="AI108" s="21" t="str">
        <f t="shared" si="43"/>
        <v/>
      </c>
      <c r="AJ108" s="21" t="str">
        <f t="shared" si="44"/>
        <v/>
      </c>
      <c r="AK108" s="21" t="str">
        <f t="shared" si="45"/>
        <v/>
      </c>
      <c r="AL108" s="21"/>
      <c r="AM108" s="21"/>
      <c r="AN108" s="21"/>
      <c r="AS108" s="112" t="str">
        <f t="shared" si="53"/>
        <v/>
      </c>
      <c r="AT108" s="112" t="str">
        <f>IF(AS108="","",COUNTIF($AS$13:AS108,AS108))</f>
        <v/>
      </c>
      <c r="AU108" s="147">
        <f t="shared" si="54"/>
        <v>95</v>
      </c>
      <c r="AV108" s="147">
        <f>COUNTIF($AZ$14:AZ108,AZ108)</f>
        <v>36</v>
      </c>
      <c r="AW108" s="147">
        <f>IFERROR(COUNTIF(AX$14:$BL108,AX108),"")</f>
        <v>14</v>
      </c>
      <c r="AX108" s="148" t="str">
        <f t="shared" si="55"/>
        <v>Wed</v>
      </c>
      <c r="AY108" s="149">
        <f>'Raw Data'!A98</f>
        <v>41703</v>
      </c>
      <c r="AZ108" s="150" t="str">
        <f>'Raw Data'!E98</f>
        <v>No Email Drop</v>
      </c>
      <c r="BA108" s="150">
        <f>'Raw Data'!I98</f>
        <v>1120</v>
      </c>
      <c r="BB108" s="112"/>
      <c r="BC108" s="112"/>
      <c r="BD108" s="112">
        <f>'Raw Data'!O98</f>
        <v>0</v>
      </c>
    </row>
    <row r="109" spans="11:56">
      <c r="K109" s="70" t="str">
        <f>IF(M109=0,"",COUNTIF($N$16:N109,$H$13))</f>
        <v/>
      </c>
      <c r="L109" s="30">
        <f t="shared" si="57"/>
        <v>-82</v>
      </c>
      <c r="M109" s="54">
        <f t="shared" si="49"/>
        <v>0</v>
      </c>
      <c r="N109" s="33">
        <f t="shared" si="58"/>
        <v>0</v>
      </c>
      <c r="O109" s="33" t="str">
        <f t="shared" si="60"/>
        <v/>
      </c>
      <c r="P109" s="33">
        <f>IFERROR(VLOOKUP(M109,'Raw Data'!$A$4:$O$1500,15,0),0)</f>
        <v>0</v>
      </c>
      <c r="Q109" s="33"/>
      <c r="R109" s="30">
        <f>COUNTIF($U$16:U109,$AA$14)</f>
        <v>8</v>
      </c>
      <c r="S109" s="30">
        <f t="shared" si="59"/>
        <v>7</v>
      </c>
      <c r="T109" s="54">
        <f t="shared" si="50"/>
        <v>41651</v>
      </c>
      <c r="U109" s="33" t="str">
        <f t="shared" si="51"/>
        <v>$30 Off,FS on $100</v>
      </c>
      <c r="V109" s="33">
        <f t="shared" si="52"/>
        <v>1655</v>
      </c>
      <c r="W109" s="33">
        <f>IFERROR(VLOOKUP(T109,'Raw Data'!$A$4:$O$1500,15,0),0)</f>
        <v>1</v>
      </c>
      <c r="X109" s="26"/>
      <c r="Y109" s="21"/>
      <c r="Z109" s="21"/>
      <c r="AA109" s="21"/>
      <c r="AB109" s="21"/>
      <c r="AC109" s="21"/>
      <c r="AD109" s="21"/>
      <c r="AE109" s="33" t="str">
        <f t="shared" si="40"/>
        <v/>
      </c>
      <c r="AF109" s="114" t="str">
        <f t="shared" si="56"/>
        <v/>
      </c>
      <c r="AG109" s="108" t="str">
        <f t="shared" si="41"/>
        <v/>
      </c>
      <c r="AH109" s="21" t="str">
        <f t="shared" si="42"/>
        <v/>
      </c>
      <c r="AI109" s="21" t="str">
        <f t="shared" si="43"/>
        <v/>
      </c>
      <c r="AJ109" s="21" t="str">
        <f t="shared" si="44"/>
        <v/>
      </c>
      <c r="AK109" s="21" t="str">
        <f t="shared" si="45"/>
        <v/>
      </c>
      <c r="AL109" s="21"/>
      <c r="AM109" s="21"/>
      <c r="AN109" s="21"/>
      <c r="AS109" s="112" t="str">
        <f t="shared" si="53"/>
        <v/>
      </c>
      <c r="AT109" s="112" t="str">
        <f>IF(AS109="","",COUNTIF($AS$13:AS109,AS109))</f>
        <v/>
      </c>
      <c r="AU109" s="147">
        <f t="shared" si="54"/>
        <v>96</v>
      </c>
      <c r="AV109" s="147">
        <f>COUNTIF($AZ$14:AZ109,AZ109)</f>
        <v>1</v>
      </c>
      <c r="AW109" s="147">
        <f>IFERROR(COUNTIF(AX$14:$BL109,AX109),"")</f>
        <v>14</v>
      </c>
      <c r="AX109" s="148" t="str">
        <f t="shared" si="55"/>
        <v>Thu</v>
      </c>
      <c r="AY109" s="149">
        <f>'Raw Data'!A99</f>
        <v>41704</v>
      </c>
      <c r="AZ109" s="150" t="str">
        <f>'Raw Data'!E99</f>
        <v>Treat Thursday,Buy $25 get $5 eGC ,</v>
      </c>
      <c r="BA109" s="150">
        <f>'Raw Data'!I99</f>
        <v>1410</v>
      </c>
      <c r="BB109" s="112"/>
      <c r="BC109" s="112"/>
      <c r="BD109" s="112">
        <f>'Raw Data'!O99</f>
        <v>1</v>
      </c>
    </row>
    <row r="110" spans="11:56">
      <c r="K110" s="70" t="str">
        <f>IF(M110=0,"",COUNTIF($N$16:N110,$H$13))</f>
        <v/>
      </c>
      <c r="L110" s="30">
        <f t="shared" si="57"/>
        <v>-83</v>
      </c>
      <c r="M110" s="54">
        <f t="shared" si="49"/>
        <v>0</v>
      </c>
      <c r="N110" s="33">
        <f t="shared" si="58"/>
        <v>0</v>
      </c>
      <c r="O110" s="33" t="str">
        <f t="shared" si="60"/>
        <v/>
      </c>
      <c r="P110" s="33">
        <f>IFERROR(VLOOKUP(M110,'Raw Data'!$A$4:$O$1500,15,0),0)</f>
        <v>0</v>
      </c>
      <c r="Q110" s="33"/>
      <c r="R110" s="30">
        <f>COUNTIF($U$16:U110,$AA$14)</f>
        <v>8</v>
      </c>
      <c r="S110" s="30">
        <f t="shared" si="59"/>
        <v>6</v>
      </c>
      <c r="T110" s="54">
        <f t="shared" si="50"/>
        <v>41644</v>
      </c>
      <c r="U110" s="33" t="str">
        <f t="shared" si="51"/>
        <v>25% Off,FS on $49</v>
      </c>
      <c r="V110" s="33">
        <f t="shared" si="52"/>
        <v>1037</v>
      </c>
      <c r="W110" s="33">
        <f>IFERROR(VLOOKUP(T110,'Raw Data'!$A$4:$O$1500,15,0),0)</f>
        <v>1</v>
      </c>
      <c r="X110" s="26"/>
      <c r="Y110" s="21"/>
      <c r="Z110" s="21"/>
      <c r="AA110" s="21"/>
      <c r="AB110" s="21"/>
      <c r="AC110" s="21"/>
      <c r="AD110" s="21"/>
      <c r="AE110" s="33" t="str">
        <f t="shared" si="40"/>
        <v/>
      </c>
      <c r="AF110" s="114" t="str">
        <f t="shared" si="56"/>
        <v/>
      </c>
      <c r="AG110" s="108" t="str">
        <f t="shared" si="41"/>
        <v/>
      </c>
      <c r="AH110" s="21" t="str">
        <f t="shared" si="42"/>
        <v/>
      </c>
      <c r="AI110" s="21" t="str">
        <f t="shared" si="43"/>
        <v/>
      </c>
      <c r="AJ110" s="21" t="str">
        <f t="shared" si="44"/>
        <v/>
      </c>
      <c r="AK110" s="21" t="str">
        <f t="shared" si="45"/>
        <v/>
      </c>
      <c r="AL110" s="21"/>
      <c r="AM110" s="21"/>
      <c r="AN110" s="21"/>
      <c r="AS110" s="112" t="str">
        <f t="shared" si="53"/>
        <v/>
      </c>
      <c r="AT110" s="112" t="str">
        <f>IF(AS110="","",COUNTIF($AS$13:AS110,AS110))</f>
        <v/>
      </c>
      <c r="AU110" s="147">
        <f t="shared" si="54"/>
        <v>97</v>
      </c>
      <c r="AV110" s="147">
        <f>COUNTIF($AZ$14:AZ110,AZ110)</f>
        <v>3</v>
      </c>
      <c r="AW110" s="147">
        <f>IFERROR(COUNTIF(AX$14:$BL110,AX110),"")</f>
        <v>14</v>
      </c>
      <c r="AX110" s="148" t="str">
        <f t="shared" si="55"/>
        <v>Fri</v>
      </c>
      <c r="AY110" s="149">
        <f>'Raw Data'!A100</f>
        <v>41705</v>
      </c>
      <c r="AZ110" s="150" t="str">
        <f>'Raw Data'!E100</f>
        <v>Up To 20% Off,FS on $49</v>
      </c>
      <c r="BA110" s="150">
        <f>'Raw Data'!I100</f>
        <v>1151</v>
      </c>
      <c r="BB110" s="112"/>
      <c r="BC110" s="112"/>
      <c r="BD110" s="112">
        <f>'Raw Data'!O100</f>
        <v>1</v>
      </c>
    </row>
    <row r="111" spans="11:56">
      <c r="L111" s="26"/>
      <c r="M111" s="26"/>
      <c r="N111" s="26"/>
      <c r="O111" s="26"/>
      <c r="Q111" s="33"/>
      <c r="R111" s="30">
        <f>COUNTIF($U$16:U111,$AA$14)</f>
        <v>8</v>
      </c>
      <c r="S111" s="30">
        <f t="shared" si="59"/>
        <v>5</v>
      </c>
      <c r="T111" s="54">
        <f t="shared" si="50"/>
        <v>41637</v>
      </c>
      <c r="U111" s="33" t="str">
        <f t="shared" si="51"/>
        <v>20% Off,FS on $49</v>
      </c>
      <c r="V111" s="33">
        <f t="shared" si="52"/>
        <v>1060</v>
      </c>
      <c r="W111" s="33">
        <f>IFERROR(VLOOKUP(T111,'Raw Data'!$A$4:$O$1500,15,0),0)</f>
        <v>1</v>
      </c>
      <c r="X111" s="26"/>
      <c r="Y111" s="21"/>
      <c r="Z111" s="21"/>
      <c r="AA111" s="21"/>
      <c r="AB111" s="21"/>
      <c r="AC111" s="21"/>
      <c r="AD111" s="21"/>
      <c r="AE111" s="33" t="str">
        <f t="shared" si="40"/>
        <v/>
      </c>
      <c r="AF111" s="114" t="str">
        <f t="shared" si="56"/>
        <v/>
      </c>
      <c r="AG111" s="108" t="str">
        <f t="shared" si="41"/>
        <v/>
      </c>
      <c r="AH111" s="21" t="str">
        <f t="shared" si="42"/>
        <v/>
      </c>
      <c r="AI111" s="21" t="str">
        <f t="shared" si="43"/>
        <v/>
      </c>
      <c r="AJ111" s="21" t="str">
        <f t="shared" si="44"/>
        <v/>
      </c>
      <c r="AK111" s="21" t="str">
        <f t="shared" si="45"/>
        <v/>
      </c>
      <c r="AL111" s="21"/>
      <c r="AM111" s="21"/>
      <c r="AN111" s="21"/>
      <c r="AS111" s="112" t="str">
        <f t="shared" si="53"/>
        <v/>
      </c>
      <c r="AT111" s="112" t="str">
        <f>IF(AS111="","",COUNTIF($AS$13:AS111,AS111))</f>
        <v/>
      </c>
      <c r="AU111" s="147">
        <f t="shared" si="54"/>
        <v>98</v>
      </c>
      <c r="AV111" s="147">
        <f>COUNTIF($AZ$14:AZ111,AZ111)</f>
        <v>4</v>
      </c>
      <c r="AW111" s="147">
        <f>IFERROR(COUNTIF(AX$14:$BL111,AX111),"")</f>
        <v>14</v>
      </c>
      <c r="AX111" s="148" t="str">
        <f t="shared" si="55"/>
        <v>Sat</v>
      </c>
      <c r="AY111" s="149">
        <f>'Raw Data'!A101</f>
        <v>41706</v>
      </c>
      <c r="AZ111" s="150" t="str">
        <f>'Raw Data'!E101</f>
        <v>Up To 20% Off,FS on $49</v>
      </c>
      <c r="BA111" s="150">
        <f>'Raw Data'!I101</f>
        <v>960</v>
      </c>
      <c r="BB111" s="112"/>
      <c r="BC111" s="112"/>
      <c r="BD111" s="112">
        <f>'Raw Data'!O101</f>
        <v>1</v>
      </c>
    </row>
    <row r="112" spans="11:56">
      <c r="Q112" s="33"/>
      <c r="R112" s="30">
        <f>COUNTIF($U$16:U112,$AA$14)</f>
        <v>8</v>
      </c>
      <c r="S112" s="30">
        <f t="shared" si="59"/>
        <v>4</v>
      </c>
      <c r="T112" s="54">
        <f t="shared" ref="T112:T115" si="61">IFERROR(SUMPRODUCT(($AW$14:$AW$1000=S112)*($AX$14:$AX$1000=$U$13)*$AY$14:$AY$1000),"")</f>
        <v>41630</v>
      </c>
      <c r="U112" s="33" t="str">
        <f t="shared" ref="U112:U115" si="62">IFERROR(VLOOKUP(T112,$AY$13:$BA$1000,2,0),"")</f>
        <v>Overnight Shipping</v>
      </c>
      <c r="V112" s="33">
        <f t="shared" si="52"/>
        <v>830</v>
      </c>
      <c r="W112" s="33">
        <f>IFERROR(VLOOKUP(T112,'Raw Data'!$A$4:$O$1500,15,0),0)</f>
        <v>1</v>
      </c>
      <c r="X112" s="26"/>
      <c r="Y112" s="21"/>
      <c r="Z112" s="21"/>
      <c r="AA112" s="21"/>
      <c r="AB112" s="21"/>
      <c r="AC112" s="21"/>
      <c r="AD112" s="21"/>
      <c r="AE112" s="33" t="str">
        <f t="shared" ref="AE112:AE148" si="63">TEXT(AG112,"DDD")</f>
        <v/>
      </c>
      <c r="AF112" s="114" t="str">
        <f t="shared" si="56"/>
        <v/>
      </c>
      <c r="AG112" s="108" t="str">
        <f t="shared" ref="AG112:AG148" si="64">IF(AF112="","",VLOOKUP(AF112,$AT$14:$BC$1042,6,0))</f>
        <v/>
      </c>
      <c r="AH112" s="21" t="str">
        <f t="shared" ref="AH112:AH148" si="65">IF(AF112="","",VLOOKUP(AF112,$AT$14:$BC$1042,7,0))</f>
        <v/>
      </c>
      <c r="AI112" s="21" t="str">
        <f t="shared" ref="AI112:AI148" si="66">IF(AF112="","",VLOOKUP(AF112,$AT$14:$BC$1042,8,0))</f>
        <v/>
      </c>
      <c r="AJ112" s="21" t="str">
        <f t="shared" ref="AJ112:AJ148" si="67">IF(AF112="","",VLOOKUP(AF112,$AT$14:$BD$1042,11,0))</f>
        <v/>
      </c>
      <c r="AK112" s="21" t="str">
        <f t="shared" ref="AK112:AK148" si="68">IF(AG112="","",VLOOKUP(AG112,$AY$14:$BD$1042,5,0))</f>
        <v/>
      </c>
      <c r="AL112" s="21"/>
      <c r="AM112" s="21"/>
      <c r="AN112" s="21"/>
      <c r="AS112" s="112" t="str">
        <f t="shared" si="53"/>
        <v/>
      </c>
      <c r="AT112" s="112" t="str">
        <f>IF(AS112="","",COUNTIF($AS$13:AS112,AS112))</f>
        <v/>
      </c>
      <c r="AU112" s="147">
        <f t="shared" si="54"/>
        <v>99</v>
      </c>
      <c r="AV112" s="147">
        <f>COUNTIF($AZ$14:AZ112,AZ112)</f>
        <v>6</v>
      </c>
      <c r="AW112" s="147">
        <f>IFERROR(COUNTIF(AX$14:$BL112,AX112),"")</f>
        <v>15</v>
      </c>
      <c r="AX112" s="148" t="str">
        <f t="shared" si="55"/>
        <v>Sun</v>
      </c>
      <c r="AY112" s="149">
        <f>'Raw Data'!A102</f>
        <v>41707</v>
      </c>
      <c r="AZ112" s="150" t="str">
        <f>'Raw Data'!E102</f>
        <v>25% Off,FS on $49</v>
      </c>
      <c r="BA112" s="150">
        <f>'Raw Data'!I102</f>
        <v>881</v>
      </c>
      <c r="BB112" s="112"/>
      <c r="BC112" s="112"/>
      <c r="BD112" s="112">
        <f>'Raw Data'!O102</f>
        <v>1</v>
      </c>
    </row>
    <row r="113" spans="17:56">
      <c r="Q113" s="33"/>
      <c r="R113" s="30">
        <f>COUNTIF($U$16:U113,$AA$14)</f>
        <v>9</v>
      </c>
      <c r="S113" s="30">
        <f t="shared" si="59"/>
        <v>3</v>
      </c>
      <c r="T113" s="54">
        <f t="shared" si="61"/>
        <v>41623</v>
      </c>
      <c r="U113" s="33" t="str">
        <f t="shared" si="62"/>
        <v>No Email Drop</v>
      </c>
      <c r="V113" s="33">
        <f t="shared" si="52"/>
        <v>1039</v>
      </c>
      <c r="W113" s="33">
        <f>IFERROR(VLOOKUP(T113,'Raw Data'!$A$4:$O$1500,15,0),0)</f>
        <v>0</v>
      </c>
      <c r="X113" s="26"/>
      <c r="Y113" s="21"/>
      <c r="Z113" s="21"/>
      <c r="AA113" s="21"/>
      <c r="AB113" s="21"/>
      <c r="AC113" s="21"/>
      <c r="AD113" s="21"/>
      <c r="AE113" s="33" t="str">
        <f t="shared" si="63"/>
        <v/>
      </c>
      <c r="AF113" s="114" t="str">
        <f t="shared" si="56"/>
        <v/>
      </c>
      <c r="AG113" s="108" t="str">
        <f t="shared" si="64"/>
        <v/>
      </c>
      <c r="AH113" s="21" t="str">
        <f t="shared" si="65"/>
        <v/>
      </c>
      <c r="AI113" s="21" t="str">
        <f t="shared" si="66"/>
        <v/>
      </c>
      <c r="AJ113" s="21" t="str">
        <f t="shared" si="67"/>
        <v/>
      </c>
      <c r="AK113" s="21" t="str">
        <f t="shared" si="68"/>
        <v/>
      </c>
      <c r="AL113" s="21"/>
      <c r="AM113" s="21"/>
      <c r="AN113" s="21"/>
      <c r="AS113" s="112" t="str">
        <f t="shared" si="53"/>
        <v/>
      </c>
      <c r="AT113" s="112" t="str">
        <f>IF(AS113="","",COUNTIF($AS$13:AS113,AS113))</f>
        <v/>
      </c>
      <c r="AU113" s="147">
        <f t="shared" si="54"/>
        <v>100</v>
      </c>
      <c r="AV113" s="147">
        <f>COUNTIF($AZ$14:AZ113,AZ113)</f>
        <v>37</v>
      </c>
      <c r="AW113" s="147">
        <f>IFERROR(COUNTIF(AX$14:$BL113,AX113),"")</f>
        <v>15</v>
      </c>
      <c r="AX113" s="148" t="str">
        <f t="shared" si="55"/>
        <v>Mon</v>
      </c>
      <c r="AY113" s="149">
        <f>'Raw Data'!A103</f>
        <v>41708</v>
      </c>
      <c r="AZ113" s="150" t="str">
        <f>'Raw Data'!E103</f>
        <v>No Email Drop</v>
      </c>
      <c r="BA113" s="150">
        <f>'Raw Data'!I103</f>
        <v>1226</v>
      </c>
      <c r="BB113" s="112"/>
      <c r="BC113" s="112"/>
      <c r="BD113" s="112">
        <f>'Raw Data'!O103</f>
        <v>0</v>
      </c>
    </row>
    <row r="114" spans="17:56">
      <c r="Q114" s="33"/>
      <c r="R114" s="30">
        <f>COUNTIF($U$16:U114,$AA$14)</f>
        <v>9</v>
      </c>
      <c r="S114" s="30">
        <f t="shared" si="59"/>
        <v>2</v>
      </c>
      <c r="T114" s="54">
        <f t="shared" si="61"/>
        <v>41616</v>
      </c>
      <c r="U114" s="33" t="str">
        <f t="shared" si="62"/>
        <v>10% off eGCs,FS on $49</v>
      </c>
      <c r="V114" s="33">
        <f t="shared" si="52"/>
        <v>796</v>
      </c>
      <c r="W114" s="33">
        <f>IFERROR(VLOOKUP(T114,'Raw Data'!$A$4:$O$1500,15,0),0)</f>
        <v>1</v>
      </c>
      <c r="X114" s="26"/>
      <c r="Y114" s="21"/>
      <c r="Z114" s="21"/>
      <c r="AA114" s="21"/>
      <c r="AB114" s="21"/>
      <c r="AC114" s="21"/>
      <c r="AD114" s="21"/>
      <c r="AE114" s="33" t="str">
        <f t="shared" si="63"/>
        <v/>
      </c>
      <c r="AF114" s="114" t="str">
        <f t="shared" si="56"/>
        <v/>
      </c>
      <c r="AG114" s="108" t="str">
        <f t="shared" si="64"/>
        <v/>
      </c>
      <c r="AH114" s="21" t="str">
        <f t="shared" si="65"/>
        <v/>
      </c>
      <c r="AI114" s="21" t="str">
        <f t="shared" si="66"/>
        <v/>
      </c>
      <c r="AJ114" s="21" t="str">
        <f t="shared" si="67"/>
        <v/>
      </c>
      <c r="AK114" s="21" t="str">
        <f t="shared" si="68"/>
        <v/>
      </c>
      <c r="AL114" s="21"/>
      <c r="AM114" s="21"/>
      <c r="AN114" s="21"/>
      <c r="AS114" s="112" t="str">
        <f t="shared" si="53"/>
        <v/>
      </c>
      <c r="AT114" s="112" t="str">
        <f>IF(AS114="","",COUNTIF($AS$13:AS114,AS114))</f>
        <v/>
      </c>
      <c r="AU114" s="147">
        <f t="shared" si="54"/>
        <v>101</v>
      </c>
      <c r="AV114" s="147">
        <f>COUNTIF($AZ$14:AZ114,AZ114)</f>
        <v>7</v>
      </c>
      <c r="AW114" s="147">
        <f>IFERROR(COUNTIF(AX$14:$BL114,AX114),"")</f>
        <v>15</v>
      </c>
      <c r="AX114" s="148" t="str">
        <f t="shared" si="55"/>
        <v>Tue</v>
      </c>
      <c r="AY114" s="149">
        <f>'Raw Data'!A104</f>
        <v>41709</v>
      </c>
      <c r="AZ114" s="150" t="str">
        <f>'Raw Data'!E104</f>
        <v>25% Off,FS on $49</v>
      </c>
      <c r="BA114" s="150">
        <f>'Raw Data'!I104</f>
        <v>1219</v>
      </c>
      <c r="BB114" s="112"/>
      <c r="BC114" s="112"/>
      <c r="BD114" s="112">
        <f>'Raw Data'!O104</f>
        <v>1</v>
      </c>
    </row>
    <row r="115" spans="17:56">
      <c r="Q115" s="33"/>
      <c r="R115" s="30">
        <f>COUNTIF($U$16:U115,$AA$14)</f>
        <v>9</v>
      </c>
      <c r="S115" s="30">
        <f t="shared" si="59"/>
        <v>1</v>
      </c>
      <c r="T115" s="54">
        <f t="shared" si="61"/>
        <v>41609</v>
      </c>
      <c r="U115" s="33" t="str">
        <f t="shared" si="62"/>
        <v>Black Friday</v>
      </c>
      <c r="V115" s="33">
        <f t="shared" si="52"/>
        <v>1112</v>
      </c>
      <c r="W115" s="33">
        <f>IFERROR(VLOOKUP(T115,'Raw Data'!$A$4:$O$1500,15,0),0)</f>
        <v>2</v>
      </c>
      <c r="X115" s="26"/>
      <c r="Y115" s="21"/>
      <c r="Z115" s="21"/>
      <c r="AA115" s="21"/>
      <c r="AB115" s="21"/>
      <c r="AC115" s="21"/>
      <c r="AD115" s="21"/>
      <c r="AE115" s="33" t="str">
        <f t="shared" si="63"/>
        <v/>
      </c>
      <c r="AF115" s="114" t="str">
        <f t="shared" si="56"/>
        <v/>
      </c>
      <c r="AG115" s="108" t="str">
        <f t="shared" si="64"/>
        <v/>
      </c>
      <c r="AH115" s="21" t="str">
        <f t="shared" si="65"/>
        <v/>
      </c>
      <c r="AI115" s="21" t="str">
        <f t="shared" si="66"/>
        <v/>
      </c>
      <c r="AJ115" s="21" t="str">
        <f t="shared" si="67"/>
        <v/>
      </c>
      <c r="AK115" s="21" t="str">
        <f t="shared" si="68"/>
        <v/>
      </c>
      <c r="AL115" s="21"/>
      <c r="AM115" s="21"/>
      <c r="AN115" s="21"/>
      <c r="AS115" s="112" t="str">
        <f t="shared" si="53"/>
        <v/>
      </c>
      <c r="AT115" s="112" t="str">
        <f>IF(AS115="","",COUNTIF($AS$13:AS115,AS115))</f>
        <v/>
      </c>
      <c r="AU115" s="147">
        <f t="shared" si="54"/>
        <v>102</v>
      </c>
      <c r="AV115" s="147">
        <f>COUNTIF($AZ$14:AZ115,AZ115)</f>
        <v>38</v>
      </c>
      <c r="AW115" s="147">
        <f>IFERROR(COUNTIF(AX$14:$BL115,AX115),"")</f>
        <v>15</v>
      </c>
      <c r="AX115" s="148" t="str">
        <f t="shared" si="55"/>
        <v>Wed</v>
      </c>
      <c r="AY115" s="149">
        <f>'Raw Data'!A105</f>
        <v>41710</v>
      </c>
      <c r="AZ115" s="150" t="str">
        <f>'Raw Data'!E105</f>
        <v>No Email Drop</v>
      </c>
      <c r="BA115" s="150">
        <f>'Raw Data'!I105</f>
        <v>1114</v>
      </c>
      <c r="BB115" s="112"/>
      <c r="BC115" s="112"/>
      <c r="BD115" s="112">
        <f>'Raw Data'!O105</f>
        <v>0</v>
      </c>
    </row>
    <row r="116" spans="17:56">
      <c r="S116" s="30"/>
      <c r="T116" s="54">
        <f t="shared" ref="T116:T130" si="69">IFERROR(SUMPRODUCT(($AW$14:$AW$1000=S116)*($AX$14:$AX$1000=$U$13)*$AY$14:$AY$1000),"")</f>
        <v>0</v>
      </c>
      <c r="U116" s="33" t="str">
        <f t="shared" ref="U116:U130" si="70">IFERROR(VLOOKUP(T116,$AY$13:$BA$1000,2,0),"")</f>
        <v/>
      </c>
      <c r="V116" s="33" t="str">
        <f t="shared" ref="V116:V130" si="71">IFERROR(VLOOKUP(T116,$AY$13:$BA$1000,3,0),"")</f>
        <v/>
      </c>
      <c r="W116" s="33">
        <f>IFERROR(VLOOKUP(T116,'Raw Data'!$A$4:$O$1500,15,0),0)</f>
        <v>0</v>
      </c>
      <c r="X116" s="26"/>
      <c r="Y116" s="21"/>
      <c r="Z116" s="21"/>
      <c r="AA116" s="21"/>
      <c r="AB116" s="21"/>
      <c r="AC116" s="21"/>
      <c r="AD116" s="21"/>
      <c r="AE116" s="33" t="str">
        <f t="shared" si="63"/>
        <v/>
      </c>
      <c r="AF116" s="114" t="str">
        <f t="shared" si="56"/>
        <v/>
      </c>
      <c r="AG116" s="108" t="str">
        <f t="shared" si="64"/>
        <v/>
      </c>
      <c r="AH116" s="21" t="str">
        <f t="shared" si="65"/>
        <v/>
      </c>
      <c r="AI116" s="21" t="str">
        <f t="shared" si="66"/>
        <v/>
      </c>
      <c r="AJ116" s="21" t="str">
        <f t="shared" si="67"/>
        <v/>
      </c>
      <c r="AK116" s="21" t="str">
        <f t="shared" si="68"/>
        <v/>
      </c>
      <c r="AL116" s="21"/>
      <c r="AM116" s="21"/>
      <c r="AN116" s="21"/>
      <c r="AS116" s="112" t="str">
        <f t="shared" si="53"/>
        <v/>
      </c>
      <c r="AT116" s="112" t="str">
        <f>IF(AS116="","",COUNTIF($AS$13:AS116,AS116))</f>
        <v/>
      </c>
      <c r="AU116" s="147">
        <f t="shared" si="54"/>
        <v>103</v>
      </c>
      <c r="AV116" s="147">
        <f>COUNTIF($AZ$14:AZ116,AZ116)</f>
        <v>8</v>
      </c>
      <c r="AW116" s="147">
        <f>IFERROR(COUNTIF(AX$14:$BL116,AX116),"")</f>
        <v>15</v>
      </c>
      <c r="AX116" s="148" t="str">
        <f t="shared" si="55"/>
        <v>Thu</v>
      </c>
      <c r="AY116" s="149">
        <f>'Raw Data'!A106</f>
        <v>41711</v>
      </c>
      <c r="AZ116" s="150" t="str">
        <f>'Raw Data'!E106</f>
        <v>25% Off,FS on $49</v>
      </c>
      <c r="BA116" s="150">
        <f>'Raw Data'!I106</f>
        <v>1214</v>
      </c>
      <c r="BB116" s="112"/>
      <c r="BC116" s="112"/>
      <c r="BD116" s="112">
        <f>'Raw Data'!O106</f>
        <v>1</v>
      </c>
    </row>
    <row r="117" spans="17:56">
      <c r="S117" s="30"/>
      <c r="T117" s="54">
        <f t="shared" si="69"/>
        <v>0</v>
      </c>
      <c r="U117" s="33" t="str">
        <f t="shared" si="70"/>
        <v/>
      </c>
      <c r="V117" s="33" t="str">
        <f t="shared" si="71"/>
        <v/>
      </c>
      <c r="W117" s="33">
        <f>IFERROR(VLOOKUP(T117,'Raw Data'!$A$4:$O$1500,15,0),0)</f>
        <v>0</v>
      </c>
      <c r="X117" s="26"/>
      <c r="Y117" s="21"/>
      <c r="Z117" s="21"/>
      <c r="AA117" s="21"/>
      <c r="AB117" s="21"/>
      <c r="AC117" s="21"/>
      <c r="AD117" s="21"/>
      <c r="AE117" s="33" t="str">
        <f t="shared" si="63"/>
        <v/>
      </c>
      <c r="AF117" s="114" t="str">
        <f t="shared" si="56"/>
        <v/>
      </c>
      <c r="AG117" s="108" t="str">
        <f t="shared" si="64"/>
        <v/>
      </c>
      <c r="AH117" s="21" t="str">
        <f t="shared" si="65"/>
        <v/>
      </c>
      <c r="AI117" s="21" t="str">
        <f t="shared" si="66"/>
        <v/>
      </c>
      <c r="AJ117" s="21" t="str">
        <f t="shared" si="67"/>
        <v/>
      </c>
      <c r="AK117" s="21" t="str">
        <f t="shared" si="68"/>
        <v/>
      </c>
      <c r="AL117" s="21"/>
      <c r="AM117" s="21"/>
      <c r="AN117" s="21"/>
      <c r="AS117" s="112" t="str">
        <f t="shared" si="53"/>
        <v/>
      </c>
      <c r="AT117" s="112" t="str">
        <f>IF(AS117="","",COUNTIF($AS$13:AS117,AS117))</f>
        <v/>
      </c>
      <c r="AU117" s="147">
        <f t="shared" si="54"/>
        <v>104</v>
      </c>
      <c r="AV117" s="147">
        <f>COUNTIF($AZ$14:AZ117,AZ117)</f>
        <v>1</v>
      </c>
      <c r="AW117" s="147">
        <f>IFERROR(COUNTIF(AX$14:$BL117,AX117),"")</f>
        <v>15</v>
      </c>
      <c r="AX117" s="148" t="str">
        <f t="shared" si="55"/>
        <v>Fri</v>
      </c>
      <c r="AY117" s="149">
        <f>'Raw Data'!A107</f>
        <v>41712</v>
      </c>
      <c r="AZ117" s="150" t="str">
        <f>'Raw Data'!E107</f>
        <v>Lucky Saving,17% Off,FS on $49</v>
      </c>
      <c r="BA117" s="150">
        <f>'Raw Data'!I107</f>
        <v>1122</v>
      </c>
      <c r="BB117" s="112"/>
      <c r="BC117" s="112"/>
      <c r="BD117" s="112">
        <f>'Raw Data'!O107</f>
        <v>1</v>
      </c>
    </row>
    <row r="118" spans="17:56">
      <c r="S118" s="30"/>
      <c r="T118" s="54">
        <f t="shared" si="69"/>
        <v>0</v>
      </c>
      <c r="U118" s="33" t="str">
        <f t="shared" si="70"/>
        <v/>
      </c>
      <c r="V118" s="33" t="str">
        <f t="shared" si="71"/>
        <v/>
      </c>
      <c r="W118" s="33">
        <f>IFERROR(VLOOKUP(T118,'Raw Data'!$A$4:$O$1500,15,0),0)</f>
        <v>0</v>
      </c>
      <c r="X118" s="21"/>
      <c r="Y118" s="21"/>
      <c r="Z118" s="21"/>
      <c r="AA118" s="21"/>
      <c r="AB118" s="21"/>
      <c r="AC118" s="21"/>
      <c r="AD118" s="21"/>
      <c r="AE118" s="33" t="str">
        <f t="shared" si="63"/>
        <v/>
      </c>
      <c r="AF118" s="114" t="str">
        <f t="shared" si="56"/>
        <v/>
      </c>
      <c r="AG118" s="108" t="str">
        <f t="shared" si="64"/>
        <v/>
      </c>
      <c r="AH118" s="21" t="str">
        <f t="shared" si="65"/>
        <v/>
      </c>
      <c r="AI118" s="21" t="str">
        <f t="shared" si="66"/>
        <v/>
      </c>
      <c r="AJ118" s="21" t="str">
        <f t="shared" si="67"/>
        <v/>
      </c>
      <c r="AK118" s="21" t="str">
        <f t="shared" si="68"/>
        <v/>
      </c>
      <c r="AL118" s="21"/>
      <c r="AM118" s="21"/>
      <c r="AN118" s="21"/>
      <c r="AS118" s="112" t="str">
        <f t="shared" si="53"/>
        <v/>
      </c>
      <c r="AT118" s="112" t="str">
        <f>IF(AS118="","",COUNTIF($AS$13:AS118,AS118))</f>
        <v/>
      </c>
      <c r="AU118" s="147">
        <f t="shared" si="54"/>
        <v>105</v>
      </c>
      <c r="AV118" s="147">
        <f>COUNTIF($AZ$14:AZ118,AZ118)</f>
        <v>39</v>
      </c>
      <c r="AW118" s="147">
        <f>IFERROR(COUNTIF(AX$14:$BL118,AX118),"")</f>
        <v>15</v>
      </c>
      <c r="AX118" s="148" t="str">
        <f t="shared" si="55"/>
        <v>Sat</v>
      </c>
      <c r="AY118" s="149">
        <f>'Raw Data'!A108</f>
        <v>41713</v>
      </c>
      <c r="AZ118" s="150" t="str">
        <f>'Raw Data'!E108</f>
        <v>No Email Drop</v>
      </c>
      <c r="BA118" s="150">
        <f>'Raw Data'!I108</f>
        <v>761</v>
      </c>
      <c r="BB118" s="112"/>
      <c r="BC118" s="112"/>
      <c r="BD118" s="112">
        <f>'Raw Data'!O108</f>
        <v>0</v>
      </c>
    </row>
    <row r="119" spans="17:56">
      <c r="S119" s="30"/>
      <c r="T119" s="54">
        <f t="shared" si="69"/>
        <v>0</v>
      </c>
      <c r="U119" s="33" t="str">
        <f t="shared" si="70"/>
        <v/>
      </c>
      <c r="V119" s="33" t="str">
        <f t="shared" si="71"/>
        <v/>
      </c>
      <c r="W119" s="33">
        <f>IFERROR(VLOOKUP(T119,'Raw Data'!$A$4:$O$1500,15,0),0)</f>
        <v>0</v>
      </c>
      <c r="X119" s="21"/>
      <c r="Y119" s="21"/>
      <c r="Z119" s="21"/>
      <c r="AA119" s="21"/>
      <c r="AB119" s="21"/>
      <c r="AC119" s="21"/>
      <c r="AD119" s="21"/>
      <c r="AE119" s="33" t="str">
        <f t="shared" si="63"/>
        <v/>
      </c>
      <c r="AF119" s="114" t="str">
        <f t="shared" si="56"/>
        <v/>
      </c>
      <c r="AG119" s="108" t="str">
        <f t="shared" si="64"/>
        <v/>
      </c>
      <c r="AH119" s="21" t="str">
        <f t="shared" si="65"/>
        <v/>
      </c>
      <c r="AI119" s="21" t="str">
        <f t="shared" si="66"/>
        <v/>
      </c>
      <c r="AJ119" s="21" t="str">
        <f t="shared" si="67"/>
        <v/>
      </c>
      <c r="AK119" s="21" t="str">
        <f t="shared" si="68"/>
        <v/>
      </c>
      <c r="AL119" s="21"/>
      <c r="AM119" s="21"/>
      <c r="AN119" s="21"/>
      <c r="AS119" s="112" t="str">
        <f t="shared" si="53"/>
        <v/>
      </c>
      <c r="AT119" s="112" t="str">
        <f>IF(AS119="","",COUNTIF($AS$13:AS119,AS119))</f>
        <v/>
      </c>
      <c r="AU119" s="147">
        <f t="shared" si="54"/>
        <v>106</v>
      </c>
      <c r="AV119" s="147">
        <f>COUNTIF($AZ$14:AZ119,AZ119)</f>
        <v>2</v>
      </c>
      <c r="AW119" s="147">
        <f>IFERROR(COUNTIF(AX$14:$BL119,AX119),"")</f>
        <v>16</v>
      </c>
      <c r="AX119" s="148" t="str">
        <f t="shared" si="55"/>
        <v>Sun</v>
      </c>
      <c r="AY119" s="149">
        <f>'Raw Data'!A109</f>
        <v>41714</v>
      </c>
      <c r="AZ119" s="150" t="str">
        <f>'Raw Data'!E109</f>
        <v>Lucky Saving,17% Off,FS on $49</v>
      </c>
      <c r="BA119" s="150">
        <f>'Raw Data'!I109</f>
        <v>710</v>
      </c>
      <c r="BB119" s="112"/>
      <c r="BC119" s="112"/>
      <c r="BD119" s="112">
        <f>'Raw Data'!O109</f>
        <v>1</v>
      </c>
    </row>
    <row r="120" spans="17:56">
      <c r="S120" s="30"/>
      <c r="T120" s="54">
        <f t="shared" si="69"/>
        <v>0</v>
      </c>
      <c r="U120" s="33" t="str">
        <f t="shared" si="70"/>
        <v/>
      </c>
      <c r="V120" s="33" t="str">
        <f t="shared" si="71"/>
        <v/>
      </c>
      <c r="W120" s="33">
        <f>IFERROR(VLOOKUP(T120,'Raw Data'!$A$4:$O$1500,15,0),0)</f>
        <v>0</v>
      </c>
      <c r="X120" s="21"/>
      <c r="Y120" s="21"/>
      <c r="Z120" s="21"/>
      <c r="AA120" s="21"/>
      <c r="AB120" s="21"/>
      <c r="AC120" s="21"/>
      <c r="AD120" s="21"/>
      <c r="AE120" s="33" t="str">
        <f t="shared" si="63"/>
        <v/>
      </c>
      <c r="AF120" s="114" t="str">
        <f t="shared" si="56"/>
        <v/>
      </c>
      <c r="AG120" s="108" t="str">
        <f t="shared" si="64"/>
        <v/>
      </c>
      <c r="AH120" s="21" t="str">
        <f t="shared" si="65"/>
        <v/>
      </c>
      <c r="AI120" s="21" t="str">
        <f t="shared" si="66"/>
        <v/>
      </c>
      <c r="AJ120" s="21" t="str">
        <f t="shared" si="67"/>
        <v/>
      </c>
      <c r="AK120" s="21" t="str">
        <f t="shared" si="68"/>
        <v/>
      </c>
      <c r="AL120" s="21"/>
      <c r="AM120" s="21"/>
      <c r="AN120" s="21"/>
      <c r="AS120" s="112" t="str">
        <f t="shared" si="53"/>
        <v/>
      </c>
      <c r="AT120" s="112" t="str">
        <f>IF(AS120="","",COUNTIF($AS$13:AS120,AS120))</f>
        <v/>
      </c>
      <c r="AU120" s="147">
        <f t="shared" si="54"/>
        <v>107</v>
      </c>
      <c r="AV120" s="147">
        <f>COUNTIF($AZ$14:AZ120,AZ120)</f>
        <v>3</v>
      </c>
      <c r="AW120" s="147">
        <f>IFERROR(COUNTIF(AX$14:$BL120,AX120),"")</f>
        <v>16</v>
      </c>
      <c r="AX120" s="148" t="str">
        <f t="shared" si="55"/>
        <v>Mon</v>
      </c>
      <c r="AY120" s="149">
        <f>'Raw Data'!A110</f>
        <v>41715</v>
      </c>
      <c r="AZ120" s="150" t="str">
        <f>'Raw Data'!E110</f>
        <v>Lucky Saving,17% Off,FS on $49</v>
      </c>
      <c r="BA120" s="150">
        <f>'Raw Data'!I110</f>
        <v>1178</v>
      </c>
      <c r="BB120" s="112"/>
      <c r="BC120" s="112"/>
      <c r="BD120" s="112">
        <f>'Raw Data'!O110</f>
        <v>1</v>
      </c>
    </row>
    <row r="121" spans="17:56">
      <c r="S121" s="30"/>
      <c r="T121" s="54">
        <f t="shared" si="69"/>
        <v>0</v>
      </c>
      <c r="U121" s="33" t="str">
        <f t="shared" si="70"/>
        <v/>
      </c>
      <c r="V121" s="33" t="str">
        <f t="shared" si="71"/>
        <v/>
      </c>
      <c r="W121" s="33">
        <f>IFERROR(VLOOKUP(T121,'Raw Data'!$A$4:$O$1500,15,0),0)</f>
        <v>0</v>
      </c>
      <c r="X121" s="21"/>
      <c r="Y121" s="21"/>
      <c r="Z121" s="21"/>
      <c r="AA121" s="21"/>
      <c r="AB121" s="21"/>
      <c r="AC121" s="21"/>
      <c r="AD121" s="21"/>
      <c r="AE121" s="33" t="str">
        <f t="shared" si="63"/>
        <v/>
      </c>
      <c r="AF121" s="114" t="str">
        <f t="shared" si="56"/>
        <v/>
      </c>
      <c r="AG121" s="108" t="str">
        <f t="shared" si="64"/>
        <v/>
      </c>
      <c r="AH121" s="21" t="str">
        <f t="shared" si="65"/>
        <v/>
      </c>
      <c r="AI121" s="21" t="str">
        <f t="shared" si="66"/>
        <v/>
      </c>
      <c r="AJ121" s="21" t="str">
        <f t="shared" si="67"/>
        <v/>
      </c>
      <c r="AK121" s="21" t="str">
        <f t="shared" si="68"/>
        <v/>
      </c>
      <c r="AL121" s="21"/>
      <c r="AM121" s="21"/>
      <c r="AN121" s="21"/>
      <c r="AS121" s="112" t="str">
        <f t="shared" si="53"/>
        <v/>
      </c>
      <c r="AT121" s="112" t="str">
        <f>IF(AS121="","",COUNTIF($AS$13:AS121,AS121))</f>
        <v/>
      </c>
      <c r="AU121" s="147">
        <f t="shared" si="54"/>
        <v>108</v>
      </c>
      <c r="AV121" s="147">
        <f>COUNTIF($AZ$14:AZ121,AZ121)</f>
        <v>3</v>
      </c>
      <c r="AW121" s="147">
        <f>IFERROR(COUNTIF(AX$14:$BL121,AX121),"")</f>
        <v>16</v>
      </c>
      <c r="AX121" s="148" t="str">
        <f t="shared" si="55"/>
        <v>Tue</v>
      </c>
      <c r="AY121" s="149">
        <f>'Raw Data'!A111</f>
        <v>41716</v>
      </c>
      <c r="AZ121" s="150" t="str">
        <f>'Raw Data'!E111</f>
        <v>$10 Off,FS on $49</v>
      </c>
      <c r="BA121" s="150">
        <f>'Raw Data'!I111</f>
        <v>1511</v>
      </c>
      <c r="BB121" s="112"/>
      <c r="BC121" s="112"/>
      <c r="BD121" s="112">
        <f>'Raw Data'!O111</f>
        <v>1</v>
      </c>
    </row>
    <row r="122" spans="17:56">
      <c r="S122" s="30"/>
      <c r="T122" s="54">
        <f t="shared" si="69"/>
        <v>0</v>
      </c>
      <c r="U122" s="33" t="str">
        <f t="shared" si="70"/>
        <v/>
      </c>
      <c r="V122" s="33" t="str">
        <f t="shared" si="71"/>
        <v/>
      </c>
      <c r="W122" s="33">
        <f>IFERROR(VLOOKUP(T122,'Raw Data'!$A$4:$O$1500,15,0),0)</f>
        <v>0</v>
      </c>
      <c r="X122" s="21"/>
      <c r="Y122" s="21"/>
      <c r="Z122" s="21"/>
      <c r="AA122" s="21"/>
      <c r="AB122" s="21"/>
      <c r="AC122" s="21"/>
      <c r="AD122" s="21"/>
      <c r="AE122" s="33" t="str">
        <f t="shared" si="63"/>
        <v/>
      </c>
      <c r="AF122" s="114" t="str">
        <f t="shared" si="56"/>
        <v/>
      </c>
      <c r="AG122" s="108" t="str">
        <f t="shared" si="64"/>
        <v/>
      </c>
      <c r="AH122" s="21" t="str">
        <f t="shared" si="65"/>
        <v/>
      </c>
      <c r="AI122" s="21" t="str">
        <f t="shared" si="66"/>
        <v/>
      </c>
      <c r="AJ122" s="21" t="str">
        <f t="shared" si="67"/>
        <v/>
      </c>
      <c r="AK122" s="21" t="str">
        <f t="shared" si="68"/>
        <v/>
      </c>
      <c r="AL122" s="21"/>
      <c r="AM122" s="21"/>
      <c r="AN122" s="21"/>
      <c r="AS122" s="112" t="str">
        <f t="shared" si="53"/>
        <v/>
      </c>
      <c r="AT122" s="112" t="str">
        <f>IF(AS122="","",COUNTIF($AS$13:AS122,AS122))</f>
        <v/>
      </c>
      <c r="AU122" s="147">
        <f t="shared" si="54"/>
        <v>109</v>
      </c>
      <c r="AV122" s="147">
        <f>COUNTIF($AZ$14:AZ122,AZ122)</f>
        <v>4</v>
      </c>
      <c r="AW122" s="147">
        <f>IFERROR(COUNTIF(AX$14:$BL122,AX122),"")</f>
        <v>16</v>
      </c>
      <c r="AX122" s="148" t="str">
        <f t="shared" si="55"/>
        <v>Wed</v>
      </c>
      <c r="AY122" s="149">
        <f>'Raw Data'!A112</f>
        <v>41717</v>
      </c>
      <c r="AZ122" s="150" t="str">
        <f>'Raw Data'!E112</f>
        <v>$10 Off,FS on $49</v>
      </c>
      <c r="BA122" s="150">
        <f>'Raw Data'!I112</f>
        <v>1501</v>
      </c>
      <c r="BB122" s="112"/>
      <c r="BC122" s="112"/>
      <c r="BD122" s="112">
        <f>'Raw Data'!O112</f>
        <v>1</v>
      </c>
    </row>
    <row r="123" spans="17:56">
      <c r="S123" s="30"/>
      <c r="T123" s="54">
        <f t="shared" si="69"/>
        <v>0</v>
      </c>
      <c r="U123" s="33" t="str">
        <f t="shared" si="70"/>
        <v/>
      </c>
      <c r="V123" s="33" t="str">
        <f t="shared" si="71"/>
        <v/>
      </c>
      <c r="W123" s="33">
        <f>IFERROR(VLOOKUP(T123,'Raw Data'!$A$4:$O$1500,15,0),0)</f>
        <v>0</v>
      </c>
      <c r="X123" s="21"/>
      <c r="Y123" s="21"/>
      <c r="Z123" s="21"/>
      <c r="AA123" s="21"/>
      <c r="AB123" s="21"/>
      <c r="AC123" s="21"/>
      <c r="AD123" s="21"/>
      <c r="AE123" s="33" t="str">
        <f t="shared" si="63"/>
        <v/>
      </c>
      <c r="AF123" s="114" t="str">
        <f t="shared" si="56"/>
        <v/>
      </c>
      <c r="AG123" s="108" t="str">
        <f t="shared" si="64"/>
        <v/>
      </c>
      <c r="AH123" s="21" t="str">
        <f t="shared" si="65"/>
        <v/>
      </c>
      <c r="AI123" s="21" t="str">
        <f t="shared" si="66"/>
        <v/>
      </c>
      <c r="AJ123" s="21" t="str">
        <f t="shared" si="67"/>
        <v/>
      </c>
      <c r="AK123" s="21" t="str">
        <f t="shared" si="68"/>
        <v/>
      </c>
      <c r="AL123" s="21"/>
      <c r="AM123" s="21"/>
      <c r="AN123" s="21"/>
      <c r="AS123" s="112" t="str">
        <f t="shared" si="53"/>
        <v/>
      </c>
      <c r="AT123" s="112" t="str">
        <f>IF(AS123="","",COUNTIF($AS$13:AS123,AS123))</f>
        <v/>
      </c>
      <c r="AU123" s="147">
        <f t="shared" si="54"/>
        <v>110</v>
      </c>
      <c r="AV123" s="147">
        <f>COUNTIF($AZ$14:AZ123,AZ123)</f>
        <v>3</v>
      </c>
      <c r="AW123" s="147">
        <f>IFERROR(COUNTIF(AX$14:$BL123,AX123),"")</f>
        <v>16</v>
      </c>
      <c r="AX123" s="148" t="str">
        <f t="shared" si="55"/>
        <v>Thu</v>
      </c>
      <c r="AY123" s="149">
        <f>'Raw Data'!A113</f>
        <v>41718</v>
      </c>
      <c r="AZ123" s="150" t="str">
        <f>'Raw Data'!E113</f>
        <v>Free Ship No Min</v>
      </c>
      <c r="BA123" s="150">
        <f>'Raw Data'!I113</f>
        <v>1093</v>
      </c>
      <c r="BB123" s="112"/>
      <c r="BC123" s="112"/>
      <c r="BD123" s="112">
        <f>'Raw Data'!O113</f>
        <v>1</v>
      </c>
    </row>
    <row r="124" spans="17:56">
      <c r="S124" s="30"/>
      <c r="T124" s="54">
        <f t="shared" si="69"/>
        <v>0</v>
      </c>
      <c r="U124" s="33" t="str">
        <f t="shared" si="70"/>
        <v/>
      </c>
      <c r="V124" s="33" t="str">
        <f t="shared" si="71"/>
        <v/>
      </c>
      <c r="W124" s="33">
        <f>IFERROR(VLOOKUP(T124,'Raw Data'!$A$4:$O$1500,15,0),0)</f>
        <v>0</v>
      </c>
      <c r="X124" s="21"/>
      <c r="Y124" s="21"/>
      <c r="Z124" s="21"/>
      <c r="AA124" s="21"/>
      <c r="AB124" s="21"/>
      <c r="AC124" s="21"/>
      <c r="AD124" s="21"/>
      <c r="AE124" s="33" t="str">
        <f t="shared" si="63"/>
        <v/>
      </c>
      <c r="AF124" s="114" t="str">
        <f t="shared" si="56"/>
        <v/>
      </c>
      <c r="AG124" s="108" t="str">
        <f t="shared" si="64"/>
        <v/>
      </c>
      <c r="AH124" s="21" t="str">
        <f t="shared" si="65"/>
        <v/>
      </c>
      <c r="AI124" s="21" t="str">
        <f t="shared" si="66"/>
        <v/>
      </c>
      <c r="AJ124" s="21" t="str">
        <f t="shared" si="67"/>
        <v/>
      </c>
      <c r="AK124" s="21" t="str">
        <f t="shared" si="68"/>
        <v/>
      </c>
      <c r="AL124" s="21"/>
      <c r="AM124" s="21"/>
      <c r="AN124" s="21"/>
      <c r="AS124" s="112" t="str">
        <f t="shared" si="53"/>
        <v/>
      </c>
      <c r="AT124" s="112" t="str">
        <f>IF(AS124="","",COUNTIF($AS$13:AS124,AS124))</f>
        <v/>
      </c>
      <c r="AU124" s="147">
        <f t="shared" si="54"/>
        <v>111</v>
      </c>
      <c r="AV124" s="147">
        <f>COUNTIF($AZ$14:AZ124,AZ124)</f>
        <v>5</v>
      </c>
      <c r="AW124" s="147">
        <f>IFERROR(COUNTIF(AX$14:$BL124,AX124),"")</f>
        <v>16</v>
      </c>
      <c r="AX124" s="148" t="str">
        <f t="shared" si="55"/>
        <v>Fri</v>
      </c>
      <c r="AY124" s="149">
        <f>'Raw Data'!A114</f>
        <v>41719</v>
      </c>
      <c r="AZ124" s="150" t="str">
        <f>'Raw Data'!E114</f>
        <v>Up To 20% Off,FS on $49</v>
      </c>
      <c r="BA124" s="150">
        <f>'Raw Data'!I114</f>
        <v>1457</v>
      </c>
      <c r="BB124" s="112"/>
      <c r="BC124" s="112"/>
      <c r="BD124" s="112">
        <f>'Raw Data'!O114</f>
        <v>1</v>
      </c>
    </row>
    <row r="125" spans="17:56">
      <c r="S125" s="30"/>
      <c r="T125" s="54">
        <f t="shared" si="69"/>
        <v>0</v>
      </c>
      <c r="U125" s="33" t="str">
        <f t="shared" si="70"/>
        <v/>
      </c>
      <c r="V125" s="33" t="str">
        <f t="shared" si="71"/>
        <v/>
      </c>
      <c r="W125" s="33">
        <f>IFERROR(VLOOKUP(T125,'Raw Data'!$A$4:$O$1500,15,0),0)</f>
        <v>0</v>
      </c>
      <c r="X125" s="21"/>
      <c r="Y125" s="21"/>
      <c r="Z125" s="21"/>
      <c r="AA125" s="21"/>
      <c r="AB125" s="21"/>
      <c r="AC125" s="21"/>
      <c r="AD125" s="21"/>
      <c r="AE125" s="33" t="str">
        <f t="shared" si="63"/>
        <v/>
      </c>
      <c r="AF125" s="114" t="str">
        <f t="shared" si="56"/>
        <v/>
      </c>
      <c r="AG125" s="108" t="str">
        <f t="shared" si="64"/>
        <v/>
      </c>
      <c r="AH125" s="21" t="str">
        <f t="shared" si="65"/>
        <v/>
      </c>
      <c r="AI125" s="21" t="str">
        <f t="shared" si="66"/>
        <v/>
      </c>
      <c r="AJ125" s="21" t="str">
        <f t="shared" si="67"/>
        <v/>
      </c>
      <c r="AK125" s="21" t="str">
        <f t="shared" si="68"/>
        <v/>
      </c>
      <c r="AL125" s="21"/>
      <c r="AM125" s="21"/>
      <c r="AN125" s="21"/>
      <c r="AS125" s="112" t="str">
        <f t="shared" si="53"/>
        <v/>
      </c>
      <c r="AT125" s="112" t="str">
        <f>IF(AS125="","",COUNTIF($AS$13:AS125,AS125))</f>
        <v/>
      </c>
      <c r="AU125" s="147">
        <f t="shared" si="54"/>
        <v>112</v>
      </c>
      <c r="AV125" s="147">
        <f>COUNTIF($AZ$14:AZ125,AZ125)</f>
        <v>40</v>
      </c>
      <c r="AW125" s="147">
        <f>IFERROR(COUNTIF(AX$14:$BL125,AX125),"")</f>
        <v>16</v>
      </c>
      <c r="AX125" s="148" t="str">
        <f t="shared" si="55"/>
        <v>Sat</v>
      </c>
      <c r="AY125" s="149">
        <f>'Raw Data'!A115</f>
        <v>41720</v>
      </c>
      <c r="AZ125" s="150" t="str">
        <f>'Raw Data'!E115</f>
        <v>No Email Drop</v>
      </c>
      <c r="BA125" s="150">
        <f>'Raw Data'!I115</f>
        <v>928</v>
      </c>
      <c r="BB125" s="112"/>
      <c r="BC125" s="112"/>
      <c r="BD125" s="112">
        <f>'Raw Data'!O115</f>
        <v>0</v>
      </c>
    </row>
    <row r="126" spans="17:56">
      <c r="S126" s="30"/>
      <c r="T126" s="54">
        <f t="shared" si="69"/>
        <v>0</v>
      </c>
      <c r="U126" s="33" t="str">
        <f t="shared" si="70"/>
        <v/>
      </c>
      <c r="V126" s="33" t="str">
        <f t="shared" si="71"/>
        <v/>
      </c>
      <c r="W126" s="33">
        <f>IFERROR(VLOOKUP(T126,'Raw Data'!$A$4:$O$1500,15,0),0)</f>
        <v>0</v>
      </c>
      <c r="X126" s="21"/>
      <c r="Y126" s="21"/>
      <c r="Z126" s="21"/>
      <c r="AA126" s="21"/>
      <c r="AB126" s="21"/>
      <c r="AC126" s="21"/>
      <c r="AD126" s="21"/>
      <c r="AE126" s="33" t="str">
        <f t="shared" si="63"/>
        <v/>
      </c>
      <c r="AF126" s="114" t="str">
        <f t="shared" si="56"/>
        <v/>
      </c>
      <c r="AG126" s="108" t="str">
        <f t="shared" si="64"/>
        <v/>
      </c>
      <c r="AH126" s="21" t="str">
        <f t="shared" si="65"/>
        <v/>
      </c>
      <c r="AI126" s="21" t="str">
        <f t="shared" si="66"/>
        <v/>
      </c>
      <c r="AJ126" s="21" t="str">
        <f t="shared" si="67"/>
        <v/>
      </c>
      <c r="AK126" s="21" t="str">
        <f t="shared" si="68"/>
        <v/>
      </c>
      <c r="AL126" s="21"/>
      <c r="AM126" s="21"/>
      <c r="AN126" s="21"/>
      <c r="AS126" s="112" t="str">
        <f t="shared" si="53"/>
        <v/>
      </c>
      <c r="AT126" s="112" t="str">
        <f>IF(AS126="","",COUNTIF($AS$13:AS126,AS126))</f>
        <v/>
      </c>
      <c r="AU126" s="147">
        <f t="shared" si="54"/>
        <v>113</v>
      </c>
      <c r="AV126" s="147">
        <f>COUNTIF($AZ$14:AZ126,AZ126)</f>
        <v>1</v>
      </c>
      <c r="AW126" s="147">
        <f>IFERROR(COUNTIF(AX$14:$BL126,AX126),"")</f>
        <v>17</v>
      </c>
      <c r="AX126" s="148" t="str">
        <f t="shared" si="55"/>
        <v>Sun</v>
      </c>
      <c r="AY126" s="149">
        <f>'Raw Data'!A116</f>
        <v>41721</v>
      </c>
      <c r="AZ126" s="150" t="str">
        <f>'Raw Data'!E116</f>
        <v>Reveal Your Deal Promo,20, 25, 30% Off,FS on $75</v>
      </c>
      <c r="BA126" s="150">
        <f>'Raw Data'!I116</f>
        <v>979</v>
      </c>
      <c r="BB126" s="112"/>
      <c r="BC126" s="112"/>
      <c r="BD126" s="112">
        <f>'Raw Data'!O116</f>
        <v>2</v>
      </c>
    </row>
    <row r="127" spans="17:56">
      <c r="S127" s="30"/>
      <c r="T127" s="54">
        <f t="shared" si="69"/>
        <v>0</v>
      </c>
      <c r="U127" s="33" t="str">
        <f t="shared" si="70"/>
        <v/>
      </c>
      <c r="V127" s="33" t="str">
        <f t="shared" si="71"/>
        <v/>
      </c>
      <c r="W127" s="33">
        <f>IFERROR(VLOOKUP(T127,'Raw Data'!$A$4:$O$1500,15,0),0)</f>
        <v>0</v>
      </c>
      <c r="X127" s="21"/>
      <c r="Y127" s="21"/>
      <c r="Z127" s="21"/>
      <c r="AA127" s="21"/>
      <c r="AB127" s="21"/>
      <c r="AC127" s="21"/>
      <c r="AD127" s="21"/>
      <c r="AE127" s="33" t="str">
        <f t="shared" si="63"/>
        <v/>
      </c>
      <c r="AF127" s="114" t="str">
        <f t="shared" si="56"/>
        <v/>
      </c>
      <c r="AG127" s="108" t="str">
        <f t="shared" si="64"/>
        <v/>
      </c>
      <c r="AH127" s="21" t="str">
        <f t="shared" si="65"/>
        <v/>
      </c>
      <c r="AI127" s="21" t="str">
        <f t="shared" si="66"/>
        <v/>
      </c>
      <c r="AJ127" s="21" t="str">
        <f t="shared" si="67"/>
        <v/>
      </c>
      <c r="AK127" s="21" t="str">
        <f t="shared" si="68"/>
        <v/>
      </c>
      <c r="AL127" s="21"/>
      <c r="AM127" s="21"/>
      <c r="AN127" s="21"/>
      <c r="AS127" s="112" t="str">
        <f t="shared" si="53"/>
        <v/>
      </c>
      <c r="AT127" s="112" t="str">
        <f>IF(AS127="","",COUNTIF($AS$13:AS127,AS127))</f>
        <v/>
      </c>
      <c r="AU127" s="147">
        <f t="shared" si="54"/>
        <v>114</v>
      </c>
      <c r="AV127" s="147">
        <f>COUNTIF($AZ$14:AZ127,AZ127)</f>
        <v>41</v>
      </c>
      <c r="AW127" s="147">
        <f>IFERROR(COUNTIF(AX$14:$BL127,AX127),"")</f>
        <v>17</v>
      </c>
      <c r="AX127" s="148" t="str">
        <f t="shared" si="55"/>
        <v>Mon</v>
      </c>
      <c r="AY127" s="149">
        <f>'Raw Data'!A117</f>
        <v>41722</v>
      </c>
      <c r="AZ127" s="150" t="str">
        <f>'Raw Data'!E117</f>
        <v>No Email Drop</v>
      </c>
      <c r="BA127" s="150">
        <f>'Raw Data'!I117</f>
        <v>1167</v>
      </c>
      <c r="BB127" s="112"/>
      <c r="BC127" s="112"/>
      <c r="BD127" s="112">
        <f>'Raw Data'!O117</f>
        <v>0</v>
      </c>
    </row>
    <row r="128" spans="17:56">
      <c r="S128" s="30"/>
      <c r="T128" s="54">
        <f t="shared" si="69"/>
        <v>0</v>
      </c>
      <c r="U128" s="33" t="str">
        <f t="shared" si="70"/>
        <v/>
      </c>
      <c r="V128" s="33" t="str">
        <f t="shared" si="71"/>
        <v/>
      </c>
      <c r="W128" s="33">
        <f>IFERROR(VLOOKUP(T128,'Raw Data'!$A$4:$O$1500,15,0),0)</f>
        <v>0</v>
      </c>
      <c r="X128" s="21"/>
      <c r="Y128" s="21"/>
      <c r="Z128" s="21"/>
      <c r="AA128" s="21"/>
      <c r="AB128" s="21"/>
      <c r="AC128" s="21"/>
      <c r="AD128" s="21"/>
      <c r="AE128" s="33" t="str">
        <f t="shared" si="63"/>
        <v/>
      </c>
      <c r="AF128" s="114" t="str">
        <f t="shared" si="56"/>
        <v/>
      </c>
      <c r="AG128" s="108" t="str">
        <f t="shared" si="64"/>
        <v/>
      </c>
      <c r="AH128" s="21" t="str">
        <f t="shared" si="65"/>
        <v/>
      </c>
      <c r="AI128" s="21" t="str">
        <f t="shared" si="66"/>
        <v/>
      </c>
      <c r="AJ128" s="21" t="str">
        <f t="shared" si="67"/>
        <v/>
      </c>
      <c r="AK128" s="21" t="str">
        <f t="shared" si="68"/>
        <v/>
      </c>
      <c r="AL128" s="21"/>
      <c r="AM128" s="21"/>
      <c r="AN128" s="21"/>
      <c r="AS128" s="112" t="str">
        <f t="shared" si="53"/>
        <v/>
      </c>
      <c r="AT128" s="112" t="str">
        <f>IF(AS128="","",COUNTIF($AS$13:AS128,AS128))</f>
        <v/>
      </c>
      <c r="AU128" s="147">
        <f t="shared" si="54"/>
        <v>115</v>
      </c>
      <c r="AV128" s="147">
        <f>COUNTIF($AZ$14:AZ128,AZ128)</f>
        <v>5</v>
      </c>
      <c r="AW128" s="147">
        <f>IFERROR(COUNTIF(AX$14:$BL128,AX128),"")</f>
        <v>17</v>
      </c>
      <c r="AX128" s="148" t="str">
        <f t="shared" si="55"/>
        <v>Tue</v>
      </c>
      <c r="AY128" s="149">
        <f>'Raw Data'!A118</f>
        <v>41723</v>
      </c>
      <c r="AZ128" s="150" t="str">
        <f>'Raw Data'!E118</f>
        <v>$10 Off,FS on $49</v>
      </c>
      <c r="BA128" s="150">
        <f>'Raw Data'!I118</f>
        <v>1329</v>
      </c>
      <c r="BB128" s="112"/>
      <c r="BC128" s="112"/>
      <c r="BD128" s="112">
        <f>'Raw Data'!O118</f>
        <v>1</v>
      </c>
    </row>
    <row r="129" spans="19:56">
      <c r="S129" s="30"/>
      <c r="T129" s="54">
        <f t="shared" si="69"/>
        <v>0</v>
      </c>
      <c r="U129" s="33" t="str">
        <f t="shared" si="70"/>
        <v/>
      </c>
      <c r="V129" s="33" t="str">
        <f t="shared" si="71"/>
        <v/>
      </c>
      <c r="W129" s="33">
        <f>IFERROR(VLOOKUP(T129,'Raw Data'!$A$4:$O$1500,15,0),0)</f>
        <v>0</v>
      </c>
      <c r="X129" s="21"/>
      <c r="Y129" s="21"/>
      <c r="Z129" s="21"/>
      <c r="AA129" s="21"/>
      <c r="AB129" s="21"/>
      <c r="AC129" s="21"/>
      <c r="AD129" s="21"/>
      <c r="AE129" s="33" t="str">
        <f t="shared" si="63"/>
        <v/>
      </c>
      <c r="AF129" s="114" t="str">
        <f t="shared" si="56"/>
        <v/>
      </c>
      <c r="AG129" s="108" t="str">
        <f t="shared" si="64"/>
        <v/>
      </c>
      <c r="AH129" s="21" t="str">
        <f t="shared" si="65"/>
        <v/>
      </c>
      <c r="AI129" s="21" t="str">
        <f t="shared" si="66"/>
        <v/>
      </c>
      <c r="AJ129" s="21" t="str">
        <f t="shared" si="67"/>
        <v/>
      </c>
      <c r="AK129" s="21" t="str">
        <f t="shared" si="68"/>
        <v/>
      </c>
      <c r="AL129" s="21"/>
      <c r="AM129" s="21"/>
      <c r="AN129" s="21"/>
      <c r="AS129" s="112" t="str">
        <f t="shared" si="53"/>
        <v/>
      </c>
      <c r="AT129" s="112" t="str">
        <f>IF(AS129="","",COUNTIF($AS$13:AS129,AS129))</f>
        <v/>
      </c>
      <c r="AU129" s="147">
        <f t="shared" si="54"/>
        <v>116</v>
      </c>
      <c r="AV129" s="147">
        <f>COUNTIF($AZ$14:AZ129,AZ129)</f>
        <v>6</v>
      </c>
      <c r="AW129" s="147">
        <f>IFERROR(COUNTIF(AX$14:$BL129,AX129),"")</f>
        <v>17</v>
      </c>
      <c r="AX129" s="148" t="str">
        <f t="shared" si="55"/>
        <v>Wed</v>
      </c>
      <c r="AY129" s="149">
        <f>'Raw Data'!A119</f>
        <v>41724</v>
      </c>
      <c r="AZ129" s="150" t="str">
        <f>'Raw Data'!E119</f>
        <v>$10 Off,FS on $49</v>
      </c>
      <c r="BA129" s="150">
        <f>'Raw Data'!I119</f>
        <v>1198</v>
      </c>
      <c r="BB129" s="112"/>
      <c r="BC129" s="112"/>
      <c r="BD129" s="112">
        <f>'Raw Data'!O119</f>
        <v>1</v>
      </c>
    </row>
    <row r="130" spans="19:56">
      <c r="S130" s="30"/>
      <c r="T130" s="54">
        <f t="shared" si="69"/>
        <v>0</v>
      </c>
      <c r="U130" s="33" t="str">
        <f t="shared" si="70"/>
        <v/>
      </c>
      <c r="V130" s="33" t="str">
        <f t="shared" si="71"/>
        <v/>
      </c>
      <c r="W130" s="33">
        <f>IFERROR(VLOOKUP(T130,'Raw Data'!$A$4:$O$1500,15,0),0)</f>
        <v>0</v>
      </c>
      <c r="X130" s="21"/>
      <c r="Y130" s="21"/>
      <c r="Z130" s="21"/>
      <c r="AA130" s="21"/>
      <c r="AB130" s="21"/>
      <c r="AC130" s="21"/>
      <c r="AD130" s="21"/>
      <c r="AE130" s="33" t="str">
        <f t="shared" si="63"/>
        <v/>
      </c>
      <c r="AF130" s="114" t="str">
        <f t="shared" si="56"/>
        <v/>
      </c>
      <c r="AG130" s="108" t="str">
        <f t="shared" si="64"/>
        <v/>
      </c>
      <c r="AH130" s="21" t="str">
        <f t="shared" si="65"/>
        <v/>
      </c>
      <c r="AI130" s="21" t="str">
        <f t="shared" si="66"/>
        <v/>
      </c>
      <c r="AJ130" s="21" t="str">
        <f t="shared" si="67"/>
        <v/>
      </c>
      <c r="AK130" s="21" t="str">
        <f t="shared" si="68"/>
        <v/>
      </c>
      <c r="AL130" s="21"/>
      <c r="AM130" s="21"/>
      <c r="AN130" s="21"/>
      <c r="AS130" s="112" t="str">
        <f t="shared" si="53"/>
        <v/>
      </c>
      <c r="AT130" s="112" t="str">
        <f>IF(AS130="","",COUNTIF($AS$13:AS130,AS130))</f>
        <v/>
      </c>
      <c r="AU130" s="147">
        <f t="shared" si="54"/>
        <v>117</v>
      </c>
      <c r="AV130" s="147">
        <f>COUNTIF($AZ$14:AZ130,AZ130)</f>
        <v>1</v>
      </c>
      <c r="AW130" s="147">
        <f>IFERROR(COUNTIF(AX$14:$BL130,AX130),"")</f>
        <v>17</v>
      </c>
      <c r="AX130" s="148" t="str">
        <f t="shared" si="55"/>
        <v>Thu</v>
      </c>
      <c r="AY130" s="149">
        <f>'Raw Data'!A120</f>
        <v>41725</v>
      </c>
      <c r="AZ130" s="150" t="str">
        <f>'Raw Data'!E120</f>
        <v>Treat Thursday,Double Points,Up to 40% Off,FS on $49</v>
      </c>
      <c r="BA130" s="150">
        <f>'Raw Data'!I120</f>
        <v>1090</v>
      </c>
      <c r="BB130" s="112"/>
      <c r="BC130" s="112"/>
      <c r="BD130" s="112">
        <f>'Raw Data'!O120</f>
        <v>1</v>
      </c>
    </row>
    <row r="131" spans="19:56">
      <c r="S131" s="30"/>
      <c r="T131" s="26"/>
      <c r="U131" s="26"/>
      <c r="V131" s="26"/>
      <c r="W131" s="21"/>
      <c r="X131" s="21"/>
      <c r="Y131" s="21"/>
      <c r="Z131" s="21"/>
      <c r="AA131" s="21"/>
      <c r="AB131" s="21"/>
      <c r="AC131" s="21"/>
      <c r="AD131" s="21"/>
      <c r="AE131" s="33" t="str">
        <f t="shared" si="63"/>
        <v/>
      </c>
      <c r="AF131" s="114" t="str">
        <f t="shared" si="56"/>
        <v/>
      </c>
      <c r="AG131" s="108" t="str">
        <f t="shared" si="64"/>
        <v/>
      </c>
      <c r="AH131" s="21" t="str">
        <f t="shared" si="65"/>
        <v/>
      </c>
      <c r="AI131" s="21" t="str">
        <f t="shared" si="66"/>
        <v/>
      </c>
      <c r="AJ131" s="21" t="str">
        <f t="shared" si="67"/>
        <v/>
      </c>
      <c r="AK131" s="21" t="str">
        <f t="shared" si="68"/>
        <v/>
      </c>
      <c r="AL131" s="21"/>
      <c r="AM131" s="21"/>
      <c r="AN131" s="21"/>
      <c r="AS131" s="112" t="str">
        <f t="shared" si="53"/>
        <v/>
      </c>
      <c r="AT131" s="112" t="str">
        <f>IF(AS131="","",COUNTIF($AS$13:AS131,AS131))</f>
        <v/>
      </c>
      <c r="AU131" s="147">
        <f t="shared" si="54"/>
        <v>118</v>
      </c>
      <c r="AV131" s="147">
        <f>COUNTIF($AZ$14:AZ131,AZ131)</f>
        <v>42</v>
      </c>
      <c r="AW131" s="147">
        <f>IFERROR(COUNTIF(AX$14:$BL131,AX131),"")</f>
        <v>17</v>
      </c>
      <c r="AX131" s="148" t="str">
        <f t="shared" si="55"/>
        <v>Fri</v>
      </c>
      <c r="AY131" s="149">
        <f>'Raw Data'!A121</f>
        <v>41726</v>
      </c>
      <c r="AZ131" s="150" t="str">
        <f>'Raw Data'!E121</f>
        <v>No Email Drop</v>
      </c>
      <c r="BA131" s="150">
        <f>'Raw Data'!I121</f>
        <v>1029</v>
      </c>
      <c r="BB131" s="112"/>
      <c r="BC131" s="112"/>
      <c r="BD131" s="112">
        <f>'Raw Data'!O121</f>
        <v>0</v>
      </c>
    </row>
    <row r="132" spans="19:56">
      <c r="S132" s="30"/>
      <c r="T132" s="26"/>
      <c r="U132" s="26"/>
      <c r="V132" s="26"/>
      <c r="W132" s="21"/>
      <c r="X132" s="21"/>
      <c r="Y132" s="21"/>
      <c r="Z132" s="21"/>
      <c r="AA132" s="21"/>
      <c r="AB132" s="21"/>
      <c r="AC132" s="21"/>
      <c r="AD132" s="21"/>
      <c r="AE132" s="33" t="str">
        <f t="shared" si="63"/>
        <v/>
      </c>
      <c r="AF132" s="114" t="str">
        <f t="shared" si="56"/>
        <v/>
      </c>
      <c r="AG132" s="108" t="str">
        <f t="shared" si="64"/>
        <v/>
      </c>
      <c r="AH132" s="21" t="str">
        <f t="shared" si="65"/>
        <v/>
      </c>
      <c r="AI132" s="21" t="str">
        <f t="shared" si="66"/>
        <v/>
      </c>
      <c r="AJ132" s="21" t="str">
        <f t="shared" si="67"/>
        <v/>
      </c>
      <c r="AK132" s="21" t="str">
        <f t="shared" si="68"/>
        <v/>
      </c>
      <c r="AL132" s="21"/>
      <c r="AM132" s="21"/>
      <c r="AN132" s="21"/>
      <c r="AS132" s="112" t="str">
        <f t="shared" si="53"/>
        <v/>
      </c>
      <c r="AT132" s="112" t="str">
        <f>IF(AS132="","",COUNTIF($AS$13:AS132,AS132))</f>
        <v/>
      </c>
      <c r="AU132" s="147">
        <f t="shared" si="54"/>
        <v>119</v>
      </c>
      <c r="AV132" s="147">
        <f>COUNTIF($AZ$14:AZ132,AZ132)</f>
        <v>4</v>
      </c>
      <c r="AW132" s="147">
        <f>IFERROR(COUNTIF(AX$14:$BL132,AX132),"")</f>
        <v>17</v>
      </c>
      <c r="AX132" s="148" t="str">
        <f t="shared" si="55"/>
        <v>Sat</v>
      </c>
      <c r="AY132" s="149">
        <f>'Raw Data'!A122</f>
        <v>41727</v>
      </c>
      <c r="AZ132" s="150" t="str">
        <f>'Raw Data'!E122</f>
        <v>Free Ship No Min</v>
      </c>
      <c r="BA132" s="150">
        <f>'Raw Data'!I122</f>
        <v>761</v>
      </c>
      <c r="BB132" s="112"/>
      <c r="BC132" s="112"/>
      <c r="BD132" s="112">
        <f>'Raw Data'!O122</f>
        <v>1</v>
      </c>
    </row>
    <row r="133" spans="19:56">
      <c r="S133" s="30"/>
      <c r="T133" s="26"/>
      <c r="U133" s="26"/>
      <c r="V133" s="26"/>
      <c r="W133" s="21"/>
      <c r="X133" s="21"/>
      <c r="Y133" s="21"/>
      <c r="Z133" s="21"/>
      <c r="AA133" s="21"/>
      <c r="AB133" s="21"/>
      <c r="AC133" s="21"/>
      <c r="AD133" s="21"/>
      <c r="AE133" s="33" t="str">
        <f t="shared" si="63"/>
        <v/>
      </c>
      <c r="AF133" s="114" t="str">
        <f t="shared" si="56"/>
        <v/>
      </c>
      <c r="AG133" s="108" t="str">
        <f t="shared" si="64"/>
        <v/>
      </c>
      <c r="AH133" s="21" t="str">
        <f t="shared" si="65"/>
        <v/>
      </c>
      <c r="AI133" s="21" t="str">
        <f t="shared" si="66"/>
        <v/>
      </c>
      <c r="AJ133" s="21" t="str">
        <f t="shared" si="67"/>
        <v/>
      </c>
      <c r="AK133" s="21" t="str">
        <f t="shared" si="68"/>
        <v/>
      </c>
      <c r="AL133" s="21"/>
      <c r="AM133" s="21"/>
      <c r="AN133" s="21"/>
      <c r="AS133" s="112" t="str">
        <f t="shared" si="53"/>
        <v/>
      </c>
      <c r="AT133" s="112" t="str">
        <f>IF(AS133="","",COUNTIF($AS$13:AS133,AS133))</f>
        <v/>
      </c>
      <c r="AU133" s="147">
        <f t="shared" si="54"/>
        <v>120</v>
      </c>
      <c r="AV133" s="147">
        <f>COUNTIF($AZ$14:AZ133,AZ133)</f>
        <v>43</v>
      </c>
      <c r="AW133" s="147">
        <f>IFERROR(COUNTIF(AX$14:$BL133,AX133),"")</f>
        <v>18</v>
      </c>
      <c r="AX133" s="148" t="str">
        <f t="shared" si="55"/>
        <v>Sun</v>
      </c>
      <c r="AY133" s="149">
        <f>'Raw Data'!A123</f>
        <v>41728</v>
      </c>
      <c r="AZ133" s="150" t="str">
        <f>'Raw Data'!E123</f>
        <v>No Email Drop</v>
      </c>
      <c r="BA133" s="150">
        <f>'Raw Data'!I123</f>
        <v>719</v>
      </c>
      <c r="BB133" s="112"/>
      <c r="BC133" s="112"/>
      <c r="BD133" s="112">
        <f>'Raw Data'!O123</f>
        <v>0</v>
      </c>
    </row>
    <row r="134" spans="19:56">
      <c r="S134" s="30"/>
      <c r="T134" s="26"/>
      <c r="U134" s="26"/>
      <c r="V134" s="26"/>
      <c r="W134" s="21"/>
      <c r="X134" s="21"/>
      <c r="Y134" s="21"/>
      <c r="Z134" s="21"/>
      <c r="AA134" s="21"/>
      <c r="AB134" s="21"/>
      <c r="AC134" s="21"/>
      <c r="AD134" s="21"/>
      <c r="AE134" s="33" t="str">
        <f t="shared" si="63"/>
        <v/>
      </c>
      <c r="AF134" s="114" t="str">
        <f t="shared" si="56"/>
        <v/>
      </c>
      <c r="AG134" s="108" t="str">
        <f t="shared" si="64"/>
        <v/>
      </c>
      <c r="AH134" s="21" t="str">
        <f t="shared" si="65"/>
        <v/>
      </c>
      <c r="AI134" s="21" t="str">
        <f t="shared" si="66"/>
        <v/>
      </c>
      <c r="AJ134" s="21" t="str">
        <f t="shared" si="67"/>
        <v/>
      </c>
      <c r="AK134" s="21" t="str">
        <f t="shared" si="68"/>
        <v/>
      </c>
      <c r="AL134" s="21"/>
      <c r="AM134" s="21"/>
      <c r="AN134" s="21"/>
      <c r="AS134" s="112">
        <f t="shared" si="53"/>
        <v>1</v>
      </c>
      <c r="AT134" s="112">
        <f>IF(AS134="","",COUNTIF($AS$13:AS134,AS134))</f>
        <v>3</v>
      </c>
      <c r="AU134" s="147">
        <f t="shared" si="54"/>
        <v>121</v>
      </c>
      <c r="AV134" s="147">
        <f>COUNTIF($AZ$14:AZ134,AZ134)</f>
        <v>3</v>
      </c>
      <c r="AW134" s="147">
        <f>IFERROR(COUNTIF(AX$14:$BL134,AX134),"")</f>
        <v>18</v>
      </c>
      <c r="AX134" s="148" t="str">
        <f t="shared" si="55"/>
        <v>Mon</v>
      </c>
      <c r="AY134" s="149">
        <f>'Raw Data'!A124</f>
        <v>41729</v>
      </c>
      <c r="AZ134" s="150" t="str">
        <f>'Raw Data'!E124</f>
        <v>Flash Sale,30% Off,FS on $49</v>
      </c>
      <c r="BA134" s="150">
        <f>'Raw Data'!I124</f>
        <v>1629</v>
      </c>
      <c r="BB134" s="112"/>
      <c r="BC134" s="112"/>
      <c r="BD134" s="112">
        <f>'Raw Data'!O124</f>
        <v>1</v>
      </c>
    </row>
    <row r="135" spans="19:56">
      <c r="S135" s="30"/>
      <c r="T135" s="26"/>
      <c r="U135" s="26"/>
      <c r="V135" s="26"/>
      <c r="W135" s="21"/>
      <c r="X135" s="21"/>
      <c r="Y135" s="21"/>
      <c r="Z135" s="21"/>
      <c r="AA135" s="21"/>
      <c r="AB135" s="21"/>
      <c r="AC135" s="21"/>
      <c r="AD135" s="21"/>
      <c r="AE135" s="33" t="str">
        <f t="shared" si="63"/>
        <v/>
      </c>
      <c r="AF135" s="114" t="str">
        <f t="shared" si="56"/>
        <v/>
      </c>
      <c r="AG135" s="108" t="str">
        <f t="shared" si="64"/>
        <v/>
      </c>
      <c r="AH135" s="21" t="str">
        <f t="shared" si="65"/>
        <v/>
      </c>
      <c r="AI135" s="21" t="str">
        <f t="shared" si="66"/>
        <v/>
      </c>
      <c r="AJ135" s="21" t="str">
        <f t="shared" si="67"/>
        <v/>
      </c>
      <c r="AK135" s="21" t="str">
        <f t="shared" si="68"/>
        <v/>
      </c>
      <c r="AL135" s="21"/>
      <c r="AM135" s="21"/>
      <c r="AN135" s="21"/>
      <c r="AS135" s="112">
        <f t="shared" si="53"/>
        <v>1</v>
      </c>
      <c r="AT135" s="112">
        <f>IF(AS135="","",COUNTIF($AS$13:AS135,AS135))</f>
        <v>4</v>
      </c>
      <c r="AU135" s="147">
        <f t="shared" si="54"/>
        <v>122</v>
      </c>
      <c r="AV135" s="147">
        <f>COUNTIF($AZ$14:AZ135,AZ135)</f>
        <v>4</v>
      </c>
      <c r="AW135" s="147">
        <f>IFERROR(COUNTIF(AX$14:$BL135,AX135),"")</f>
        <v>18</v>
      </c>
      <c r="AX135" s="148" t="str">
        <f t="shared" si="55"/>
        <v>Tue</v>
      </c>
      <c r="AY135" s="149">
        <f>'Raw Data'!A125</f>
        <v>41730</v>
      </c>
      <c r="AZ135" s="150" t="str">
        <f>'Raw Data'!E125</f>
        <v>Flash Sale,30% Off,FS on $49</v>
      </c>
      <c r="BA135" s="150">
        <f>'Raw Data'!I125</f>
        <v>1424</v>
      </c>
      <c r="BB135" s="112"/>
      <c r="BC135" s="112"/>
      <c r="BD135" s="112">
        <f>'Raw Data'!O125</f>
        <v>1</v>
      </c>
    </row>
    <row r="136" spans="19:56">
      <c r="S136" s="30"/>
      <c r="T136" s="26"/>
      <c r="U136" s="26"/>
      <c r="V136" s="26"/>
      <c r="W136" s="21"/>
      <c r="X136" s="21"/>
      <c r="Y136" s="21"/>
      <c r="Z136" s="21"/>
      <c r="AA136" s="21"/>
      <c r="AB136" s="21"/>
      <c r="AC136" s="21"/>
      <c r="AD136" s="21"/>
      <c r="AE136" s="33" t="str">
        <f t="shared" si="63"/>
        <v/>
      </c>
      <c r="AF136" s="114" t="str">
        <f t="shared" si="56"/>
        <v/>
      </c>
      <c r="AG136" s="108" t="str">
        <f t="shared" si="64"/>
        <v/>
      </c>
      <c r="AH136" s="21" t="str">
        <f t="shared" si="65"/>
        <v/>
      </c>
      <c r="AI136" s="21" t="str">
        <f t="shared" si="66"/>
        <v/>
      </c>
      <c r="AJ136" s="21" t="str">
        <f t="shared" si="67"/>
        <v/>
      </c>
      <c r="AK136" s="21" t="str">
        <f t="shared" si="68"/>
        <v/>
      </c>
      <c r="AL136" s="21"/>
      <c r="AM136" s="21"/>
      <c r="AN136" s="21"/>
      <c r="AS136" s="112" t="str">
        <f t="shared" si="53"/>
        <v/>
      </c>
      <c r="AT136" s="112" t="str">
        <f>IF(AS136="","",COUNTIF($AS$13:AS136,AS136))</f>
        <v/>
      </c>
      <c r="AU136" s="147">
        <f t="shared" si="54"/>
        <v>123</v>
      </c>
      <c r="AV136" s="147">
        <f>COUNTIF($AZ$14:AZ136,AZ136)</f>
        <v>44</v>
      </c>
      <c r="AW136" s="147">
        <f>IFERROR(COUNTIF(AX$14:$BL136,AX136),"")</f>
        <v>18</v>
      </c>
      <c r="AX136" s="148" t="str">
        <f t="shared" si="55"/>
        <v>Wed</v>
      </c>
      <c r="AY136" s="149">
        <f>'Raw Data'!A126</f>
        <v>41731</v>
      </c>
      <c r="AZ136" s="150" t="str">
        <f>'Raw Data'!E126</f>
        <v>No Email Drop</v>
      </c>
      <c r="BA136" s="150">
        <f>'Raw Data'!I126</f>
        <v>1108</v>
      </c>
      <c r="BB136" s="112"/>
      <c r="BC136" s="112"/>
      <c r="BD136" s="112">
        <f>'Raw Data'!O126</f>
        <v>0</v>
      </c>
    </row>
    <row r="137" spans="19:56">
      <c r="S137" s="30"/>
      <c r="T137" s="26"/>
      <c r="U137" s="26"/>
      <c r="V137" s="26"/>
      <c r="W137" s="21"/>
      <c r="X137" s="21"/>
      <c r="Y137" s="21"/>
      <c r="Z137" s="21"/>
      <c r="AA137" s="21"/>
      <c r="AB137" s="21"/>
      <c r="AC137" s="21"/>
      <c r="AD137" s="21"/>
      <c r="AE137" s="33" t="str">
        <f t="shared" si="63"/>
        <v/>
      </c>
      <c r="AF137" s="114" t="str">
        <f t="shared" si="56"/>
        <v/>
      </c>
      <c r="AG137" s="108" t="str">
        <f t="shared" si="64"/>
        <v/>
      </c>
      <c r="AH137" s="21" t="str">
        <f t="shared" si="65"/>
        <v/>
      </c>
      <c r="AI137" s="21" t="str">
        <f t="shared" si="66"/>
        <v/>
      </c>
      <c r="AJ137" s="21" t="str">
        <f t="shared" si="67"/>
        <v/>
      </c>
      <c r="AK137" s="21" t="str">
        <f t="shared" si="68"/>
        <v/>
      </c>
      <c r="AL137" s="21"/>
      <c r="AM137" s="21"/>
      <c r="AN137" s="21"/>
      <c r="AS137" s="112" t="str">
        <f t="shared" si="53"/>
        <v/>
      </c>
      <c r="AT137" s="112" t="str">
        <f>IF(AS137="","",COUNTIF($AS$13:AS137,AS137))</f>
        <v/>
      </c>
      <c r="AU137" s="147">
        <f t="shared" si="54"/>
        <v>124</v>
      </c>
      <c r="AV137" s="147">
        <f>COUNTIF($AZ$14:AZ137,AZ137)</f>
        <v>1</v>
      </c>
      <c r="AW137" s="147">
        <f>IFERROR(COUNTIF(AX$14:$BL137,AX137),"")</f>
        <v>18</v>
      </c>
      <c r="AX137" s="148" t="str">
        <f t="shared" si="55"/>
        <v>Thu</v>
      </c>
      <c r="AY137" s="149">
        <f>'Raw Data'!A127</f>
        <v>41732</v>
      </c>
      <c r="AZ137" s="150" t="str">
        <f>'Raw Data'!E127</f>
        <v>Treat Thursday,12 Items,FS on $49</v>
      </c>
      <c r="BA137" s="150">
        <f>'Raw Data'!I127</f>
        <v>1211</v>
      </c>
      <c r="BB137" s="112"/>
      <c r="BC137" s="112"/>
      <c r="BD137" s="112">
        <f>'Raw Data'!O127</f>
        <v>1</v>
      </c>
    </row>
    <row r="138" spans="19:56">
      <c r="S138" s="30"/>
      <c r="T138" s="26"/>
      <c r="U138" s="26"/>
      <c r="V138" s="26"/>
      <c r="W138" s="21"/>
      <c r="X138" s="21"/>
      <c r="Y138" s="21"/>
      <c r="Z138" s="21"/>
      <c r="AA138" s="21"/>
      <c r="AB138" s="21"/>
      <c r="AC138" s="21"/>
      <c r="AD138" s="21"/>
      <c r="AE138" s="33" t="str">
        <f t="shared" si="63"/>
        <v/>
      </c>
      <c r="AF138" s="114" t="str">
        <f t="shared" si="56"/>
        <v/>
      </c>
      <c r="AG138" s="108" t="str">
        <f t="shared" si="64"/>
        <v/>
      </c>
      <c r="AH138" s="21" t="str">
        <f t="shared" si="65"/>
        <v/>
      </c>
      <c r="AI138" s="21" t="str">
        <f t="shared" si="66"/>
        <v/>
      </c>
      <c r="AJ138" s="21" t="str">
        <f t="shared" si="67"/>
        <v/>
      </c>
      <c r="AK138" s="21" t="str">
        <f t="shared" si="68"/>
        <v/>
      </c>
      <c r="AL138" s="21"/>
      <c r="AM138" s="21"/>
      <c r="AN138" s="21"/>
      <c r="AS138" s="112" t="str">
        <f t="shared" si="53"/>
        <v/>
      </c>
      <c r="AT138" s="112" t="str">
        <f>IF(AS138="","",COUNTIF($AS$13:AS138,AS138))</f>
        <v/>
      </c>
      <c r="AU138" s="147">
        <f t="shared" si="54"/>
        <v>125</v>
      </c>
      <c r="AV138" s="147">
        <f>COUNTIF($AZ$14:AZ138,AZ138)</f>
        <v>1</v>
      </c>
      <c r="AW138" s="147">
        <f>IFERROR(COUNTIF(AX$14:$BL138,AX138),"")</f>
        <v>18</v>
      </c>
      <c r="AX138" s="148" t="str">
        <f t="shared" si="55"/>
        <v>Fri</v>
      </c>
      <c r="AY138" s="149">
        <f>'Raw Data'!A128</f>
        <v>41733</v>
      </c>
      <c r="AZ138" s="150" t="str">
        <f>'Raw Data'!E128</f>
        <v>$20 Off,FS on $80</v>
      </c>
      <c r="BA138" s="150">
        <f>'Raw Data'!I128</f>
        <v>1117</v>
      </c>
      <c r="BB138" s="112"/>
      <c r="BC138" s="112"/>
      <c r="BD138" s="112">
        <f>'Raw Data'!O128</f>
        <v>1</v>
      </c>
    </row>
    <row r="139" spans="19:56">
      <c r="S139" s="30"/>
      <c r="T139" s="26"/>
      <c r="U139" s="26"/>
      <c r="V139" s="26"/>
      <c r="W139" s="21"/>
      <c r="X139" s="21"/>
      <c r="Y139" s="21"/>
      <c r="Z139" s="21"/>
      <c r="AA139" s="21"/>
      <c r="AB139" s="21"/>
      <c r="AC139" s="21"/>
      <c r="AD139" s="21"/>
      <c r="AE139" s="33" t="str">
        <f t="shared" si="63"/>
        <v/>
      </c>
      <c r="AF139" s="114" t="str">
        <f t="shared" si="56"/>
        <v/>
      </c>
      <c r="AG139" s="108" t="str">
        <f t="shared" si="64"/>
        <v/>
      </c>
      <c r="AH139" s="21" t="str">
        <f t="shared" si="65"/>
        <v/>
      </c>
      <c r="AI139" s="21" t="str">
        <f t="shared" si="66"/>
        <v/>
      </c>
      <c r="AJ139" s="21" t="str">
        <f t="shared" si="67"/>
        <v/>
      </c>
      <c r="AK139" s="21" t="str">
        <f t="shared" si="68"/>
        <v/>
      </c>
      <c r="AL139" s="21"/>
      <c r="AM139" s="21"/>
      <c r="AN139" s="21"/>
      <c r="AS139" s="112" t="str">
        <f t="shared" si="53"/>
        <v/>
      </c>
      <c r="AT139" s="112" t="str">
        <f>IF(AS139="","",COUNTIF($AS$13:AS139,AS139))</f>
        <v/>
      </c>
      <c r="AU139" s="147">
        <f t="shared" si="54"/>
        <v>126</v>
      </c>
      <c r="AV139" s="147">
        <f>COUNTIF($AZ$14:AZ139,AZ139)</f>
        <v>45</v>
      </c>
      <c r="AW139" s="147">
        <f>IFERROR(COUNTIF(AX$14:$BL139,AX139),"")</f>
        <v>18</v>
      </c>
      <c r="AX139" s="148" t="str">
        <f t="shared" si="55"/>
        <v>Sat</v>
      </c>
      <c r="AY139" s="149">
        <f>'Raw Data'!A129</f>
        <v>41734</v>
      </c>
      <c r="AZ139" s="150" t="str">
        <f>'Raw Data'!E129</f>
        <v>No Email Drop</v>
      </c>
      <c r="BA139" s="150">
        <f>'Raw Data'!I129</f>
        <v>711</v>
      </c>
      <c r="BB139" s="112"/>
      <c r="BC139" s="112"/>
      <c r="BD139" s="112">
        <f>'Raw Data'!O129</f>
        <v>0</v>
      </c>
    </row>
    <row r="140" spans="19:56">
      <c r="S140" s="30"/>
      <c r="T140" s="26"/>
      <c r="U140" s="26"/>
      <c r="V140" s="26"/>
      <c r="W140" s="21"/>
      <c r="X140" s="21"/>
      <c r="Y140" s="21"/>
      <c r="Z140" s="21"/>
      <c r="AA140" s="21"/>
      <c r="AB140" s="21"/>
      <c r="AC140" s="21"/>
      <c r="AD140" s="21"/>
      <c r="AE140" s="33" t="str">
        <f t="shared" si="63"/>
        <v/>
      </c>
      <c r="AF140" s="114" t="str">
        <f t="shared" si="56"/>
        <v/>
      </c>
      <c r="AG140" s="108" t="str">
        <f t="shared" si="64"/>
        <v/>
      </c>
      <c r="AH140" s="21" t="str">
        <f t="shared" si="65"/>
        <v/>
      </c>
      <c r="AI140" s="21" t="str">
        <f t="shared" si="66"/>
        <v/>
      </c>
      <c r="AJ140" s="21" t="str">
        <f t="shared" si="67"/>
        <v/>
      </c>
      <c r="AK140" s="21" t="str">
        <f t="shared" si="68"/>
        <v/>
      </c>
      <c r="AL140" s="21"/>
      <c r="AM140" s="21"/>
      <c r="AN140" s="21"/>
      <c r="AS140" s="112" t="str">
        <f t="shared" si="53"/>
        <v/>
      </c>
      <c r="AT140" s="112" t="str">
        <f>IF(AS140="","",COUNTIF($AS$13:AS140,AS140))</f>
        <v/>
      </c>
      <c r="AU140" s="147">
        <f t="shared" si="54"/>
        <v>127</v>
      </c>
      <c r="AV140" s="147">
        <f>COUNTIF($AZ$14:AZ140,AZ140)</f>
        <v>2</v>
      </c>
      <c r="AW140" s="147">
        <f>IFERROR(COUNTIF(AX$14:$BL140,AX140),"")</f>
        <v>19</v>
      </c>
      <c r="AX140" s="148" t="str">
        <f t="shared" si="55"/>
        <v>Sun</v>
      </c>
      <c r="AY140" s="149">
        <f>'Raw Data'!A130</f>
        <v>41735</v>
      </c>
      <c r="AZ140" s="150" t="str">
        <f>'Raw Data'!E130</f>
        <v>$20 Off,FS on $80</v>
      </c>
      <c r="BA140" s="150">
        <f>'Raw Data'!I130</f>
        <v>654</v>
      </c>
      <c r="BB140" s="112"/>
      <c r="BC140" s="112"/>
      <c r="BD140" s="112">
        <f>'Raw Data'!O130</f>
        <v>1</v>
      </c>
    </row>
    <row r="141" spans="19:56">
      <c r="S141" s="30"/>
      <c r="T141" s="26"/>
      <c r="U141" s="26"/>
      <c r="V141" s="26"/>
      <c r="W141" s="21"/>
      <c r="X141" s="21"/>
      <c r="Y141" s="21"/>
      <c r="Z141" s="21"/>
      <c r="AA141" s="21"/>
      <c r="AB141" s="21"/>
      <c r="AC141" s="21"/>
      <c r="AD141" s="21"/>
      <c r="AE141" s="33" t="str">
        <f t="shared" si="63"/>
        <v/>
      </c>
      <c r="AF141" s="114" t="str">
        <f t="shared" si="56"/>
        <v/>
      </c>
      <c r="AG141" s="108" t="str">
        <f t="shared" si="64"/>
        <v/>
      </c>
      <c r="AH141" s="21" t="str">
        <f t="shared" si="65"/>
        <v/>
      </c>
      <c r="AI141" s="21" t="str">
        <f t="shared" si="66"/>
        <v/>
      </c>
      <c r="AJ141" s="21" t="str">
        <f t="shared" si="67"/>
        <v/>
      </c>
      <c r="AK141" s="21" t="str">
        <f t="shared" si="68"/>
        <v/>
      </c>
      <c r="AL141" s="21"/>
      <c r="AM141" s="21"/>
      <c r="AN141" s="21"/>
      <c r="AS141" s="112" t="str">
        <f t="shared" si="53"/>
        <v/>
      </c>
      <c r="AT141" s="112" t="str">
        <f>IF(AS141="","",COUNTIF($AS$13:AS141,AS141))</f>
        <v/>
      </c>
      <c r="AU141" s="147">
        <f t="shared" si="54"/>
        <v>128</v>
      </c>
      <c r="AV141" s="147">
        <f>COUNTIF($AZ$14:AZ141,AZ141)</f>
        <v>9</v>
      </c>
      <c r="AW141" s="147">
        <f>IFERROR(COUNTIF(AX$14:$BL141,AX141),"")</f>
        <v>19</v>
      </c>
      <c r="AX141" s="148" t="str">
        <f t="shared" si="55"/>
        <v>Mon</v>
      </c>
      <c r="AY141" s="149">
        <f>'Raw Data'!A131</f>
        <v>41736</v>
      </c>
      <c r="AZ141" s="150" t="str">
        <f>'Raw Data'!E131</f>
        <v>20% Off,FS on $49</v>
      </c>
      <c r="BA141" s="150">
        <f>'Raw Data'!I131</f>
        <v>1102</v>
      </c>
      <c r="BB141" s="112"/>
      <c r="BC141" s="112"/>
      <c r="BD141" s="112">
        <f>'Raw Data'!O131</f>
        <v>1</v>
      </c>
    </row>
    <row r="142" spans="19:56">
      <c r="S142" s="30"/>
      <c r="T142" s="26"/>
      <c r="U142" s="26"/>
      <c r="V142" s="26"/>
      <c r="W142" s="21"/>
      <c r="X142" s="21"/>
      <c r="Y142" s="21"/>
      <c r="Z142" s="21"/>
      <c r="AA142" s="21"/>
      <c r="AB142" s="21"/>
      <c r="AC142" s="21"/>
      <c r="AD142" s="21"/>
      <c r="AE142" s="33" t="str">
        <f t="shared" si="63"/>
        <v/>
      </c>
      <c r="AF142" s="114" t="str">
        <f t="shared" si="56"/>
        <v/>
      </c>
      <c r="AG142" s="108" t="str">
        <f t="shared" si="64"/>
        <v/>
      </c>
      <c r="AH142" s="21" t="str">
        <f t="shared" si="65"/>
        <v/>
      </c>
      <c r="AI142" s="21" t="str">
        <f t="shared" si="66"/>
        <v/>
      </c>
      <c r="AJ142" s="21" t="str">
        <f t="shared" si="67"/>
        <v/>
      </c>
      <c r="AK142" s="21" t="str">
        <f t="shared" si="68"/>
        <v/>
      </c>
      <c r="AL142" s="21"/>
      <c r="AM142" s="21"/>
      <c r="AN142" s="21"/>
      <c r="AS142" s="112" t="str">
        <f t="shared" si="53"/>
        <v/>
      </c>
      <c r="AT142" s="112" t="str">
        <f>IF(AS142="","",COUNTIF($AS$13:AS142,AS142))</f>
        <v/>
      </c>
      <c r="AU142" s="147">
        <f t="shared" si="54"/>
        <v>129</v>
      </c>
      <c r="AV142" s="147">
        <f>COUNTIF($AZ$14:AZ142,AZ142)</f>
        <v>7</v>
      </c>
      <c r="AW142" s="147">
        <f>IFERROR(COUNTIF(AX$14:$BL142,AX142),"")</f>
        <v>19</v>
      </c>
      <c r="AX142" s="148" t="str">
        <f t="shared" si="55"/>
        <v>Tue</v>
      </c>
      <c r="AY142" s="149">
        <f>'Raw Data'!A132</f>
        <v>41737</v>
      </c>
      <c r="AZ142" s="150" t="str">
        <f>'Raw Data'!E132</f>
        <v>$10 Off,FS on $49</v>
      </c>
      <c r="BA142" s="150">
        <f>'Raw Data'!I132</f>
        <v>1195</v>
      </c>
      <c r="BB142" s="112"/>
      <c r="BC142" s="112"/>
      <c r="BD142" s="112">
        <f>'Raw Data'!O132</f>
        <v>1</v>
      </c>
    </row>
    <row r="143" spans="19:56">
      <c r="S143" s="30"/>
      <c r="T143" s="26"/>
      <c r="U143" s="26"/>
      <c r="V143" s="26"/>
      <c r="W143" s="21"/>
      <c r="X143" s="21"/>
      <c r="Y143" s="21"/>
      <c r="Z143" s="21"/>
      <c r="AA143" s="21"/>
      <c r="AB143" s="21"/>
      <c r="AC143" s="21"/>
      <c r="AD143" s="21"/>
      <c r="AE143" s="33" t="str">
        <f t="shared" si="63"/>
        <v/>
      </c>
      <c r="AF143" s="114" t="str">
        <f t="shared" si="56"/>
        <v/>
      </c>
      <c r="AG143" s="108" t="str">
        <f t="shared" si="64"/>
        <v/>
      </c>
      <c r="AH143" s="21" t="str">
        <f t="shared" si="65"/>
        <v/>
      </c>
      <c r="AI143" s="21" t="str">
        <f t="shared" si="66"/>
        <v/>
      </c>
      <c r="AJ143" s="21" t="str">
        <f t="shared" si="67"/>
        <v/>
      </c>
      <c r="AK143" s="21" t="str">
        <f t="shared" si="68"/>
        <v/>
      </c>
      <c r="AL143" s="21"/>
      <c r="AM143" s="21"/>
      <c r="AN143" s="21"/>
      <c r="AS143" s="112" t="str">
        <f t="shared" si="53"/>
        <v/>
      </c>
      <c r="AT143" s="112" t="str">
        <f>IF(AS143="","",COUNTIF($AS$13:AS143,AS143))</f>
        <v/>
      </c>
      <c r="AU143" s="147">
        <f t="shared" si="54"/>
        <v>130</v>
      </c>
      <c r="AV143" s="147">
        <f>COUNTIF($AZ$14:AZ143,AZ143)</f>
        <v>46</v>
      </c>
      <c r="AW143" s="147">
        <f>IFERROR(COUNTIF(AX$14:$BL143,AX143),"")</f>
        <v>19</v>
      </c>
      <c r="AX143" s="148" t="str">
        <f t="shared" si="55"/>
        <v>Wed</v>
      </c>
      <c r="AY143" s="149">
        <f>'Raw Data'!A133</f>
        <v>41738</v>
      </c>
      <c r="AZ143" s="150" t="str">
        <f>'Raw Data'!E133</f>
        <v>No Email Drop</v>
      </c>
      <c r="BA143" s="150">
        <f>'Raw Data'!I133</f>
        <v>963</v>
      </c>
      <c r="BB143" s="112"/>
      <c r="BC143" s="112"/>
      <c r="BD143" s="112">
        <f>'Raw Data'!O133</f>
        <v>0</v>
      </c>
    </row>
    <row r="144" spans="19:56">
      <c r="S144" s="30"/>
      <c r="T144" s="26"/>
      <c r="U144" s="26"/>
      <c r="V144" s="26"/>
      <c r="W144" s="21"/>
      <c r="X144" s="21"/>
      <c r="Y144" s="21"/>
      <c r="Z144" s="21"/>
      <c r="AA144" s="21"/>
      <c r="AB144" s="21"/>
      <c r="AC144" s="21"/>
      <c r="AD144" s="21"/>
      <c r="AE144" s="33" t="str">
        <f t="shared" si="63"/>
        <v/>
      </c>
      <c r="AF144" s="114" t="str">
        <f t="shared" si="56"/>
        <v/>
      </c>
      <c r="AG144" s="108" t="str">
        <f t="shared" si="64"/>
        <v/>
      </c>
      <c r="AH144" s="21" t="str">
        <f t="shared" si="65"/>
        <v/>
      </c>
      <c r="AI144" s="21" t="str">
        <f t="shared" si="66"/>
        <v/>
      </c>
      <c r="AJ144" s="21" t="str">
        <f t="shared" si="67"/>
        <v/>
      </c>
      <c r="AK144" s="21" t="str">
        <f t="shared" si="68"/>
        <v/>
      </c>
      <c r="AL144" s="21"/>
      <c r="AM144" s="21"/>
      <c r="AN144" s="21"/>
      <c r="AS144" s="112" t="str">
        <f t="shared" ref="AS144:AS207" si="72">IFERROR(IF(FIND($AT$12,AZ144)&gt;0,1,0),"")</f>
        <v/>
      </c>
      <c r="AT144" s="112" t="str">
        <f>IF(AS144="","",COUNTIF($AS$13:AS144,AS144))</f>
        <v/>
      </c>
      <c r="AU144" s="147">
        <f t="shared" ref="AU144:AU207" si="73">AU143+1</f>
        <v>131</v>
      </c>
      <c r="AV144" s="147">
        <f>COUNTIF($AZ$14:AZ144,AZ144)</f>
        <v>1</v>
      </c>
      <c r="AW144" s="147">
        <f>IFERROR(COUNTIF(AX$14:$BL144,AX144),"")</f>
        <v>19</v>
      </c>
      <c r="AX144" s="148" t="str">
        <f t="shared" ref="AX144:AX207" si="74">TEXT(AY144,"ddd")</f>
        <v>Thu</v>
      </c>
      <c r="AY144" s="149">
        <f>'Raw Data'!A134</f>
        <v>41739</v>
      </c>
      <c r="AZ144" s="150" t="str">
        <f>'Raw Data'!E134</f>
        <v>Treat Thursday,12 Treats,FS on $49</v>
      </c>
      <c r="BA144" s="150">
        <f>'Raw Data'!I134</f>
        <v>1076</v>
      </c>
      <c r="BB144" s="112"/>
      <c r="BC144" s="112"/>
      <c r="BD144" s="112">
        <f>'Raw Data'!O134</f>
        <v>1</v>
      </c>
    </row>
    <row r="145" spans="19:56">
      <c r="S145" s="30"/>
      <c r="T145" s="26"/>
      <c r="U145" s="26"/>
      <c r="V145" s="26"/>
      <c r="W145" s="21"/>
      <c r="X145" s="21"/>
      <c r="Y145" s="21"/>
      <c r="Z145" s="21"/>
      <c r="AA145" s="21"/>
      <c r="AB145" s="21"/>
      <c r="AC145" s="21"/>
      <c r="AD145" s="21"/>
      <c r="AE145" s="33" t="str">
        <f t="shared" si="63"/>
        <v/>
      </c>
      <c r="AF145" s="114" t="str">
        <f t="shared" ref="AF145:AF148" si="75">IFERROR(IF(AF144=1,"",AF144-1),"")</f>
        <v/>
      </c>
      <c r="AG145" s="108" t="str">
        <f t="shared" si="64"/>
        <v/>
      </c>
      <c r="AH145" s="21" t="str">
        <f t="shared" si="65"/>
        <v/>
      </c>
      <c r="AI145" s="21" t="str">
        <f t="shared" si="66"/>
        <v/>
      </c>
      <c r="AJ145" s="21" t="str">
        <f t="shared" si="67"/>
        <v/>
      </c>
      <c r="AK145" s="21" t="str">
        <f t="shared" si="68"/>
        <v/>
      </c>
      <c r="AL145" s="21"/>
      <c r="AM145" s="21"/>
      <c r="AN145" s="21"/>
      <c r="AS145" s="112" t="str">
        <f t="shared" si="72"/>
        <v/>
      </c>
      <c r="AT145" s="112" t="str">
        <f>IF(AS145="","",COUNTIF($AS$13:AS145,AS145))</f>
        <v/>
      </c>
      <c r="AU145" s="147">
        <f t="shared" si="73"/>
        <v>132</v>
      </c>
      <c r="AV145" s="147">
        <f>COUNTIF($AZ$14:AZ145,AZ145)</f>
        <v>10</v>
      </c>
      <c r="AW145" s="147">
        <f>IFERROR(COUNTIF(AX$14:$BL145,AX145),"")</f>
        <v>19</v>
      </c>
      <c r="AX145" s="148" t="str">
        <f t="shared" si="74"/>
        <v>Fri</v>
      </c>
      <c r="AY145" s="149">
        <f>'Raw Data'!A135</f>
        <v>41740</v>
      </c>
      <c r="AZ145" s="150" t="str">
        <f>'Raw Data'!E135</f>
        <v>20% Off,FS on $49</v>
      </c>
      <c r="BA145" s="150">
        <f>'Raw Data'!I135</f>
        <v>937</v>
      </c>
      <c r="BB145" s="112"/>
      <c r="BC145" s="112"/>
      <c r="BD145" s="112">
        <f>'Raw Data'!O135</f>
        <v>1</v>
      </c>
    </row>
    <row r="146" spans="19:56">
      <c r="S146" s="30"/>
      <c r="T146" s="26"/>
      <c r="U146" s="26"/>
      <c r="V146" s="26"/>
      <c r="W146" s="21"/>
      <c r="X146" s="21"/>
      <c r="Y146" s="21"/>
      <c r="Z146" s="21"/>
      <c r="AA146" s="21"/>
      <c r="AB146" s="21"/>
      <c r="AC146" s="21"/>
      <c r="AD146" s="21"/>
      <c r="AE146" s="33" t="str">
        <f t="shared" si="63"/>
        <v/>
      </c>
      <c r="AF146" s="114" t="str">
        <f t="shared" si="75"/>
        <v/>
      </c>
      <c r="AG146" s="108" t="str">
        <f t="shared" si="64"/>
        <v/>
      </c>
      <c r="AH146" s="21" t="str">
        <f t="shared" si="65"/>
        <v/>
      </c>
      <c r="AI146" s="21" t="str">
        <f t="shared" si="66"/>
        <v/>
      </c>
      <c r="AJ146" s="21" t="str">
        <f t="shared" si="67"/>
        <v/>
      </c>
      <c r="AK146" s="21" t="str">
        <f t="shared" si="68"/>
        <v/>
      </c>
      <c r="AL146" s="21"/>
      <c r="AM146" s="21"/>
      <c r="AN146" s="21"/>
      <c r="AS146" s="112" t="str">
        <f t="shared" si="72"/>
        <v/>
      </c>
      <c r="AT146" s="112" t="str">
        <f>IF(AS146="","",COUNTIF($AS$13:AS146,AS146))</f>
        <v/>
      </c>
      <c r="AU146" s="147">
        <f t="shared" si="73"/>
        <v>133</v>
      </c>
      <c r="AV146" s="147">
        <f>COUNTIF($AZ$14:AZ146,AZ146)</f>
        <v>47</v>
      </c>
      <c r="AW146" s="147">
        <f>IFERROR(COUNTIF(AX$14:$BL146,AX146),"")</f>
        <v>19</v>
      </c>
      <c r="AX146" s="148" t="str">
        <f t="shared" si="74"/>
        <v>Sat</v>
      </c>
      <c r="AY146" s="149">
        <f>'Raw Data'!A136</f>
        <v>41741</v>
      </c>
      <c r="AZ146" s="150" t="str">
        <f>'Raw Data'!E136</f>
        <v>No Email Drop</v>
      </c>
      <c r="BA146" s="150">
        <f>'Raw Data'!I136</f>
        <v>585</v>
      </c>
      <c r="BB146" s="112"/>
      <c r="BC146" s="112"/>
      <c r="BD146" s="112">
        <f>'Raw Data'!O136</f>
        <v>0</v>
      </c>
    </row>
    <row r="147" spans="19:56">
      <c r="S147" s="30"/>
      <c r="T147" s="26"/>
      <c r="U147" s="26"/>
      <c r="V147" s="26"/>
      <c r="W147" s="21"/>
      <c r="X147" s="21"/>
      <c r="Y147" s="21"/>
      <c r="Z147" s="21"/>
      <c r="AA147" s="21"/>
      <c r="AB147" s="21"/>
      <c r="AC147" s="21"/>
      <c r="AD147" s="21"/>
      <c r="AE147" s="33" t="str">
        <f t="shared" si="63"/>
        <v/>
      </c>
      <c r="AF147" s="114" t="str">
        <f t="shared" si="75"/>
        <v/>
      </c>
      <c r="AG147" s="108" t="str">
        <f t="shared" si="64"/>
        <v/>
      </c>
      <c r="AH147" s="21" t="str">
        <f t="shared" si="65"/>
        <v/>
      </c>
      <c r="AI147" s="21" t="str">
        <f t="shared" si="66"/>
        <v/>
      </c>
      <c r="AJ147" s="21" t="str">
        <f t="shared" si="67"/>
        <v/>
      </c>
      <c r="AK147" s="21" t="str">
        <f t="shared" si="68"/>
        <v/>
      </c>
      <c r="AL147" s="21"/>
      <c r="AM147" s="21"/>
      <c r="AN147" s="21"/>
      <c r="AS147" s="112" t="str">
        <f t="shared" si="72"/>
        <v/>
      </c>
      <c r="AT147" s="112" t="str">
        <f>IF(AS147="","",COUNTIF($AS$13:AS147,AS147))</f>
        <v/>
      </c>
      <c r="AU147" s="147">
        <f t="shared" si="73"/>
        <v>134</v>
      </c>
      <c r="AV147" s="147">
        <f>COUNTIF($AZ$14:AZ147,AZ147)</f>
        <v>48</v>
      </c>
      <c r="AW147" s="147">
        <f>IFERROR(COUNTIF(AX$14:$BL147,AX147),"")</f>
        <v>20</v>
      </c>
      <c r="AX147" s="148" t="str">
        <f t="shared" si="74"/>
        <v>Sun</v>
      </c>
      <c r="AY147" s="149">
        <f>'Raw Data'!A137</f>
        <v>41742</v>
      </c>
      <c r="AZ147" s="150" t="str">
        <f>'Raw Data'!E137</f>
        <v>No Email Drop</v>
      </c>
      <c r="BA147" s="150">
        <f>'Raw Data'!I137</f>
        <v>542</v>
      </c>
      <c r="BB147" s="112"/>
      <c r="BC147" s="112"/>
      <c r="BD147" s="112">
        <f>'Raw Data'!O137</f>
        <v>0</v>
      </c>
    </row>
    <row r="148" spans="19:56">
      <c r="S148" s="30"/>
      <c r="T148" s="26"/>
      <c r="U148" s="26"/>
      <c r="V148" s="26"/>
      <c r="W148" s="21"/>
      <c r="X148" s="21"/>
      <c r="Y148" s="21"/>
      <c r="Z148" s="21"/>
      <c r="AA148" s="21"/>
      <c r="AB148" s="21"/>
      <c r="AC148" s="21"/>
      <c r="AD148" s="21"/>
      <c r="AE148" s="33" t="str">
        <f t="shared" si="63"/>
        <v/>
      </c>
      <c r="AF148" s="114" t="str">
        <f t="shared" si="75"/>
        <v/>
      </c>
      <c r="AG148" s="108" t="str">
        <f t="shared" si="64"/>
        <v/>
      </c>
      <c r="AH148" s="21" t="str">
        <f t="shared" si="65"/>
        <v/>
      </c>
      <c r="AI148" s="21" t="str">
        <f t="shared" si="66"/>
        <v/>
      </c>
      <c r="AJ148" s="21" t="str">
        <f t="shared" si="67"/>
        <v/>
      </c>
      <c r="AK148" s="21" t="str">
        <f t="shared" si="68"/>
        <v/>
      </c>
      <c r="AL148" s="21"/>
      <c r="AM148" s="21"/>
      <c r="AN148" s="21"/>
      <c r="AS148" s="112" t="str">
        <f t="shared" si="72"/>
        <v/>
      </c>
      <c r="AT148" s="112" t="str">
        <f>IF(AS148="","",COUNTIF($AS$13:AS148,AS148))</f>
        <v/>
      </c>
      <c r="AU148" s="147">
        <f t="shared" si="73"/>
        <v>135</v>
      </c>
      <c r="AV148" s="147">
        <f>COUNTIF($AZ$14:AZ148,AZ148)</f>
        <v>11</v>
      </c>
      <c r="AW148" s="147">
        <f>IFERROR(COUNTIF(AX$14:$BL148,AX148),"")</f>
        <v>20</v>
      </c>
      <c r="AX148" s="148" t="str">
        <f t="shared" si="74"/>
        <v>Mon</v>
      </c>
      <c r="AY148" s="149">
        <f>'Raw Data'!A138</f>
        <v>41743</v>
      </c>
      <c r="AZ148" s="150" t="str">
        <f>'Raw Data'!E138</f>
        <v>20% Off,FS on $49</v>
      </c>
      <c r="BA148" s="150">
        <f>'Raw Data'!I138</f>
        <v>1111</v>
      </c>
      <c r="BB148" s="112"/>
      <c r="BC148" s="112"/>
      <c r="BD148" s="112">
        <f>'Raw Data'!O138</f>
        <v>1</v>
      </c>
    </row>
    <row r="149" spans="19:56">
      <c r="S149" s="30"/>
      <c r="T149" s="26"/>
      <c r="U149" s="26"/>
      <c r="V149" s="26"/>
      <c r="W149" s="21"/>
      <c r="X149" s="21"/>
      <c r="Y149" s="21"/>
      <c r="Z149" s="21"/>
      <c r="AA149" s="21"/>
      <c r="AB149" s="21"/>
      <c r="AC149" s="21"/>
      <c r="AD149" s="21"/>
      <c r="AE149" s="33" t="str">
        <f t="shared" ref="AE149:AE207" si="76">TEXT(AG149,"DDD")</f>
        <v/>
      </c>
      <c r="AF149" s="114" t="str">
        <f t="shared" ref="AF149:AF208" si="77">IFERROR(IF(AF148=1,"",AF148-1),"")</f>
        <v/>
      </c>
      <c r="AG149" s="108" t="str">
        <f t="shared" ref="AG149:AG206" si="78">IF(AF149="","",VLOOKUP(AF149,$AT$14:$BC$1042,6,0))</f>
        <v/>
      </c>
      <c r="AH149" s="21" t="str">
        <f t="shared" ref="AH149:AH206" si="79">IF(AF149="","",VLOOKUP(AF149,$AT$14:$BC$1042,7,0))</f>
        <v/>
      </c>
      <c r="AI149" s="21" t="str">
        <f t="shared" ref="AI149:AI206" si="80">IF(AF149="","",VLOOKUP(AF149,$AT$14:$BC$1042,8,0))</f>
        <v/>
      </c>
      <c r="AJ149" s="21" t="str">
        <f t="shared" ref="AJ149:AJ206" si="81">IF(AF149="","",VLOOKUP(AF149,$AT$14:$BD$1042,11,0))</f>
        <v/>
      </c>
      <c r="AK149" s="21" t="str">
        <f t="shared" ref="AK149:AK206" si="82">IF(AG149="","",VLOOKUP(AG149,$AY$14:$BD$1042,5,0))</f>
        <v/>
      </c>
      <c r="AL149" s="21"/>
      <c r="AM149" s="21"/>
      <c r="AN149" s="21"/>
      <c r="AS149" s="112" t="str">
        <f t="shared" si="72"/>
        <v/>
      </c>
      <c r="AT149" s="112" t="str">
        <f>IF(AS149="","",COUNTIF($AS$13:AS149,AS149))</f>
        <v/>
      </c>
      <c r="AU149" s="147">
        <f t="shared" si="73"/>
        <v>136</v>
      </c>
      <c r="AV149" s="147">
        <f>COUNTIF($AZ$14:AZ149,AZ149)</f>
        <v>3</v>
      </c>
      <c r="AW149" s="147">
        <f>IFERROR(COUNTIF(AX$14:$BL149,AX149),"")</f>
        <v>20</v>
      </c>
      <c r="AX149" s="148" t="str">
        <f t="shared" si="74"/>
        <v>Tue</v>
      </c>
      <c r="AY149" s="149">
        <f>'Raw Data'!A139</f>
        <v>41744</v>
      </c>
      <c r="AZ149" s="150" t="str">
        <f>'Raw Data'!E139</f>
        <v>$15 Off,FS on $49</v>
      </c>
      <c r="BA149" s="150">
        <f>'Raw Data'!I139</f>
        <v>1534</v>
      </c>
      <c r="BB149" s="112"/>
      <c r="BC149" s="112"/>
      <c r="BD149" s="112">
        <f>'Raw Data'!O139</f>
        <v>1</v>
      </c>
    </row>
    <row r="150" spans="19:56">
      <c r="S150" s="30"/>
      <c r="T150" s="26"/>
      <c r="U150" s="26"/>
      <c r="V150" s="26"/>
      <c r="W150" s="21"/>
      <c r="X150" s="21"/>
      <c r="Y150" s="21"/>
      <c r="Z150" s="21"/>
      <c r="AA150" s="21"/>
      <c r="AB150" s="21"/>
      <c r="AC150" s="21"/>
      <c r="AD150" s="21"/>
      <c r="AE150" s="33" t="str">
        <f t="shared" si="76"/>
        <v/>
      </c>
      <c r="AF150" s="114" t="str">
        <f t="shared" si="77"/>
        <v/>
      </c>
      <c r="AG150" s="108" t="str">
        <f t="shared" si="78"/>
        <v/>
      </c>
      <c r="AH150" s="21" t="str">
        <f t="shared" si="79"/>
        <v/>
      </c>
      <c r="AI150" s="21" t="str">
        <f t="shared" si="80"/>
        <v/>
      </c>
      <c r="AJ150" s="21" t="str">
        <f t="shared" si="81"/>
        <v/>
      </c>
      <c r="AK150" s="21" t="str">
        <f t="shared" si="82"/>
        <v/>
      </c>
      <c r="AL150" s="21"/>
      <c r="AM150" s="21"/>
      <c r="AN150" s="21"/>
      <c r="AS150" s="112" t="str">
        <f t="shared" si="72"/>
        <v/>
      </c>
      <c r="AT150" s="112" t="str">
        <f>IF(AS150="","",COUNTIF($AS$13:AS150,AS150))</f>
        <v/>
      </c>
      <c r="AU150" s="147">
        <f t="shared" si="73"/>
        <v>137</v>
      </c>
      <c r="AV150" s="147">
        <f>COUNTIF($AZ$14:AZ150,AZ150)</f>
        <v>49</v>
      </c>
      <c r="AW150" s="147">
        <f>IFERROR(COUNTIF(AX$14:$BL150,AX150),"")</f>
        <v>20</v>
      </c>
      <c r="AX150" s="148" t="str">
        <f t="shared" si="74"/>
        <v>Wed</v>
      </c>
      <c r="AY150" s="149">
        <f>'Raw Data'!A140</f>
        <v>41745</v>
      </c>
      <c r="AZ150" s="150" t="str">
        <f>'Raw Data'!E140</f>
        <v>No Email Drop</v>
      </c>
      <c r="BA150" s="150">
        <f>'Raw Data'!I140</f>
        <v>897</v>
      </c>
      <c r="BB150" s="112"/>
      <c r="BC150" s="112"/>
      <c r="BD150" s="112">
        <f>'Raw Data'!O140</f>
        <v>0</v>
      </c>
    </row>
    <row r="151" spans="19:56">
      <c r="S151" s="30"/>
      <c r="T151" s="26"/>
      <c r="U151" s="26"/>
      <c r="V151" s="26"/>
      <c r="W151" s="21"/>
      <c r="X151" s="21"/>
      <c r="Y151" s="21"/>
      <c r="Z151" s="21"/>
      <c r="AA151" s="21"/>
      <c r="AB151" s="21"/>
      <c r="AC151" s="21"/>
      <c r="AD151" s="21"/>
      <c r="AE151" s="33" t="str">
        <f t="shared" si="76"/>
        <v/>
      </c>
      <c r="AF151" s="114" t="str">
        <f t="shared" si="77"/>
        <v/>
      </c>
      <c r="AG151" s="108" t="str">
        <f t="shared" si="78"/>
        <v/>
      </c>
      <c r="AH151" s="21" t="str">
        <f t="shared" si="79"/>
        <v/>
      </c>
      <c r="AI151" s="21" t="str">
        <f t="shared" si="80"/>
        <v/>
      </c>
      <c r="AJ151" s="21" t="str">
        <f t="shared" si="81"/>
        <v/>
      </c>
      <c r="AK151" s="21" t="str">
        <f t="shared" si="82"/>
        <v/>
      </c>
      <c r="AL151" s="21"/>
      <c r="AM151" s="21"/>
      <c r="AN151" s="21"/>
      <c r="AS151" s="112" t="str">
        <f t="shared" si="72"/>
        <v/>
      </c>
      <c r="AT151" s="112" t="str">
        <f>IF(AS151="","",COUNTIF($AS$13:AS151,AS151))</f>
        <v/>
      </c>
      <c r="AU151" s="147">
        <f t="shared" si="73"/>
        <v>138</v>
      </c>
      <c r="AV151" s="147">
        <f>COUNTIF($AZ$14:AZ151,AZ151)</f>
        <v>1</v>
      </c>
      <c r="AW151" s="147">
        <f>IFERROR(COUNTIF(AX$14:$BL151,AX151),"")</f>
        <v>20</v>
      </c>
      <c r="AX151" s="148" t="str">
        <f t="shared" si="74"/>
        <v>Thu</v>
      </c>
      <c r="AY151" s="149">
        <f>'Raw Data'!A141</f>
        <v>41746</v>
      </c>
      <c r="AZ151" s="150" t="str">
        <f>'Raw Data'!E141</f>
        <v>Treat Thursday,Up to 50% on Select Items,20% Off,FS on $49</v>
      </c>
      <c r="BA151" s="150">
        <f>'Raw Data'!I141</f>
        <v>874</v>
      </c>
      <c r="BB151" s="112"/>
      <c r="BC151" s="112"/>
      <c r="BD151" s="112">
        <f>'Raw Data'!O141</f>
        <v>1</v>
      </c>
    </row>
    <row r="152" spans="19:56">
      <c r="S152" s="30"/>
      <c r="T152" s="26"/>
      <c r="U152" s="26"/>
      <c r="V152" s="26"/>
      <c r="W152" s="21"/>
      <c r="X152" s="21"/>
      <c r="Y152" s="21"/>
      <c r="Z152" s="21"/>
      <c r="AA152" s="21"/>
      <c r="AB152" s="21"/>
      <c r="AC152" s="21"/>
      <c r="AD152" s="21"/>
      <c r="AE152" s="33" t="str">
        <f t="shared" si="76"/>
        <v/>
      </c>
      <c r="AF152" s="114" t="str">
        <f t="shared" si="77"/>
        <v/>
      </c>
      <c r="AG152" s="108" t="str">
        <f t="shared" si="78"/>
        <v/>
      </c>
      <c r="AH152" s="21" t="str">
        <f t="shared" si="79"/>
        <v/>
      </c>
      <c r="AI152" s="21" t="str">
        <f t="shared" si="80"/>
        <v/>
      </c>
      <c r="AJ152" s="21" t="str">
        <f t="shared" si="81"/>
        <v/>
      </c>
      <c r="AK152" s="21" t="str">
        <f t="shared" si="82"/>
        <v/>
      </c>
      <c r="AL152" s="21"/>
      <c r="AM152" s="21"/>
      <c r="AN152" s="21"/>
      <c r="AS152" s="112" t="str">
        <f t="shared" si="72"/>
        <v/>
      </c>
      <c r="AT152" s="112" t="str">
        <f>IF(AS152="","",COUNTIF($AS$13:AS152,AS152))</f>
        <v/>
      </c>
      <c r="AU152" s="147">
        <f t="shared" si="73"/>
        <v>139</v>
      </c>
      <c r="AV152" s="147">
        <f>COUNTIF($AZ$14:AZ152,AZ152)</f>
        <v>1</v>
      </c>
      <c r="AW152" s="147">
        <f>IFERROR(COUNTIF(AX$14:$BL152,AX152),"")</f>
        <v>20</v>
      </c>
      <c r="AX152" s="148" t="str">
        <f t="shared" si="74"/>
        <v>Fri</v>
      </c>
      <c r="AY152" s="149">
        <f>'Raw Data'!A142</f>
        <v>41747</v>
      </c>
      <c r="AZ152" s="150" t="str">
        <f>'Raw Data'!E142</f>
        <v>15% Off,FS on $75</v>
      </c>
      <c r="BA152" s="150">
        <f>'Raw Data'!I142</f>
        <v>890</v>
      </c>
      <c r="BB152" s="112"/>
      <c r="BC152" s="112"/>
      <c r="BD152" s="112">
        <f>'Raw Data'!O142</f>
        <v>1</v>
      </c>
    </row>
    <row r="153" spans="19:56">
      <c r="S153" s="30"/>
      <c r="T153" s="26"/>
      <c r="U153" s="26"/>
      <c r="V153" s="26"/>
      <c r="W153" s="21"/>
      <c r="X153" s="21"/>
      <c r="Y153" s="21"/>
      <c r="Z153" s="21"/>
      <c r="AA153" s="21"/>
      <c r="AB153" s="21"/>
      <c r="AC153" s="21"/>
      <c r="AD153" s="21"/>
      <c r="AE153" s="33" t="str">
        <f t="shared" si="76"/>
        <v/>
      </c>
      <c r="AF153" s="114" t="str">
        <f t="shared" si="77"/>
        <v/>
      </c>
      <c r="AG153" s="108" t="str">
        <f t="shared" si="78"/>
        <v/>
      </c>
      <c r="AH153" s="21" t="str">
        <f t="shared" si="79"/>
        <v/>
      </c>
      <c r="AI153" s="21" t="str">
        <f t="shared" si="80"/>
        <v/>
      </c>
      <c r="AJ153" s="21" t="str">
        <f t="shared" si="81"/>
        <v/>
      </c>
      <c r="AK153" s="21" t="str">
        <f t="shared" si="82"/>
        <v/>
      </c>
      <c r="AL153" s="21"/>
      <c r="AM153" s="21"/>
      <c r="AN153" s="21"/>
      <c r="AS153" s="112" t="str">
        <f t="shared" si="72"/>
        <v/>
      </c>
      <c r="AT153" s="112" t="str">
        <f>IF(AS153="","",COUNTIF($AS$13:AS153,AS153))</f>
        <v/>
      </c>
      <c r="AU153" s="147">
        <f t="shared" si="73"/>
        <v>140</v>
      </c>
      <c r="AV153" s="147">
        <f>COUNTIF($AZ$14:AZ153,AZ153)</f>
        <v>2</v>
      </c>
      <c r="AW153" s="147">
        <f>IFERROR(COUNTIF(AX$14:$BL153,AX153),"")</f>
        <v>20</v>
      </c>
      <c r="AX153" s="148" t="str">
        <f t="shared" si="74"/>
        <v>Sat</v>
      </c>
      <c r="AY153" s="149">
        <f>'Raw Data'!A143</f>
        <v>41748</v>
      </c>
      <c r="AZ153" s="150" t="str">
        <f>'Raw Data'!E143</f>
        <v>15% Off,FS on $75</v>
      </c>
      <c r="BA153" s="150">
        <f>'Raw Data'!I143</f>
        <v>666</v>
      </c>
      <c r="BB153" s="112"/>
      <c r="BC153" s="112"/>
      <c r="BD153" s="112">
        <f>'Raw Data'!O143</f>
        <v>1</v>
      </c>
    </row>
    <row r="154" spans="19:56">
      <c r="S154" s="30"/>
      <c r="T154" s="26"/>
      <c r="U154" s="26"/>
      <c r="V154" s="26"/>
      <c r="W154" s="21"/>
      <c r="X154" s="21"/>
      <c r="Y154" s="21"/>
      <c r="Z154" s="21"/>
      <c r="AA154" s="21"/>
      <c r="AB154" s="21"/>
      <c r="AC154" s="21"/>
      <c r="AD154" s="21"/>
      <c r="AE154" s="33" t="str">
        <f t="shared" si="76"/>
        <v/>
      </c>
      <c r="AF154" s="114" t="str">
        <f t="shared" si="77"/>
        <v/>
      </c>
      <c r="AG154" s="108" t="str">
        <f t="shared" si="78"/>
        <v/>
      </c>
      <c r="AH154" s="21" t="str">
        <f t="shared" si="79"/>
        <v/>
      </c>
      <c r="AI154" s="21" t="str">
        <f t="shared" si="80"/>
        <v/>
      </c>
      <c r="AJ154" s="21" t="str">
        <f t="shared" si="81"/>
        <v/>
      </c>
      <c r="AK154" s="21" t="str">
        <f t="shared" si="82"/>
        <v/>
      </c>
      <c r="AL154" s="21"/>
      <c r="AM154" s="21"/>
      <c r="AN154" s="21"/>
      <c r="AS154" s="112" t="str">
        <f t="shared" si="72"/>
        <v/>
      </c>
      <c r="AT154" s="112" t="str">
        <f>IF(AS154="","",COUNTIF($AS$13:AS154,AS154))</f>
        <v/>
      </c>
      <c r="AU154" s="147">
        <f t="shared" si="73"/>
        <v>141</v>
      </c>
      <c r="AV154" s="147">
        <f>COUNTIF($AZ$14:AZ154,AZ154)</f>
        <v>1</v>
      </c>
      <c r="AW154" s="147">
        <f>IFERROR(COUNTIF(AX$14:$BL154,AX154),"")</f>
        <v>21</v>
      </c>
      <c r="AX154" s="148" t="str">
        <f t="shared" si="74"/>
        <v>Sun</v>
      </c>
      <c r="AY154" s="149">
        <f>'Raw Data'!A144</f>
        <v>41749</v>
      </c>
      <c r="AZ154" s="150" t="str">
        <f>'Raw Data'!E144</f>
        <v>Up To 40% Off,FS on $49</v>
      </c>
      <c r="BA154" s="150">
        <f>'Raw Data'!I144</f>
        <v>417</v>
      </c>
      <c r="BB154" s="112"/>
      <c r="BC154" s="112"/>
      <c r="BD154" s="112">
        <f>'Raw Data'!O144</f>
        <v>1</v>
      </c>
    </row>
    <row r="155" spans="19:56">
      <c r="S155" s="30"/>
      <c r="T155" s="26"/>
      <c r="U155" s="26"/>
      <c r="V155" s="26"/>
      <c r="W155" s="21"/>
      <c r="X155" s="21"/>
      <c r="Y155" s="21"/>
      <c r="Z155" s="21"/>
      <c r="AA155" s="21"/>
      <c r="AB155" s="21"/>
      <c r="AC155" s="21"/>
      <c r="AD155" s="21"/>
      <c r="AE155" s="33" t="str">
        <f t="shared" si="76"/>
        <v/>
      </c>
      <c r="AF155" s="114" t="str">
        <f t="shared" si="77"/>
        <v/>
      </c>
      <c r="AG155" s="108" t="str">
        <f t="shared" si="78"/>
        <v/>
      </c>
      <c r="AH155" s="21" t="str">
        <f t="shared" si="79"/>
        <v/>
      </c>
      <c r="AI155" s="21" t="str">
        <f t="shared" si="80"/>
        <v/>
      </c>
      <c r="AJ155" s="21" t="str">
        <f t="shared" si="81"/>
        <v/>
      </c>
      <c r="AK155" s="21" t="str">
        <f t="shared" si="82"/>
        <v/>
      </c>
      <c r="AL155" s="21"/>
      <c r="AM155" s="21"/>
      <c r="AN155" s="21"/>
      <c r="AS155" s="112" t="str">
        <f t="shared" si="72"/>
        <v/>
      </c>
      <c r="AT155" s="112" t="str">
        <f>IF(AS155="","",COUNTIF($AS$13:AS155,AS155))</f>
        <v/>
      </c>
      <c r="AU155" s="147">
        <f t="shared" si="73"/>
        <v>142</v>
      </c>
      <c r="AV155" s="147">
        <f>COUNTIF($AZ$14:AZ155,AZ155)</f>
        <v>50</v>
      </c>
      <c r="AW155" s="147">
        <f>IFERROR(COUNTIF(AX$14:$BL155,AX155),"")</f>
        <v>21</v>
      </c>
      <c r="AX155" s="148" t="str">
        <f t="shared" si="74"/>
        <v>Mon</v>
      </c>
      <c r="AY155" s="149">
        <f>'Raw Data'!A145</f>
        <v>41750</v>
      </c>
      <c r="AZ155" s="150" t="str">
        <f>'Raw Data'!E145</f>
        <v>No Email Drop</v>
      </c>
      <c r="BA155" s="150">
        <f>'Raw Data'!I145</f>
        <v>1020</v>
      </c>
      <c r="BB155" s="112"/>
      <c r="BC155" s="112"/>
      <c r="BD155" s="112">
        <f>'Raw Data'!O145</f>
        <v>0</v>
      </c>
    </row>
    <row r="156" spans="19:56">
      <c r="S156" s="30"/>
      <c r="T156" s="26"/>
      <c r="U156" s="26"/>
      <c r="V156" s="26"/>
      <c r="W156" s="21"/>
      <c r="X156" s="21"/>
      <c r="Y156" s="21"/>
      <c r="Z156" s="21"/>
      <c r="AA156" s="21"/>
      <c r="AB156" s="21"/>
      <c r="AC156" s="21"/>
      <c r="AD156" s="21"/>
      <c r="AE156" s="33" t="str">
        <f t="shared" si="76"/>
        <v/>
      </c>
      <c r="AF156" s="114" t="str">
        <f t="shared" si="77"/>
        <v/>
      </c>
      <c r="AG156" s="108" t="str">
        <f t="shared" si="78"/>
        <v/>
      </c>
      <c r="AH156" s="21" t="str">
        <f t="shared" si="79"/>
        <v/>
      </c>
      <c r="AI156" s="21" t="str">
        <f t="shared" si="80"/>
        <v/>
      </c>
      <c r="AJ156" s="21" t="str">
        <f t="shared" si="81"/>
        <v/>
      </c>
      <c r="AK156" s="21" t="str">
        <f t="shared" si="82"/>
        <v/>
      </c>
      <c r="AL156" s="21"/>
      <c r="AM156" s="21"/>
      <c r="AN156" s="21"/>
      <c r="AS156" s="112" t="str">
        <f t="shared" si="72"/>
        <v/>
      </c>
      <c r="AT156" s="112" t="str">
        <f>IF(AS156="","",COUNTIF($AS$13:AS156,AS156))</f>
        <v/>
      </c>
      <c r="AU156" s="147">
        <f t="shared" si="73"/>
        <v>143</v>
      </c>
      <c r="AV156" s="147">
        <f>COUNTIF($AZ$14:AZ156,AZ156)</f>
        <v>9</v>
      </c>
      <c r="AW156" s="147">
        <f>IFERROR(COUNTIF(AX$14:$BL156,AX156),"")</f>
        <v>21</v>
      </c>
      <c r="AX156" s="148" t="str">
        <f t="shared" si="74"/>
        <v>Tue</v>
      </c>
      <c r="AY156" s="149">
        <f>'Raw Data'!A146</f>
        <v>41751</v>
      </c>
      <c r="AZ156" s="150" t="str">
        <f>'Raw Data'!E146</f>
        <v>25% Off,FS on $49</v>
      </c>
      <c r="BA156" s="150">
        <f>'Raw Data'!I146</f>
        <v>1051</v>
      </c>
      <c r="BB156" s="112"/>
      <c r="BC156" s="112"/>
      <c r="BD156" s="112">
        <f>'Raw Data'!O146</f>
        <v>1</v>
      </c>
    </row>
    <row r="157" spans="19:56">
      <c r="S157" s="30"/>
      <c r="T157" s="26"/>
      <c r="U157" s="26"/>
      <c r="V157" s="26"/>
      <c r="W157" s="21"/>
      <c r="X157" s="21"/>
      <c r="Y157" s="21"/>
      <c r="Z157" s="21"/>
      <c r="AA157" s="21"/>
      <c r="AB157" s="21"/>
      <c r="AC157" s="21"/>
      <c r="AD157" s="21"/>
      <c r="AE157" s="33" t="str">
        <f t="shared" si="76"/>
        <v/>
      </c>
      <c r="AF157" s="114" t="str">
        <f t="shared" si="77"/>
        <v/>
      </c>
      <c r="AG157" s="108" t="str">
        <f t="shared" si="78"/>
        <v/>
      </c>
      <c r="AH157" s="21" t="str">
        <f t="shared" si="79"/>
        <v/>
      </c>
      <c r="AI157" s="21" t="str">
        <f t="shared" si="80"/>
        <v/>
      </c>
      <c r="AJ157" s="21" t="str">
        <f t="shared" si="81"/>
        <v/>
      </c>
      <c r="AK157" s="21" t="str">
        <f t="shared" si="82"/>
        <v/>
      </c>
      <c r="AL157" s="21"/>
      <c r="AM157" s="21"/>
      <c r="AN157" s="21"/>
      <c r="AS157" s="112" t="str">
        <f t="shared" si="72"/>
        <v/>
      </c>
      <c r="AT157" s="112" t="str">
        <f>IF(AS157="","",COUNTIF($AS$13:AS157,AS157))</f>
        <v/>
      </c>
      <c r="AU157" s="147">
        <f t="shared" si="73"/>
        <v>144</v>
      </c>
      <c r="AV157" s="147">
        <f>COUNTIF($AZ$14:AZ157,AZ157)</f>
        <v>51</v>
      </c>
      <c r="AW157" s="147">
        <f>IFERROR(COUNTIF(AX$14:$BL157,AX157),"")</f>
        <v>21</v>
      </c>
      <c r="AX157" s="148" t="str">
        <f t="shared" si="74"/>
        <v>Wed</v>
      </c>
      <c r="AY157" s="149">
        <f>'Raw Data'!A147</f>
        <v>41752</v>
      </c>
      <c r="AZ157" s="150" t="str">
        <f>'Raw Data'!E147</f>
        <v>No Email Drop</v>
      </c>
      <c r="BA157" s="150">
        <f>'Raw Data'!I147</f>
        <v>849</v>
      </c>
      <c r="BB157" s="112"/>
      <c r="BC157" s="112"/>
      <c r="BD157" s="112">
        <f>'Raw Data'!O147</f>
        <v>0</v>
      </c>
    </row>
    <row r="158" spans="19:56">
      <c r="S158" s="30"/>
      <c r="T158" s="26"/>
      <c r="U158" s="26"/>
      <c r="V158" s="26"/>
      <c r="W158" s="21"/>
      <c r="X158" s="21"/>
      <c r="Y158" s="21"/>
      <c r="Z158" s="21"/>
      <c r="AA158" s="21"/>
      <c r="AB158" s="21"/>
      <c r="AC158" s="21"/>
      <c r="AD158" s="21"/>
      <c r="AE158" s="33" t="str">
        <f t="shared" si="76"/>
        <v/>
      </c>
      <c r="AF158" s="114" t="str">
        <f t="shared" si="77"/>
        <v/>
      </c>
      <c r="AG158" s="108" t="str">
        <f t="shared" si="78"/>
        <v/>
      </c>
      <c r="AH158" s="21" t="str">
        <f t="shared" si="79"/>
        <v/>
      </c>
      <c r="AI158" s="21" t="str">
        <f t="shared" si="80"/>
        <v/>
      </c>
      <c r="AJ158" s="21" t="str">
        <f t="shared" si="81"/>
        <v/>
      </c>
      <c r="AK158" s="21" t="str">
        <f t="shared" si="82"/>
        <v/>
      </c>
      <c r="AL158" s="21"/>
      <c r="AM158" s="21"/>
      <c r="AN158" s="21"/>
      <c r="AS158" s="112" t="str">
        <f t="shared" si="72"/>
        <v/>
      </c>
      <c r="AT158" s="112" t="str">
        <f>IF(AS158="","",COUNTIF($AS$13:AS158,AS158))</f>
        <v/>
      </c>
      <c r="AU158" s="147">
        <f t="shared" si="73"/>
        <v>145</v>
      </c>
      <c r="AV158" s="147">
        <f>COUNTIF($AZ$14:AZ158,AZ158)</f>
        <v>1</v>
      </c>
      <c r="AW158" s="147">
        <f>IFERROR(COUNTIF(AX$14:$BL158,AX158),"")</f>
        <v>21</v>
      </c>
      <c r="AX158" s="148" t="str">
        <f t="shared" si="74"/>
        <v>Thu</v>
      </c>
      <c r="AY158" s="149">
        <f>'Raw Data'!A148</f>
        <v>41753</v>
      </c>
      <c r="AZ158" s="150" t="str">
        <f>'Raw Data'!E148</f>
        <v>Treat Thursday,$5 Off,FS on $49</v>
      </c>
      <c r="BA158" s="150">
        <f>'Raw Data'!I148</f>
        <v>979</v>
      </c>
      <c r="BB158" s="112"/>
      <c r="BC158" s="112"/>
      <c r="BD158" s="112">
        <f>'Raw Data'!O148</f>
        <v>1</v>
      </c>
    </row>
    <row r="159" spans="19:56">
      <c r="S159" s="30"/>
      <c r="T159" s="26"/>
      <c r="U159" s="26"/>
      <c r="V159" s="26"/>
      <c r="W159" s="21"/>
      <c r="X159" s="21"/>
      <c r="Y159" s="21"/>
      <c r="Z159" s="21"/>
      <c r="AA159" s="21"/>
      <c r="AB159" s="21"/>
      <c r="AC159" s="21"/>
      <c r="AD159" s="21"/>
      <c r="AE159" s="33" t="str">
        <f t="shared" si="76"/>
        <v/>
      </c>
      <c r="AF159" s="114" t="str">
        <f t="shared" si="77"/>
        <v/>
      </c>
      <c r="AG159" s="108" t="str">
        <f t="shared" si="78"/>
        <v/>
      </c>
      <c r="AH159" s="21" t="str">
        <f t="shared" si="79"/>
        <v/>
      </c>
      <c r="AI159" s="21" t="str">
        <f t="shared" si="80"/>
        <v/>
      </c>
      <c r="AJ159" s="21" t="str">
        <f t="shared" si="81"/>
        <v/>
      </c>
      <c r="AK159" s="21" t="str">
        <f t="shared" si="82"/>
        <v/>
      </c>
      <c r="AL159" s="21"/>
      <c r="AM159" s="21"/>
      <c r="AN159" s="21"/>
      <c r="AS159" s="112" t="str">
        <f t="shared" si="72"/>
        <v/>
      </c>
      <c r="AT159" s="112" t="str">
        <f>IF(AS159="","",COUNTIF($AS$13:AS159,AS159))</f>
        <v/>
      </c>
      <c r="AU159" s="147">
        <f t="shared" si="73"/>
        <v>146</v>
      </c>
      <c r="AV159" s="147">
        <f>COUNTIF($AZ$14:AZ159,AZ159)</f>
        <v>1</v>
      </c>
      <c r="AW159" s="147">
        <f>IFERROR(COUNTIF(AX$14:$BL159,AX159),"")</f>
        <v>21</v>
      </c>
      <c r="AX159" s="148" t="str">
        <f t="shared" si="74"/>
        <v>Fri</v>
      </c>
      <c r="AY159" s="149">
        <f>'Raw Data'!A149</f>
        <v>41754</v>
      </c>
      <c r="AZ159" s="150" t="str">
        <f>'Raw Data'!E149</f>
        <v>Free Ship No Min,Up To 40% Off</v>
      </c>
      <c r="BA159" s="150">
        <f>'Raw Data'!I149</f>
        <v>1062</v>
      </c>
      <c r="BB159" s="112"/>
      <c r="BC159" s="112"/>
      <c r="BD159" s="112">
        <f>'Raw Data'!O149</f>
        <v>1</v>
      </c>
    </row>
    <row r="160" spans="19:56">
      <c r="S160" s="30"/>
      <c r="T160" s="26"/>
      <c r="U160" s="26"/>
      <c r="V160" s="26"/>
      <c r="W160" s="21"/>
      <c r="X160" s="21"/>
      <c r="Y160" s="21"/>
      <c r="Z160" s="21"/>
      <c r="AA160" s="21"/>
      <c r="AB160" s="21"/>
      <c r="AC160" s="21"/>
      <c r="AD160" s="21"/>
      <c r="AE160" s="33" t="str">
        <f t="shared" si="76"/>
        <v/>
      </c>
      <c r="AF160" s="114" t="str">
        <f t="shared" si="77"/>
        <v/>
      </c>
      <c r="AG160" s="108" t="str">
        <f t="shared" si="78"/>
        <v/>
      </c>
      <c r="AH160" s="21" t="str">
        <f t="shared" si="79"/>
        <v/>
      </c>
      <c r="AI160" s="21" t="str">
        <f t="shared" si="80"/>
        <v/>
      </c>
      <c r="AJ160" s="21" t="str">
        <f t="shared" si="81"/>
        <v/>
      </c>
      <c r="AK160" s="21" t="str">
        <f t="shared" si="82"/>
        <v/>
      </c>
      <c r="AL160" s="21"/>
      <c r="AM160" s="21"/>
      <c r="AN160" s="21"/>
      <c r="AS160" s="112" t="str">
        <f t="shared" si="72"/>
        <v/>
      </c>
      <c r="AT160" s="112" t="str">
        <f>IF(AS160="","",COUNTIF($AS$13:AS160,AS160))</f>
        <v/>
      </c>
      <c r="AU160" s="147">
        <f t="shared" si="73"/>
        <v>147</v>
      </c>
      <c r="AV160" s="147">
        <f>COUNTIF($AZ$14:AZ160,AZ160)</f>
        <v>2</v>
      </c>
      <c r="AW160" s="147">
        <f>IFERROR(COUNTIF(AX$14:$BL160,AX160),"")</f>
        <v>21</v>
      </c>
      <c r="AX160" s="148" t="str">
        <f t="shared" si="74"/>
        <v>Sat</v>
      </c>
      <c r="AY160" s="149">
        <f>'Raw Data'!A150</f>
        <v>41755</v>
      </c>
      <c r="AZ160" s="150" t="str">
        <f>'Raw Data'!E150</f>
        <v>Free Ship No Min,Up To 40% Off</v>
      </c>
      <c r="BA160" s="150">
        <f>'Raw Data'!I150</f>
        <v>904</v>
      </c>
      <c r="BB160" s="112"/>
      <c r="BC160" s="112"/>
      <c r="BD160" s="112">
        <f>'Raw Data'!O150</f>
        <v>2</v>
      </c>
    </row>
    <row r="161" spans="19:56">
      <c r="S161" s="30"/>
      <c r="T161" s="26"/>
      <c r="U161" s="26"/>
      <c r="V161" s="26"/>
      <c r="W161" s="21"/>
      <c r="X161" s="21"/>
      <c r="Y161" s="21"/>
      <c r="Z161" s="21"/>
      <c r="AA161" s="21"/>
      <c r="AB161" s="21"/>
      <c r="AC161" s="21"/>
      <c r="AD161" s="21"/>
      <c r="AE161" s="33" t="str">
        <f t="shared" si="76"/>
        <v/>
      </c>
      <c r="AF161" s="114" t="str">
        <f t="shared" si="77"/>
        <v/>
      </c>
      <c r="AG161" s="108" t="str">
        <f t="shared" si="78"/>
        <v/>
      </c>
      <c r="AH161" s="21" t="str">
        <f t="shared" si="79"/>
        <v/>
      </c>
      <c r="AI161" s="21" t="str">
        <f t="shared" si="80"/>
        <v/>
      </c>
      <c r="AJ161" s="21" t="str">
        <f t="shared" si="81"/>
        <v/>
      </c>
      <c r="AK161" s="21" t="str">
        <f t="shared" si="82"/>
        <v/>
      </c>
      <c r="AL161" s="21"/>
      <c r="AM161" s="21"/>
      <c r="AN161" s="21"/>
      <c r="AS161" s="112" t="str">
        <f t="shared" si="72"/>
        <v/>
      </c>
      <c r="AT161" s="112" t="str">
        <f>IF(AS161="","",COUNTIF($AS$13:AS161,AS161))</f>
        <v/>
      </c>
      <c r="AU161" s="147">
        <f t="shared" si="73"/>
        <v>148</v>
      </c>
      <c r="AV161" s="147">
        <f>COUNTIF($AZ$14:AZ161,AZ161)</f>
        <v>52</v>
      </c>
      <c r="AW161" s="147">
        <f>IFERROR(COUNTIF(AX$14:$BL161,AX161),"")</f>
        <v>22</v>
      </c>
      <c r="AX161" s="148" t="str">
        <f t="shared" si="74"/>
        <v>Sun</v>
      </c>
      <c r="AY161" s="149">
        <f>'Raw Data'!A151</f>
        <v>41756</v>
      </c>
      <c r="AZ161" s="150" t="str">
        <f>'Raw Data'!E151</f>
        <v>No Email Drop</v>
      </c>
      <c r="BA161" s="150">
        <f>'Raw Data'!I151</f>
        <v>619</v>
      </c>
      <c r="BB161" s="112"/>
      <c r="BC161" s="112"/>
      <c r="BD161" s="112">
        <f>'Raw Data'!O151</f>
        <v>0</v>
      </c>
    </row>
    <row r="162" spans="19:56">
      <c r="S162" s="30"/>
      <c r="T162" s="26"/>
      <c r="U162" s="26"/>
      <c r="V162" s="26"/>
      <c r="W162" s="21"/>
      <c r="X162" s="21"/>
      <c r="Y162" s="21"/>
      <c r="Z162" s="21"/>
      <c r="AA162" s="21"/>
      <c r="AB162" s="21"/>
      <c r="AC162" s="21"/>
      <c r="AD162" s="21"/>
      <c r="AE162" s="33" t="str">
        <f t="shared" si="76"/>
        <v/>
      </c>
      <c r="AF162" s="114" t="str">
        <f t="shared" si="77"/>
        <v/>
      </c>
      <c r="AG162" s="108" t="str">
        <f t="shared" si="78"/>
        <v/>
      </c>
      <c r="AH162" s="21" t="str">
        <f t="shared" si="79"/>
        <v/>
      </c>
      <c r="AI162" s="21" t="str">
        <f t="shared" si="80"/>
        <v/>
      </c>
      <c r="AJ162" s="21" t="str">
        <f t="shared" si="81"/>
        <v/>
      </c>
      <c r="AK162" s="21" t="str">
        <f t="shared" si="82"/>
        <v/>
      </c>
      <c r="AL162" s="21"/>
      <c r="AM162" s="21"/>
      <c r="AN162" s="21"/>
      <c r="AS162" s="112" t="str">
        <f t="shared" si="72"/>
        <v/>
      </c>
      <c r="AT162" s="112" t="str">
        <f>IF(AS162="","",COUNTIF($AS$13:AS162,AS162))</f>
        <v/>
      </c>
      <c r="AU162" s="147">
        <f t="shared" si="73"/>
        <v>149</v>
      </c>
      <c r="AV162" s="147">
        <f>COUNTIF($AZ$14:AZ162,AZ162)</f>
        <v>1</v>
      </c>
      <c r="AW162" s="147">
        <f>IFERROR(COUNTIF(AX$14:$BL162,AX162),"")</f>
        <v>22</v>
      </c>
      <c r="AX162" s="148" t="str">
        <f t="shared" si="74"/>
        <v>Mon</v>
      </c>
      <c r="AY162" s="149">
        <f>'Raw Data'!A152</f>
        <v>41757</v>
      </c>
      <c r="AZ162" s="150" t="str">
        <f>'Raw Data'!E152</f>
        <v>Up To 50% Off,FS on $49</v>
      </c>
      <c r="BA162" s="150">
        <f>'Raw Data'!I152</f>
        <v>1077</v>
      </c>
      <c r="BB162" s="112"/>
      <c r="BC162" s="112"/>
      <c r="BD162" s="112">
        <f>'Raw Data'!O152</f>
        <v>1</v>
      </c>
    </row>
    <row r="163" spans="19:56">
      <c r="S163" s="30"/>
      <c r="T163" s="26"/>
      <c r="U163" s="26"/>
      <c r="V163" s="26"/>
      <c r="W163" s="21"/>
      <c r="X163" s="21"/>
      <c r="Y163" s="21"/>
      <c r="Z163" s="21"/>
      <c r="AA163" s="21"/>
      <c r="AB163" s="21"/>
      <c r="AC163" s="21"/>
      <c r="AD163" s="21"/>
      <c r="AE163" s="33" t="str">
        <f t="shared" si="76"/>
        <v/>
      </c>
      <c r="AF163" s="114" t="str">
        <f t="shared" si="77"/>
        <v/>
      </c>
      <c r="AG163" s="108" t="str">
        <f t="shared" si="78"/>
        <v/>
      </c>
      <c r="AH163" s="21" t="str">
        <f t="shared" si="79"/>
        <v/>
      </c>
      <c r="AI163" s="21" t="str">
        <f t="shared" si="80"/>
        <v/>
      </c>
      <c r="AJ163" s="21" t="str">
        <f t="shared" si="81"/>
        <v/>
      </c>
      <c r="AK163" s="21" t="str">
        <f t="shared" si="82"/>
        <v/>
      </c>
      <c r="AL163" s="21"/>
      <c r="AM163" s="21"/>
      <c r="AN163" s="21"/>
      <c r="AS163" s="112" t="str">
        <f t="shared" si="72"/>
        <v/>
      </c>
      <c r="AT163" s="112" t="str">
        <f>IF(AS163="","",COUNTIF($AS$13:AS163,AS163))</f>
        <v/>
      </c>
      <c r="AU163" s="147">
        <f t="shared" si="73"/>
        <v>150</v>
      </c>
      <c r="AV163" s="147">
        <f>COUNTIF($AZ$14:AZ163,AZ163)</f>
        <v>53</v>
      </c>
      <c r="AW163" s="147">
        <f>IFERROR(COUNTIF(AX$14:$BL163,AX163),"")</f>
        <v>22</v>
      </c>
      <c r="AX163" s="148" t="str">
        <f t="shared" si="74"/>
        <v>Tue</v>
      </c>
      <c r="AY163" s="149">
        <f>'Raw Data'!A153</f>
        <v>41758</v>
      </c>
      <c r="AZ163" s="150" t="str">
        <f>'Raw Data'!E153</f>
        <v>No Email Drop</v>
      </c>
      <c r="BA163" s="150">
        <f>'Raw Data'!I153</f>
        <v>1025</v>
      </c>
      <c r="BB163" s="112"/>
      <c r="BC163" s="112"/>
      <c r="BD163" s="112">
        <f>'Raw Data'!O153</f>
        <v>0</v>
      </c>
    </row>
    <row r="164" spans="19:56">
      <c r="S164" s="30"/>
      <c r="T164" s="26"/>
      <c r="U164" s="26"/>
      <c r="V164" s="26"/>
      <c r="W164" s="21"/>
      <c r="X164" s="21"/>
      <c r="Y164" s="21"/>
      <c r="Z164" s="21"/>
      <c r="AA164" s="21"/>
      <c r="AB164" s="21"/>
      <c r="AC164" s="21"/>
      <c r="AD164" s="21"/>
      <c r="AE164" s="33" t="str">
        <f t="shared" si="76"/>
        <v/>
      </c>
      <c r="AF164" s="114" t="str">
        <f t="shared" si="77"/>
        <v/>
      </c>
      <c r="AG164" s="108" t="str">
        <f t="shared" si="78"/>
        <v/>
      </c>
      <c r="AH164" s="21" t="str">
        <f t="shared" si="79"/>
        <v/>
      </c>
      <c r="AI164" s="21" t="str">
        <f t="shared" si="80"/>
        <v/>
      </c>
      <c r="AJ164" s="21" t="str">
        <f t="shared" si="81"/>
        <v/>
      </c>
      <c r="AK164" s="21" t="str">
        <f t="shared" si="82"/>
        <v/>
      </c>
      <c r="AL164" s="21"/>
      <c r="AM164" s="21"/>
      <c r="AN164" s="21"/>
      <c r="AS164" s="112" t="str">
        <f t="shared" si="72"/>
        <v/>
      </c>
      <c r="AT164" s="112" t="str">
        <f>IF(AS164="","",COUNTIF($AS$13:AS164,AS164))</f>
        <v/>
      </c>
      <c r="AU164" s="147">
        <f t="shared" si="73"/>
        <v>151</v>
      </c>
      <c r="AV164" s="147">
        <f>COUNTIF($AZ$14:AZ164,AZ164)</f>
        <v>2</v>
      </c>
      <c r="AW164" s="147">
        <f>IFERROR(COUNTIF(AX$14:$BL164,AX164),"")</f>
        <v>22</v>
      </c>
      <c r="AX164" s="148" t="str">
        <f t="shared" si="74"/>
        <v>Wed</v>
      </c>
      <c r="AY164" s="149">
        <f>'Raw Data'!A154</f>
        <v>41759</v>
      </c>
      <c r="AZ164" s="150" t="str">
        <f>'Raw Data'!E154</f>
        <v>Up To 50% Off,FS on $49</v>
      </c>
      <c r="BA164" s="150">
        <f>'Raw Data'!I154</f>
        <v>1026</v>
      </c>
      <c r="BB164" s="112"/>
      <c r="BC164" s="112"/>
      <c r="BD164" s="112">
        <f>'Raw Data'!O154</f>
        <v>1</v>
      </c>
    </row>
    <row r="165" spans="19:56">
      <c r="S165" s="30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33" t="str">
        <f t="shared" si="76"/>
        <v/>
      </c>
      <c r="AF165" s="114" t="str">
        <f t="shared" si="77"/>
        <v/>
      </c>
      <c r="AG165" s="108" t="str">
        <f t="shared" si="78"/>
        <v/>
      </c>
      <c r="AH165" s="21" t="str">
        <f t="shared" si="79"/>
        <v/>
      </c>
      <c r="AI165" s="21" t="str">
        <f t="shared" si="80"/>
        <v/>
      </c>
      <c r="AJ165" s="21" t="str">
        <f t="shared" si="81"/>
        <v/>
      </c>
      <c r="AK165" s="21" t="str">
        <f t="shared" si="82"/>
        <v/>
      </c>
      <c r="AL165" s="21"/>
      <c r="AM165" s="21"/>
      <c r="AN165" s="21"/>
      <c r="AS165" s="112" t="str">
        <f t="shared" si="72"/>
        <v/>
      </c>
      <c r="AT165" s="112" t="str">
        <f>IF(AS165="","",COUNTIF($AS$13:AS165,AS165))</f>
        <v/>
      </c>
      <c r="AU165" s="147">
        <f t="shared" si="73"/>
        <v>152</v>
      </c>
      <c r="AV165" s="147">
        <f>COUNTIF($AZ$14:AZ165,AZ165)</f>
        <v>2</v>
      </c>
      <c r="AW165" s="147">
        <f>IFERROR(COUNTIF(AX$14:$BL165,AX165),"")</f>
        <v>22</v>
      </c>
      <c r="AX165" s="148" t="str">
        <f t="shared" si="74"/>
        <v>Thu</v>
      </c>
      <c r="AY165" s="149">
        <f>'Raw Data'!A155</f>
        <v>41760</v>
      </c>
      <c r="AZ165" s="150" t="str">
        <f>'Raw Data'!E155</f>
        <v>Treat Thursday,12 Treats,FS on $49</v>
      </c>
      <c r="BA165" s="150">
        <f>'Raw Data'!I155</f>
        <v>1013</v>
      </c>
      <c r="BB165" s="112"/>
      <c r="BC165" s="112"/>
      <c r="BD165" s="112">
        <f>'Raw Data'!O155</f>
        <v>1</v>
      </c>
    </row>
    <row r="166" spans="19:56">
      <c r="S166" s="30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33" t="str">
        <f t="shared" si="76"/>
        <v/>
      </c>
      <c r="AF166" s="114" t="str">
        <f t="shared" si="77"/>
        <v/>
      </c>
      <c r="AG166" s="108" t="str">
        <f t="shared" si="78"/>
        <v/>
      </c>
      <c r="AH166" s="21" t="str">
        <f t="shared" si="79"/>
        <v/>
      </c>
      <c r="AI166" s="21" t="str">
        <f t="shared" si="80"/>
        <v/>
      </c>
      <c r="AJ166" s="21" t="str">
        <f t="shared" si="81"/>
        <v/>
      </c>
      <c r="AK166" s="21" t="str">
        <f t="shared" si="82"/>
        <v/>
      </c>
      <c r="AL166" s="21"/>
      <c r="AM166" s="21"/>
      <c r="AN166" s="21"/>
      <c r="AS166" s="112" t="str">
        <f t="shared" si="72"/>
        <v/>
      </c>
      <c r="AT166" s="112" t="str">
        <f>IF(AS166="","",COUNTIF($AS$13:AS166,AS166))</f>
        <v/>
      </c>
      <c r="AU166" s="147">
        <f t="shared" si="73"/>
        <v>153</v>
      </c>
      <c r="AV166" s="147">
        <f>COUNTIF($AZ$14:AZ166,AZ166)</f>
        <v>8</v>
      </c>
      <c r="AW166" s="147">
        <f>IFERROR(COUNTIF(AX$14:$BL166,AX166),"")</f>
        <v>22</v>
      </c>
      <c r="AX166" s="148" t="str">
        <f t="shared" si="74"/>
        <v>Fri</v>
      </c>
      <c r="AY166" s="149">
        <f>'Raw Data'!A156</f>
        <v>41761</v>
      </c>
      <c r="AZ166" s="150" t="str">
        <f>'Raw Data'!E156</f>
        <v>$10 Off,FS on $49</v>
      </c>
      <c r="BA166" s="150">
        <f>'Raw Data'!I156</f>
        <v>1220</v>
      </c>
      <c r="BB166" s="112"/>
      <c r="BC166" s="112"/>
      <c r="BD166" s="112">
        <f>'Raw Data'!O156</f>
        <v>2</v>
      </c>
    </row>
    <row r="167" spans="19:56">
      <c r="S167" s="30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33" t="str">
        <f t="shared" si="76"/>
        <v/>
      </c>
      <c r="AF167" s="114" t="str">
        <f t="shared" si="77"/>
        <v/>
      </c>
      <c r="AG167" s="108" t="str">
        <f t="shared" si="78"/>
        <v/>
      </c>
      <c r="AH167" s="21" t="str">
        <f t="shared" si="79"/>
        <v/>
      </c>
      <c r="AI167" s="21" t="str">
        <f t="shared" si="80"/>
        <v/>
      </c>
      <c r="AJ167" s="21" t="str">
        <f t="shared" si="81"/>
        <v/>
      </c>
      <c r="AK167" s="21" t="str">
        <f t="shared" si="82"/>
        <v/>
      </c>
      <c r="AL167" s="21"/>
      <c r="AM167" s="21"/>
      <c r="AN167" s="21"/>
      <c r="AS167" s="112" t="str">
        <f t="shared" si="72"/>
        <v/>
      </c>
      <c r="AT167" s="112" t="str">
        <f>IF(AS167="","",COUNTIF($AS$13:AS167,AS167))</f>
        <v/>
      </c>
      <c r="AU167" s="147">
        <f t="shared" si="73"/>
        <v>154</v>
      </c>
      <c r="AV167" s="147">
        <f>COUNTIF($AZ$14:AZ167,AZ167)</f>
        <v>54</v>
      </c>
      <c r="AW167" s="147">
        <f>IFERROR(COUNTIF(AX$14:$BL167,AX167),"")</f>
        <v>22</v>
      </c>
      <c r="AX167" s="148" t="str">
        <f t="shared" si="74"/>
        <v>Sat</v>
      </c>
      <c r="AY167" s="149">
        <f>'Raw Data'!A157</f>
        <v>41762</v>
      </c>
      <c r="AZ167" s="150" t="str">
        <f>'Raw Data'!E157</f>
        <v>No Email Drop</v>
      </c>
      <c r="BA167" s="150">
        <f>'Raw Data'!I157</f>
        <v>667</v>
      </c>
      <c r="BB167" s="112"/>
      <c r="BC167" s="112"/>
      <c r="BD167" s="112">
        <f>'Raw Data'!O157</f>
        <v>0</v>
      </c>
    </row>
    <row r="168" spans="19:56">
      <c r="S168" s="30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33" t="str">
        <f t="shared" si="76"/>
        <v/>
      </c>
      <c r="AF168" s="114" t="str">
        <f t="shared" si="77"/>
        <v/>
      </c>
      <c r="AG168" s="108" t="str">
        <f t="shared" si="78"/>
        <v/>
      </c>
      <c r="AH168" s="21" t="str">
        <f t="shared" si="79"/>
        <v/>
      </c>
      <c r="AI168" s="21" t="str">
        <f t="shared" si="80"/>
        <v/>
      </c>
      <c r="AJ168" s="21" t="str">
        <f t="shared" si="81"/>
        <v/>
      </c>
      <c r="AK168" s="21" t="str">
        <f t="shared" si="82"/>
        <v/>
      </c>
      <c r="AL168" s="21"/>
      <c r="AM168" s="21"/>
      <c r="AN168" s="21"/>
      <c r="AS168" s="112" t="str">
        <f t="shared" si="72"/>
        <v/>
      </c>
      <c r="AT168" s="112" t="str">
        <f>IF(AS168="","",COUNTIF($AS$13:AS168,AS168))</f>
        <v/>
      </c>
      <c r="AU168" s="147">
        <f t="shared" si="73"/>
        <v>155</v>
      </c>
      <c r="AV168" s="147">
        <f>COUNTIF($AZ$14:AZ168,AZ168)</f>
        <v>1</v>
      </c>
      <c r="AW168" s="147">
        <f>IFERROR(COUNTIF(AX$14:$BL168,AX168),"")</f>
        <v>23</v>
      </c>
      <c r="AX168" s="148" t="str">
        <f t="shared" si="74"/>
        <v>Sun</v>
      </c>
      <c r="AY168" s="149">
        <f>'Raw Data'!A158</f>
        <v>41763</v>
      </c>
      <c r="AZ168" s="150" t="str">
        <f>'Raw Data'!E158</f>
        <v>RD Event,Up To 15% Off,FS on $49</v>
      </c>
      <c r="BA168" s="150">
        <f>'Raw Data'!I158</f>
        <v>546</v>
      </c>
      <c r="BB168" s="112"/>
      <c r="BC168" s="112"/>
      <c r="BD168" s="112">
        <f>'Raw Data'!O158</f>
        <v>1</v>
      </c>
    </row>
    <row r="169" spans="19:56">
      <c r="S169" s="30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33" t="str">
        <f t="shared" si="76"/>
        <v/>
      </c>
      <c r="AF169" s="114" t="str">
        <f t="shared" si="77"/>
        <v/>
      </c>
      <c r="AG169" s="108" t="str">
        <f t="shared" si="78"/>
        <v/>
      </c>
      <c r="AH169" s="21" t="str">
        <f t="shared" si="79"/>
        <v/>
      </c>
      <c r="AI169" s="21" t="str">
        <f t="shared" si="80"/>
        <v/>
      </c>
      <c r="AJ169" s="21" t="str">
        <f t="shared" si="81"/>
        <v/>
      </c>
      <c r="AK169" s="21" t="str">
        <f t="shared" si="82"/>
        <v/>
      </c>
      <c r="AL169" s="21"/>
      <c r="AM169" s="21"/>
      <c r="AN169" s="21"/>
      <c r="AS169" s="112" t="str">
        <f t="shared" si="72"/>
        <v/>
      </c>
      <c r="AT169" s="112" t="str">
        <f>IF(AS169="","",COUNTIF($AS$13:AS169,AS169))</f>
        <v/>
      </c>
      <c r="AU169" s="147">
        <f t="shared" si="73"/>
        <v>156</v>
      </c>
      <c r="AV169" s="147">
        <f>COUNTIF($AZ$14:AZ169,AZ169)</f>
        <v>1</v>
      </c>
      <c r="AW169" s="147">
        <f>IFERROR(COUNTIF(AX$14:$BL169,AX169),"")</f>
        <v>23</v>
      </c>
      <c r="AX169" s="148" t="str">
        <f t="shared" si="74"/>
        <v>Mon</v>
      </c>
      <c r="AY169" s="149">
        <f>'Raw Data'!A159</f>
        <v>41764</v>
      </c>
      <c r="AZ169" s="150" t="str">
        <f>'Raw Data'!E159</f>
        <v>25% Off on Supplies,FS on $49</v>
      </c>
      <c r="BA169" s="150">
        <f>'Raw Data'!I159</f>
        <v>1948</v>
      </c>
      <c r="BB169" s="112"/>
      <c r="BC169" s="112"/>
      <c r="BD169" s="112">
        <f>'Raw Data'!O159</f>
        <v>1</v>
      </c>
    </row>
    <row r="170" spans="19:56">
      <c r="S170" s="30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33" t="str">
        <f t="shared" si="76"/>
        <v/>
      </c>
      <c r="AF170" s="114" t="str">
        <f t="shared" si="77"/>
        <v/>
      </c>
      <c r="AG170" s="108" t="str">
        <f t="shared" si="78"/>
        <v/>
      </c>
      <c r="AH170" s="21" t="str">
        <f t="shared" si="79"/>
        <v/>
      </c>
      <c r="AI170" s="21" t="str">
        <f t="shared" si="80"/>
        <v/>
      </c>
      <c r="AJ170" s="21" t="str">
        <f t="shared" si="81"/>
        <v/>
      </c>
      <c r="AK170" s="21" t="str">
        <f t="shared" si="82"/>
        <v/>
      </c>
      <c r="AL170" s="21"/>
      <c r="AM170" s="21"/>
      <c r="AN170" s="21"/>
      <c r="AS170" s="112" t="str">
        <f t="shared" si="72"/>
        <v/>
      </c>
      <c r="AT170" s="112" t="str">
        <f>IF(AS170="","",COUNTIF($AS$13:AS170,AS170))</f>
        <v/>
      </c>
      <c r="AU170" s="147">
        <f t="shared" si="73"/>
        <v>157</v>
      </c>
      <c r="AV170" s="147">
        <f>COUNTIF($AZ$14:AZ170,AZ170)</f>
        <v>55</v>
      </c>
      <c r="AW170" s="147">
        <f>IFERROR(COUNTIF(AX$14:$BL170,AX170),"")</f>
        <v>23</v>
      </c>
      <c r="AX170" s="148" t="str">
        <f t="shared" si="74"/>
        <v>Tue</v>
      </c>
      <c r="AY170" s="149">
        <f>'Raw Data'!A160</f>
        <v>41765</v>
      </c>
      <c r="AZ170" s="150" t="str">
        <f>'Raw Data'!E160</f>
        <v>No Email Drop</v>
      </c>
      <c r="BA170" s="150">
        <f>'Raw Data'!I160</f>
        <v>1083</v>
      </c>
      <c r="BB170" s="112"/>
      <c r="BC170" s="112"/>
      <c r="BD170" s="112">
        <f>'Raw Data'!O160</f>
        <v>0</v>
      </c>
    </row>
    <row r="171" spans="19:56">
      <c r="S171" s="30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33" t="str">
        <f t="shared" si="76"/>
        <v/>
      </c>
      <c r="AF171" s="114" t="str">
        <f t="shared" si="77"/>
        <v/>
      </c>
      <c r="AG171" s="108" t="str">
        <f t="shared" si="78"/>
        <v/>
      </c>
      <c r="AH171" s="21" t="str">
        <f t="shared" si="79"/>
        <v/>
      </c>
      <c r="AI171" s="21" t="str">
        <f t="shared" si="80"/>
        <v/>
      </c>
      <c r="AJ171" s="21" t="str">
        <f t="shared" si="81"/>
        <v/>
      </c>
      <c r="AK171" s="21" t="str">
        <f t="shared" si="82"/>
        <v/>
      </c>
      <c r="AL171" s="21"/>
      <c r="AM171" s="21"/>
      <c r="AN171" s="21"/>
      <c r="AS171" s="112" t="str">
        <f t="shared" si="72"/>
        <v/>
      </c>
      <c r="AT171" s="112" t="str">
        <f>IF(AS171="","",COUNTIF($AS$13:AS171,AS171))</f>
        <v/>
      </c>
      <c r="AU171" s="147">
        <f t="shared" si="73"/>
        <v>158</v>
      </c>
      <c r="AV171" s="147">
        <f>COUNTIF($AZ$14:AZ171,AZ171)</f>
        <v>56</v>
      </c>
      <c r="AW171" s="147">
        <f>IFERROR(COUNTIF(AX$14:$BL171,AX171),"")</f>
        <v>23</v>
      </c>
      <c r="AX171" s="148" t="str">
        <f t="shared" si="74"/>
        <v>Wed</v>
      </c>
      <c r="AY171" s="149">
        <f>'Raw Data'!A161</f>
        <v>41766</v>
      </c>
      <c r="AZ171" s="150" t="str">
        <f>'Raw Data'!E161</f>
        <v>No Email Drop</v>
      </c>
      <c r="BA171" s="150">
        <f>'Raw Data'!I161</f>
        <v>914</v>
      </c>
      <c r="BB171" s="112"/>
      <c r="BC171" s="112"/>
      <c r="BD171" s="112">
        <f>'Raw Data'!O161</f>
        <v>0</v>
      </c>
    </row>
    <row r="172" spans="19:56">
      <c r="S172" s="30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33" t="str">
        <f t="shared" si="76"/>
        <v/>
      </c>
      <c r="AF172" s="114" t="str">
        <f t="shared" si="77"/>
        <v/>
      </c>
      <c r="AG172" s="108" t="str">
        <f t="shared" si="78"/>
        <v/>
      </c>
      <c r="AH172" s="21" t="str">
        <f t="shared" si="79"/>
        <v/>
      </c>
      <c r="AI172" s="21" t="str">
        <f t="shared" si="80"/>
        <v/>
      </c>
      <c r="AJ172" s="21" t="str">
        <f t="shared" si="81"/>
        <v/>
      </c>
      <c r="AK172" s="21" t="str">
        <f t="shared" si="82"/>
        <v/>
      </c>
      <c r="AL172" s="21"/>
      <c r="AM172" s="21"/>
      <c r="AN172" s="21"/>
      <c r="AS172" s="112" t="str">
        <f t="shared" si="72"/>
        <v/>
      </c>
      <c r="AT172" s="112" t="str">
        <f>IF(AS172="","",COUNTIF($AS$13:AS172,AS172))</f>
        <v/>
      </c>
      <c r="AU172" s="147">
        <f t="shared" si="73"/>
        <v>159</v>
      </c>
      <c r="AV172" s="147">
        <f>COUNTIF($AZ$14:AZ172,AZ172)</f>
        <v>1</v>
      </c>
      <c r="AW172" s="147">
        <f>IFERROR(COUNTIF(AX$14:$BL172,AX172),"")</f>
        <v>23</v>
      </c>
      <c r="AX172" s="148" t="str">
        <f t="shared" si="74"/>
        <v>Thu</v>
      </c>
      <c r="AY172" s="149">
        <f>'Raw Data'!A162</f>
        <v>41767</v>
      </c>
      <c r="AZ172" s="150" t="str">
        <f>'Raw Data'!E162</f>
        <v>Treat Thursday,$10 Off,</v>
      </c>
      <c r="BA172" s="150">
        <f>'Raw Data'!I162</f>
        <v>1056</v>
      </c>
      <c r="BB172" s="112"/>
      <c r="BC172" s="112"/>
      <c r="BD172" s="112">
        <f>'Raw Data'!O162</f>
        <v>1</v>
      </c>
    </row>
    <row r="173" spans="19:56">
      <c r="S173" s="30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33" t="str">
        <f t="shared" si="76"/>
        <v/>
      </c>
      <c r="AF173" s="114" t="str">
        <f t="shared" si="77"/>
        <v/>
      </c>
      <c r="AG173" s="108" t="str">
        <f t="shared" si="78"/>
        <v/>
      </c>
      <c r="AH173" s="21" t="str">
        <f t="shared" si="79"/>
        <v/>
      </c>
      <c r="AI173" s="21" t="str">
        <f t="shared" si="80"/>
        <v/>
      </c>
      <c r="AJ173" s="21" t="str">
        <f t="shared" si="81"/>
        <v/>
      </c>
      <c r="AK173" s="21" t="str">
        <f t="shared" si="82"/>
        <v/>
      </c>
      <c r="AL173" s="21"/>
      <c r="AM173" s="21"/>
      <c r="AN173" s="21"/>
      <c r="AS173" s="112" t="str">
        <f t="shared" si="72"/>
        <v/>
      </c>
      <c r="AT173" s="112" t="str">
        <f>IF(AS173="","",COUNTIF($AS$13:AS173,AS173))</f>
        <v/>
      </c>
      <c r="AU173" s="147">
        <f t="shared" si="73"/>
        <v>160</v>
      </c>
      <c r="AV173" s="147">
        <f>COUNTIF($AZ$14:AZ173,AZ173)</f>
        <v>5</v>
      </c>
      <c r="AW173" s="147">
        <f>IFERROR(COUNTIF(AX$14:$BL173,AX173),"")</f>
        <v>23</v>
      </c>
      <c r="AX173" s="148" t="str">
        <f t="shared" si="74"/>
        <v>Fri</v>
      </c>
      <c r="AY173" s="149">
        <f>'Raw Data'!A163</f>
        <v>41768</v>
      </c>
      <c r="AZ173" s="150" t="str">
        <f>'Raw Data'!E163</f>
        <v>Free Ship No Min</v>
      </c>
      <c r="BA173" s="150">
        <f>'Raw Data'!I163</f>
        <v>1002</v>
      </c>
      <c r="BB173" s="112"/>
      <c r="BC173" s="112"/>
      <c r="BD173" s="112">
        <f>'Raw Data'!O163</f>
        <v>1</v>
      </c>
    </row>
    <row r="174" spans="19:56">
      <c r="S174" s="30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33" t="str">
        <f t="shared" si="76"/>
        <v/>
      </c>
      <c r="AF174" s="114" t="str">
        <f t="shared" si="77"/>
        <v/>
      </c>
      <c r="AG174" s="108" t="str">
        <f t="shared" si="78"/>
        <v/>
      </c>
      <c r="AH174" s="21" t="str">
        <f t="shared" si="79"/>
        <v/>
      </c>
      <c r="AI174" s="21" t="str">
        <f t="shared" si="80"/>
        <v/>
      </c>
      <c r="AJ174" s="21" t="str">
        <f t="shared" si="81"/>
        <v/>
      </c>
      <c r="AK174" s="21" t="str">
        <f t="shared" si="82"/>
        <v/>
      </c>
      <c r="AL174" s="21"/>
      <c r="AM174" s="21"/>
      <c r="AN174" s="21"/>
      <c r="AS174" s="112" t="str">
        <f t="shared" si="72"/>
        <v/>
      </c>
      <c r="AT174" s="112" t="str">
        <f>IF(AS174="","",COUNTIF($AS$13:AS174,AS174))</f>
        <v/>
      </c>
      <c r="AU174" s="147">
        <f t="shared" si="73"/>
        <v>161</v>
      </c>
      <c r="AV174" s="147">
        <f>COUNTIF($AZ$14:AZ174,AZ174)</f>
        <v>57</v>
      </c>
      <c r="AW174" s="147">
        <f>IFERROR(COUNTIF(AX$14:$BL174,AX174),"")</f>
        <v>23</v>
      </c>
      <c r="AX174" s="148" t="str">
        <f t="shared" si="74"/>
        <v>Sat</v>
      </c>
      <c r="AY174" s="149">
        <f>'Raw Data'!A164</f>
        <v>41769</v>
      </c>
      <c r="AZ174" s="150" t="str">
        <f>'Raw Data'!E164</f>
        <v>No Email Drop</v>
      </c>
      <c r="BA174" s="150">
        <f>'Raw Data'!I164</f>
        <v>518</v>
      </c>
      <c r="BB174" s="112"/>
      <c r="BC174" s="112"/>
      <c r="BD174" s="112">
        <f>'Raw Data'!O164</f>
        <v>0</v>
      </c>
    </row>
    <row r="175" spans="19:56">
      <c r="S175" s="30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33" t="str">
        <f t="shared" si="76"/>
        <v/>
      </c>
      <c r="AF175" s="114" t="str">
        <f t="shared" si="77"/>
        <v/>
      </c>
      <c r="AG175" s="108" t="str">
        <f t="shared" si="78"/>
        <v/>
      </c>
      <c r="AH175" s="21" t="str">
        <f t="shared" si="79"/>
        <v/>
      </c>
      <c r="AI175" s="21" t="str">
        <f t="shared" si="80"/>
        <v/>
      </c>
      <c r="AJ175" s="21" t="str">
        <f t="shared" si="81"/>
        <v/>
      </c>
      <c r="AK175" s="21" t="str">
        <f t="shared" si="82"/>
        <v/>
      </c>
      <c r="AL175" s="21"/>
      <c r="AM175" s="21"/>
      <c r="AN175" s="21"/>
      <c r="AS175" s="112" t="str">
        <f t="shared" si="72"/>
        <v/>
      </c>
      <c r="AT175" s="112" t="str">
        <f>IF(AS175="","",COUNTIF($AS$13:AS175,AS175))</f>
        <v/>
      </c>
      <c r="AU175" s="147">
        <f t="shared" si="73"/>
        <v>162</v>
      </c>
      <c r="AV175" s="147">
        <f>COUNTIF($AZ$14:AZ175,AZ175)</f>
        <v>4</v>
      </c>
      <c r="AW175" s="147">
        <f>IFERROR(COUNTIF(AX$14:$BL175,AX175),"")</f>
        <v>24</v>
      </c>
      <c r="AX175" s="148" t="str">
        <f t="shared" si="74"/>
        <v>Sun</v>
      </c>
      <c r="AY175" s="149">
        <f>'Raw Data'!A165</f>
        <v>41770</v>
      </c>
      <c r="AZ175" s="150" t="str">
        <f>'Raw Data'!E165</f>
        <v>$30 Off,FS on $100</v>
      </c>
      <c r="BA175" s="150">
        <f>'Raw Data'!I165</f>
        <v>446</v>
      </c>
      <c r="BB175" s="112"/>
      <c r="BC175" s="112"/>
      <c r="BD175" s="112">
        <f>'Raw Data'!O165</f>
        <v>1</v>
      </c>
    </row>
    <row r="176" spans="19:56">
      <c r="S176" s="30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33" t="str">
        <f t="shared" si="76"/>
        <v/>
      </c>
      <c r="AF176" s="114" t="str">
        <f t="shared" si="77"/>
        <v/>
      </c>
      <c r="AG176" s="108" t="str">
        <f t="shared" si="78"/>
        <v/>
      </c>
      <c r="AH176" s="21" t="str">
        <f t="shared" si="79"/>
        <v/>
      </c>
      <c r="AI176" s="21" t="str">
        <f t="shared" si="80"/>
        <v/>
      </c>
      <c r="AJ176" s="21" t="str">
        <f t="shared" si="81"/>
        <v/>
      </c>
      <c r="AK176" s="21" t="str">
        <f t="shared" si="82"/>
        <v/>
      </c>
      <c r="AL176" s="21"/>
      <c r="AM176" s="21"/>
      <c r="AN176" s="21"/>
      <c r="AS176" s="112" t="str">
        <f t="shared" si="72"/>
        <v/>
      </c>
      <c r="AT176" s="112" t="str">
        <f>IF(AS176="","",COUNTIF($AS$13:AS176,AS176))</f>
        <v/>
      </c>
      <c r="AU176" s="147">
        <f t="shared" si="73"/>
        <v>163</v>
      </c>
      <c r="AV176" s="147">
        <f>COUNTIF($AZ$14:AZ176,AZ176)</f>
        <v>5</v>
      </c>
      <c r="AW176" s="147">
        <f>IFERROR(COUNTIF(AX$14:$BL176,AX176),"")</f>
        <v>24</v>
      </c>
      <c r="AX176" s="148" t="str">
        <f t="shared" si="74"/>
        <v>Mon</v>
      </c>
      <c r="AY176" s="149">
        <f>'Raw Data'!A166</f>
        <v>41771</v>
      </c>
      <c r="AZ176" s="150" t="str">
        <f>'Raw Data'!E166</f>
        <v>$30 Off,FS on $100</v>
      </c>
      <c r="BA176" s="150">
        <f>'Raw Data'!I166</f>
        <v>1097</v>
      </c>
      <c r="BB176" s="112"/>
      <c r="BC176" s="112"/>
      <c r="BD176" s="112">
        <f>'Raw Data'!O166</f>
        <v>1</v>
      </c>
    </row>
    <row r="177" spans="19:56">
      <c r="S177" s="30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33" t="str">
        <f t="shared" si="76"/>
        <v/>
      </c>
      <c r="AF177" s="114" t="str">
        <f t="shared" si="77"/>
        <v/>
      </c>
      <c r="AG177" s="108" t="str">
        <f t="shared" si="78"/>
        <v/>
      </c>
      <c r="AH177" s="21" t="str">
        <f t="shared" si="79"/>
        <v/>
      </c>
      <c r="AI177" s="21" t="str">
        <f t="shared" si="80"/>
        <v/>
      </c>
      <c r="AJ177" s="21" t="str">
        <f t="shared" si="81"/>
        <v/>
      </c>
      <c r="AK177" s="21" t="str">
        <f t="shared" si="82"/>
        <v/>
      </c>
      <c r="AL177" s="21"/>
      <c r="AM177" s="21"/>
      <c r="AN177" s="21"/>
      <c r="AS177" s="112" t="str">
        <f t="shared" si="72"/>
        <v/>
      </c>
      <c r="AT177" s="112" t="str">
        <f>IF(AS177="","",COUNTIF($AS$13:AS177,AS177))</f>
        <v/>
      </c>
      <c r="AU177" s="147">
        <f t="shared" si="73"/>
        <v>164</v>
      </c>
      <c r="AV177" s="147">
        <f>COUNTIF($AZ$14:AZ177,AZ177)</f>
        <v>6</v>
      </c>
      <c r="AW177" s="147">
        <f>IFERROR(COUNTIF(AX$14:$BL177,AX177),"")</f>
        <v>24</v>
      </c>
      <c r="AX177" s="148" t="str">
        <f t="shared" si="74"/>
        <v>Tue</v>
      </c>
      <c r="AY177" s="149">
        <f>'Raw Data'!A167</f>
        <v>41772</v>
      </c>
      <c r="AZ177" s="150" t="str">
        <f>'Raw Data'!E167</f>
        <v>$30 Off,FS on $100</v>
      </c>
      <c r="BA177" s="150">
        <f>'Raw Data'!I167</f>
        <v>1211</v>
      </c>
      <c r="BB177" s="112"/>
      <c r="BC177" s="112"/>
      <c r="BD177" s="112">
        <f>'Raw Data'!O167</f>
        <v>2</v>
      </c>
    </row>
    <row r="178" spans="19:56">
      <c r="S178" s="30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33" t="str">
        <f t="shared" si="76"/>
        <v/>
      </c>
      <c r="AF178" s="114" t="str">
        <f t="shared" si="77"/>
        <v/>
      </c>
      <c r="AG178" s="108" t="str">
        <f t="shared" si="78"/>
        <v/>
      </c>
      <c r="AH178" s="21" t="str">
        <f t="shared" si="79"/>
        <v/>
      </c>
      <c r="AI178" s="21" t="str">
        <f t="shared" si="80"/>
        <v/>
      </c>
      <c r="AJ178" s="21" t="str">
        <f t="shared" si="81"/>
        <v/>
      </c>
      <c r="AK178" s="21" t="str">
        <f t="shared" si="82"/>
        <v/>
      </c>
      <c r="AL178" s="21"/>
      <c r="AM178" s="21"/>
      <c r="AN178" s="21"/>
      <c r="AS178" s="112" t="str">
        <f t="shared" si="72"/>
        <v/>
      </c>
      <c r="AT178" s="112" t="str">
        <f>IF(AS178="","",COUNTIF($AS$13:AS178,AS178))</f>
        <v/>
      </c>
      <c r="AU178" s="147">
        <f t="shared" si="73"/>
        <v>165</v>
      </c>
      <c r="AV178" s="147">
        <f>COUNTIF($AZ$14:AZ178,AZ178)</f>
        <v>1</v>
      </c>
      <c r="AW178" s="147">
        <f>IFERROR(COUNTIF(AX$14:$BL178,AX178),"")</f>
        <v>24</v>
      </c>
      <c r="AX178" s="148" t="str">
        <f t="shared" si="74"/>
        <v>Wed</v>
      </c>
      <c r="AY178" s="149">
        <f>'Raw Data'!A168</f>
        <v>41773</v>
      </c>
      <c r="AZ178" s="150" t="str">
        <f>'Raw Data'!E168</f>
        <v>$5 Off Purina Bag,FS on $49</v>
      </c>
      <c r="BA178" s="150">
        <f>'Raw Data'!I168</f>
        <v>950</v>
      </c>
      <c r="BB178" s="112"/>
      <c r="BC178" s="112"/>
      <c r="BD178" s="112">
        <f>'Raw Data'!O168</f>
        <v>1</v>
      </c>
    </row>
    <row r="179" spans="19:56">
      <c r="S179" s="30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33" t="str">
        <f t="shared" si="76"/>
        <v/>
      </c>
      <c r="AF179" s="114" t="str">
        <f t="shared" si="77"/>
        <v/>
      </c>
      <c r="AG179" s="108" t="str">
        <f t="shared" si="78"/>
        <v/>
      </c>
      <c r="AH179" s="21" t="str">
        <f t="shared" si="79"/>
        <v/>
      </c>
      <c r="AI179" s="21" t="str">
        <f t="shared" si="80"/>
        <v/>
      </c>
      <c r="AJ179" s="21" t="str">
        <f t="shared" si="81"/>
        <v/>
      </c>
      <c r="AK179" s="21" t="str">
        <f t="shared" si="82"/>
        <v/>
      </c>
      <c r="AL179" s="21"/>
      <c r="AM179" s="21"/>
      <c r="AN179" s="21"/>
      <c r="AS179" s="112" t="str">
        <f t="shared" si="72"/>
        <v/>
      </c>
      <c r="AT179" s="112" t="str">
        <f>IF(AS179="","",COUNTIF($AS$13:AS179,AS179))</f>
        <v/>
      </c>
      <c r="AU179" s="147">
        <f t="shared" si="73"/>
        <v>166</v>
      </c>
      <c r="AV179" s="147">
        <f>COUNTIF($AZ$14:AZ179,AZ179)</f>
        <v>3</v>
      </c>
      <c r="AW179" s="147">
        <f>IFERROR(COUNTIF(AX$14:$BL179,AX179),"")</f>
        <v>24</v>
      </c>
      <c r="AX179" s="148" t="str">
        <f t="shared" si="74"/>
        <v>Thu</v>
      </c>
      <c r="AY179" s="149">
        <f>'Raw Data'!A169</f>
        <v>41774</v>
      </c>
      <c r="AZ179" s="150" t="str">
        <f>'Raw Data'!E169</f>
        <v>Treat Thursday,12 Treats,FS on $49</v>
      </c>
      <c r="BA179" s="150">
        <f>'Raw Data'!I169</f>
        <v>869</v>
      </c>
      <c r="BB179" s="112"/>
      <c r="BC179" s="112"/>
      <c r="BD179" s="112">
        <f>'Raw Data'!O169</f>
        <v>1</v>
      </c>
    </row>
    <row r="180" spans="19:56">
      <c r="S180" s="30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33" t="str">
        <f t="shared" si="76"/>
        <v/>
      </c>
      <c r="AF180" s="114" t="str">
        <f t="shared" si="77"/>
        <v/>
      </c>
      <c r="AG180" s="108" t="str">
        <f t="shared" si="78"/>
        <v/>
      </c>
      <c r="AH180" s="21" t="str">
        <f t="shared" si="79"/>
        <v/>
      </c>
      <c r="AI180" s="21" t="str">
        <f t="shared" si="80"/>
        <v/>
      </c>
      <c r="AJ180" s="21" t="str">
        <f t="shared" si="81"/>
        <v/>
      </c>
      <c r="AK180" s="21" t="str">
        <f t="shared" si="82"/>
        <v/>
      </c>
      <c r="AL180" s="21"/>
      <c r="AM180" s="21"/>
      <c r="AN180" s="21"/>
      <c r="AS180" s="112" t="str">
        <f t="shared" si="72"/>
        <v/>
      </c>
      <c r="AT180" s="112" t="str">
        <f>IF(AS180="","",COUNTIF($AS$13:AS180,AS180))</f>
        <v/>
      </c>
      <c r="AU180" s="147">
        <f t="shared" si="73"/>
        <v>167</v>
      </c>
      <c r="AV180" s="147">
        <f>COUNTIF($AZ$14:AZ180,AZ180)</f>
        <v>9</v>
      </c>
      <c r="AW180" s="147">
        <f>IFERROR(COUNTIF(AX$14:$BL180,AX180),"")</f>
        <v>24</v>
      </c>
      <c r="AX180" s="148" t="str">
        <f t="shared" si="74"/>
        <v>Fri</v>
      </c>
      <c r="AY180" s="149">
        <f>'Raw Data'!A170</f>
        <v>41775</v>
      </c>
      <c r="AZ180" s="150" t="str">
        <f>'Raw Data'!E170</f>
        <v>$10 Off,FS on $49</v>
      </c>
      <c r="BA180" s="150">
        <f>'Raw Data'!I170</f>
        <v>1055</v>
      </c>
      <c r="BB180" s="112"/>
      <c r="BC180" s="112"/>
      <c r="BD180" s="112">
        <f>'Raw Data'!O170</f>
        <v>2</v>
      </c>
    </row>
    <row r="181" spans="19:56">
      <c r="S181" s="30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33" t="str">
        <f t="shared" si="76"/>
        <v/>
      </c>
      <c r="AF181" s="114" t="str">
        <f t="shared" si="77"/>
        <v/>
      </c>
      <c r="AG181" s="108" t="str">
        <f t="shared" si="78"/>
        <v/>
      </c>
      <c r="AH181" s="21" t="str">
        <f t="shared" si="79"/>
        <v/>
      </c>
      <c r="AI181" s="21" t="str">
        <f t="shared" si="80"/>
        <v/>
      </c>
      <c r="AJ181" s="21" t="str">
        <f t="shared" si="81"/>
        <v/>
      </c>
      <c r="AK181" s="21" t="str">
        <f t="shared" si="82"/>
        <v/>
      </c>
      <c r="AL181" s="21"/>
      <c r="AM181" s="21"/>
      <c r="AN181" s="21"/>
      <c r="AS181" s="112" t="str">
        <f t="shared" si="72"/>
        <v/>
      </c>
      <c r="AT181" s="112" t="str">
        <f>IF(AS181="","",COUNTIF($AS$13:AS181,AS181))</f>
        <v/>
      </c>
      <c r="AU181" s="147">
        <f t="shared" si="73"/>
        <v>168</v>
      </c>
      <c r="AV181" s="147">
        <f>COUNTIF($AZ$14:AZ181,AZ181)</f>
        <v>10</v>
      </c>
      <c r="AW181" s="147">
        <f>IFERROR(COUNTIF(AX$14:$BL181,AX181),"")</f>
        <v>24</v>
      </c>
      <c r="AX181" s="148" t="str">
        <f t="shared" si="74"/>
        <v>Sat</v>
      </c>
      <c r="AY181" s="149">
        <f>'Raw Data'!A171</f>
        <v>41776</v>
      </c>
      <c r="AZ181" s="150" t="str">
        <f>'Raw Data'!E171</f>
        <v>$10 Off,FS on $49</v>
      </c>
      <c r="BA181" s="150">
        <f>'Raw Data'!I171</f>
        <v>722</v>
      </c>
      <c r="BB181" s="112"/>
      <c r="BC181" s="112"/>
      <c r="BD181" s="112">
        <f>'Raw Data'!O171</f>
        <v>1</v>
      </c>
    </row>
    <row r="182" spans="19:56">
      <c r="S182" s="30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33" t="str">
        <f t="shared" si="76"/>
        <v/>
      </c>
      <c r="AF182" s="114" t="str">
        <f t="shared" si="77"/>
        <v/>
      </c>
      <c r="AG182" s="108" t="str">
        <f t="shared" si="78"/>
        <v/>
      </c>
      <c r="AH182" s="21" t="str">
        <f t="shared" si="79"/>
        <v/>
      </c>
      <c r="AI182" s="21" t="str">
        <f t="shared" si="80"/>
        <v/>
      </c>
      <c r="AJ182" s="21" t="str">
        <f t="shared" si="81"/>
        <v/>
      </c>
      <c r="AK182" s="21" t="str">
        <f t="shared" si="82"/>
        <v/>
      </c>
      <c r="AL182" s="21"/>
      <c r="AM182" s="21"/>
      <c r="AN182" s="21"/>
      <c r="AS182" s="112" t="str">
        <f t="shared" si="72"/>
        <v/>
      </c>
      <c r="AT182" s="112" t="str">
        <f>IF(AS182="","",COUNTIF($AS$13:AS182,AS182))</f>
        <v/>
      </c>
      <c r="AU182" s="147">
        <f t="shared" si="73"/>
        <v>169</v>
      </c>
      <c r="AV182" s="147">
        <f>COUNTIF($AZ$14:AZ182,AZ182)</f>
        <v>11</v>
      </c>
      <c r="AW182" s="147">
        <f>IFERROR(COUNTIF(AX$14:$BL182,AX182),"")</f>
        <v>25</v>
      </c>
      <c r="AX182" s="148" t="str">
        <f t="shared" si="74"/>
        <v>Sun</v>
      </c>
      <c r="AY182" s="149">
        <f>'Raw Data'!A172</f>
        <v>41777</v>
      </c>
      <c r="AZ182" s="150" t="str">
        <f>'Raw Data'!E172</f>
        <v>$10 Off,FS on $49</v>
      </c>
      <c r="BA182" s="150">
        <f>'Raw Data'!I172</f>
        <v>549</v>
      </c>
      <c r="BB182" s="112"/>
      <c r="BC182" s="112"/>
      <c r="BD182" s="112">
        <f>'Raw Data'!O172</f>
        <v>1</v>
      </c>
    </row>
    <row r="183" spans="19:56">
      <c r="S183" s="30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33" t="str">
        <f t="shared" si="76"/>
        <v/>
      </c>
      <c r="AF183" s="114" t="str">
        <f t="shared" si="77"/>
        <v/>
      </c>
      <c r="AG183" s="108" t="str">
        <f t="shared" si="78"/>
        <v/>
      </c>
      <c r="AH183" s="21" t="str">
        <f t="shared" si="79"/>
        <v/>
      </c>
      <c r="AI183" s="21" t="str">
        <f t="shared" si="80"/>
        <v/>
      </c>
      <c r="AJ183" s="21" t="str">
        <f t="shared" si="81"/>
        <v/>
      </c>
      <c r="AK183" s="21" t="str">
        <f t="shared" si="82"/>
        <v/>
      </c>
      <c r="AL183" s="21"/>
      <c r="AM183" s="21"/>
      <c r="AN183" s="21"/>
      <c r="AS183" s="112" t="str">
        <f t="shared" si="72"/>
        <v/>
      </c>
      <c r="AT183" s="112" t="str">
        <f>IF(AS183="","",COUNTIF($AS$13:AS183,AS183))</f>
        <v/>
      </c>
      <c r="AU183" s="147">
        <f t="shared" si="73"/>
        <v>170</v>
      </c>
      <c r="AV183" s="147">
        <f>COUNTIF($AZ$14:AZ183,AZ183)</f>
        <v>12</v>
      </c>
      <c r="AW183" s="147">
        <f>IFERROR(COUNTIF(AX$14:$BL183,AX183),"")</f>
        <v>25</v>
      </c>
      <c r="AX183" s="148" t="str">
        <f t="shared" si="74"/>
        <v>Mon</v>
      </c>
      <c r="AY183" s="149">
        <f>'Raw Data'!A173</f>
        <v>41778</v>
      </c>
      <c r="AZ183" s="150" t="str">
        <f>'Raw Data'!E173</f>
        <v>$10 Off,FS on $49</v>
      </c>
      <c r="BA183" s="150">
        <f>'Raw Data'!I173</f>
        <v>1195</v>
      </c>
      <c r="BB183" s="112"/>
      <c r="BC183" s="112"/>
      <c r="BD183" s="112">
        <f>'Raw Data'!O173</f>
        <v>2</v>
      </c>
    </row>
    <row r="184" spans="19:56">
      <c r="S184" s="30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33" t="str">
        <f t="shared" si="76"/>
        <v/>
      </c>
      <c r="AF184" s="114" t="str">
        <f t="shared" si="77"/>
        <v/>
      </c>
      <c r="AG184" s="108" t="str">
        <f t="shared" si="78"/>
        <v/>
      </c>
      <c r="AH184" s="21" t="str">
        <f t="shared" si="79"/>
        <v/>
      </c>
      <c r="AI184" s="21" t="str">
        <f t="shared" si="80"/>
        <v/>
      </c>
      <c r="AJ184" s="21" t="str">
        <f t="shared" si="81"/>
        <v/>
      </c>
      <c r="AK184" s="21" t="str">
        <f t="shared" si="82"/>
        <v/>
      </c>
      <c r="AL184" s="21"/>
      <c r="AM184" s="21"/>
      <c r="AN184" s="21"/>
      <c r="AS184" s="112" t="str">
        <f t="shared" si="72"/>
        <v/>
      </c>
      <c r="AT184" s="112" t="str">
        <f>IF(AS184="","",COUNTIF($AS$13:AS184,AS184))</f>
        <v/>
      </c>
      <c r="AU184" s="147">
        <f t="shared" si="73"/>
        <v>171</v>
      </c>
      <c r="AV184" s="147">
        <f>COUNTIF($AZ$14:AZ184,AZ184)</f>
        <v>58</v>
      </c>
      <c r="AW184" s="147">
        <f>IFERROR(COUNTIF(AX$14:$BL184,AX184),"")</f>
        <v>25</v>
      </c>
      <c r="AX184" s="148" t="str">
        <f t="shared" si="74"/>
        <v>Tue</v>
      </c>
      <c r="AY184" s="149">
        <f>'Raw Data'!A174</f>
        <v>41779</v>
      </c>
      <c r="AZ184" s="150" t="str">
        <f>'Raw Data'!E174</f>
        <v>No Email Drop</v>
      </c>
      <c r="BA184" s="150">
        <f>'Raw Data'!I174</f>
        <v>943</v>
      </c>
      <c r="BB184" s="112"/>
      <c r="BC184" s="112"/>
      <c r="BD184" s="112">
        <f>'Raw Data'!O174</f>
        <v>0</v>
      </c>
    </row>
    <row r="185" spans="19:56">
      <c r="S185" s="30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33" t="str">
        <f t="shared" si="76"/>
        <v/>
      </c>
      <c r="AF185" s="114" t="str">
        <f t="shared" si="77"/>
        <v/>
      </c>
      <c r="AG185" s="108" t="str">
        <f t="shared" si="78"/>
        <v/>
      </c>
      <c r="AH185" s="21" t="str">
        <f t="shared" si="79"/>
        <v/>
      </c>
      <c r="AI185" s="21" t="str">
        <f t="shared" si="80"/>
        <v/>
      </c>
      <c r="AJ185" s="21" t="str">
        <f t="shared" si="81"/>
        <v/>
      </c>
      <c r="AK185" s="21" t="str">
        <f t="shared" si="82"/>
        <v/>
      </c>
      <c r="AL185" s="21"/>
      <c r="AM185" s="21"/>
      <c r="AN185" s="21"/>
      <c r="AS185" s="112" t="str">
        <f t="shared" si="72"/>
        <v/>
      </c>
      <c r="AT185" s="112" t="str">
        <f>IF(AS185="","",COUNTIF($AS$13:AS185,AS185))</f>
        <v/>
      </c>
      <c r="AU185" s="147">
        <f t="shared" si="73"/>
        <v>172</v>
      </c>
      <c r="AV185" s="147">
        <f>COUNTIF($AZ$14:AZ185,AZ185)</f>
        <v>59</v>
      </c>
      <c r="AW185" s="147">
        <f>IFERROR(COUNTIF(AX$14:$BL185,AX185),"")</f>
        <v>25</v>
      </c>
      <c r="AX185" s="148" t="str">
        <f t="shared" si="74"/>
        <v>Wed</v>
      </c>
      <c r="AY185" s="149">
        <f>'Raw Data'!A175</f>
        <v>41780</v>
      </c>
      <c r="AZ185" s="150" t="str">
        <f>'Raw Data'!E175</f>
        <v>No Email Drop</v>
      </c>
      <c r="BA185" s="150">
        <f>'Raw Data'!I175</f>
        <v>844</v>
      </c>
      <c r="BB185" s="112"/>
      <c r="BC185" s="112"/>
      <c r="BD185" s="112">
        <f>'Raw Data'!O175</f>
        <v>0</v>
      </c>
    </row>
    <row r="186" spans="19:56">
      <c r="S186" s="30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33" t="str">
        <f t="shared" si="76"/>
        <v/>
      </c>
      <c r="AF186" s="114" t="str">
        <f t="shared" si="77"/>
        <v/>
      </c>
      <c r="AG186" s="108" t="str">
        <f t="shared" si="78"/>
        <v/>
      </c>
      <c r="AH186" s="21" t="str">
        <f t="shared" si="79"/>
        <v/>
      </c>
      <c r="AI186" s="21" t="str">
        <f t="shared" si="80"/>
        <v/>
      </c>
      <c r="AJ186" s="21" t="str">
        <f t="shared" si="81"/>
        <v/>
      </c>
      <c r="AK186" s="21" t="str">
        <f t="shared" si="82"/>
        <v/>
      </c>
      <c r="AL186" s="21"/>
      <c r="AM186" s="21"/>
      <c r="AN186" s="21"/>
      <c r="AS186" s="112" t="str">
        <f t="shared" si="72"/>
        <v/>
      </c>
      <c r="AT186" s="112" t="str">
        <f>IF(AS186="","",COUNTIF($AS$13:AS186,AS186))</f>
        <v/>
      </c>
      <c r="AU186" s="147">
        <f t="shared" si="73"/>
        <v>173</v>
      </c>
      <c r="AV186" s="147">
        <f>COUNTIF($AZ$14:AZ186,AZ186)</f>
        <v>1</v>
      </c>
      <c r="AW186" s="147">
        <f>IFERROR(COUNTIF(AX$14:$BL186,AX186),"")</f>
        <v>25</v>
      </c>
      <c r="AX186" s="148" t="str">
        <f t="shared" si="74"/>
        <v>Thu</v>
      </c>
      <c r="AY186" s="149">
        <f>'Raw Data'!A176</f>
        <v>41781</v>
      </c>
      <c r="AZ186" s="150" t="str">
        <f>'Raw Data'!E176</f>
        <v>Treat Thursday,Up To 30% Off on Toys,FS on $49</v>
      </c>
      <c r="BA186" s="150">
        <f>'Raw Data'!I176</f>
        <v>860</v>
      </c>
      <c r="BB186" s="112"/>
      <c r="BC186" s="112"/>
      <c r="BD186" s="112">
        <f>'Raw Data'!O176</f>
        <v>1</v>
      </c>
    </row>
    <row r="187" spans="19:56">
      <c r="S187" s="30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33" t="str">
        <f t="shared" si="76"/>
        <v/>
      </c>
      <c r="AF187" s="114" t="str">
        <f t="shared" si="77"/>
        <v/>
      </c>
      <c r="AG187" s="108" t="str">
        <f t="shared" si="78"/>
        <v/>
      </c>
      <c r="AH187" s="21" t="str">
        <f t="shared" si="79"/>
        <v/>
      </c>
      <c r="AI187" s="21" t="str">
        <f t="shared" si="80"/>
        <v/>
      </c>
      <c r="AJ187" s="21" t="str">
        <f t="shared" si="81"/>
        <v/>
      </c>
      <c r="AK187" s="21" t="str">
        <f t="shared" si="82"/>
        <v/>
      </c>
      <c r="AL187" s="21"/>
      <c r="AM187" s="21"/>
      <c r="AN187" s="21"/>
      <c r="AS187" s="112" t="str">
        <f t="shared" si="72"/>
        <v/>
      </c>
      <c r="AT187" s="112" t="str">
        <f>IF(AS187="","",COUNTIF($AS$13:AS187,AS187))</f>
        <v/>
      </c>
      <c r="AU187" s="147">
        <f t="shared" si="73"/>
        <v>174</v>
      </c>
      <c r="AV187" s="147">
        <f>COUNTIF($AZ$14:AZ187,AZ187)</f>
        <v>1</v>
      </c>
      <c r="AW187" s="147">
        <f>IFERROR(COUNTIF(AX$14:$BL187,AX187),"")</f>
        <v>25</v>
      </c>
      <c r="AX187" s="148" t="str">
        <f t="shared" si="74"/>
        <v>Fri</v>
      </c>
      <c r="AY187" s="149">
        <f>'Raw Data'!A177</f>
        <v>41782</v>
      </c>
      <c r="AZ187" s="150" t="str">
        <f>'Raw Data'!E177</f>
        <v>$5 Off,FS on $25</v>
      </c>
      <c r="BA187" s="150">
        <f>'Raw Data'!I177</f>
        <v>974</v>
      </c>
      <c r="BB187" s="112"/>
      <c r="BC187" s="112"/>
      <c r="BD187" s="112">
        <f>'Raw Data'!O177</f>
        <v>2</v>
      </c>
    </row>
    <row r="188" spans="19:56">
      <c r="S188" s="30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33" t="str">
        <f t="shared" si="76"/>
        <v/>
      </c>
      <c r="AF188" s="114" t="str">
        <f t="shared" si="77"/>
        <v/>
      </c>
      <c r="AG188" s="108" t="str">
        <f t="shared" si="78"/>
        <v/>
      </c>
      <c r="AH188" s="21" t="str">
        <f t="shared" si="79"/>
        <v/>
      </c>
      <c r="AI188" s="21" t="str">
        <f t="shared" si="80"/>
        <v/>
      </c>
      <c r="AJ188" s="21" t="str">
        <f t="shared" si="81"/>
        <v/>
      </c>
      <c r="AK188" s="21" t="str">
        <f t="shared" si="82"/>
        <v/>
      </c>
      <c r="AL188" s="21"/>
      <c r="AM188" s="21"/>
      <c r="AN188" s="21"/>
      <c r="AS188" s="112" t="str">
        <f t="shared" si="72"/>
        <v/>
      </c>
      <c r="AT188" s="112" t="str">
        <f>IF(AS188="","",COUNTIF($AS$13:AS188,AS188))</f>
        <v/>
      </c>
      <c r="AU188" s="147">
        <f t="shared" si="73"/>
        <v>175</v>
      </c>
      <c r="AV188" s="147">
        <f>COUNTIF($AZ$14:AZ188,AZ188)</f>
        <v>60</v>
      </c>
      <c r="AW188" s="147">
        <f>IFERROR(COUNTIF(AX$14:$BL188,AX188),"")</f>
        <v>25</v>
      </c>
      <c r="AX188" s="148" t="str">
        <f t="shared" si="74"/>
        <v>Sat</v>
      </c>
      <c r="AY188" s="149">
        <f>'Raw Data'!A178</f>
        <v>41783</v>
      </c>
      <c r="AZ188" s="150" t="str">
        <f>'Raw Data'!E178</f>
        <v>No Email Drop</v>
      </c>
      <c r="BA188" s="150">
        <f>'Raw Data'!I178</f>
        <v>612</v>
      </c>
      <c r="BB188" s="112"/>
      <c r="BC188" s="112"/>
      <c r="BD188" s="112">
        <f>'Raw Data'!O178</f>
        <v>0</v>
      </c>
    </row>
    <row r="189" spans="19:56">
      <c r="S189" s="30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33" t="str">
        <f t="shared" si="76"/>
        <v/>
      </c>
      <c r="AF189" s="114" t="str">
        <f t="shared" si="77"/>
        <v/>
      </c>
      <c r="AG189" s="108" t="str">
        <f t="shared" si="78"/>
        <v/>
      </c>
      <c r="AH189" s="21" t="str">
        <f t="shared" si="79"/>
        <v/>
      </c>
      <c r="AI189" s="21" t="str">
        <f t="shared" si="80"/>
        <v/>
      </c>
      <c r="AJ189" s="21" t="str">
        <f t="shared" si="81"/>
        <v/>
      </c>
      <c r="AK189" s="21" t="str">
        <f t="shared" si="82"/>
        <v/>
      </c>
      <c r="AL189" s="21"/>
      <c r="AM189" s="21"/>
      <c r="AN189" s="21"/>
      <c r="AS189" s="112" t="str">
        <f t="shared" si="72"/>
        <v/>
      </c>
      <c r="AT189" s="112" t="str">
        <f>IF(AS189="","",COUNTIF($AS$13:AS189,AS189))</f>
        <v/>
      </c>
      <c r="AU189" s="147">
        <f t="shared" si="73"/>
        <v>176</v>
      </c>
      <c r="AV189" s="147">
        <f>COUNTIF($AZ$14:AZ189,AZ189)</f>
        <v>1</v>
      </c>
      <c r="AW189" s="147">
        <f>IFERROR(COUNTIF(AX$14:$BL189,AX189),"")</f>
        <v>26</v>
      </c>
      <c r="AX189" s="148" t="str">
        <f t="shared" si="74"/>
        <v>Sun</v>
      </c>
      <c r="AY189" s="149">
        <f>'Raw Data'!A179</f>
        <v>41784</v>
      </c>
      <c r="AZ189" s="150" t="str">
        <f>'Raw Data'!E179</f>
        <v>30-50% Off,FS on $49</v>
      </c>
      <c r="BA189" s="150">
        <f>'Raw Data'!I179</f>
        <v>511</v>
      </c>
      <c r="BB189" s="112"/>
      <c r="BC189" s="112"/>
      <c r="BD189" s="112">
        <f>'Raw Data'!O179</f>
        <v>2</v>
      </c>
    </row>
    <row r="190" spans="19:56">
      <c r="S190" s="30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33" t="str">
        <f t="shared" si="76"/>
        <v/>
      </c>
      <c r="AF190" s="114" t="str">
        <f t="shared" si="77"/>
        <v/>
      </c>
      <c r="AG190" s="108" t="str">
        <f t="shared" si="78"/>
        <v/>
      </c>
      <c r="AH190" s="21" t="str">
        <f t="shared" si="79"/>
        <v/>
      </c>
      <c r="AI190" s="21" t="str">
        <f t="shared" si="80"/>
        <v/>
      </c>
      <c r="AJ190" s="21" t="str">
        <f t="shared" si="81"/>
        <v/>
      </c>
      <c r="AK190" s="21" t="str">
        <f t="shared" si="82"/>
        <v/>
      </c>
      <c r="AL190" s="21"/>
      <c r="AM190" s="21"/>
      <c r="AN190" s="21"/>
      <c r="AS190" s="112">
        <f t="shared" si="72"/>
        <v>1</v>
      </c>
      <c r="AT190" s="112">
        <f>IF(AS190="","",COUNTIF($AS$13:AS190,AS190))</f>
        <v>5</v>
      </c>
      <c r="AU190" s="147">
        <f t="shared" si="73"/>
        <v>177</v>
      </c>
      <c r="AV190" s="147">
        <f>COUNTIF($AZ$14:AZ190,AZ190)</f>
        <v>1</v>
      </c>
      <c r="AW190" s="147">
        <f>IFERROR(COUNTIF(AX$14:$BL190,AX190),"")</f>
        <v>26</v>
      </c>
      <c r="AX190" s="148" t="str">
        <f t="shared" si="74"/>
        <v>Mon</v>
      </c>
      <c r="AY190" s="149">
        <f>'Raw Data'!A180</f>
        <v>41785</v>
      </c>
      <c r="AZ190" s="150" t="str">
        <f>'Raw Data'!E180</f>
        <v>Flash Sale,Free Ship No Min,FSNM</v>
      </c>
      <c r="BA190" s="150">
        <f>'Raw Data'!I180</f>
        <v>744</v>
      </c>
      <c r="BB190" s="112"/>
      <c r="BC190" s="112"/>
      <c r="BD190" s="112">
        <f>'Raw Data'!O180</f>
        <v>1</v>
      </c>
    </row>
    <row r="191" spans="19:56">
      <c r="S191" s="30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33" t="str">
        <f t="shared" si="76"/>
        <v/>
      </c>
      <c r="AF191" s="114" t="str">
        <f t="shared" si="77"/>
        <v/>
      </c>
      <c r="AG191" s="108" t="str">
        <f t="shared" si="78"/>
        <v/>
      </c>
      <c r="AH191" s="21" t="str">
        <f t="shared" si="79"/>
        <v/>
      </c>
      <c r="AI191" s="21" t="str">
        <f t="shared" si="80"/>
        <v/>
      </c>
      <c r="AJ191" s="21" t="str">
        <f t="shared" si="81"/>
        <v/>
      </c>
      <c r="AK191" s="21" t="str">
        <f t="shared" si="82"/>
        <v/>
      </c>
      <c r="AL191" s="21"/>
      <c r="AM191" s="21"/>
      <c r="AN191" s="21"/>
      <c r="AS191" s="112" t="str">
        <f t="shared" si="72"/>
        <v/>
      </c>
      <c r="AT191" s="112" t="str">
        <f>IF(AS191="","",COUNTIF($AS$13:AS191,AS191))</f>
        <v/>
      </c>
      <c r="AU191" s="147">
        <f t="shared" si="73"/>
        <v>178</v>
      </c>
      <c r="AV191" s="147">
        <f>COUNTIF($AZ$14:AZ191,AZ191)</f>
        <v>2</v>
      </c>
      <c r="AW191" s="147">
        <f>IFERROR(COUNTIF(AX$14:$BL191,AX191),"")</f>
        <v>26</v>
      </c>
      <c r="AX191" s="148" t="str">
        <f t="shared" si="74"/>
        <v>Tue</v>
      </c>
      <c r="AY191" s="149">
        <f>'Raw Data'!A181</f>
        <v>41786</v>
      </c>
      <c r="AZ191" s="150" t="str">
        <f>'Raw Data'!E181</f>
        <v>30-50% Off,FS on $49</v>
      </c>
      <c r="BA191" s="150">
        <f>'Raw Data'!I181</f>
        <v>1049</v>
      </c>
      <c r="BB191" s="112"/>
      <c r="BC191" s="112"/>
      <c r="BD191" s="112">
        <f>'Raw Data'!O181</f>
        <v>1</v>
      </c>
    </row>
    <row r="192" spans="19:56">
      <c r="S192" s="30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33" t="str">
        <f t="shared" si="76"/>
        <v/>
      </c>
      <c r="AF192" s="114" t="str">
        <f t="shared" si="77"/>
        <v/>
      </c>
      <c r="AG192" s="108" t="str">
        <f t="shared" si="78"/>
        <v/>
      </c>
      <c r="AH192" s="21" t="str">
        <f t="shared" si="79"/>
        <v/>
      </c>
      <c r="AI192" s="21" t="str">
        <f t="shared" si="80"/>
        <v/>
      </c>
      <c r="AJ192" s="21" t="str">
        <f t="shared" si="81"/>
        <v/>
      </c>
      <c r="AK192" s="21" t="str">
        <f t="shared" si="82"/>
        <v/>
      </c>
      <c r="AL192" s="21"/>
      <c r="AM192" s="21"/>
      <c r="AN192" s="21"/>
      <c r="AS192" s="112" t="str">
        <f t="shared" si="72"/>
        <v/>
      </c>
      <c r="AT192" s="112" t="str">
        <f>IF(AS192="","",COUNTIF($AS$13:AS192,AS192))</f>
        <v/>
      </c>
      <c r="AU192" s="147">
        <f t="shared" si="73"/>
        <v>179</v>
      </c>
      <c r="AV192" s="147">
        <f>COUNTIF($AZ$14:AZ192,AZ192)</f>
        <v>3</v>
      </c>
      <c r="AW192" s="147">
        <f>IFERROR(COUNTIF(AX$14:$BL192,AX192),"")</f>
        <v>26</v>
      </c>
      <c r="AX192" s="148" t="str">
        <f t="shared" si="74"/>
        <v>Wed</v>
      </c>
      <c r="AY192" s="149">
        <f>'Raw Data'!A182</f>
        <v>41787</v>
      </c>
      <c r="AZ192" s="150" t="str">
        <f>'Raw Data'!E182</f>
        <v>30-50% Off,FS on $49</v>
      </c>
      <c r="BA192" s="150">
        <f>'Raw Data'!I182</f>
        <v>980</v>
      </c>
      <c r="BB192" s="112"/>
      <c r="BC192" s="112"/>
      <c r="BD192" s="112">
        <f>'Raw Data'!O182</f>
        <v>1</v>
      </c>
    </row>
    <row r="193" spans="19:56">
      <c r="S193" s="30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33" t="str">
        <f t="shared" si="76"/>
        <v/>
      </c>
      <c r="AF193" s="114" t="str">
        <f t="shared" si="77"/>
        <v/>
      </c>
      <c r="AG193" s="108" t="str">
        <f t="shared" si="78"/>
        <v/>
      </c>
      <c r="AH193" s="21" t="str">
        <f t="shared" si="79"/>
        <v/>
      </c>
      <c r="AI193" s="21" t="str">
        <f t="shared" si="80"/>
        <v/>
      </c>
      <c r="AJ193" s="21" t="str">
        <f t="shared" si="81"/>
        <v/>
      </c>
      <c r="AK193" s="21" t="str">
        <f t="shared" si="82"/>
        <v/>
      </c>
      <c r="AL193" s="21"/>
      <c r="AM193" s="21"/>
      <c r="AN193" s="21"/>
      <c r="AS193" s="112" t="str">
        <f t="shared" si="72"/>
        <v/>
      </c>
      <c r="AT193" s="112" t="str">
        <f>IF(AS193="","",COUNTIF($AS$13:AS193,AS193))</f>
        <v/>
      </c>
      <c r="AU193" s="147">
        <f t="shared" si="73"/>
        <v>180</v>
      </c>
      <c r="AV193" s="147">
        <f>COUNTIF($AZ$14:AZ193,AZ193)</f>
        <v>1</v>
      </c>
      <c r="AW193" s="147">
        <f>IFERROR(COUNTIF(AX$14:$BL193,AX193),"")</f>
        <v>26</v>
      </c>
      <c r="AX193" s="148" t="str">
        <f t="shared" si="74"/>
        <v>Thu</v>
      </c>
      <c r="AY193" s="149">
        <f>'Raw Data'!A183</f>
        <v>41788</v>
      </c>
      <c r="AZ193" s="150" t="str">
        <f>'Raw Data'!E183</f>
        <v>Treat Thursday,30-50% Off,FS on $49</v>
      </c>
      <c r="BA193" s="150">
        <f>'Raw Data'!I183</f>
        <v>984</v>
      </c>
      <c r="BB193" s="112"/>
      <c r="BC193" s="112"/>
      <c r="BD193" s="112">
        <f>'Raw Data'!O183</f>
        <v>1</v>
      </c>
    </row>
    <row r="194" spans="19:56">
      <c r="S194" s="30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33" t="str">
        <f t="shared" si="76"/>
        <v/>
      </c>
      <c r="AF194" s="114" t="str">
        <f t="shared" si="77"/>
        <v/>
      </c>
      <c r="AG194" s="108" t="str">
        <f t="shared" si="78"/>
        <v/>
      </c>
      <c r="AH194" s="21" t="str">
        <f t="shared" si="79"/>
        <v/>
      </c>
      <c r="AI194" s="21" t="str">
        <f t="shared" si="80"/>
        <v/>
      </c>
      <c r="AJ194" s="21" t="str">
        <f t="shared" si="81"/>
        <v/>
      </c>
      <c r="AK194" s="21" t="str">
        <f t="shared" si="82"/>
        <v/>
      </c>
      <c r="AL194" s="21"/>
      <c r="AM194" s="21"/>
      <c r="AN194" s="21"/>
      <c r="AS194" s="112" t="str">
        <f t="shared" si="72"/>
        <v/>
      </c>
      <c r="AT194" s="112" t="str">
        <f>IF(AS194="","",COUNTIF($AS$13:AS194,AS194))</f>
        <v/>
      </c>
      <c r="AU194" s="147">
        <f t="shared" si="73"/>
        <v>181</v>
      </c>
      <c r="AV194" s="147">
        <f>COUNTIF($AZ$14:AZ194,AZ194)</f>
        <v>13</v>
      </c>
      <c r="AW194" s="147">
        <f>IFERROR(COUNTIF(AX$14:$BL194,AX194),"")</f>
        <v>26</v>
      </c>
      <c r="AX194" s="148" t="str">
        <f t="shared" si="74"/>
        <v>Fri</v>
      </c>
      <c r="AY194" s="149">
        <f>'Raw Data'!A184</f>
        <v>41789</v>
      </c>
      <c r="AZ194" s="150" t="str">
        <f>'Raw Data'!E184</f>
        <v>$10 Off,FS on $49</v>
      </c>
      <c r="BA194" s="150">
        <f>'Raw Data'!I184</f>
        <v>995</v>
      </c>
      <c r="BB194" s="112"/>
      <c r="BC194" s="112"/>
      <c r="BD194" s="112">
        <f>'Raw Data'!O184</f>
        <v>1</v>
      </c>
    </row>
    <row r="195" spans="19:56">
      <c r="S195" s="30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33" t="str">
        <f t="shared" si="76"/>
        <v/>
      </c>
      <c r="AF195" s="114" t="str">
        <f t="shared" si="77"/>
        <v/>
      </c>
      <c r="AG195" s="108" t="str">
        <f t="shared" si="78"/>
        <v/>
      </c>
      <c r="AH195" s="21" t="str">
        <f t="shared" si="79"/>
        <v/>
      </c>
      <c r="AI195" s="21" t="str">
        <f t="shared" si="80"/>
        <v/>
      </c>
      <c r="AJ195" s="21" t="str">
        <f t="shared" si="81"/>
        <v/>
      </c>
      <c r="AK195" s="21" t="str">
        <f t="shared" si="82"/>
        <v/>
      </c>
      <c r="AL195" s="21"/>
      <c r="AM195" s="21"/>
      <c r="AN195" s="21"/>
      <c r="AS195" s="112" t="str">
        <f t="shared" si="72"/>
        <v/>
      </c>
      <c r="AT195" s="112" t="str">
        <f>IF(AS195="","",COUNTIF($AS$13:AS195,AS195))</f>
        <v/>
      </c>
      <c r="AU195" s="147">
        <f t="shared" si="73"/>
        <v>182</v>
      </c>
      <c r="AV195" s="147">
        <f>COUNTIF($AZ$14:AZ195,AZ195)</f>
        <v>14</v>
      </c>
      <c r="AW195" s="147">
        <f>IFERROR(COUNTIF(AX$14:$BL195,AX195),"")</f>
        <v>26</v>
      </c>
      <c r="AX195" s="148" t="str">
        <f t="shared" si="74"/>
        <v>Sat</v>
      </c>
      <c r="AY195" s="149">
        <f>'Raw Data'!A185</f>
        <v>41790</v>
      </c>
      <c r="AZ195" s="150" t="str">
        <f>'Raw Data'!E185</f>
        <v>$10 Off,FS on $49</v>
      </c>
      <c r="BA195" s="150">
        <f>'Raw Data'!I185</f>
        <v>718</v>
      </c>
      <c r="BB195" s="112"/>
      <c r="BC195" s="112"/>
      <c r="BD195" s="112">
        <f>'Raw Data'!O185</f>
        <v>1</v>
      </c>
    </row>
    <row r="196" spans="19:56">
      <c r="S196" s="30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33" t="str">
        <f t="shared" si="76"/>
        <v/>
      </c>
      <c r="AF196" s="114" t="str">
        <f t="shared" si="77"/>
        <v/>
      </c>
      <c r="AG196" s="108" t="str">
        <f t="shared" si="78"/>
        <v/>
      </c>
      <c r="AH196" s="21" t="str">
        <f t="shared" si="79"/>
        <v/>
      </c>
      <c r="AI196" s="21" t="str">
        <f t="shared" si="80"/>
        <v/>
      </c>
      <c r="AJ196" s="21" t="str">
        <f t="shared" si="81"/>
        <v/>
      </c>
      <c r="AK196" s="21" t="str">
        <f t="shared" si="82"/>
        <v/>
      </c>
      <c r="AL196" s="21"/>
      <c r="AM196" s="21"/>
      <c r="AN196" s="21"/>
      <c r="AS196" s="112" t="str">
        <f t="shared" si="72"/>
        <v/>
      </c>
      <c r="AT196" s="112" t="str">
        <f>IF(AS196="","",COUNTIF($AS$13:AS196,AS196))</f>
        <v/>
      </c>
      <c r="AU196" s="147">
        <f t="shared" si="73"/>
        <v>183</v>
      </c>
      <c r="AV196" s="147">
        <f>COUNTIF($AZ$14:AZ196,AZ196)</f>
        <v>12</v>
      </c>
      <c r="AW196" s="147">
        <f>IFERROR(COUNTIF(AX$14:$BL196,AX196),"")</f>
        <v>27</v>
      </c>
      <c r="AX196" s="148" t="str">
        <f t="shared" si="74"/>
        <v>Sun</v>
      </c>
      <c r="AY196" s="149">
        <f>'Raw Data'!A186</f>
        <v>41791</v>
      </c>
      <c r="AZ196" s="150" t="str">
        <f>'Raw Data'!E186</f>
        <v>20% Off,FS on $49</v>
      </c>
      <c r="BA196" s="150">
        <f>'Raw Data'!I186</f>
        <v>537</v>
      </c>
      <c r="BB196" s="112"/>
      <c r="BC196" s="112"/>
      <c r="BD196" s="112">
        <f>'Raw Data'!O186</f>
        <v>1</v>
      </c>
    </row>
    <row r="197" spans="19:56">
      <c r="S197" s="30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33" t="str">
        <f t="shared" si="76"/>
        <v/>
      </c>
      <c r="AF197" s="114" t="str">
        <f t="shared" si="77"/>
        <v/>
      </c>
      <c r="AG197" s="108" t="str">
        <f t="shared" si="78"/>
        <v/>
      </c>
      <c r="AH197" s="21" t="str">
        <f t="shared" si="79"/>
        <v/>
      </c>
      <c r="AI197" s="21" t="str">
        <f t="shared" si="80"/>
        <v/>
      </c>
      <c r="AJ197" s="21" t="str">
        <f t="shared" si="81"/>
        <v/>
      </c>
      <c r="AK197" s="21" t="str">
        <f t="shared" si="82"/>
        <v/>
      </c>
      <c r="AL197" s="21"/>
      <c r="AM197" s="21"/>
      <c r="AN197" s="21"/>
      <c r="AS197" s="112" t="str">
        <f t="shared" si="72"/>
        <v/>
      </c>
      <c r="AT197" s="112" t="str">
        <f>IF(AS197="","",COUNTIF($AS$13:AS197,AS197))</f>
        <v/>
      </c>
      <c r="AU197" s="147">
        <f t="shared" si="73"/>
        <v>184</v>
      </c>
      <c r="AV197" s="147">
        <f>COUNTIF($AZ$14:AZ197,AZ197)</f>
        <v>61</v>
      </c>
      <c r="AW197" s="147">
        <f>IFERROR(COUNTIF(AX$14:$BL197,AX197),"")</f>
        <v>27</v>
      </c>
      <c r="AX197" s="148" t="str">
        <f t="shared" si="74"/>
        <v>Mon</v>
      </c>
      <c r="AY197" s="149">
        <f>'Raw Data'!A187</f>
        <v>41792</v>
      </c>
      <c r="AZ197" s="150" t="str">
        <f>'Raw Data'!E187</f>
        <v>No Email Drop</v>
      </c>
      <c r="BA197" s="150">
        <f>'Raw Data'!I187</f>
        <v>995</v>
      </c>
      <c r="BB197" s="112"/>
      <c r="BC197" s="112"/>
      <c r="BD197" s="112">
        <f>'Raw Data'!O187</f>
        <v>0</v>
      </c>
    </row>
    <row r="198" spans="19:56">
      <c r="S198" s="30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33" t="str">
        <f t="shared" si="76"/>
        <v/>
      </c>
      <c r="AF198" s="114" t="str">
        <f t="shared" si="77"/>
        <v/>
      </c>
      <c r="AG198" s="108" t="str">
        <f t="shared" si="78"/>
        <v/>
      </c>
      <c r="AH198" s="21" t="str">
        <f t="shared" si="79"/>
        <v/>
      </c>
      <c r="AI198" s="21" t="str">
        <f t="shared" si="80"/>
        <v/>
      </c>
      <c r="AJ198" s="21" t="str">
        <f t="shared" si="81"/>
        <v/>
      </c>
      <c r="AK198" s="21" t="str">
        <f t="shared" si="82"/>
        <v/>
      </c>
      <c r="AL198" s="21"/>
      <c r="AM198" s="21"/>
      <c r="AN198" s="21"/>
      <c r="AS198" s="112" t="str">
        <f t="shared" si="72"/>
        <v/>
      </c>
      <c r="AT198" s="112" t="str">
        <f>IF(AS198="","",COUNTIF($AS$13:AS198,AS198))</f>
        <v/>
      </c>
      <c r="AU198" s="147">
        <f t="shared" si="73"/>
        <v>185</v>
      </c>
      <c r="AV198" s="147">
        <f>COUNTIF($AZ$14:AZ198,AZ198)</f>
        <v>13</v>
      </c>
      <c r="AW198" s="147">
        <f>IFERROR(COUNTIF(AX$14:$BL198,AX198),"")</f>
        <v>27</v>
      </c>
      <c r="AX198" s="148" t="str">
        <f t="shared" si="74"/>
        <v>Tue</v>
      </c>
      <c r="AY198" s="149">
        <f>'Raw Data'!A188</f>
        <v>41793</v>
      </c>
      <c r="AZ198" s="150" t="str">
        <f>'Raw Data'!E188</f>
        <v>20% Off,FS on $49</v>
      </c>
      <c r="BA198" s="150">
        <f>'Raw Data'!I188</f>
        <v>1025</v>
      </c>
      <c r="BB198" s="112"/>
      <c r="BC198" s="112"/>
      <c r="BD198" s="112">
        <f>'Raw Data'!O188</f>
        <v>2</v>
      </c>
    </row>
    <row r="199" spans="19:56">
      <c r="S199" s="30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33" t="str">
        <f t="shared" si="76"/>
        <v/>
      </c>
      <c r="AF199" s="114" t="str">
        <f t="shared" si="77"/>
        <v/>
      </c>
      <c r="AG199" s="108" t="str">
        <f t="shared" si="78"/>
        <v/>
      </c>
      <c r="AH199" s="21" t="str">
        <f t="shared" si="79"/>
        <v/>
      </c>
      <c r="AI199" s="21" t="str">
        <f t="shared" si="80"/>
        <v/>
      </c>
      <c r="AJ199" s="21" t="str">
        <f t="shared" si="81"/>
        <v/>
      </c>
      <c r="AK199" s="21" t="str">
        <f t="shared" si="82"/>
        <v/>
      </c>
      <c r="AL199" s="21"/>
      <c r="AM199" s="21"/>
      <c r="AN199" s="21"/>
      <c r="AS199" s="112" t="str">
        <f t="shared" si="72"/>
        <v/>
      </c>
      <c r="AT199" s="112" t="str">
        <f>IF(AS199="","",COUNTIF($AS$13:AS199,AS199))</f>
        <v/>
      </c>
      <c r="AU199" s="147">
        <f t="shared" si="73"/>
        <v>186</v>
      </c>
      <c r="AV199" s="147">
        <f>COUNTIF($AZ$14:AZ199,AZ199)</f>
        <v>62</v>
      </c>
      <c r="AW199" s="147">
        <f>IFERROR(COUNTIF(AX$14:$BL199,AX199),"")</f>
        <v>27</v>
      </c>
      <c r="AX199" s="148" t="str">
        <f t="shared" si="74"/>
        <v>Wed</v>
      </c>
      <c r="AY199" s="149">
        <f>'Raw Data'!A189</f>
        <v>41794</v>
      </c>
      <c r="AZ199" s="150" t="str">
        <f>'Raw Data'!E189</f>
        <v>No Email Drop</v>
      </c>
      <c r="BA199" s="150">
        <f>'Raw Data'!I189</f>
        <v>890</v>
      </c>
      <c r="BB199" s="112"/>
      <c r="BC199" s="112"/>
      <c r="BD199" s="112">
        <f>'Raw Data'!O189</f>
        <v>0</v>
      </c>
    </row>
    <row r="200" spans="19:56">
      <c r="S200" s="30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33" t="str">
        <f t="shared" si="76"/>
        <v/>
      </c>
      <c r="AF200" s="114" t="str">
        <f t="shared" si="77"/>
        <v/>
      </c>
      <c r="AG200" s="108" t="str">
        <f t="shared" si="78"/>
        <v/>
      </c>
      <c r="AH200" s="21" t="str">
        <f t="shared" si="79"/>
        <v/>
      </c>
      <c r="AI200" s="21" t="str">
        <f t="shared" si="80"/>
        <v/>
      </c>
      <c r="AJ200" s="21" t="str">
        <f t="shared" si="81"/>
        <v/>
      </c>
      <c r="AK200" s="21" t="str">
        <f t="shared" si="82"/>
        <v/>
      </c>
      <c r="AL200" s="21"/>
      <c r="AM200" s="21"/>
      <c r="AN200" s="21"/>
      <c r="AS200" s="112" t="str">
        <f t="shared" si="72"/>
        <v/>
      </c>
      <c r="AT200" s="112" t="str">
        <f>IF(AS200="","",COUNTIF($AS$13:AS200,AS200))</f>
        <v/>
      </c>
      <c r="AU200" s="147">
        <f t="shared" si="73"/>
        <v>187</v>
      </c>
      <c r="AV200" s="147">
        <f>COUNTIF($AZ$14:AZ200,AZ200)</f>
        <v>2</v>
      </c>
      <c r="AW200" s="147">
        <f>IFERROR(COUNTIF(AX$14:$BL200,AX200),"")</f>
        <v>27</v>
      </c>
      <c r="AX200" s="148" t="str">
        <f t="shared" si="74"/>
        <v>Thu</v>
      </c>
      <c r="AY200" s="149">
        <f>'Raw Data'!A190</f>
        <v>41795</v>
      </c>
      <c r="AZ200" s="150" t="str">
        <f>'Raw Data'!E190</f>
        <v>Treat Thursday</v>
      </c>
      <c r="BA200" s="150">
        <f>'Raw Data'!I190</f>
        <v>838</v>
      </c>
      <c r="BB200" s="112"/>
      <c r="BC200" s="112"/>
      <c r="BD200" s="112">
        <f>'Raw Data'!O190</f>
        <v>1</v>
      </c>
    </row>
    <row r="201" spans="19:56">
      <c r="S201" s="30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33" t="str">
        <f t="shared" si="76"/>
        <v/>
      </c>
      <c r="AF201" s="114" t="str">
        <f t="shared" si="77"/>
        <v/>
      </c>
      <c r="AG201" s="108" t="str">
        <f t="shared" si="78"/>
        <v/>
      </c>
      <c r="AH201" s="21" t="str">
        <f t="shared" si="79"/>
        <v/>
      </c>
      <c r="AI201" s="21" t="str">
        <f t="shared" si="80"/>
        <v/>
      </c>
      <c r="AJ201" s="21" t="str">
        <f t="shared" si="81"/>
        <v/>
      </c>
      <c r="AK201" s="21" t="str">
        <f t="shared" si="82"/>
        <v/>
      </c>
      <c r="AL201" s="21"/>
      <c r="AM201" s="21"/>
      <c r="AN201" s="21"/>
      <c r="AS201" s="112" t="str">
        <f t="shared" si="72"/>
        <v/>
      </c>
      <c r="AT201" s="112" t="str">
        <f>IF(AS201="","",COUNTIF($AS$13:AS201,AS201))</f>
        <v/>
      </c>
      <c r="AU201" s="147">
        <f t="shared" si="73"/>
        <v>188</v>
      </c>
      <c r="AV201" s="147">
        <f>COUNTIF($AZ$14:AZ201,AZ201)</f>
        <v>1</v>
      </c>
      <c r="AW201" s="147">
        <f>IFERROR(COUNTIF(AX$14:$BL201,AX201),"")</f>
        <v>27</v>
      </c>
      <c r="AX201" s="148" t="str">
        <f t="shared" si="74"/>
        <v>Fri</v>
      </c>
      <c r="AY201" s="149">
        <f>'Raw Data'!A191</f>
        <v>41796</v>
      </c>
      <c r="AZ201" s="150" t="str">
        <f>'Raw Data'!E191</f>
        <v>Free Ship No Min,Up To 20% Off</v>
      </c>
      <c r="BA201" s="150">
        <f>'Raw Data'!I191</f>
        <v>992</v>
      </c>
      <c r="BB201" s="112"/>
      <c r="BC201" s="112"/>
      <c r="BD201" s="112">
        <f>'Raw Data'!O191</f>
        <v>1</v>
      </c>
    </row>
    <row r="202" spans="19:56">
      <c r="S202" s="30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33" t="str">
        <f t="shared" si="76"/>
        <v/>
      </c>
      <c r="AF202" s="114" t="str">
        <f t="shared" si="77"/>
        <v/>
      </c>
      <c r="AG202" s="108" t="str">
        <f t="shared" si="78"/>
        <v/>
      </c>
      <c r="AH202" s="21" t="str">
        <f t="shared" si="79"/>
        <v/>
      </c>
      <c r="AI202" s="21" t="str">
        <f t="shared" si="80"/>
        <v/>
      </c>
      <c r="AJ202" s="21" t="str">
        <f t="shared" si="81"/>
        <v/>
      </c>
      <c r="AK202" s="21" t="str">
        <f t="shared" si="82"/>
        <v/>
      </c>
      <c r="AL202" s="21"/>
      <c r="AM202" s="21"/>
      <c r="AN202" s="21"/>
      <c r="AS202" s="112" t="str">
        <f t="shared" si="72"/>
        <v/>
      </c>
      <c r="AT202" s="112" t="str">
        <f>IF(AS202="","",COUNTIF($AS$13:AS202,AS202))</f>
        <v/>
      </c>
      <c r="AU202" s="147">
        <f t="shared" si="73"/>
        <v>189</v>
      </c>
      <c r="AV202" s="147">
        <f>COUNTIF($AZ$14:AZ202,AZ202)</f>
        <v>2</v>
      </c>
      <c r="AW202" s="147">
        <f>IFERROR(COUNTIF(AX$14:$BL202,AX202),"")</f>
        <v>27</v>
      </c>
      <c r="AX202" s="148" t="str">
        <f t="shared" si="74"/>
        <v>Sat</v>
      </c>
      <c r="AY202" s="149">
        <f>'Raw Data'!A192</f>
        <v>41797</v>
      </c>
      <c r="AZ202" s="150" t="str">
        <f>'Raw Data'!E192</f>
        <v>Free Ship No Min,Up To 20% Off</v>
      </c>
      <c r="BA202" s="150">
        <f>'Raw Data'!I192</f>
        <v>898</v>
      </c>
      <c r="BB202" s="112"/>
      <c r="BC202" s="112"/>
      <c r="BD202" s="112">
        <f>'Raw Data'!O192</f>
        <v>1</v>
      </c>
    </row>
    <row r="203" spans="19:56">
      <c r="S203" s="30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33" t="str">
        <f t="shared" si="76"/>
        <v/>
      </c>
      <c r="AF203" s="114" t="str">
        <f t="shared" si="77"/>
        <v/>
      </c>
      <c r="AG203" s="108" t="str">
        <f t="shared" si="78"/>
        <v/>
      </c>
      <c r="AH203" s="21" t="str">
        <f t="shared" si="79"/>
        <v/>
      </c>
      <c r="AI203" s="21" t="str">
        <f t="shared" si="80"/>
        <v/>
      </c>
      <c r="AJ203" s="21" t="str">
        <f t="shared" si="81"/>
        <v/>
      </c>
      <c r="AK203" s="21" t="str">
        <f t="shared" si="82"/>
        <v/>
      </c>
      <c r="AL203" s="21"/>
      <c r="AM203" s="21"/>
      <c r="AN203" s="21"/>
      <c r="AS203" s="112" t="str">
        <f t="shared" si="72"/>
        <v/>
      </c>
      <c r="AT203" s="112" t="str">
        <f>IF(AS203="","",COUNTIF($AS$13:AS203,AS203))</f>
        <v/>
      </c>
      <c r="AU203" s="147">
        <f t="shared" si="73"/>
        <v>190</v>
      </c>
      <c r="AV203" s="147">
        <f>COUNTIF($AZ$14:AZ203,AZ203)</f>
        <v>1</v>
      </c>
      <c r="AW203" s="147">
        <f>IFERROR(COUNTIF(AX$14:$BL203,AX203),"")</f>
        <v>28</v>
      </c>
      <c r="AX203" s="148" t="str">
        <f t="shared" si="74"/>
        <v>Sun</v>
      </c>
      <c r="AY203" s="149">
        <f>'Raw Data'!A193</f>
        <v>41798</v>
      </c>
      <c r="AZ203" s="150" t="str">
        <f>'Raw Data'!E193</f>
        <v>30% Off,FS on $75</v>
      </c>
      <c r="BA203" s="150">
        <f>'Raw Data'!I193</f>
        <v>629</v>
      </c>
      <c r="BB203" s="112"/>
      <c r="BC203" s="112"/>
      <c r="BD203" s="112">
        <f>'Raw Data'!O193</f>
        <v>1</v>
      </c>
    </row>
    <row r="204" spans="19:56">
      <c r="S204" s="30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33" t="str">
        <f t="shared" si="76"/>
        <v/>
      </c>
      <c r="AF204" s="114" t="str">
        <f t="shared" si="77"/>
        <v/>
      </c>
      <c r="AG204" s="108" t="str">
        <f t="shared" si="78"/>
        <v/>
      </c>
      <c r="AH204" s="21" t="str">
        <f t="shared" si="79"/>
        <v/>
      </c>
      <c r="AI204" s="21" t="str">
        <f t="shared" si="80"/>
        <v/>
      </c>
      <c r="AJ204" s="21" t="str">
        <f t="shared" si="81"/>
        <v/>
      </c>
      <c r="AK204" s="21" t="str">
        <f t="shared" si="82"/>
        <v/>
      </c>
      <c r="AL204" s="21"/>
      <c r="AM204" s="21"/>
      <c r="AN204" s="21"/>
      <c r="AS204" s="112" t="str">
        <f t="shared" si="72"/>
        <v/>
      </c>
      <c r="AT204" s="112" t="str">
        <f>IF(AS204="","",COUNTIF($AS$13:AS204,AS204))</f>
        <v/>
      </c>
      <c r="AU204" s="147">
        <f t="shared" si="73"/>
        <v>191</v>
      </c>
      <c r="AV204" s="147">
        <f>COUNTIF($AZ$14:AZ204,AZ204)</f>
        <v>2</v>
      </c>
      <c r="AW204" s="147">
        <f>IFERROR(COUNTIF(AX$14:$BL204,AX204),"")</f>
        <v>28</v>
      </c>
      <c r="AX204" s="148" t="str">
        <f t="shared" si="74"/>
        <v>Mon</v>
      </c>
      <c r="AY204" s="149">
        <f>'Raw Data'!A194</f>
        <v>41799</v>
      </c>
      <c r="AZ204" s="150" t="str">
        <f>'Raw Data'!E194</f>
        <v>30% Off,FS on $75</v>
      </c>
      <c r="BA204" s="150">
        <f>'Raw Data'!I194</f>
        <v>1032</v>
      </c>
      <c r="BB204" s="112"/>
      <c r="BC204" s="112"/>
      <c r="BD204" s="112">
        <f>'Raw Data'!O194</f>
        <v>1</v>
      </c>
    </row>
    <row r="205" spans="19:56">
      <c r="S205" s="30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33" t="str">
        <f t="shared" si="76"/>
        <v/>
      </c>
      <c r="AF205" s="114" t="str">
        <f t="shared" si="77"/>
        <v/>
      </c>
      <c r="AG205" s="108" t="str">
        <f t="shared" si="78"/>
        <v/>
      </c>
      <c r="AH205" s="21" t="str">
        <f t="shared" si="79"/>
        <v/>
      </c>
      <c r="AI205" s="21" t="str">
        <f t="shared" si="80"/>
        <v/>
      </c>
      <c r="AJ205" s="21" t="str">
        <f t="shared" si="81"/>
        <v/>
      </c>
      <c r="AK205" s="21" t="str">
        <f t="shared" si="82"/>
        <v/>
      </c>
      <c r="AL205" s="21"/>
      <c r="AM205" s="21"/>
      <c r="AN205" s="21"/>
      <c r="AS205" s="112" t="str">
        <f t="shared" si="72"/>
        <v/>
      </c>
      <c r="AT205" s="112" t="str">
        <f>IF(AS205="","",COUNTIF($AS$13:AS205,AS205))</f>
        <v/>
      </c>
      <c r="AU205" s="147">
        <f t="shared" si="73"/>
        <v>192</v>
      </c>
      <c r="AV205" s="147">
        <f>COUNTIF($AZ$14:AZ205,AZ205)</f>
        <v>15</v>
      </c>
      <c r="AW205" s="147">
        <f>IFERROR(COUNTIF(AX$14:$BL205,AX205),"")</f>
        <v>28</v>
      </c>
      <c r="AX205" s="148" t="str">
        <f t="shared" si="74"/>
        <v>Tue</v>
      </c>
      <c r="AY205" s="149">
        <f>'Raw Data'!A195</f>
        <v>41800</v>
      </c>
      <c r="AZ205" s="150" t="str">
        <f>'Raw Data'!E195</f>
        <v>$10 Off,FS on $49</v>
      </c>
      <c r="BA205" s="150">
        <f>'Raw Data'!I195</f>
        <v>892</v>
      </c>
      <c r="BB205" s="112"/>
      <c r="BC205" s="112"/>
      <c r="BD205" s="112">
        <f>'Raw Data'!O195</f>
        <v>1</v>
      </c>
    </row>
    <row r="206" spans="19:56">
      <c r="S206" s="30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33" t="str">
        <f t="shared" si="76"/>
        <v/>
      </c>
      <c r="AF206" s="114" t="str">
        <f t="shared" si="77"/>
        <v/>
      </c>
      <c r="AG206" s="108" t="str">
        <f t="shared" si="78"/>
        <v/>
      </c>
      <c r="AH206" s="21" t="str">
        <f t="shared" si="79"/>
        <v/>
      </c>
      <c r="AI206" s="21" t="str">
        <f t="shared" si="80"/>
        <v/>
      </c>
      <c r="AJ206" s="21" t="str">
        <f t="shared" si="81"/>
        <v/>
      </c>
      <c r="AK206" s="21" t="str">
        <f t="shared" si="82"/>
        <v/>
      </c>
      <c r="AL206" s="21"/>
      <c r="AM206" s="21"/>
      <c r="AN206" s="21"/>
      <c r="AS206" s="112" t="str">
        <f t="shared" si="72"/>
        <v/>
      </c>
      <c r="AT206" s="112" t="str">
        <f>IF(AS206="","",COUNTIF($AS$13:AS206,AS206))</f>
        <v/>
      </c>
      <c r="AU206" s="147">
        <f t="shared" si="73"/>
        <v>193</v>
      </c>
      <c r="AV206" s="147">
        <f>COUNTIF($AZ$14:AZ206,AZ206)</f>
        <v>63</v>
      </c>
      <c r="AW206" s="147">
        <f>IFERROR(COUNTIF(AX$14:$BL206,AX206),"")</f>
        <v>28</v>
      </c>
      <c r="AX206" s="148" t="str">
        <f t="shared" si="74"/>
        <v>Wed</v>
      </c>
      <c r="AY206" s="149">
        <f>'Raw Data'!A196</f>
        <v>41801</v>
      </c>
      <c r="AZ206" s="150" t="str">
        <f>'Raw Data'!E196</f>
        <v>No Email Drop</v>
      </c>
      <c r="BA206" s="150">
        <f>'Raw Data'!I196</f>
        <v>866</v>
      </c>
      <c r="BB206" s="112"/>
      <c r="BC206" s="112"/>
      <c r="BD206" s="112">
        <f>'Raw Data'!O196</f>
        <v>0</v>
      </c>
    </row>
    <row r="207" spans="19:56">
      <c r="S207" s="30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33" t="str">
        <f t="shared" si="76"/>
        <v/>
      </c>
      <c r="AF207" s="114" t="str">
        <f t="shared" si="77"/>
        <v/>
      </c>
      <c r="AG207" s="108" t="str">
        <f t="shared" ref="AG207:AG270" si="83">IF(AF207="","",VLOOKUP(AF207,$AT$14:$BC$1042,6,0))</f>
        <v/>
      </c>
      <c r="AH207" s="21" t="str">
        <f t="shared" ref="AH207:AH270" si="84">IF(AF207="","",VLOOKUP(AF207,$AT$14:$BC$1042,7,0))</f>
        <v/>
      </c>
      <c r="AI207" s="21" t="str">
        <f t="shared" ref="AI207:AI270" si="85">IF(AF207="","",VLOOKUP(AF207,$AT$14:$BC$1042,8,0))</f>
        <v/>
      </c>
      <c r="AJ207" s="21" t="str">
        <f t="shared" ref="AJ207:AJ270" si="86">IF(AF207="","",VLOOKUP(AF207,$AT$14:$BD$1042,11,0))</f>
        <v/>
      </c>
      <c r="AK207" s="21" t="str">
        <f t="shared" ref="AK207:AK270" si="87">IF(AG207="","",VLOOKUP(AG207,$AY$14:$BD$1042,5,0))</f>
        <v/>
      </c>
      <c r="AL207" s="21"/>
      <c r="AM207" s="21"/>
      <c r="AN207" s="21"/>
      <c r="AS207" s="112" t="str">
        <f t="shared" si="72"/>
        <v/>
      </c>
      <c r="AT207" s="112" t="str">
        <f>IF(AS207="","",COUNTIF($AS$13:AS207,AS207))</f>
        <v/>
      </c>
      <c r="AU207" s="147">
        <f t="shared" si="73"/>
        <v>194</v>
      </c>
      <c r="AV207" s="147">
        <f>COUNTIF($AZ$14:AZ207,AZ207)</f>
        <v>3</v>
      </c>
      <c r="AW207" s="147">
        <f>IFERROR(COUNTIF(AX$14:$BL207,AX207),"")</f>
        <v>28</v>
      </c>
      <c r="AX207" s="148" t="str">
        <f t="shared" si="74"/>
        <v>Thu</v>
      </c>
      <c r="AY207" s="149">
        <f>'Raw Data'!A197</f>
        <v>41802</v>
      </c>
      <c r="AZ207" s="150" t="str">
        <f>'Raw Data'!E197</f>
        <v>Treat Thursday</v>
      </c>
      <c r="BA207" s="150">
        <f>'Raw Data'!I197</f>
        <v>792</v>
      </c>
      <c r="BB207" s="112"/>
      <c r="BC207" s="112"/>
      <c r="BD207" s="112">
        <f>'Raw Data'!O197</f>
        <v>1</v>
      </c>
    </row>
    <row r="208" spans="19:56">
      <c r="S208" s="30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33" t="str">
        <f t="shared" ref="AE208:AE271" si="88">TEXT(AG208,"DDD")</f>
        <v/>
      </c>
      <c r="AF208" s="114" t="str">
        <f t="shared" si="77"/>
        <v/>
      </c>
      <c r="AG208" s="108" t="str">
        <f t="shared" si="83"/>
        <v/>
      </c>
      <c r="AH208" s="21" t="str">
        <f t="shared" si="84"/>
        <v/>
      </c>
      <c r="AI208" s="21" t="str">
        <f t="shared" si="85"/>
        <v/>
      </c>
      <c r="AJ208" s="21" t="str">
        <f t="shared" si="86"/>
        <v/>
      </c>
      <c r="AK208" s="21" t="str">
        <f t="shared" si="87"/>
        <v/>
      </c>
      <c r="AL208" s="21"/>
      <c r="AM208" s="21"/>
      <c r="AN208" s="21"/>
      <c r="AS208" s="112" t="str">
        <f t="shared" ref="AS208:AS271" si="89">IFERROR(IF(FIND($AT$12,AZ208)&gt;0,1,0),"")</f>
        <v/>
      </c>
      <c r="AT208" s="112" t="str">
        <f>IF(AS208="","",COUNTIF($AS$13:AS208,AS208))</f>
        <v/>
      </c>
      <c r="AU208" s="147">
        <f t="shared" ref="AU208:AU271" si="90">AU207+1</f>
        <v>195</v>
      </c>
      <c r="AV208" s="147">
        <f>COUNTIF($AZ$14:AZ208,AZ208)</f>
        <v>1</v>
      </c>
      <c r="AW208" s="147">
        <f>IFERROR(COUNTIF(AX$14:$BL208,AX208),"")</f>
        <v>28</v>
      </c>
      <c r="AX208" s="148" t="str">
        <f t="shared" ref="AX208:AX271" si="91">TEXT(AY208,"ddd")</f>
        <v>Fri</v>
      </c>
      <c r="AY208" s="149">
        <f>'Raw Data'!A198</f>
        <v>41803</v>
      </c>
      <c r="AZ208" s="150" t="str">
        <f>'Raw Data'!E198</f>
        <v>$13 Off,FS on $49</v>
      </c>
      <c r="BA208" s="150">
        <f>'Raw Data'!I198</f>
        <v>1147</v>
      </c>
      <c r="BB208" s="112"/>
      <c r="BC208" s="112"/>
      <c r="BD208" s="112">
        <f>'Raw Data'!O198</f>
        <v>2</v>
      </c>
    </row>
    <row r="209" spans="19:56">
      <c r="S209" s="30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33" t="str">
        <f t="shared" si="88"/>
        <v/>
      </c>
      <c r="AF209" s="114" t="str">
        <f t="shared" ref="AF209:AF272" si="92">IFERROR(IF(AF208=1,"",AF208-1),"")</f>
        <v/>
      </c>
      <c r="AG209" s="108" t="str">
        <f t="shared" si="83"/>
        <v/>
      </c>
      <c r="AH209" s="21" t="str">
        <f t="shared" si="84"/>
        <v/>
      </c>
      <c r="AI209" s="21" t="str">
        <f t="shared" si="85"/>
        <v/>
      </c>
      <c r="AJ209" s="21" t="str">
        <f t="shared" si="86"/>
        <v/>
      </c>
      <c r="AK209" s="21" t="str">
        <f t="shared" si="87"/>
        <v/>
      </c>
      <c r="AL209" s="21"/>
      <c r="AM209" s="21"/>
      <c r="AN209" s="21"/>
      <c r="AS209" s="112" t="str">
        <f t="shared" si="89"/>
        <v/>
      </c>
      <c r="AT209" s="112" t="str">
        <f>IF(AS209="","",COUNTIF($AS$13:AS209,AS209))</f>
        <v/>
      </c>
      <c r="AU209" s="147">
        <f t="shared" si="90"/>
        <v>196</v>
      </c>
      <c r="AV209" s="147">
        <f>COUNTIF($AZ$14:AZ209,AZ209)</f>
        <v>64</v>
      </c>
      <c r="AW209" s="147">
        <f>IFERROR(COUNTIF(AX$14:$BL209,AX209),"")</f>
        <v>28</v>
      </c>
      <c r="AX209" s="148" t="str">
        <f t="shared" si="91"/>
        <v>Sat</v>
      </c>
      <c r="AY209" s="149">
        <f>'Raw Data'!A199</f>
        <v>41804</v>
      </c>
      <c r="AZ209" s="150" t="str">
        <f>'Raw Data'!E199</f>
        <v>No Email Drop</v>
      </c>
      <c r="BA209" s="150">
        <f>'Raw Data'!I199</f>
        <v>529</v>
      </c>
      <c r="BB209" s="112"/>
      <c r="BC209" s="112"/>
      <c r="BD209" s="112">
        <f>'Raw Data'!O199</f>
        <v>0</v>
      </c>
    </row>
    <row r="210" spans="19:56">
      <c r="S210" s="30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33" t="str">
        <f t="shared" si="88"/>
        <v/>
      </c>
      <c r="AF210" s="114" t="str">
        <f t="shared" si="92"/>
        <v/>
      </c>
      <c r="AG210" s="108" t="str">
        <f t="shared" si="83"/>
        <v/>
      </c>
      <c r="AH210" s="21" t="str">
        <f t="shared" si="84"/>
        <v/>
      </c>
      <c r="AI210" s="21" t="str">
        <f t="shared" si="85"/>
        <v/>
      </c>
      <c r="AJ210" s="21" t="str">
        <f t="shared" si="86"/>
        <v/>
      </c>
      <c r="AK210" s="21" t="str">
        <f t="shared" si="87"/>
        <v/>
      </c>
      <c r="AL210" s="21"/>
      <c r="AM210" s="21"/>
      <c r="AN210" s="21"/>
      <c r="AS210" s="112" t="str">
        <f t="shared" si="89"/>
        <v/>
      </c>
      <c r="AT210" s="112" t="str">
        <f>IF(AS210="","",COUNTIF($AS$13:AS210,AS210))</f>
        <v/>
      </c>
      <c r="AU210" s="147">
        <f t="shared" si="90"/>
        <v>197</v>
      </c>
      <c r="AV210" s="147">
        <f>COUNTIF($AZ$14:AZ210,AZ210)</f>
        <v>10</v>
      </c>
      <c r="AW210" s="147">
        <f>IFERROR(COUNTIF(AX$14:$BL210,AX210),"")</f>
        <v>29</v>
      </c>
      <c r="AX210" s="148" t="str">
        <f t="shared" si="91"/>
        <v>Sun</v>
      </c>
      <c r="AY210" s="149">
        <f>'Raw Data'!A200</f>
        <v>41805</v>
      </c>
      <c r="AZ210" s="150" t="str">
        <f>'Raw Data'!E200</f>
        <v>25% Off,FS on $49</v>
      </c>
      <c r="BA210" s="150">
        <f>'Raw Data'!I200</f>
        <v>519</v>
      </c>
      <c r="BB210" s="112"/>
      <c r="BC210" s="112"/>
      <c r="BD210" s="112">
        <f>'Raw Data'!O200</f>
        <v>1</v>
      </c>
    </row>
    <row r="211" spans="19:56">
      <c r="S211" s="30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33" t="str">
        <f t="shared" si="88"/>
        <v/>
      </c>
      <c r="AF211" s="114" t="str">
        <f t="shared" si="92"/>
        <v/>
      </c>
      <c r="AG211" s="108" t="str">
        <f t="shared" si="83"/>
        <v/>
      </c>
      <c r="AH211" s="21" t="str">
        <f t="shared" si="84"/>
        <v/>
      </c>
      <c r="AI211" s="21" t="str">
        <f t="shared" si="85"/>
        <v/>
      </c>
      <c r="AJ211" s="21" t="str">
        <f t="shared" si="86"/>
        <v/>
      </c>
      <c r="AK211" s="21" t="str">
        <f t="shared" si="87"/>
        <v/>
      </c>
      <c r="AL211" s="21"/>
      <c r="AM211" s="21"/>
      <c r="AN211" s="21"/>
      <c r="AS211" s="112" t="str">
        <f t="shared" si="89"/>
        <v/>
      </c>
      <c r="AT211" s="112" t="str">
        <f>IF(AS211="","",COUNTIF($AS$13:AS211,AS211))</f>
        <v/>
      </c>
      <c r="AU211" s="147">
        <f t="shared" si="90"/>
        <v>198</v>
      </c>
      <c r="AV211" s="147">
        <f>COUNTIF($AZ$14:AZ211,AZ211)</f>
        <v>11</v>
      </c>
      <c r="AW211" s="147">
        <f>IFERROR(COUNTIF(AX$14:$BL211,AX211),"")</f>
        <v>29</v>
      </c>
      <c r="AX211" s="148" t="str">
        <f t="shared" si="91"/>
        <v>Mon</v>
      </c>
      <c r="AY211" s="149">
        <f>'Raw Data'!A201</f>
        <v>41806</v>
      </c>
      <c r="AZ211" s="150" t="str">
        <f>'Raw Data'!E201</f>
        <v>25% Off,FS on $49</v>
      </c>
      <c r="BA211" s="150">
        <f>'Raw Data'!I201</f>
        <v>1067</v>
      </c>
      <c r="BB211" s="112"/>
      <c r="BC211" s="112"/>
      <c r="BD211" s="112">
        <f>'Raw Data'!O201</f>
        <v>1</v>
      </c>
    </row>
    <row r="212" spans="19:56">
      <c r="S212" s="30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33" t="str">
        <f t="shared" si="88"/>
        <v/>
      </c>
      <c r="AF212" s="114" t="str">
        <f t="shared" si="92"/>
        <v/>
      </c>
      <c r="AG212" s="108" t="str">
        <f t="shared" si="83"/>
        <v/>
      </c>
      <c r="AH212" s="21" t="str">
        <f t="shared" si="84"/>
        <v/>
      </c>
      <c r="AI212" s="21" t="str">
        <f t="shared" si="85"/>
        <v/>
      </c>
      <c r="AJ212" s="21" t="str">
        <f t="shared" si="86"/>
        <v/>
      </c>
      <c r="AK212" s="21" t="str">
        <f t="shared" si="87"/>
        <v/>
      </c>
      <c r="AL212" s="21"/>
      <c r="AM212" s="21"/>
      <c r="AN212" s="21"/>
      <c r="AS212" s="112" t="str">
        <f t="shared" si="89"/>
        <v/>
      </c>
      <c r="AT212" s="112" t="str">
        <f>IF(AS212="","",COUNTIF($AS$13:AS212,AS212))</f>
        <v/>
      </c>
      <c r="AU212" s="147">
        <f t="shared" si="90"/>
        <v>199</v>
      </c>
      <c r="AV212" s="147">
        <f>COUNTIF($AZ$14:AZ212,AZ212)</f>
        <v>65</v>
      </c>
      <c r="AW212" s="147">
        <f>IFERROR(COUNTIF(AX$14:$BL212,AX212),"")</f>
        <v>29</v>
      </c>
      <c r="AX212" s="148" t="str">
        <f t="shared" si="91"/>
        <v>Tue</v>
      </c>
      <c r="AY212" s="149">
        <f>'Raw Data'!A202</f>
        <v>41807</v>
      </c>
      <c r="AZ212" s="150" t="str">
        <f>'Raw Data'!E202</f>
        <v>No Email Drop</v>
      </c>
      <c r="BA212" s="150">
        <f>'Raw Data'!I202</f>
        <v>1012</v>
      </c>
      <c r="BB212" s="112"/>
      <c r="BC212" s="112"/>
      <c r="BD212" s="112">
        <f>'Raw Data'!O202</f>
        <v>0</v>
      </c>
    </row>
    <row r="213" spans="19:56">
      <c r="S213" s="30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33" t="str">
        <f t="shared" si="88"/>
        <v/>
      </c>
      <c r="AF213" s="114" t="str">
        <f t="shared" si="92"/>
        <v/>
      </c>
      <c r="AG213" s="108" t="str">
        <f t="shared" si="83"/>
        <v/>
      </c>
      <c r="AH213" s="21" t="str">
        <f t="shared" si="84"/>
        <v/>
      </c>
      <c r="AI213" s="21" t="str">
        <f t="shared" si="85"/>
        <v/>
      </c>
      <c r="AJ213" s="21" t="str">
        <f t="shared" si="86"/>
        <v/>
      </c>
      <c r="AK213" s="21" t="str">
        <f t="shared" si="87"/>
        <v/>
      </c>
      <c r="AL213" s="21"/>
      <c r="AM213" s="21"/>
      <c r="AN213" s="21"/>
      <c r="AS213" s="112" t="str">
        <f t="shared" si="89"/>
        <v/>
      </c>
      <c r="AT213" s="112" t="str">
        <f>IF(AS213="","",COUNTIF($AS$13:AS213,AS213))</f>
        <v/>
      </c>
      <c r="AU213" s="147">
        <f t="shared" si="90"/>
        <v>200</v>
      </c>
      <c r="AV213" s="147">
        <f>COUNTIF($AZ$14:AZ213,AZ213)</f>
        <v>12</v>
      </c>
      <c r="AW213" s="147">
        <f>IFERROR(COUNTIF(AX$14:$BL213,AX213),"")</f>
        <v>29</v>
      </c>
      <c r="AX213" s="148" t="str">
        <f t="shared" si="91"/>
        <v>Wed</v>
      </c>
      <c r="AY213" s="149">
        <f>'Raw Data'!A203</f>
        <v>41808</v>
      </c>
      <c r="AZ213" s="150" t="str">
        <f>'Raw Data'!E203</f>
        <v>25% Off,FS on $49</v>
      </c>
      <c r="BA213" s="150">
        <f>'Raw Data'!I203</f>
        <v>1100</v>
      </c>
      <c r="BB213" s="112"/>
      <c r="BC213" s="112"/>
      <c r="BD213" s="112">
        <f>'Raw Data'!O203</f>
        <v>2</v>
      </c>
    </row>
    <row r="214" spans="19:56">
      <c r="S214" s="30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33" t="str">
        <f t="shared" si="88"/>
        <v/>
      </c>
      <c r="AF214" s="114" t="str">
        <f t="shared" si="92"/>
        <v/>
      </c>
      <c r="AG214" s="108" t="str">
        <f t="shared" si="83"/>
        <v/>
      </c>
      <c r="AH214" s="21" t="str">
        <f t="shared" si="84"/>
        <v/>
      </c>
      <c r="AI214" s="21" t="str">
        <f t="shared" si="85"/>
        <v/>
      </c>
      <c r="AJ214" s="21" t="str">
        <f t="shared" si="86"/>
        <v/>
      </c>
      <c r="AK214" s="21" t="str">
        <f t="shared" si="87"/>
        <v/>
      </c>
      <c r="AL214" s="21"/>
      <c r="AM214" s="21"/>
      <c r="AN214" s="21"/>
      <c r="AS214" s="112" t="str">
        <f t="shared" si="89"/>
        <v/>
      </c>
      <c r="AT214" s="112" t="str">
        <f>IF(AS214="","",COUNTIF($AS$13:AS214,AS214))</f>
        <v/>
      </c>
      <c r="AU214" s="147">
        <f t="shared" si="90"/>
        <v>201</v>
      </c>
      <c r="AV214" s="147">
        <f>COUNTIF($AZ$14:AZ214,AZ214)</f>
        <v>4</v>
      </c>
      <c r="AW214" s="147">
        <f>IFERROR(COUNTIF(AX$14:$BL214,AX214),"")</f>
        <v>29</v>
      </c>
      <c r="AX214" s="148" t="str">
        <f t="shared" si="91"/>
        <v>Thu</v>
      </c>
      <c r="AY214" s="149">
        <f>'Raw Data'!A204</f>
        <v>41809</v>
      </c>
      <c r="AZ214" s="150" t="str">
        <f>'Raw Data'!E204</f>
        <v>Treat Thursday</v>
      </c>
      <c r="BA214" s="150">
        <f>'Raw Data'!I204</f>
        <v>916</v>
      </c>
      <c r="BB214" s="112"/>
      <c r="BC214" s="112"/>
      <c r="BD214" s="112">
        <f>'Raw Data'!O204</f>
        <v>1</v>
      </c>
    </row>
    <row r="215" spans="19:56">
      <c r="S215" s="30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33" t="str">
        <f t="shared" si="88"/>
        <v/>
      </c>
      <c r="AF215" s="114" t="str">
        <f t="shared" si="92"/>
        <v/>
      </c>
      <c r="AG215" s="108" t="str">
        <f t="shared" si="83"/>
        <v/>
      </c>
      <c r="AH215" s="21" t="str">
        <f t="shared" si="84"/>
        <v/>
      </c>
      <c r="AI215" s="21" t="str">
        <f t="shared" si="85"/>
        <v/>
      </c>
      <c r="AJ215" s="21" t="str">
        <f t="shared" si="86"/>
        <v/>
      </c>
      <c r="AK215" s="21" t="str">
        <f t="shared" si="87"/>
        <v/>
      </c>
      <c r="AL215" s="21"/>
      <c r="AM215" s="21"/>
      <c r="AN215" s="21"/>
      <c r="AS215" s="112" t="str">
        <f t="shared" si="89"/>
        <v/>
      </c>
      <c r="AT215" s="112" t="str">
        <f>IF(AS215="","",COUNTIF($AS$13:AS215,AS215))</f>
        <v/>
      </c>
      <c r="AU215" s="147">
        <f t="shared" si="90"/>
        <v>202</v>
      </c>
      <c r="AV215" s="147">
        <f>COUNTIF($AZ$14:AZ215,AZ215)</f>
        <v>16</v>
      </c>
      <c r="AW215" s="147">
        <f>IFERROR(COUNTIF(AX$14:$BL215,AX215),"")</f>
        <v>29</v>
      </c>
      <c r="AX215" s="148" t="str">
        <f t="shared" si="91"/>
        <v>Fri</v>
      </c>
      <c r="AY215" s="149">
        <f>'Raw Data'!A205</f>
        <v>41810</v>
      </c>
      <c r="AZ215" s="150" t="str">
        <f>'Raw Data'!E205</f>
        <v>$10 Off,FS on $49</v>
      </c>
      <c r="BA215" s="150">
        <f>'Raw Data'!I205</f>
        <v>926</v>
      </c>
      <c r="BB215" s="112"/>
      <c r="BC215" s="112"/>
      <c r="BD215" s="112">
        <f>'Raw Data'!O205</f>
        <v>1</v>
      </c>
    </row>
    <row r="216" spans="19:56">
      <c r="S216" s="30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33" t="str">
        <f t="shared" si="88"/>
        <v/>
      </c>
      <c r="AF216" s="114" t="str">
        <f t="shared" si="92"/>
        <v/>
      </c>
      <c r="AG216" s="108" t="str">
        <f t="shared" si="83"/>
        <v/>
      </c>
      <c r="AH216" s="21" t="str">
        <f t="shared" si="84"/>
        <v/>
      </c>
      <c r="AI216" s="21" t="str">
        <f t="shared" si="85"/>
        <v/>
      </c>
      <c r="AJ216" s="21" t="str">
        <f t="shared" si="86"/>
        <v/>
      </c>
      <c r="AK216" s="21" t="str">
        <f t="shared" si="87"/>
        <v/>
      </c>
      <c r="AL216" s="21"/>
      <c r="AM216" s="21"/>
      <c r="AN216" s="21"/>
      <c r="AS216" s="112" t="str">
        <f t="shared" si="89"/>
        <v/>
      </c>
      <c r="AT216" s="112" t="str">
        <f>IF(AS216="","",COUNTIF($AS$13:AS216,AS216))</f>
        <v/>
      </c>
      <c r="AU216" s="147">
        <f t="shared" si="90"/>
        <v>203</v>
      </c>
      <c r="AV216" s="147">
        <f>COUNTIF($AZ$14:AZ216,AZ216)</f>
        <v>17</v>
      </c>
      <c r="AW216" s="147">
        <f>IFERROR(COUNTIF(AX$14:$BL216,AX216),"")</f>
        <v>29</v>
      </c>
      <c r="AX216" s="148" t="str">
        <f t="shared" si="91"/>
        <v>Sat</v>
      </c>
      <c r="AY216" s="149">
        <f>'Raw Data'!A206</f>
        <v>41811</v>
      </c>
      <c r="AZ216" s="150" t="str">
        <f>'Raw Data'!E206</f>
        <v>$10 Off,FS on $49</v>
      </c>
      <c r="BA216" s="150">
        <f>'Raw Data'!I206</f>
        <v>632</v>
      </c>
      <c r="BB216" s="112"/>
      <c r="BC216" s="112"/>
      <c r="BD216" s="112">
        <f>'Raw Data'!O206</f>
        <v>1</v>
      </c>
    </row>
    <row r="217" spans="19:56">
      <c r="S217" s="30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33" t="str">
        <f t="shared" si="88"/>
        <v/>
      </c>
      <c r="AF217" s="114" t="str">
        <f t="shared" si="92"/>
        <v/>
      </c>
      <c r="AG217" s="108" t="str">
        <f t="shared" si="83"/>
        <v/>
      </c>
      <c r="AH217" s="21" t="str">
        <f t="shared" si="84"/>
        <v/>
      </c>
      <c r="AI217" s="21" t="str">
        <f t="shared" si="85"/>
        <v/>
      </c>
      <c r="AJ217" s="21" t="str">
        <f t="shared" si="86"/>
        <v/>
      </c>
      <c r="AK217" s="21" t="str">
        <f t="shared" si="87"/>
        <v/>
      </c>
      <c r="AL217" s="21"/>
      <c r="AM217" s="21"/>
      <c r="AN217" s="21"/>
      <c r="AS217" s="112" t="str">
        <f t="shared" si="89"/>
        <v/>
      </c>
      <c r="AT217" s="112" t="str">
        <f>IF(AS217="","",COUNTIF($AS$13:AS217,AS217))</f>
        <v/>
      </c>
      <c r="AU217" s="147">
        <f t="shared" si="90"/>
        <v>204</v>
      </c>
      <c r="AV217" s="147">
        <f>COUNTIF($AZ$14:AZ217,AZ217)</f>
        <v>2</v>
      </c>
      <c r="AW217" s="147">
        <f>IFERROR(COUNTIF(AX$14:$BL217,AX217),"")</f>
        <v>30</v>
      </c>
      <c r="AX217" s="148" t="str">
        <f t="shared" si="91"/>
        <v>Sun</v>
      </c>
      <c r="AY217" s="149">
        <f>'Raw Data'!A207</f>
        <v>41812</v>
      </c>
      <c r="AZ217" s="150" t="str">
        <f>'Raw Data'!E207</f>
        <v>$5 Off,FS on $25</v>
      </c>
      <c r="BA217" s="150">
        <f>'Raw Data'!I207</f>
        <v>579</v>
      </c>
      <c r="BB217" s="112"/>
      <c r="BC217" s="112"/>
      <c r="BD217" s="112">
        <f>'Raw Data'!O207</f>
        <v>1</v>
      </c>
    </row>
    <row r="218" spans="19:56">
      <c r="S218" s="30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33" t="str">
        <f t="shared" si="88"/>
        <v/>
      </c>
      <c r="AF218" s="114" t="str">
        <f t="shared" si="92"/>
        <v/>
      </c>
      <c r="AG218" s="108" t="str">
        <f t="shared" si="83"/>
        <v/>
      </c>
      <c r="AH218" s="21" t="str">
        <f t="shared" si="84"/>
        <v/>
      </c>
      <c r="AI218" s="21" t="str">
        <f t="shared" si="85"/>
        <v/>
      </c>
      <c r="AJ218" s="21" t="str">
        <f t="shared" si="86"/>
        <v/>
      </c>
      <c r="AK218" s="21" t="str">
        <f t="shared" si="87"/>
        <v/>
      </c>
      <c r="AL218" s="21"/>
      <c r="AM218" s="21"/>
      <c r="AN218" s="21"/>
      <c r="AS218" s="112">
        <f t="shared" si="89"/>
        <v>1</v>
      </c>
      <c r="AT218" s="112">
        <f>IF(AS218="","",COUNTIF($AS$13:AS218,AS218))</f>
        <v>6</v>
      </c>
      <c r="AU218" s="147">
        <f t="shared" si="90"/>
        <v>205</v>
      </c>
      <c r="AV218" s="147">
        <f>COUNTIF($AZ$14:AZ218,AZ218)</f>
        <v>5</v>
      </c>
      <c r="AW218" s="147">
        <f>IFERROR(COUNTIF(AX$14:$BL218,AX218),"")</f>
        <v>30</v>
      </c>
      <c r="AX218" s="148" t="str">
        <f t="shared" si="91"/>
        <v>Mon</v>
      </c>
      <c r="AY218" s="149">
        <f>'Raw Data'!A208</f>
        <v>41813</v>
      </c>
      <c r="AZ218" s="150" t="str">
        <f>'Raw Data'!E208</f>
        <v>Flash Sale,30% Off,FS on $49</v>
      </c>
      <c r="BA218" s="150">
        <f>'Raw Data'!I208</f>
        <v>1328</v>
      </c>
      <c r="BB218" s="112"/>
      <c r="BC218" s="112"/>
      <c r="BD218" s="112">
        <f>'Raw Data'!O208</f>
        <v>2</v>
      </c>
    </row>
    <row r="219" spans="19:56">
      <c r="S219" s="30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33" t="str">
        <f t="shared" si="88"/>
        <v/>
      </c>
      <c r="AF219" s="114" t="str">
        <f t="shared" si="92"/>
        <v/>
      </c>
      <c r="AG219" s="108" t="str">
        <f t="shared" si="83"/>
        <v/>
      </c>
      <c r="AH219" s="21" t="str">
        <f t="shared" si="84"/>
        <v/>
      </c>
      <c r="AI219" s="21" t="str">
        <f t="shared" si="85"/>
        <v/>
      </c>
      <c r="AJ219" s="21" t="str">
        <f t="shared" si="86"/>
        <v/>
      </c>
      <c r="AK219" s="21" t="str">
        <f t="shared" si="87"/>
        <v/>
      </c>
      <c r="AL219" s="21"/>
      <c r="AM219" s="21"/>
      <c r="AN219" s="21"/>
      <c r="AS219" s="112" t="str">
        <f t="shared" si="89"/>
        <v/>
      </c>
      <c r="AT219" s="112" t="str">
        <f>IF(AS219="","",COUNTIF($AS$13:AS219,AS219))</f>
        <v/>
      </c>
      <c r="AU219" s="147">
        <f t="shared" si="90"/>
        <v>206</v>
      </c>
      <c r="AV219" s="147">
        <f>COUNTIF($AZ$14:AZ219,AZ219)</f>
        <v>66</v>
      </c>
      <c r="AW219" s="147">
        <f>IFERROR(COUNTIF(AX$14:$BL219,AX219),"")</f>
        <v>30</v>
      </c>
      <c r="AX219" s="148" t="str">
        <f t="shared" si="91"/>
        <v>Tue</v>
      </c>
      <c r="AY219" s="149">
        <f>'Raw Data'!A209</f>
        <v>41814</v>
      </c>
      <c r="AZ219" s="150" t="str">
        <f>'Raw Data'!E209</f>
        <v>No Email Drop</v>
      </c>
      <c r="BA219" s="150">
        <f>'Raw Data'!I209</f>
        <v>911</v>
      </c>
      <c r="BB219" s="112"/>
      <c r="BC219" s="112"/>
      <c r="BD219" s="112">
        <f>'Raw Data'!O209</f>
        <v>0</v>
      </c>
    </row>
    <row r="220" spans="19:56">
      <c r="S220" s="30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33" t="str">
        <f t="shared" si="88"/>
        <v/>
      </c>
      <c r="AF220" s="114" t="str">
        <f t="shared" si="92"/>
        <v/>
      </c>
      <c r="AG220" s="108" t="str">
        <f t="shared" si="83"/>
        <v/>
      </c>
      <c r="AH220" s="21" t="str">
        <f t="shared" si="84"/>
        <v/>
      </c>
      <c r="AI220" s="21" t="str">
        <f t="shared" si="85"/>
        <v/>
      </c>
      <c r="AJ220" s="21" t="str">
        <f t="shared" si="86"/>
        <v/>
      </c>
      <c r="AK220" s="21" t="str">
        <f t="shared" si="87"/>
        <v/>
      </c>
      <c r="AL220" s="21"/>
      <c r="AM220" s="21"/>
      <c r="AN220" s="21"/>
      <c r="AS220" s="112" t="str">
        <f t="shared" si="89"/>
        <v/>
      </c>
      <c r="AT220" s="112" t="str">
        <f>IF(AS220="","",COUNTIF($AS$13:AS220,AS220))</f>
        <v/>
      </c>
      <c r="AU220" s="147">
        <f t="shared" si="90"/>
        <v>207</v>
      </c>
      <c r="AV220" s="147">
        <f>COUNTIF($AZ$14:AZ220,AZ220)</f>
        <v>1</v>
      </c>
      <c r="AW220" s="147">
        <f>IFERROR(COUNTIF(AX$14:$BL220,AX220),"")</f>
        <v>30</v>
      </c>
      <c r="AX220" s="148" t="str">
        <f t="shared" si="91"/>
        <v>Wed</v>
      </c>
      <c r="AY220" s="149">
        <f>'Raw Data'!A210</f>
        <v>41815</v>
      </c>
      <c r="AZ220" s="150" t="str">
        <f>'Raw Data'!E210</f>
        <v>RD Event</v>
      </c>
      <c r="BA220" s="150">
        <f>'Raw Data'!I210</f>
        <v>1001</v>
      </c>
      <c r="BB220" s="112"/>
      <c r="BC220" s="112"/>
      <c r="BD220" s="112">
        <f>'Raw Data'!O210</f>
        <v>1</v>
      </c>
    </row>
    <row r="221" spans="19:56">
      <c r="S221" s="30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33" t="str">
        <f t="shared" si="88"/>
        <v/>
      </c>
      <c r="AF221" s="114" t="str">
        <f t="shared" si="92"/>
        <v/>
      </c>
      <c r="AG221" s="108" t="str">
        <f t="shared" si="83"/>
        <v/>
      </c>
      <c r="AH221" s="21" t="str">
        <f t="shared" si="84"/>
        <v/>
      </c>
      <c r="AI221" s="21" t="str">
        <f t="shared" si="85"/>
        <v/>
      </c>
      <c r="AJ221" s="21" t="str">
        <f t="shared" si="86"/>
        <v/>
      </c>
      <c r="AK221" s="21" t="str">
        <f t="shared" si="87"/>
        <v/>
      </c>
      <c r="AL221" s="21"/>
      <c r="AM221" s="21"/>
      <c r="AN221" s="21"/>
      <c r="AS221" s="112" t="str">
        <f t="shared" si="89"/>
        <v/>
      </c>
      <c r="AT221" s="112" t="str">
        <f>IF(AS221="","",COUNTIF($AS$13:AS221,AS221))</f>
        <v/>
      </c>
      <c r="AU221" s="147">
        <f t="shared" si="90"/>
        <v>208</v>
      </c>
      <c r="AV221" s="147">
        <f>COUNTIF($AZ$14:AZ221,AZ221)</f>
        <v>5</v>
      </c>
      <c r="AW221" s="147">
        <f>IFERROR(COUNTIF(AX$14:$BL221,AX221),"")</f>
        <v>30</v>
      </c>
      <c r="AX221" s="148" t="str">
        <f t="shared" si="91"/>
        <v>Thu</v>
      </c>
      <c r="AY221" s="149">
        <f>'Raw Data'!A211</f>
        <v>41816</v>
      </c>
      <c r="AZ221" s="150" t="str">
        <f>'Raw Data'!E211</f>
        <v>Treat Thursday</v>
      </c>
      <c r="BA221" s="150">
        <f>'Raw Data'!I211</f>
        <v>913</v>
      </c>
      <c r="BB221" s="112"/>
      <c r="BC221" s="112"/>
      <c r="BD221" s="112">
        <f>'Raw Data'!O211</f>
        <v>1</v>
      </c>
    </row>
    <row r="222" spans="19:56">
      <c r="S222" s="30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33" t="str">
        <f t="shared" si="88"/>
        <v/>
      </c>
      <c r="AF222" s="114" t="str">
        <f t="shared" si="92"/>
        <v/>
      </c>
      <c r="AG222" s="108" t="str">
        <f t="shared" si="83"/>
        <v/>
      </c>
      <c r="AH222" s="21" t="str">
        <f t="shared" si="84"/>
        <v/>
      </c>
      <c r="AI222" s="21" t="str">
        <f t="shared" si="85"/>
        <v/>
      </c>
      <c r="AJ222" s="21" t="str">
        <f t="shared" si="86"/>
        <v/>
      </c>
      <c r="AK222" s="21" t="str">
        <f t="shared" si="87"/>
        <v/>
      </c>
      <c r="AL222" s="21"/>
      <c r="AM222" s="21"/>
      <c r="AN222" s="21"/>
      <c r="AS222" s="112" t="str">
        <f t="shared" si="89"/>
        <v/>
      </c>
      <c r="AT222" s="112" t="str">
        <f>IF(AS222="","",COUNTIF($AS$13:AS222,AS222))</f>
        <v/>
      </c>
      <c r="AU222" s="147">
        <f t="shared" si="90"/>
        <v>209</v>
      </c>
      <c r="AV222" s="147">
        <f>COUNTIF($AZ$14:AZ222,AZ222)</f>
        <v>14</v>
      </c>
      <c r="AW222" s="147">
        <f>IFERROR(COUNTIF(AX$14:$BL222,AX222),"")</f>
        <v>30</v>
      </c>
      <c r="AX222" s="148" t="str">
        <f t="shared" si="91"/>
        <v>Fri</v>
      </c>
      <c r="AY222" s="149">
        <f>'Raw Data'!A212</f>
        <v>41817</v>
      </c>
      <c r="AZ222" s="150" t="str">
        <f>'Raw Data'!E212</f>
        <v>20% Off,FS on $49</v>
      </c>
      <c r="BA222" s="150">
        <f>'Raw Data'!I212</f>
        <v>918</v>
      </c>
      <c r="BB222" s="112"/>
      <c r="BC222" s="112"/>
      <c r="BD222" s="112">
        <f>'Raw Data'!O212</f>
        <v>1</v>
      </c>
    </row>
    <row r="223" spans="19:56">
      <c r="S223" s="30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33" t="str">
        <f t="shared" si="88"/>
        <v/>
      </c>
      <c r="AF223" s="114" t="str">
        <f t="shared" si="92"/>
        <v/>
      </c>
      <c r="AG223" s="108" t="str">
        <f t="shared" si="83"/>
        <v/>
      </c>
      <c r="AH223" s="21" t="str">
        <f t="shared" si="84"/>
        <v/>
      </c>
      <c r="AI223" s="21" t="str">
        <f t="shared" si="85"/>
        <v/>
      </c>
      <c r="AJ223" s="21" t="str">
        <f t="shared" si="86"/>
        <v/>
      </c>
      <c r="AK223" s="21" t="str">
        <f t="shared" si="87"/>
        <v/>
      </c>
      <c r="AL223" s="21"/>
      <c r="AM223" s="21"/>
      <c r="AN223" s="21"/>
      <c r="AS223" s="112" t="str">
        <f t="shared" si="89"/>
        <v/>
      </c>
      <c r="AT223" s="112" t="str">
        <f>IF(AS223="","",COUNTIF($AS$13:AS223,AS223))</f>
        <v/>
      </c>
      <c r="AU223" s="147">
        <f t="shared" si="90"/>
        <v>210</v>
      </c>
      <c r="AV223" s="147">
        <f>COUNTIF($AZ$14:AZ223,AZ223)</f>
        <v>15</v>
      </c>
      <c r="AW223" s="147">
        <f>IFERROR(COUNTIF(AX$14:$BL223,AX223),"")</f>
        <v>30</v>
      </c>
      <c r="AX223" s="148" t="str">
        <f t="shared" si="91"/>
        <v>Sat</v>
      </c>
      <c r="AY223" s="149">
        <f>'Raw Data'!A213</f>
        <v>41818</v>
      </c>
      <c r="AZ223" s="150" t="str">
        <f>'Raw Data'!E213</f>
        <v>20% Off,FS on $49</v>
      </c>
      <c r="BA223" s="150">
        <f>'Raw Data'!I213</f>
        <v>787</v>
      </c>
      <c r="BB223" s="112"/>
      <c r="BC223" s="112"/>
      <c r="BD223" s="112">
        <f>'Raw Data'!O213</f>
        <v>1</v>
      </c>
    </row>
    <row r="224" spans="19:56">
      <c r="S224" s="30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33" t="str">
        <f t="shared" si="88"/>
        <v/>
      </c>
      <c r="AF224" s="114" t="str">
        <f t="shared" si="92"/>
        <v/>
      </c>
      <c r="AG224" s="108" t="str">
        <f t="shared" si="83"/>
        <v/>
      </c>
      <c r="AH224" s="21" t="str">
        <f t="shared" si="84"/>
        <v/>
      </c>
      <c r="AI224" s="21" t="str">
        <f t="shared" si="85"/>
        <v/>
      </c>
      <c r="AJ224" s="21" t="str">
        <f t="shared" si="86"/>
        <v/>
      </c>
      <c r="AK224" s="21" t="str">
        <f t="shared" si="87"/>
        <v/>
      </c>
      <c r="AL224" s="21"/>
      <c r="AM224" s="21"/>
      <c r="AN224" s="21"/>
      <c r="AS224" s="112" t="str">
        <f t="shared" si="89"/>
        <v/>
      </c>
      <c r="AT224" s="112" t="str">
        <f>IF(AS224="","",COUNTIF($AS$13:AS224,AS224))</f>
        <v/>
      </c>
      <c r="AU224" s="147">
        <f t="shared" si="90"/>
        <v>211</v>
      </c>
      <c r="AV224" s="147">
        <f>COUNTIF($AZ$14:AZ224,AZ224)</f>
        <v>1</v>
      </c>
      <c r="AW224" s="147">
        <f>IFERROR(COUNTIF(AX$14:$BL224,AX224),"")</f>
        <v>31</v>
      </c>
      <c r="AX224" s="148" t="str">
        <f t="shared" si="91"/>
        <v>Sun</v>
      </c>
      <c r="AY224" s="149">
        <f>'Raw Data'!A214</f>
        <v>41819</v>
      </c>
      <c r="AZ224" s="150" t="str">
        <f>'Raw Data'!E214</f>
        <v>Reveal Your Deal Promo,15, 20, 30% Off</v>
      </c>
      <c r="BA224" s="150">
        <f>'Raw Data'!I214</f>
        <v>624</v>
      </c>
      <c r="BB224" s="112"/>
      <c r="BC224" s="112"/>
      <c r="BD224" s="112">
        <f>'Raw Data'!O214</f>
        <v>2</v>
      </c>
    </row>
    <row r="225" spans="19:56">
      <c r="S225" s="30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33" t="str">
        <f t="shared" si="88"/>
        <v/>
      </c>
      <c r="AF225" s="114" t="str">
        <f t="shared" si="92"/>
        <v/>
      </c>
      <c r="AG225" s="108" t="str">
        <f t="shared" si="83"/>
        <v/>
      </c>
      <c r="AH225" s="21" t="str">
        <f t="shared" si="84"/>
        <v/>
      </c>
      <c r="AI225" s="21" t="str">
        <f t="shared" si="85"/>
        <v/>
      </c>
      <c r="AJ225" s="21" t="str">
        <f t="shared" si="86"/>
        <v/>
      </c>
      <c r="AK225" s="21" t="str">
        <f t="shared" si="87"/>
        <v/>
      </c>
      <c r="AL225" s="21"/>
      <c r="AM225" s="21"/>
      <c r="AN225" s="21"/>
      <c r="AS225" s="112" t="str">
        <f t="shared" si="89"/>
        <v/>
      </c>
      <c r="AT225" s="112" t="str">
        <f>IF(AS225="","",COUNTIF($AS$13:AS225,AS225))</f>
        <v/>
      </c>
      <c r="AU225" s="147">
        <f t="shared" si="90"/>
        <v>212</v>
      </c>
      <c r="AV225" s="147">
        <f>COUNTIF($AZ$14:AZ225,AZ225)</f>
        <v>1</v>
      </c>
      <c r="AW225" s="147">
        <f>IFERROR(COUNTIF(AX$14:$BL225,AX225),"")</f>
        <v>31</v>
      </c>
      <c r="AX225" s="148" t="str">
        <f t="shared" si="91"/>
        <v>Mon</v>
      </c>
      <c r="AY225" s="149">
        <f>'Raw Data'!A215</f>
        <v>41820</v>
      </c>
      <c r="AZ225" s="150" t="str">
        <f>'Raw Data'!E215</f>
        <v>Reveal Your Deal Promo,15, 20, 30% Off,</v>
      </c>
      <c r="BA225" s="150">
        <f>'Raw Data'!I215</f>
        <v>1021</v>
      </c>
      <c r="BB225" s="112"/>
      <c r="BC225" s="112"/>
      <c r="BD225" s="112">
        <f>'Raw Data'!O215</f>
        <v>1</v>
      </c>
    </row>
    <row r="226" spans="19:56">
      <c r="S226" s="30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33" t="str">
        <f t="shared" si="88"/>
        <v/>
      </c>
      <c r="AF226" s="114" t="str">
        <f t="shared" si="92"/>
        <v/>
      </c>
      <c r="AG226" s="108" t="str">
        <f t="shared" si="83"/>
        <v/>
      </c>
      <c r="AH226" s="21" t="str">
        <f t="shared" si="84"/>
        <v/>
      </c>
      <c r="AI226" s="21" t="str">
        <f t="shared" si="85"/>
        <v/>
      </c>
      <c r="AJ226" s="21" t="str">
        <f t="shared" si="86"/>
        <v/>
      </c>
      <c r="AK226" s="21" t="str">
        <f t="shared" si="87"/>
        <v/>
      </c>
      <c r="AL226" s="21"/>
      <c r="AM226" s="21"/>
      <c r="AN226" s="21"/>
      <c r="AS226" s="112" t="str">
        <f t="shared" si="89"/>
        <v/>
      </c>
      <c r="AT226" s="112" t="str">
        <f>IF(AS226="","",COUNTIF($AS$13:AS226,AS226))</f>
        <v/>
      </c>
      <c r="AU226" s="147">
        <f t="shared" si="90"/>
        <v>213</v>
      </c>
      <c r="AV226" s="147">
        <f>COUNTIF($AZ$14:AZ226,AZ226)</f>
        <v>18</v>
      </c>
      <c r="AW226" s="147">
        <f>IFERROR(COUNTIF(AX$14:$BL226,AX226),"")</f>
        <v>31</v>
      </c>
      <c r="AX226" s="148" t="str">
        <f t="shared" si="91"/>
        <v>Tue</v>
      </c>
      <c r="AY226" s="149">
        <f>'Raw Data'!A216</f>
        <v>41821</v>
      </c>
      <c r="AZ226" s="150" t="str">
        <f>'Raw Data'!E216</f>
        <v>$10 Off,FS on $49</v>
      </c>
      <c r="BA226" s="150">
        <f>'Raw Data'!I216</f>
        <v>1056</v>
      </c>
      <c r="BB226" s="112"/>
      <c r="BC226" s="112"/>
      <c r="BD226" s="112">
        <f>'Raw Data'!O216</f>
        <v>2</v>
      </c>
    </row>
    <row r="227" spans="19:56">
      <c r="S227" s="30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33" t="str">
        <f t="shared" si="88"/>
        <v/>
      </c>
      <c r="AF227" s="114" t="str">
        <f t="shared" si="92"/>
        <v/>
      </c>
      <c r="AG227" s="108" t="str">
        <f t="shared" si="83"/>
        <v/>
      </c>
      <c r="AH227" s="21" t="str">
        <f t="shared" si="84"/>
        <v/>
      </c>
      <c r="AI227" s="21" t="str">
        <f t="shared" si="85"/>
        <v/>
      </c>
      <c r="AJ227" s="21" t="str">
        <f t="shared" si="86"/>
        <v/>
      </c>
      <c r="AK227" s="21" t="str">
        <f t="shared" si="87"/>
        <v/>
      </c>
      <c r="AL227" s="21"/>
      <c r="AM227" s="21"/>
      <c r="AN227" s="21"/>
      <c r="AS227" s="112" t="str">
        <f t="shared" si="89"/>
        <v/>
      </c>
      <c r="AT227" s="112" t="str">
        <f>IF(AS227="","",COUNTIF($AS$13:AS227,AS227))</f>
        <v/>
      </c>
      <c r="AU227" s="147">
        <f t="shared" si="90"/>
        <v>214</v>
      </c>
      <c r="AV227" s="147">
        <f>COUNTIF($AZ$14:AZ227,AZ227)</f>
        <v>67</v>
      </c>
      <c r="AW227" s="147">
        <f>IFERROR(COUNTIF(AX$14:$BL227,AX227),"")</f>
        <v>31</v>
      </c>
      <c r="AX227" s="148" t="str">
        <f t="shared" si="91"/>
        <v>Wed</v>
      </c>
      <c r="AY227" s="149">
        <f>'Raw Data'!A217</f>
        <v>41822</v>
      </c>
      <c r="AZ227" s="150" t="str">
        <f>'Raw Data'!E217</f>
        <v>No Email Drop</v>
      </c>
      <c r="BA227" s="150">
        <f>'Raw Data'!I217</f>
        <v>884</v>
      </c>
      <c r="BB227" s="112"/>
      <c r="BC227" s="112"/>
      <c r="BD227" s="112">
        <f>'Raw Data'!O217</f>
        <v>1</v>
      </c>
    </row>
    <row r="228" spans="19:56">
      <c r="S228" s="30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33" t="str">
        <f t="shared" si="88"/>
        <v/>
      </c>
      <c r="AF228" s="114" t="str">
        <f t="shared" si="92"/>
        <v/>
      </c>
      <c r="AG228" s="108" t="str">
        <f t="shared" si="83"/>
        <v/>
      </c>
      <c r="AH228" s="21" t="str">
        <f t="shared" si="84"/>
        <v/>
      </c>
      <c r="AI228" s="21" t="str">
        <f t="shared" si="85"/>
        <v/>
      </c>
      <c r="AJ228" s="21" t="str">
        <f t="shared" si="86"/>
        <v/>
      </c>
      <c r="AK228" s="21" t="str">
        <f t="shared" si="87"/>
        <v/>
      </c>
      <c r="AL228" s="21"/>
      <c r="AM228" s="21"/>
      <c r="AN228" s="21"/>
      <c r="AS228" s="112" t="str">
        <f t="shared" si="89"/>
        <v/>
      </c>
      <c r="AT228" s="112" t="str">
        <f>IF(AS228="","",COUNTIF($AS$13:AS228,AS228))</f>
        <v/>
      </c>
      <c r="AU228" s="147">
        <f t="shared" si="90"/>
        <v>215</v>
      </c>
      <c r="AV228" s="147">
        <f>COUNTIF($AZ$14:AZ228,AZ228)</f>
        <v>1</v>
      </c>
      <c r="AW228" s="147">
        <f>IFERROR(COUNTIF(AX$14:$BL228,AX228),"")</f>
        <v>31</v>
      </c>
      <c r="AX228" s="148" t="str">
        <f t="shared" si="91"/>
        <v>Thu</v>
      </c>
      <c r="AY228" s="149">
        <f>'Raw Data'!A218</f>
        <v>41823</v>
      </c>
      <c r="AZ228" s="150" t="str">
        <f>'Raw Data'!E218</f>
        <v>$15 eGC,Up To 40% Off,FS on $49</v>
      </c>
      <c r="BA228" s="150">
        <f>'Raw Data'!I218</f>
        <v>1132</v>
      </c>
      <c r="BB228" s="112"/>
      <c r="BC228" s="112"/>
      <c r="BD228" s="112">
        <f>'Raw Data'!O218</f>
        <v>1</v>
      </c>
    </row>
    <row r="229" spans="19:56">
      <c r="S229" s="30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33" t="str">
        <f t="shared" si="88"/>
        <v/>
      </c>
      <c r="AF229" s="114" t="str">
        <f t="shared" si="92"/>
        <v/>
      </c>
      <c r="AG229" s="108" t="str">
        <f t="shared" si="83"/>
        <v/>
      </c>
      <c r="AH229" s="21" t="str">
        <f t="shared" si="84"/>
        <v/>
      </c>
      <c r="AI229" s="21" t="str">
        <f t="shared" si="85"/>
        <v/>
      </c>
      <c r="AJ229" s="21" t="str">
        <f t="shared" si="86"/>
        <v/>
      </c>
      <c r="AK229" s="21" t="str">
        <f t="shared" si="87"/>
        <v/>
      </c>
      <c r="AL229" s="21"/>
      <c r="AM229" s="21"/>
      <c r="AN229" s="21"/>
      <c r="AS229" s="112" t="str">
        <f t="shared" si="89"/>
        <v/>
      </c>
      <c r="AT229" s="112" t="str">
        <f>IF(AS229="","",COUNTIF($AS$13:AS229,AS229))</f>
        <v/>
      </c>
      <c r="AU229" s="147">
        <f t="shared" si="90"/>
        <v>216</v>
      </c>
      <c r="AV229" s="147">
        <f>COUNTIF($AZ$14:AZ229,AZ229)</f>
        <v>2</v>
      </c>
      <c r="AW229" s="147">
        <f>IFERROR(COUNTIF(AX$14:$BL229,AX229),"")</f>
        <v>31</v>
      </c>
      <c r="AX229" s="148" t="str">
        <f t="shared" si="91"/>
        <v>Fri</v>
      </c>
      <c r="AY229" s="149">
        <f>'Raw Data'!A219</f>
        <v>41824</v>
      </c>
      <c r="AZ229" s="150" t="str">
        <f>'Raw Data'!E219</f>
        <v>Up To 40% Off,FS on $49</v>
      </c>
      <c r="BA229" s="150">
        <f>'Raw Data'!I219</f>
        <v>536</v>
      </c>
      <c r="BB229" s="112"/>
      <c r="BC229" s="112"/>
      <c r="BD229" s="112">
        <f>'Raw Data'!O219</f>
        <v>1</v>
      </c>
    </row>
    <row r="230" spans="19:56">
      <c r="S230" s="30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33" t="str">
        <f t="shared" si="88"/>
        <v/>
      </c>
      <c r="AF230" s="114" t="str">
        <f t="shared" si="92"/>
        <v/>
      </c>
      <c r="AG230" s="108" t="str">
        <f t="shared" si="83"/>
        <v/>
      </c>
      <c r="AH230" s="21" t="str">
        <f t="shared" si="84"/>
        <v/>
      </c>
      <c r="AI230" s="21" t="str">
        <f t="shared" si="85"/>
        <v/>
      </c>
      <c r="AJ230" s="21" t="str">
        <f t="shared" si="86"/>
        <v/>
      </c>
      <c r="AK230" s="21" t="str">
        <f t="shared" si="87"/>
        <v/>
      </c>
      <c r="AL230" s="21"/>
      <c r="AM230" s="21"/>
      <c r="AN230" s="21"/>
      <c r="AS230" s="112" t="str">
        <f t="shared" si="89"/>
        <v/>
      </c>
      <c r="AT230" s="112" t="str">
        <f>IF(AS230="","",COUNTIF($AS$13:AS230,AS230))</f>
        <v/>
      </c>
      <c r="AU230" s="147">
        <f t="shared" si="90"/>
        <v>217</v>
      </c>
      <c r="AV230" s="147">
        <f>COUNTIF($AZ$14:AZ230,AZ230)</f>
        <v>2</v>
      </c>
      <c r="AW230" s="147">
        <f>IFERROR(COUNTIF(AX$14:$BL230,AX230),"")</f>
        <v>31</v>
      </c>
      <c r="AX230" s="148" t="str">
        <f t="shared" si="91"/>
        <v>Sat</v>
      </c>
      <c r="AY230" s="149">
        <f>'Raw Data'!A220</f>
        <v>41825</v>
      </c>
      <c r="AZ230" s="150" t="str">
        <f>'Raw Data'!E220</f>
        <v>RD Event</v>
      </c>
      <c r="BA230" s="150">
        <f>'Raw Data'!I220</f>
        <v>558</v>
      </c>
      <c r="BB230" s="112"/>
      <c r="BC230" s="112"/>
      <c r="BD230" s="112">
        <f>'Raw Data'!O220</f>
        <v>1</v>
      </c>
    </row>
    <row r="231" spans="19:56">
      <c r="S231" s="30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33" t="str">
        <f t="shared" si="88"/>
        <v/>
      </c>
      <c r="AF231" s="114" t="str">
        <f t="shared" si="92"/>
        <v/>
      </c>
      <c r="AG231" s="108" t="str">
        <f t="shared" si="83"/>
        <v/>
      </c>
      <c r="AH231" s="21" t="str">
        <f t="shared" si="84"/>
        <v/>
      </c>
      <c r="AI231" s="21" t="str">
        <f t="shared" si="85"/>
        <v/>
      </c>
      <c r="AJ231" s="21" t="str">
        <f t="shared" si="86"/>
        <v/>
      </c>
      <c r="AK231" s="21" t="str">
        <f t="shared" si="87"/>
        <v/>
      </c>
      <c r="AL231" s="21"/>
      <c r="AM231" s="21"/>
      <c r="AN231" s="21"/>
      <c r="AS231" s="112">
        <f t="shared" si="89"/>
        <v>1</v>
      </c>
      <c r="AT231" s="112">
        <f>IF(AS231="","",COUNTIF($AS$13:AS231,AS231))</f>
        <v>7</v>
      </c>
      <c r="AU231" s="147">
        <f t="shared" si="90"/>
        <v>218</v>
      </c>
      <c r="AV231" s="147">
        <f>COUNTIF($AZ$14:AZ231,AZ231)</f>
        <v>1</v>
      </c>
      <c r="AW231" s="147">
        <f>IFERROR(COUNTIF(AX$14:$BL231,AX231),"")</f>
        <v>32</v>
      </c>
      <c r="AX231" s="148" t="str">
        <f t="shared" si="91"/>
        <v>Sun</v>
      </c>
      <c r="AY231" s="149">
        <f>'Raw Data'!A221</f>
        <v>41826</v>
      </c>
      <c r="AZ231" s="150" t="str">
        <f>'Raw Data'!E221</f>
        <v>Free Ship Flash Sale,Up To 40% Off,FS on $49</v>
      </c>
      <c r="BA231" s="150">
        <f>'Raw Data'!I221</f>
        <v>658</v>
      </c>
      <c r="BB231" s="112"/>
      <c r="BC231" s="112"/>
      <c r="BD231" s="112">
        <f>'Raw Data'!O221</f>
        <v>2</v>
      </c>
    </row>
    <row r="232" spans="19:56">
      <c r="S232" s="30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33" t="str">
        <f t="shared" si="88"/>
        <v/>
      </c>
      <c r="AF232" s="114" t="str">
        <f t="shared" si="92"/>
        <v/>
      </c>
      <c r="AG232" s="108" t="str">
        <f t="shared" si="83"/>
        <v/>
      </c>
      <c r="AH232" s="21" t="str">
        <f t="shared" si="84"/>
        <v/>
      </c>
      <c r="AI232" s="21" t="str">
        <f t="shared" si="85"/>
        <v/>
      </c>
      <c r="AJ232" s="21" t="str">
        <f t="shared" si="86"/>
        <v/>
      </c>
      <c r="AK232" s="21" t="str">
        <f t="shared" si="87"/>
        <v/>
      </c>
      <c r="AL232" s="21"/>
      <c r="AM232" s="21"/>
      <c r="AN232" s="21"/>
      <c r="AS232" s="112" t="str">
        <f t="shared" si="89"/>
        <v/>
      </c>
      <c r="AT232" s="112" t="str">
        <f>IF(AS232="","",COUNTIF($AS$13:AS232,AS232))</f>
        <v/>
      </c>
      <c r="AU232" s="147">
        <f t="shared" si="90"/>
        <v>219</v>
      </c>
      <c r="AV232" s="147">
        <f>COUNTIF($AZ$14:AZ232,AZ232)</f>
        <v>7</v>
      </c>
      <c r="AW232" s="147">
        <f>IFERROR(COUNTIF(AX$14:$BL232,AX232),"")</f>
        <v>32</v>
      </c>
      <c r="AX232" s="148" t="str">
        <f t="shared" si="91"/>
        <v>Mon</v>
      </c>
      <c r="AY232" s="149">
        <f>'Raw Data'!A222</f>
        <v>41827</v>
      </c>
      <c r="AZ232" s="150" t="str">
        <f>'Raw Data'!E222</f>
        <v>$30 Off,FS on $100</v>
      </c>
      <c r="BA232" s="150">
        <f>'Raw Data'!I222</f>
        <v>1186</v>
      </c>
      <c r="BB232" s="112"/>
      <c r="BC232" s="112"/>
      <c r="BD232" s="112">
        <f>'Raw Data'!O222</f>
        <v>1</v>
      </c>
    </row>
    <row r="233" spans="19:56">
      <c r="S233" s="30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33" t="str">
        <f t="shared" si="88"/>
        <v/>
      </c>
      <c r="AF233" s="114" t="str">
        <f t="shared" si="92"/>
        <v/>
      </c>
      <c r="AG233" s="108" t="str">
        <f t="shared" si="83"/>
        <v/>
      </c>
      <c r="AH233" s="21" t="str">
        <f t="shared" si="84"/>
        <v/>
      </c>
      <c r="AI233" s="21" t="str">
        <f t="shared" si="85"/>
        <v/>
      </c>
      <c r="AJ233" s="21" t="str">
        <f t="shared" si="86"/>
        <v/>
      </c>
      <c r="AK233" s="21" t="str">
        <f t="shared" si="87"/>
        <v/>
      </c>
      <c r="AL233" s="21"/>
      <c r="AM233" s="21"/>
      <c r="AN233" s="21"/>
      <c r="AS233" s="112" t="str">
        <f t="shared" si="89"/>
        <v/>
      </c>
      <c r="AT233" s="112" t="str">
        <f>IF(AS233="","",COUNTIF($AS$13:AS233,AS233))</f>
        <v/>
      </c>
      <c r="AU233" s="147">
        <f t="shared" si="90"/>
        <v>220</v>
      </c>
      <c r="AV233" s="147">
        <f>COUNTIF($AZ$14:AZ233,AZ233)</f>
        <v>68</v>
      </c>
      <c r="AW233" s="147">
        <f>IFERROR(COUNTIF(AX$14:$BL233,AX233),"")</f>
        <v>32</v>
      </c>
      <c r="AX233" s="148" t="str">
        <f t="shared" si="91"/>
        <v>Tue</v>
      </c>
      <c r="AY233" s="149">
        <f>'Raw Data'!A223</f>
        <v>41828</v>
      </c>
      <c r="AZ233" s="150" t="str">
        <f>'Raw Data'!E223</f>
        <v>No Email Drop</v>
      </c>
      <c r="BA233" s="150">
        <f>'Raw Data'!I223</f>
        <v>1005</v>
      </c>
      <c r="BB233" s="112"/>
      <c r="BC233" s="112"/>
      <c r="BD233" s="112">
        <f>'Raw Data'!O223</f>
        <v>0</v>
      </c>
    </row>
    <row r="234" spans="19:56">
      <c r="S234" s="30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33" t="str">
        <f t="shared" si="88"/>
        <v/>
      </c>
      <c r="AF234" s="114" t="str">
        <f t="shared" si="92"/>
        <v/>
      </c>
      <c r="AG234" s="108" t="str">
        <f t="shared" si="83"/>
        <v/>
      </c>
      <c r="AH234" s="21" t="str">
        <f t="shared" si="84"/>
        <v/>
      </c>
      <c r="AI234" s="21" t="str">
        <f t="shared" si="85"/>
        <v/>
      </c>
      <c r="AJ234" s="21" t="str">
        <f t="shared" si="86"/>
        <v/>
      </c>
      <c r="AK234" s="21" t="str">
        <f t="shared" si="87"/>
        <v/>
      </c>
      <c r="AL234" s="21"/>
      <c r="AM234" s="21"/>
      <c r="AN234" s="21"/>
      <c r="AS234" s="112" t="str">
        <f t="shared" si="89"/>
        <v/>
      </c>
      <c r="AT234" s="112" t="str">
        <f>IF(AS234="","",COUNTIF($AS$13:AS234,AS234))</f>
        <v/>
      </c>
      <c r="AU234" s="147">
        <f t="shared" si="90"/>
        <v>221</v>
      </c>
      <c r="AV234" s="147">
        <f>COUNTIF($AZ$14:AZ234,AZ234)</f>
        <v>8</v>
      </c>
      <c r="AW234" s="147">
        <f>IFERROR(COUNTIF(AX$14:$BL234,AX234),"")</f>
        <v>32</v>
      </c>
      <c r="AX234" s="148" t="str">
        <f t="shared" si="91"/>
        <v>Wed</v>
      </c>
      <c r="AY234" s="149">
        <f>'Raw Data'!A224</f>
        <v>41829</v>
      </c>
      <c r="AZ234" s="150" t="str">
        <f>'Raw Data'!E224</f>
        <v>$30 Off,FS on $100</v>
      </c>
      <c r="BA234" s="150">
        <f>'Raw Data'!I224</f>
        <v>1123</v>
      </c>
      <c r="BB234" s="112"/>
      <c r="BC234" s="112"/>
      <c r="BD234" s="112">
        <f>'Raw Data'!O224</f>
        <v>2</v>
      </c>
    </row>
    <row r="235" spans="19:56">
      <c r="S235" s="30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33" t="str">
        <f t="shared" si="88"/>
        <v/>
      </c>
      <c r="AF235" s="114" t="str">
        <f t="shared" si="92"/>
        <v/>
      </c>
      <c r="AG235" s="108" t="str">
        <f t="shared" si="83"/>
        <v/>
      </c>
      <c r="AH235" s="21" t="str">
        <f t="shared" si="84"/>
        <v/>
      </c>
      <c r="AI235" s="21" t="str">
        <f t="shared" si="85"/>
        <v/>
      </c>
      <c r="AJ235" s="21" t="str">
        <f t="shared" si="86"/>
        <v/>
      </c>
      <c r="AK235" s="21" t="str">
        <f t="shared" si="87"/>
        <v/>
      </c>
      <c r="AL235" s="21"/>
      <c r="AM235" s="21"/>
      <c r="AN235" s="21"/>
      <c r="AS235" s="112" t="str">
        <f t="shared" si="89"/>
        <v/>
      </c>
      <c r="AT235" s="112" t="str">
        <f>IF(AS235="","",COUNTIF($AS$13:AS235,AS235))</f>
        <v/>
      </c>
      <c r="AU235" s="147">
        <f t="shared" si="90"/>
        <v>222</v>
      </c>
      <c r="AV235" s="147">
        <f>COUNTIF($AZ$14:AZ235,AZ235)</f>
        <v>6</v>
      </c>
      <c r="AW235" s="147">
        <f>IFERROR(COUNTIF(AX$14:$BL235,AX235),"")</f>
        <v>32</v>
      </c>
      <c r="AX235" s="148" t="str">
        <f t="shared" si="91"/>
        <v>Thu</v>
      </c>
      <c r="AY235" s="149">
        <f>'Raw Data'!A225</f>
        <v>41830</v>
      </c>
      <c r="AZ235" s="150" t="str">
        <f>'Raw Data'!E225</f>
        <v>Treat Thursday</v>
      </c>
      <c r="BA235" s="150">
        <f>'Raw Data'!I225</f>
        <v>951</v>
      </c>
      <c r="BB235" s="112"/>
      <c r="BC235" s="112"/>
      <c r="BD235" s="112">
        <f>'Raw Data'!O225</f>
        <v>1</v>
      </c>
    </row>
    <row r="236" spans="19:56">
      <c r="S236" s="30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33" t="str">
        <f t="shared" si="88"/>
        <v/>
      </c>
      <c r="AF236" s="114" t="str">
        <f t="shared" si="92"/>
        <v/>
      </c>
      <c r="AG236" s="108" t="str">
        <f t="shared" si="83"/>
        <v/>
      </c>
      <c r="AH236" s="21" t="str">
        <f t="shared" si="84"/>
        <v/>
      </c>
      <c r="AI236" s="21" t="str">
        <f t="shared" si="85"/>
        <v/>
      </c>
      <c r="AJ236" s="21" t="str">
        <f t="shared" si="86"/>
        <v/>
      </c>
      <c r="AK236" s="21" t="str">
        <f t="shared" si="87"/>
        <v/>
      </c>
      <c r="AL236" s="21"/>
      <c r="AM236" s="21"/>
      <c r="AN236" s="21"/>
      <c r="AS236" s="112" t="str">
        <f t="shared" si="89"/>
        <v/>
      </c>
      <c r="AT236" s="112" t="str">
        <f>IF(AS236="","",COUNTIF($AS$13:AS236,AS236))</f>
        <v/>
      </c>
      <c r="AU236" s="147">
        <f t="shared" si="90"/>
        <v>223</v>
      </c>
      <c r="AV236" s="147">
        <f>COUNTIF($AZ$14:AZ236,AZ236)</f>
        <v>6</v>
      </c>
      <c r="AW236" s="147">
        <f>IFERROR(COUNTIF(AX$14:$BL236,AX236),"")</f>
        <v>32</v>
      </c>
      <c r="AX236" s="148" t="str">
        <f t="shared" si="91"/>
        <v>Fri</v>
      </c>
      <c r="AY236" s="149">
        <f>'Raw Data'!A226</f>
        <v>41831</v>
      </c>
      <c r="AZ236" s="150" t="str">
        <f>'Raw Data'!E226</f>
        <v>Free Ship No Min</v>
      </c>
      <c r="BA236" s="150">
        <f>'Raw Data'!I226</f>
        <v>1063</v>
      </c>
      <c r="BB236" s="112"/>
      <c r="BC236" s="112"/>
      <c r="BD236" s="112">
        <f>'Raw Data'!O226</f>
        <v>1</v>
      </c>
    </row>
    <row r="237" spans="19:56">
      <c r="S237" s="30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33" t="str">
        <f t="shared" si="88"/>
        <v/>
      </c>
      <c r="AF237" s="114" t="str">
        <f t="shared" si="92"/>
        <v/>
      </c>
      <c r="AG237" s="108" t="str">
        <f t="shared" si="83"/>
        <v/>
      </c>
      <c r="AH237" s="21" t="str">
        <f t="shared" si="84"/>
        <v/>
      </c>
      <c r="AI237" s="21" t="str">
        <f t="shared" si="85"/>
        <v/>
      </c>
      <c r="AJ237" s="21" t="str">
        <f t="shared" si="86"/>
        <v/>
      </c>
      <c r="AK237" s="21" t="str">
        <f t="shared" si="87"/>
        <v/>
      </c>
      <c r="AL237" s="21"/>
      <c r="AM237" s="21"/>
      <c r="AN237" s="21"/>
      <c r="AS237" s="112" t="str">
        <f t="shared" si="89"/>
        <v/>
      </c>
      <c r="AT237" s="112" t="str">
        <f>IF(AS237="","",COUNTIF($AS$13:AS237,AS237))</f>
        <v/>
      </c>
      <c r="AU237" s="147">
        <f t="shared" si="90"/>
        <v>224</v>
      </c>
      <c r="AV237" s="147">
        <f>COUNTIF($AZ$14:AZ237,AZ237)</f>
        <v>7</v>
      </c>
      <c r="AW237" s="147">
        <f>IFERROR(COUNTIF(AX$14:$BL237,AX237),"")</f>
        <v>32</v>
      </c>
      <c r="AX237" s="148" t="str">
        <f t="shared" si="91"/>
        <v>Sat</v>
      </c>
      <c r="AY237" s="149">
        <f>'Raw Data'!A227</f>
        <v>41832</v>
      </c>
      <c r="AZ237" s="150" t="str">
        <f>'Raw Data'!E227</f>
        <v>Free Ship No Min</v>
      </c>
      <c r="BA237" s="150">
        <f>'Raw Data'!I227</f>
        <v>786</v>
      </c>
      <c r="BB237" s="112"/>
      <c r="BC237" s="112"/>
      <c r="BD237" s="112">
        <f>'Raw Data'!O227</f>
        <v>1</v>
      </c>
    </row>
    <row r="238" spans="19:56">
      <c r="S238" s="30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33" t="str">
        <f t="shared" si="88"/>
        <v/>
      </c>
      <c r="AF238" s="114" t="str">
        <f t="shared" si="92"/>
        <v/>
      </c>
      <c r="AG238" s="108" t="str">
        <f t="shared" si="83"/>
        <v/>
      </c>
      <c r="AH238" s="21" t="str">
        <f t="shared" si="84"/>
        <v/>
      </c>
      <c r="AI238" s="21" t="str">
        <f t="shared" si="85"/>
        <v/>
      </c>
      <c r="AJ238" s="21" t="str">
        <f t="shared" si="86"/>
        <v/>
      </c>
      <c r="AK238" s="21" t="str">
        <f t="shared" si="87"/>
        <v/>
      </c>
      <c r="AL238" s="21"/>
      <c r="AM238" s="21"/>
      <c r="AN238" s="21"/>
      <c r="AS238" s="112" t="str">
        <f t="shared" si="89"/>
        <v/>
      </c>
      <c r="AT238" s="112" t="str">
        <f>IF(AS238="","",COUNTIF($AS$13:AS238,AS238))</f>
        <v/>
      </c>
      <c r="AU238" s="147">
        <f t="shared" si="90"/>
        <v>225</v>
      </c>
      <c r="AV238" s="147">
        <f>COUNTIF($AZ$14:AZ238,AZ238)</f>
        <v>1</v>
      </c>
      <c r="AW238" s="147">
        <f>IFERROR(COUNTIF(AX$14:$BL238,AX238),"")</f>
        <v>33</v>
      </c>
      <c r="AX238" s="148" t="str">
        <f t="shared" si="91"/>
        <v>Sun</v>
      </c>
      <c r="AY238" s="149">
        <f>'Raw Data'!A228</f>
        <v>41833</v>
      </c>
      <c r="AZ238" s="150" t="str">
        <f>'Raw Data'!E228</f>
        <v>FS on $49</v>
      </c>
      <c r="BA238" s="150">
        <f>'Raw Data'!I228</f>
        <v>607</v>
      </c>
      <c r="BB238" s="112"/>
      <c r="BC238" s="112"/>
      <c r="BD238" s="112">
        <f>'Raw Data'!O228</f>
        <v>1</v>
      </c>
    </row>
    <row r="239" spans="19:56">
      <c r="S239" s="30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33" t="str">
        <f t="shared" si="88"/>
        <v/>
      </c>
      <c r="AF239" s="114" t="str">
        <f t="shared" si="92"/>
        <v/>
      </c>
      <c r="AG239" s="108" t="str">
        <f t="shared" si="83"/>
        <v/>
      </c>
      <c r="AH239" s="21" t="str">
        <f t="shared" si="84"/>
        <v/>
      </c>
      <c r="AI239" s="21" t="str">
        <f t="shared" si="85"/>
        <v/>
      </c>
      <c r="AJ239" s="21" t="str">
        <f t="shared" si="86"/>
        <v/>
      </c>
      <c r="AK239" s="21" t="str">
        <f t="shared" si="87"/>
        <v/>
      </c>
      <c r="AL239" s="21"/>
      <c r="AM239" s="21"/>
      <c r="AN239" s="21"/>
      <c r="AS239" s="112">
        <f t="shared" si="89"/>
        <v>1</v>
      </c>
      <c r="AT239" s="112">
        <f>IF(AS239="","",COUNTIF($AS$13:AS239,AS239))</f>
        <v>8</v>
      </c>
      <c r="AU239" s="147">
        <f t="shared" si="90"/>
        <v>226</v>
      </c>
      <c r="AV239" s="147">
        <f>COUNTIF($AZ$14:AZ239,AZ239)</f>
        <v>6</v>
      </c>
      <c r="AW239" s="147">
        <f>IFERROR(COUNTIF(AX$14:$BL239,AX239),"")</f>
        <v>33</v>
      </c>
      <c r="AX239" s="148" t="str">
        <f t="shared" si="91"/>
        <v>Mon</v>
      </c>
      <c r="AY239" s="149">
        <f>'Raw Data'!A229</f>
        <v>41834</v>
      </c>
      <c r="AZ239" s="150" t="str">
        <f>'Raw Data'!E229</f>
        <v>Flash Sale,30% Off,FS on $49</v>
      </c>
      <c r="BA239" s="150">
        <f>'Raw Data'!I229</f>
        <v>1437</v>
      </c>
      <c r="BB239" s="112"/>
      <c r="BC239" s="112"/>
      <c r="BD239" s="112">
        <f>'Raw Data'!O229</f>
        <v>2</v>
      </c>
    </row>
    <row r="240" spans="19:56">
      <c r="S240" s="30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33" t="str">
        <f t="shared" si="88"/>
        <v/>
      </c>
      <c r="AF240" s="114" t="str">
        <f t="shared" si="92"/>
        <v/>
      </c>
      <c r="AG240" s="108" t="str">
        <f t="shared" si="83"/>
        <v/>
      </c>
      <c r="AH240" s="21" t="str">
        <f t="shared" si="84"/>
        <v/>
      </c>
      <c r="AI240" s="21" t="str">
        <f t="shared" si="85"/>
        <v/>
      </c>
      <c r="AJ240" s="21" t="str">
        <f t="shared" si="86"/>
        <v/>
      </c>
      <c r="AK240" s="21" t="str">
        <f t="shared" si="87"/>
        <v/>
      </c>
      <c r="AL240" s="21"/>
      <c r="AM240" s="21"/>
      <c r="AN240" s="21"/>
      <c r="AS240" s="112" t="str">
        <f t="shared" si="89"/>
        <v/>
      </c>
      <c r="AT240" s="112" t="str">
        <f>IF(AS240="","",COUNTIF($AS$13:AS240,AS240))</f>
        <v/>
      </c>
      <c r="AU240" s="147">
        <f t="shared" si="90"/>
        <v>227</v>
      </c>
      <c r="AV240" s="147">
        <f>COUNTIF($AZ$14:AZ240,AZ240)</f>
        <v>1</v>
      </c>
      <c r="AW240" s="147">
        <f>IFERROR(COUNTIF(AX$14:$BL240,AX240),"")</f>
        <v>33</v>
      </c>
      <c r="AX240" s="148" t="str">
        <f t="shared" si="91"/>
        <v>Tue</v>
      </c>
      <c r="AY240" s="149">
        <f>'Raw Data'!A230</f>
        <v>41835</v>
      </c>
      <c r="AZ240" s="150" t="str">
        <f>'Raw Data'!E230</f>
        <v>30% Off,FS on $49</v>
      </c>
      <c r="BA240" s="150">
        <f>'Raw Data'!I230</f>
        <v>1522</v>
      </c>
      <c r="BB240" s="112"/>
      <c r="BC240" s="112"/>
      <c r="BD240" s="112">
        <f>'Raw Data'!O230</f>
        <v>1</v>
      </c>
    </row>
    <row r="241" spans="19:56">
      <c r="S241" s="30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33" t="str">
        <f t="shared" si="88"/>
        <v/>
      </c>
      <c r="AF241" s="114" t="str">
        <f t="shared" si="92"/>
        <v/>
      </c>
      <c r="AG241" s="108" t="str">
        <f t="shared" si="83"/>
        <v/>
      </c>
      <c r="AH241" s="21" t="str">
        <f t="shared" si="84"/>
        <v/>
      </c>
      <c r="AI241" s="21" t="str">
        <f t="shared" si="85"/>
        <v/>
      </c>
      <c r="AJ241" s="21" t="str">
        <f t="shared" si="86"/>
        <v/>
      </c>
      <c r="AK241" s="21" t="str">
        <f t="shared" si="87"/>
        <v/>
      </c>
      <c r="AL241" s="21"/>
      <c r="AM241" s="21"/>
      <c r="AN241" s="21"/>
      <c r="AS241" s="112" t="str">
        <f t="shared" si="89"/>
        <v/>
      </c>
      <c r="AT241" s="112" t="str">
        <f>IF(AS241="","",COUNTIF($AS$13:AS241,AS241))</f>
        <v/>
      </c>
      <c r="AU241" s="147">
        <f t="shared" si="90"/>
        <v>228</v>
      </c>
      <c r="AV241" s="147">
        <f>COUNTIF($AZ$14:AZ241,AZ241)</f>
        <v>69</v>
      </c>
      <c r="AW241" s="147">
        <f>IFERROR(COUNTIF(AX$14:$BL241,AX241),"")</f>
        <v>33</v>
      </c>
      <c r="AX241" s="148" t="str">
        <f t="shared" si="91"/>
        <v>Wed</v>
      </c>
      <c r="AY241" s="149">
        <f>'Raw Data'!A231</f>
        <v>41836</v>
      </c>
      <c r="AZ241" s="150" t="str">
        <f>'Raw Data'!E231</f>
        <v>No Email Drop</v>
      </c>
      <c r="BA241" s="150">
        <f>'Raw Data'!I231</f>
        <v>1079</v>
      </c>
      <c r="BB241" s="112"/>
      <c r="BC241" s="112"/>
      <c r="BD241" s="112">
        <f>'Raw Data'!O231</f>
        <v>0</v>
      </c>
    </row>
    <row r="242" spans="19:56">
      <c r="S242" s="30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33" t="str">
        <f t="shared" si="88"/>
        <v/>
      </c>
      <c r="AF242" s="114" t="str">
        <f t="shared" si="92"/>
        <v/>
      </c>
      <c r="AG242" s="108" t="str">
        <f t="shared" si="83"/>
        <v/>
      </c>
      <c r="AH242" s="21" t="str">
        <f t="shared" si="84"/>
        <v/>
      </c>
      <c r="AI242" s="21" t="str">
        <f t="shared" si="85"/>
        <v/>
      </c>
      <c r="AJ242" s="21" t="str">
        <f t="shared" si="86"/>
        <v/>
      </c>
      <c r="AK242" s="21" t="str">
        <f t="shared" si="87"/>
        <v/>
      </c>
      <c r="AL242" s="21"/>
      <c r="AM242" s="21"/>
      <c r="AN242" s="21"/>
      <c r="AS242" s="112" t="str">
        <f t="shared" si="89"/>
        <v/>
      </c>
      <c r="AT242" s="112" t="str">
        <f>IF(AS242="","",COUNTIF($AS$13:AS242,AS242))</f>
        <v/>
      </c>
      <c r="AU242" s="147">
        <f t="shared" si="90"/>
        <v>229</v>
      </c>
      <c r="AV242" s="147">
        <f>COUNTIF($AZ$14:AZ242,AZ242)</f>
        <v>1</v>
      </c>
      <c r="AW242" s="147">
        <f>IFERROR(COUNTIF(AX$14:$BL242,AX242),"")</f>
        <v>33</v>
      </c>
      <c r="AX242" s="148" t="str">
        <f t="shared" si="91"/>
        <v>Thu</v>
      </c>
      <c r="AY242" s="149">
        <f>'Raw Data'!A232</f>
        <v>41837</v>
      </c>
      <c r="AZ242" s="150" t="str">
        <f>'Raw Data'!E232</f>
        <v>Treat Thursday,$5 Off,FS on $35</v>
      </c>
      <c r="BA242" s="150">
        <f>'Raw Data'!I232</f>
        <v>1142</v>
      </c>
      <c r="BB242" s="112"/>
      <c r="BC242" s="112"/>
      <c r="BD242" s="112">
        <f>'Raw Data'!O232</f>
        <v>1</v>
      </c>
    </row>
    <row r="243" spans="19:56">
      <c r="S243" s="30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33" t="str">
        <f t="shared" si="88"/>
        <v/>
      </c>
      <c r="AF243" s="114" t="str">
        <f t="shared" si="92"/>
        <v/>
      </c>
      <c r="AG243" s="108" t="str">
        <f t="shared" si="83"/>
        <v/>
      </c>
      <c r="AH243" s="21" t="str">
        <f t="shared" si="84"/>
        <v/>
      </c>
      <c r="AI243" s="21" t="str">
        <f t="shared" si="85"/>
        <v/>
      </c>
      <c r="AJ243" s="21" t="str">
        <f t="shared" si="86"/>
        <v/>
      </c>
      <c r="AK243" s="21" t="str">
        <f t="shared" si="87"/>
        <v/>
      </c>
      <c r="AL243" s="21"/>
      <c r="AM243" s="21"/>
      <c r="AN243" s="21"/>
      <c r="AS243" s="112" t="str">
        <f t="shared" si="89"/>
        <v/>
      </c>
      <c r="AT243" s="112" t="str">
        <f>IF(AS243="","",COUNTIF($AS$13:AS243,AS243))</f>
        <v/>
      </c>
      <c r="AU243" s="147">
        <f t="shared" si="90"/>
        <v>230</v>
      </c>
      <c r="AV243" s="147">
        <f>COUNTIF($AZ$14:AZ243,AZ243)</f>
        <v>3</v>
      </c>
      <c r="AW243" s="147">
        <f>IFERROR(COUNTIF(AX$14:$BL243,AX243),"")</f>
        <v>33</v>
      </c>
      <c r="AX243" s="148" t="str">
        <f t="shared" si="91"/>
        <v>Fri</v>
      </c>
      <c r="AY243" s="149">
        <f>'Raw Data'!A233</f>
        <v>41838</v>
      </c>
      <c r="AZ243" s="150" t="str">
        <f>'Raw Data'!E233</f>
        <v>30% Off,FS on $75</v>
      </c>
      <c r="BA243" s="150">
        <f>'Raw Data'!I233</f>
        <v>1116</v>
      </c>
      <c r="BB243" s="112"/>
      <c r="BC243" s="112"/>
      <c r="BD243" s="112">
        <f>'Raw Data'!O233</f>
        <v>1</v>
      </c>
    </row>
    <row r="244" spans="19:56">
      <c r="S244" s="30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33" t="str">
        <f t="shared" si="88"/>
        <v/>
      </c>
      <c r="AF244" s="114" t="str">
        <f t="shared" si="92"/>
        <v/>
      </c>
      <c r="AG244" s="108" t="str">
        <f t="shared" si="83"/>
        <v/>
      </c>
      <c r="AH244" s="21" t="str">
        <f t="shared" si="84"/>
        <v/>
      </c>
      <c r="AI244" s="21" t="str">
        <f t="shared" si="85"/>
        <v/>
      </c>
      <c r="AJ244" s="21" t="str">
        <f t="shared" si="86"/>
        <v/>
      </c>
      <c r="AK244" s="21" t="str">
        <f t="shared" si="87"/>
        <v/>
      </c>
      <c r="AL244" s="21"/>
      <c r="AM244" s="21"/>
      <c r="AN244" s="21"/>
      <c r="AS244" s="112" t="str">
        <f t="shared" si="89"/>
        <v/>
      </c>
      <c r="AT244" s="112" t="str">
        <f>IF(AS244="","",COUNTIF($AS$13:AS244,AS244))</f>
        <v/>
      </c>
      <c r="AU244" s="147">
        <f t="shared" si="90"/>
        <v>231</v>
      </c>
      <c r="AV244" s="147">
        <f>COUNTIF($AZ$14:AZ244,AZ244)</f>
        <v>70</v>
      </c>
      <c r="AW244" s="147">
        <f>IFERROR(COUNTIF(AX$14:$BL244,AX244),"")</f>
        <v>33</v>
      </c>
      <c r="AX244" s="148" t="str">
        <f t="shared" si="91"/>
        <v>Sat</v>
      </c>
      <c r="AY244" s="149">
        <f>'Raw Data'!A234</f>
        <v>41839</v>
      </c>
      <c r="AZ244" s="150" t="str">
        <f>'Raw Data'!E234</f>
        <v>No Email Drop</v>
      </c>
      <c r="BA244" s="150">
        <f>'Raw Data'!I234</f>
        <v>671</v>
      </c>
      <c r="BB244" s="112"/>
      <c r="BC244" s="112"/>
      <c r="BD244" s="112">
        <f>'Raw Data'!O234</f>
        <v>0</v>
      </c>
    </row>
    <row r="245" spans="19:56">
      <c r="S245" s="30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33" t="str">
        <f t="shared" si="88"/>
        <v/>
      </c>
      <c r="AF245" s="114" t="str">
        <f t="shared" si="92"/>
        <v/>
      </c>
      <c r="AG245" s="108" t="str">
        <f t="shared" si="83"/>
        <v/>
      </c>
      <c r="AH245" s="21" t="str">
        <f t="shared" si="84"/>
        <v/>
      </c>
      <c r="AI245" s="21" t="str">
        <f t="shared" si="85"/>
        <v/>
      </c>
      <c r="AJ245" s="21" t="str">
        <f t="shared" si="86"/>
        <v/>
      </c>
      <c r="AK245" s="21" t="str">
        <f t="shared" si="87"/>
        <v/>
      </c>
      <c r="AL245" s="21"/>
      <c r="AM245" s="21"/>
      <c r="AN245" s="21"/>
      <c r="AS245" s="112" t="str">
        <f t="shared" si="89"/>
        <v/>
      </c>
      <c r="AT245" s="112" t="str">
        <f>IF(AS245="","",COUNTIF($AS$13:AS245,AS245))</f>
        <v/>
      </c>
      <c r="AU245" s="147">
        <f t="shared" si="90"/>
        <v>232</v>
      </c>
      <c r="AV245" s="147">
        <f>COUNTIF($AZ$14:AZ245,AZ245)</f>
        <v>71</v>
      </c>
      <c r="AW245" s="147">
        <f>IFERROR(COUNTIF(AX$14:$BL245,AX245),"")</f>
        <v>34</v>
      </c>
      <c r="AX245" s="148" t="str">
        <f t="shared" si="91"/>
        <v>Sun</v>
      </c>
      <c r="AY245" s="149">
        <f>'Raw Data'!A235</f>
        <v>41840</v>
      </c>
      <c r="AZ245" s="150" t="str">
        <f>'Raw Data'!E235</f>
        <v>No Email Drop</v>
      </c>
      <c r="BA245" s="150">
        <f>'Raw Data'!I235</f>
        <v>535</v>
      </c>
      <c r="BB245" s="112"/>
      <c r="BC245" s="112"/>
      <c r="BD245" s="112">
        <f>'Raw Data'!O235</f>
        <v>0</v>
      </c>
    </row>
    <row r="246" spans="19:56">
      <c r="S246" s="30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33" t="str">
        <f t="shared" si="88"/>
        <v/>
      </c>
      <c r="AF246" s="114" t="str">
        <f t="shared" si="92"/>
        <v/>
      </c>
      <c r="AG246" s="108" t="str">
        <f t="shared" si="83"/>
        <v/>
      </c>
      <c r="AH246" s="21" t="str">
        <f t="shared" si="84"/>
        <v/>
      </c>
      <c r="AI246" s="21" t="str">
        <f t="shared" si="85"/>
        <v/>
      </c>
      <c r="AJ246" s="21" t="str">
        <f t="shared" si="86"/>
        <v/>
      </c>
      <c r="AK246" s="21" t="str">
        <f t="shared" si="87"/>
        <v/>
      </c>
      <c r="AL246" s="21"/>
      <c r="AM246" s="21"/>
      <c r="AN246" s="21"/>
      <c r="AS246" s="112" t="str">
        <f t="shared" si="89"/>
        <v/>
      </c>
      <c r="AT246" s="112" t="str">
        <f>IF(AS246="","",COUNTIF($AS$13:AS246,AS246))</f>
        <v/>
      </c>
      <c r="AU246" s="147">
        <f t="shared" si="90"/>
        <v>233</v>
      </c>
      <c r="AV246" s="147">
        <f>COUNTIF($AZ$14:AZ246,AZ246)</f>
        <v>72</v>
      </c>
      <c r="AW246" s="147">
        <f>IFERROR(COUNTIF(AX$14:$BL246,AX246),"")</f>
        <v>34</v>
      </c>
      <c r="AX246" s="148" t="str">
        <f t="shared" si="91"/>
        <v>Mon</v>
      </c>
      <c r="AY246" s="149">
        <f>'Raw Data'!A236</f>
        <v>41841</v>
      </c>
      <c r="AZ246" s="150" t="str">
        <f>'Raw Data'!E236</f>
        <v>No Email Drop</v>
      </c>
      <c r="BA246" s="150">
        <f>'Raw Data'!I236</f>
        <v>1005</v>
      </c>
      <c r="BB246" s="112"/>
      <c r="BC246" s="112"/>
      <c r="BD246" s="112">
        <f>'Raw Data'!O236</f>
        <v>0</v>
      </c>
    </row>
    <row r="247" spans="19:56">
      <c r="S247" s="30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33" t="str">
        <f t="shared" si="88"/>
        <v/>
      </c>
      <c r="AF247" s="114" t="str">
        <f t="shared" si="92"/>
        <v/>
      </c>
      <c r="AG247" s="108" t="str">
        <f t="shared" si="83"/>
        <v/>
      </c>
      <c r="AH247" s="21" t="str">
        <f t="shared" si="84"/>
        <v/>
      </c>
      <c r="AI247" s="21" t="str">
        <f t="shared" si="85"/>
        <v/>
      </c>
      <c r="AJ247" s="21" t="str">
        <f t="shared" si="86"/>
        <v/>
      </c>
      <c r="AK247" s="21" t="str">
        <f t="shared" si="87"/>
        <v/>
      </c>
      <c r="AL247" s="21"/>
      <c r="AM247" s="21"/>
      <c r="AN247" s="21"/>
      <c r="AS247" s="112" t="str">
        <f t="shared" si="89"/>
        <v/>
      </c>
      <c r="AT247" s="112" t="str">
        <f>IF(AS247="","",COUNTIF($AS$13:AS247,AS247))</f>
        <v/>
      </c>
      <c r="AU247" s="147">
        <f t="shared" si="90"/>
        <v>234</v>
      </c>
      <c r="AV247" s="147">
        <f>COUNTIF($AZ$14:AZ247,AZ247)</f>
        <v>19</v>
      </c>
      <c r="AW247" s="147">
        <f>IFERROR(COUNTIF(AX$14:$BL247,AX247),"")</f>
        <v>34</v>
      </c>
      <c r="AX247" s="148" t="str">
        <f t="shared" si="91"/>
        <v>Tue</v>
      </c>
      <c r="AY247" s="149">
        <f>'Raw Data'!A237</f>
        <v>41842</v>
      </c>
      <c r="AZ247" s="150" t="str">
        <f>'Raw Data'!E237</f>
        <v>$10 Off,FS on $49</v>
      </c>
      <c r="BA247" s="150">
        <f>'Raw Data'!I237</f>
        <v>1373</v>
      </c>
      <c r="BB247" s="112"/>
      <c r="BC247" s="112"/>
      <c r="BD247" s="112">
        <f>'Raw Data'!O237</f>
        <v>2</v>
      </c>
    </row>
    <row r="248" spans="19:56">
      <c r="S248" s="30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33" t="str">
        <f t="shared" si="88"/>
        <v/>
      </c>
      <c r="AF248" s="114" t="str">
        <f t="shared" si="92"/>
        <v/>
      </c>
      <c r="AG248" s="108" t="str">
        <f t="shared" si="83"/>
        <v/>
      </c>
      <c r="AH248" s="21" t="str">
        <f t="shared" si="84"/>
        <v/>
      </c>
      <c r="AI248" s="21" t="str">
        <f t="shared" si="85"/>
        <v/>
      </c>
      <c r="AJ248" s="21" t="str">
        <f t="shared" si="86"/>
        <v/>
      </c>
      <c r="AK248" s="21" t="str">
        <f t="shared" si="87"/>
        <v/>
      </c>
      <c r="AL248" s="21"/>
      <c r="AM248" s="21"/>
      <c r="AN248" s="21"/>
      <c r="AS248" s="112" t="str">
        <f t="shared" si="89"/>
        <v/>
      </c>
      <c r="AT248" s="112" t="str">
        <f>IF(AS248="","",COUNTIF($AS$13:AS248,AS248))</f>
        <v/>
      </c>
      <c r="AU248" s="147">
        <f t="shared" si="90"/>
        <v>235</v>
      </c>
      <c r="AV248" s="147">
        <f>COUNTIF($AZ$14:AZ248,AZ248)</f>
        <v>1</v>
      </c>
      <c r="AW248" s="147">
        <f>IFERROR(COUNTIF(AX$14:$BL248,AX248),"")</f>
        <v>34</v>
      </c>
      <c r="AX248" s="148" t="str">
        <f t="shared" si="91"/>
        <v>Wed</v>
      </c>
      <c r="AY248" s="149">
        <f>'Raw Data'!A238</f>
        <v>41843</v>
      </c>
      <c r="AZ248" s="150" t="str">
        <f>'Raw Data'!E238</f>
        <v>20-40% Off,FS on $49</v>
      </c>
      <c r="BA248" s="150">
        <f>'Raw Data'!I238</f>
        <v>1023</v>
      </c>
      <c r="BB248" s="112"/>
      <c r="BC248" s="112"/>
      <c r="BD248" s="112">
        <f>'Raw Data'!O238</f>
        <v>1</v>
      </c>
    </row>
    <row r="249" spans="19:56">
      <c r="S249" s="30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33" t="str">
        <f t="shared" si="88"/>
        <v/>
      </c>
      <c r="AF249" s="114" t="str">
        <f t="shared" si="92"/>
        <v/>
      </c>
      <c r="AG249" s="108" t="str">
        <f t="shared" si="83"/>
        <v/>
      </c>
      <c r="AH249" s="21" t="str">
        <f t="shared" si="84"/>
        <v/>
      </c>
      <c r="AI249" s="21" t="str">
        <f t="shared" si="85"/>
        <v/>
      </c>
      <c r="AJ249" s="21" t="str">
        <f t="shared" si="86"/>
        <v/>
      </c>
      <c r="AK249" s="21" t="str">
        <f t="shared" si="87"/>
        <v/>
      </c>
      <c r="AL249" s="21"/>
      <c r="AM249" s="21"/>
      <c r="AN249" s="21"/>
      <c r="AS249" s="112" t="str">
        <f t="shared" si="89"/>
        <v/>
      </c>
      <c r="AT249" s="112" t="str">
        <f>IF(AS249="","",COUNTIF($AS$13:AS249,AS249))</f>
        <v/>
      </c>
      <c r="AU249" s="147">
        <f t="shared" si="90"/>
        <v>236</v>
      </c>
      <c r="AV249" s="147">
        <f>COUNTIF($AZ$14:AZ249,AZ249)</f>
        <v>2</v>
      </c>
      <c r="AW249" s="147">
        <f>IFERROR(COUNTIF(AX$14:$BL249,AX249),"")</f>
        <v>34</v>
      </c>
      <c r="AX249" s="148" t="str">
        <f t="shared" si="91"/>
        <v>Thu</v>
      </c>
      <c r="AY249" s="149">
        <f>'Raw Data'!A239</f>
        <v>41844</v>
      </c>
      <c r="AZ249" s="150" t="str">
        <f>'Raw Data'!E239</f>
        <v>20-40% Off,FS on $49</v>
      </c>
      <c r="BA249" s="150">
        <f>'Raw Data'!I239</f>
        <v>987</v>
      </c>
      <c r="BB249" s="112"/>
      <c r="BC249" s="112"/>
      <c r="BD249" s="112">
        <f>'Raw Data'!O239</f>
        <v>1</v>
      </c>
    </row>
    <row r="250" spans="19:56">
      <c r="S250" s="30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33" t="str">
        <f t="shared" si="88"/>
        <v/>
      </c>
      <c r="AF250" s="114" t="str">
        <f t="shared" si="92"/>
        <v/>
      </c>
      <c r="AG250" s="108" t="str">
        <f t="shared" si="83"/>
        <v/>
      </c>
      <c r="AH250" s="21" t="str">
        <f t="shared" si="84"/>
        <v/>
      </c>
      <c r="AI250" s="21" t="str">
        <f t="shared" si="85"/>
        <v/>
      </c>
      <c r="AJ250" s="21" t="str">
        <f t="shared" si="86"/>
        <v/>
      </c>
      <c r="AK250" s="21" t="str">
        <f t="shared" si="87"/>
        <v/>
      </c>
      <c r="AL250" s="21"/>
      <c r="AM250" s="21"/>
      <c r="AN250" s="21"/>
      <c r="AS250" s="112" t="str">
        <f t="shared" si="89"/>
        <v/>
      </c>
      <c r="AT250" s="112" t="str">
        <f>IF(AS250="","",COUNTIF($AS$13:AS250,AS250))</f>
        <v/>
      </c>
      <c r="AU250" s="147">
        <f t="shared" si="90"/>
        <v>237</v>
      </c>
      <c r="AV250" s="147">
        <f>COUNTIF($AZ$14:AZ250,AZ250)</f>
        <v>8</v>
      </c>
      <c r="AW250" s="147">
        <f>IFERROR(COUNTIF(AX$14:$BL250,AX250),"")</f>
        <v>34</v>
      </c>
      <c r="AX250" s="148" t="str">
        <f t="shared" si="91"/>
        <v>Fri</v>
      </c>
      <c r="AY250" s="149">
        <f>'Raw Data'!A240</f>
        <v>41845</v>
      </c>
      <c r="AZ250" s="150" t="str">
        <f>'Raw Data'!E240</f>
        <v>Free Ship No Min</v>
      </c>
      <c r="BA250" s="150">
        <f>'Raw Data'!I240</f>
        <v>1089</v>
      </c>
      <c r="BB250" s="112"/>
      <c r="BC250" s="112"/>
      <c r="BD250" s="112">
        <f>'Raw Data'!O240</f>
        <v>1</v>
      </c>
    </row>
    <row r="251" spans="19:56">
      <c r="S251" s="30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33" t="str">
        <f t="shared" si="88"/>
        <v/>
      </c>
      <c r="AF251" s="114" t="str">
        <f t="shared" si="92"/>
        <v/>
      </c>
      <c r="AG251" s="108" t="str">
        <f t="shared" si="83"/>
        <v/>
      </c>
      <c r="AH251" s="21" t="str">
        <f t="shared" si="84"/>
        <v/>
      </c>
      <c r="AI251" s="21" t="str">
        <f t="shared" si="85"/>
        <v/>
      </c>
      <c r="AJ251" s="21" t="str">
        <f t="shared" si="86"/>
        <v/>
      </c>
      <c r="AK251" s="21" t="str">
        <f t="shared" si="87"/>
        <v/>
      </c>
      <c r="AL251" s="21"/>
      <c r="AM251" s="21"/>
      <c r="AN251" s="21"/>
      <c r="AS251" s="112" t="str">
        <f t="shared" si="89"/>
        <v/>
      </c>
      <c r="AT251" s="112" t="str">
        <f>IF(AS251="","",COUNTIF($AS$13:AS251,AS251))</f>
        <v/>
      </c>
      <c r="AU251" s="147">
        <f t="shared" si="90"/>
        <v>238</v>
      </c>
      <c r="AV251" s="147">
        <f>COUNTIF($AZ$14:AZ251,AZ251)</f>
        <v>9</v>
      </c>
      <c r="AW251" s="147">
        <f>IFERROR(COUNTIF(AX$14:$BL251,AX251),"")</f>
        <v>34</v>
      </c>
      <c r="AX251" s="148" t="str">
        <f t="shared" si="91"/>
        <v>Sat</v>
      </c>
      <c r="AY251" s="149">
        <f>'Raw Data'!A241</f>
        <v>41846</v>
      </c>
      <c r="AZ251" s="150" t="str">
        <f>'Raw Data'!E241</f>
        <v>Free Ship No Min</v>
      </c>
      <c r="BA251" s="150">
        <f>'Raw Data'!I241</f>
        <v>852</v>
      </c>
      <c r="BB251" s="112"/>
      <c r="BC251" s="112"/>
      <c r="BD251" s="112">
        <f>'Raw Data'!O241</f>
        <v>1</v>
      </c>
    </row>
    <row r="252" spans="19:56">
      <c r="S252" s="30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33" t="str">
        <f t="shared" si="88"/>
        <v/>
      </c>
      <c r="AF252" s="114" t="str">
        <f t="shared" si="92"/>
        <v/>
      </c>
      <c r="AG252" s="108" t="str">
        <f t="shared" si="83"/>
        <v/>
      </c>
      <c r="AH252" s="21" t="str">
        <f t="shared" si="84"/>
        <v/>
      </c>
      <c r="AI252" s="21" t="str">
        <f t="shared" si="85"/>
        <v/>
      </c>
      <c r="AJ252" s="21" t="str">
        <f t="shared" si="86"/>
        <v/>
      </c>
      <c r="AK252" s="21" t="str">
        <f t="shared" si="87"/>
        <v/>
      </c>
      <c r="AL252" s="21"/>
      <c r="AM252" s="21"/>
      <c r="AN252" s="21"/>
      <c r="AS252" s="112" t="str">
        <f t="shared" si="89"/>
        <v/>
      </c>
      <c r="AT252" s="112" t="str">
        <f>IF(AS252="","",COUNTIF($AS$13:AS252,AS252))</f>
        <v/>
      </c>
      <c r="AU252" s="147">
        <f t="shared" si="90"/>
        <v>239</v>
      </c>
      <c r="AV252" s="147">
        <f>COUNTIF($AZ$14:AZ252,AZ252)</f>
        <v>3</v>
      </c>
      <c r="AW252" s="147">
        <f>IFERROR(COUNTIF(AX$14:$BL252,AX252),"")</f>
        <v>35</v>
      </c>
      <c r="AX252" s="148" t="str">
        <f t="shared" si="91"/>
        <v>Sun</v>
      </c>
      <c r="AY252" s="149">
        <f>'Raw Data'!A242</f>
        <v>41847</v>
      </c>
      <c r="AZ252" s="150" t="str">
        <f>'Raw Data'!E242</f>
        <v>20-40% Off,FS on $49</v>
      </c>
      <c r="BA252" s="150">
        <f>'Raw Data'!I242</f>
        <v>606</v>
      </c>
      <c r="BB252" s="112"/>
      <c r="BC252" s="112"/>
      <c r="BD252" s="112">
        <f>'Raw Data'!O242</f>
        <v>1</v>
      </c>
    </row>
    <row r="253" spans="19:56">
      <c r="S253" s="30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33" t="str">
        <f t="shared" si="88"/>
        <v/>
      </c>
      <c r="AF253" s="114" t="str">
        <f t="shared" si="92"/>
        <v/>
      </c>
      <c r="AG253" s="108" t="str">
        <f t="shared" si="83"/>
        <v/>
      </c>
      <c r="AH253" s="21" t="str">
        <f t="shared" si="84"/>
        <v/>
      </c>
      <c r="AI253" s="21" t="str">
        <f t="shared" si="85"/>
        <v/>
      </c>
      <c r="AJ253" s="21" t="str">
        <f t="shared" si="86"/>
        <v/>
      </c>
      <c r="AK253" s="21" t="str">
        <f t="shared" si="87"/>
        <v/>
      </c>
      <c r="AL253" s="21"/>
      <c r="AM253" s="21"/>
      <c r="AN253" s="21"/>
      <c r="AS253" s="112" t="str">
        <f t="shared" si="89"/>
        <v/>
      </c>
      <c r="AT253" s="112" t="str">
        <f>IF(AS253="","",COUNTIF($AS$13:AS253,AS253))</f>
        <v/>
      </c>
      <c r="AU253" s="147">
        <f t="shared" si="90"/>
        <v>240</v>
      </c>
      <c r="AV253" s="147">
        <f>COUNTIF($AZ$14:AZ253,AZ253)</f>
        <v>20</v>
      </c>
      <c r="AW253" s="147">
        <f>IFERROR(COUNTIF(AX$14:$BL253,AX253),"")</f>
        <v>35</v>
      </c>
      <c r="AX253" s="148" t="str">
        <f t="shared" si="91"/>
        <v>Mon</v>
      </c>
      <c r="AY253" s="149">
        <f>'Raw Data'!A243</f>
        <v>41848</v>
      </c>
      <c r="AZ253" s="150" t="str">
        <f>'Raw Data'!E243</f>
        <v>$10 Off,FS on $49</v>
      </c>
      <c r="BA253" s="150">
        <f>'Raw Data'!I243</f>
        <v>1409</v>
      </c>
      <c r="BB253" s="112"/>
      <c r="BC253" s="112"/>
      <c r="BD253" s="112">
        <f>'Raw Data'!O243</f>
        <v>1</v>
      </c>
    </row>
    <row r="254" spans="19:56">
      <c r="S254" s="30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33" t="str">
        <f t="shared" si="88"/>
        <v/>
      </c>
      <c r="AF254" s="114" t="str">
        <f t="shared" si="92"/>
        <v/>
      </c>
      <c r="AG254" s="108" t="str">
        <f t="shared" si="83"/>
        <v/>
      </c>
      <c r="AH254" s="21" t="str">
        <f t="shared" si="84"/>
        <v/>
      </c>
      <c r="AI254" s="21" t="str">
        <f t="shared" si="85"/>
        <v/>
      </c>
      <c r="AJ254" s="21" t="str">
        <f t="shared" si="86"/>
        <v/>
      </c>
      <c r="AK254" s="21" t="str">
        <f t="shared" si="87"/>
        <v/>
      </c>
      <c r="AL254" s="21"/>
      <c r="AM254" s="21"/>
      <c r="AN254" s="21"/>
      <c r="AS254" s="112" t="str">
        <f t="shared" si="89"/>
        <v/>
      </c>
      <c r="AT254" s="112" t="str">
        <f>IF(AS254="","",COUNTIF($AS$13:AS254,AS254))</f>
        <v/>
      </c>
      <c r="AU254" s="147">
        <f t="shared" si="90"/>
        <v>241</v>
      </c>
      <c r="AV254" s="147">
        <f>COUNTIF($AZ$14:AZ254,AZ254)</f>
        <v>1</v>
      </c>
      <c r="AW254" s="147">
        <f>IFERROR(COUNTIF(AX$14:$BL254,AX254),"")</f>
        <v>35</v>
      </c>
      <c r="AX254" s="148" t="str">
        <f t="shared" si="91"/>
        <v>Tue</v>
      </c>
      <c r="AY254" s="149">
        <f>'Raw Data'!A244</f>
        <v>41849</v>
      </c>
      <c r="AZ254" s="150" t="str">
        <f>'Raw Data'!E244</f>
        <v>RD Event,Double Points</v>
      </c>
      <c r="BA254" s="150">
        <f>'Raw Data'!I244</f>
        <v>1241</v>
      </c>
      <c r="BB254" s="112"/>
      <c r="BC254" s="112"/>
      <c r="BD254" s="112">
        <f>'Raw Data'!O244</f>
        <v>1</v>
      </c>
    </row>
    <row r="255" spans="19:56">
      <c r="S255" s="30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33" t="str">
        <f t="shared" si="88"/>
        <v/>
      </c>
      <c r="AF255" s="114" t="str">
        <f t="shared" si="92"/>
        <v/>
      </c>
      <c r="AG255" s="108" t="str">
        <f t="shared" si="83"/>
        <v/>
      </c>
      <c r="AH255" s="21" t="str">
        <f t="shared" si="84"/>
        <v/>
      </c>
      <c r="AI255" s="21" t="str">
        <f t="shared" si="85"/>
        <v/>
      </c>
      <c r="AJ255" s="21" t="str">
        <f t="shared" si="86"/>
        <v/>
      </c>
      <c r="AK255" s="21" t="str">
        <f t="shared" si="87"/>
        <v/>
      </c>
      <c r="AL255" s="21"/>
      <c r="AM255" s="21"/>
      <c r="AN255" s="21"/>
      <c r="AS255" s="112" t="str">
        <f t="shared" si="89"/>
        <v/>
      </c>
      <c r="AT255" s="112" t="str">
        <f>IF(AS255="","",COUNTIF($AS$13:AS255,AS255))</f>
        <v/>
      </c>
      <c r="AU255" s="147">
        <f t="shared" si="90"/>
        <v>242</v>
      </c>
      <c r="AV255" s="147">
        <f>COUNTIF($AZ$14:AZ255,AZ255)</f>
        <v>1</v>
      </c>
      <c r="AW255" s="147">
        <f>IFERROR(COUNTIF(AX$14:$BL255,AX255),"")</f>
        <v>35</v>
      </c>
      <c r="AX255" s="148" t="str">
        <f t="shared" si="91"/>
        <v>Wed</v>
      </c>
      <c r="AY255" s="149">
        <f>'Raw Data'!A245</f>
        <v>41850</v>
      </c>
      <c r="AZ255" s="150" t="str">
        <f>'Raw Data'!E245</f>
        <v>$5 Off,FS on $35</v>
      </c>
      <c r="BA255" s="150">
        <f>'Raw Data'!I245</f>
        <v>1286</v>
      </c>
      <c r="BB255" s="112"/>
      <c r="BC255" s="112"/>
      <c r="BD255" s="112">
        <f>'Raw Data'!O245</f>
        <v>1</v>
      </c>
    </row>
    <row r="256" spans="19:56">
      <c r="S256" s="30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33" t="str">
        <f t="shared" si="88"/>
        <v/>
      </c>
      <c r="AF256" s="114" t="str">
        <f t="shared" si="92"/>
        <v/>
      </c>
      <c r="AG256" s="108" t="str">
        <f t="shared" si="83"/>
        <v/>
      </c>
      <c r="AH256" s="21" t="str">
        <f t="shared" si="84"/>
        <v/>
      </c>
      <c r="AI256" s="21" t="str">
        <f t="shared" si="85"/>
        <v/>
      </c>
      <c r="AJ256" s="21" t="str">
        <f t="shared" si="86"/>
        <v/>
      </c>
      <c r="AK256" s="21" t="str">
        <f t="shared" si="87"/>
        <v/>
      </c>
      <c r="AL256" s="21"/>
      <c r="AM256" s="21"/>
      <c r="AN256" s="21"/>
      <c r="AS256" s="112" t="str">
        <f t="shared" si="89"/>
        <v/>
      </c>
      <c r="AT256" s="112" t="str">
        <f>IF(AS256="","",COUNTIF($AS$13:AS256,AS256))</f>
        <v/>
      </c>
      <c r="AU256" s="147">
        <f t="shared" si="90"/>
        <v>243</v>
      </c>
      <c r="AV256" s="147">
        <f>COUNTIF($AZ$14:AZ256,AZ256)</f>
        <v>7</v>
      </c>
      <c r="AW256" s="147">
        <f>IFERROR(COUNTIF(AX$14:$BL256,AX256),"")</f>
        <v>35</v>
      </c>
      <c r="AX256" s="148" t="str">
        <f t="shared" si="91"/>
        <v>Thu</v>
      </c>
      <c r="AY256" s="149">
        <f>'Raw Data'!A246</f>
        <v>41851</v>
      </c>
      <c r="AZ256" s="150" t="str">
        <f>'Raw Data'!E246</f>
        <v>Treat Thursday</v>
      </c>
      <c r="BA256" s="150">
        <f>'Raw Data'!I246</f>
        <v>1111</v>
      </c>
      <c r="BB256" s="112"/>
      <c r="BC256" s="112"/>
      <c r="BD256" s="112">
        <f>'Raw Data'!O246</f>
        <v>1</v>
      </c>
    </row>
    <row r="257" spans="19:56">
      <c r="S257" s="30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33" t="str">
        <f t="shared" si="88"/>
        <v/>
      </c>
      <c r="AF257" s="114" t="str">
        <f t="shared" si="92"/>
        <v/>
      </c>
      <c r="AG257" s="108" t="str">
        <f t="shared" si="83"/>
        <v/>
      </c>
      <c r="AH257" s="21" t="str">
        <f t="shared" si="84"/>
        <v/>
      </c>
      <c r="AI257" s="21" t="str">
        <f t="shared" si="85"/>
        <v/>
      </c>
      <c r="AJ257" s="21" t="str">
        <f t="shared" si="86"/>
        <v/>
      </c>
      <c r="AK257" s="21" t="str">
        <f t="shared" si="87"/>
        <v/>
      </c>
      <c r="AL257" s="21"/>
      <c r="AM257" s="21"/>
      <c r="AN257" s="21"/>
      <c r="AS257" s="112" t="str">
        <f t="shared" si="89"/>
        <v/>
      </c>
      <c r="AT257" s="112" t="str">
        <f>IF(AS257="","",COUNTIF($AS$13:AS257,AS257))</f>
        <v/>
      </c>
      <c r="AU257" s="147">
        <f t="shared" si="90"/>
        <v>244</v>
      </c>
      <c r="AV257" s="147">
        <f>COUNTIF($AZ$14:AZ257,AZ257)</f>
        <v>4</v>
      </c>
      <c r="AW257" s="147">
        <f>IFERROR(COUNTIF(AX$14:$BL257,AX257),"")</f>
        <v>35</v>
      </c>
      <c r="AX257" s="148" t="str">
        <f t="shared" si="91"/>
        <v>Fri</v>
      </c>
      <c r="AY257" s="149">
        <f>'Raw Data'!A247</f>
        <v>41852</v>
      </c>
      <c r="AZ257" s="150" t="str">
        <f>'Raw Data'!E247</f>
        <v>20-40% Off,FS on $49</v>
      </c>
      <c r="BA257" s="150">
        <f>'Raw Data'!I247</f>
        <v>1112</v>
      </c>
      <c r="BB257" s="112"/>
      <c r="BC257" s="112"/>
      <c r="BD257" s="112">
        <f>'Raw Data'!O247</f>
        <v>1</v>
      </c>
    </row>
    <row r="258" spans="19:56">
      <c r="S258" s="30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33" t="str">
        <f t="shared" si="88"/>
        <v/>
      </c>
      <c r="AF258" s="114" t="str">
        <f t="shared" si="92"/>
        <v/>
      </c>
      <c r="AG258" s="108" t="str">
        <f t="shared" si="83"/>
        <v/>
      </c>
      <c r="AH258" s="21" t="str">
        <f t="shared" si="84"/>
        <v/>
      </c>
      <c r="AI258" s="21" t="str">
        <f t="shared" si="85"/>
        <v/>
      </c>
      <c r="AJ258" s="21" t="str">
        <f t="shared" si="86"/>
        <v/>
      </c>
      <c r="AK258" s="21" t="str">
        <f t="shared" si="87"/>
        <v/>
      </c>
      <c r="AL258" s="21"/>
      <c r="AM258" s="21"/>
      <c r="AN258" s="21"/>
      <c r="AS258" s="112" t="str">
        <f t="shared" si="89"/>
        <v/>
      </c>
      <c r="AT258" s="112" t="str">
        <f>IF(AS258="","",COUNTIF($AS$13:AS258,AS258))</f>
        <v/>
      </c>
      <c r="AU258" s="147">
        <f t="shared" si="90"/>
        <v>245</v>
      </c>
      <c r="AV258" s="147">
        <f>COUNTIF($AZ$14:AZ258,AZ258)</f>
        <v>5</v>
      </c>
      <c r="AW258" s="147">
        <f>IFERROR(COUNTIF(AX$14:$BL258,AX258),"")</f>
        <v>35</v>
      </c>
      <c r="AX258" s="148" t="str">
        <f t="shared" si="91"/>
        <v>Sat</v>
      </c>
      <c r="AY258" s="149">
        <f>'Raw Data'!A248</f>
        <v>41853</v>
      </c>
      <c r="AZ258" s="150" t="str">
        <f>'Raw Data'!E248</f>
        <v>20-40% Off,FS on $49</v>
      </c>
      <c r="BA258" s="150">
        <f>'Raw Data'!I248</f>
        <v>807</v>
      </c>
      <c r="BB258" s="112"/>
      <c r="BC258" s="112"/>
      <c r="BD258" s="112">
        <f>'Raw Data'!O248</f>
        <v>1</v>
      </c>
    </row>
    <row r="259" spans="19:56">
      <c r="S259" s="30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33" t="str">
        <f t="shared" si="88"/>
        <v/>
      </c>
      <c r="AF259" s="114" t="str">
        <f t="shared" si="92"/>
        <v/>
      </c>
      <c r="AG259" s="108" t="str">
        <f t="shared" si="83"/>
        <v/>
      </c>
      <c r="AH259" s="21" t="str">
        <f t="shared" si="84"/>
        <v/>
      </c>
      <c r="AI259" s="21" t="str">
        <f t="shared" si="85"/>
        <v/>
      </c>
      <c r="AJ259" s="21" t="str">
        <f t="shared" si="86"/>
        <v/>
      </c>
      <c r="AK259" s="21" t="str">
        <f t="shared" si="87"/>
        <v/>
      </c>
      <c r="AL259" s="21"/>
      <c r="AM259" s="21"/>
      <c r="AN259" s="21"/>
      <c r="AS259" s="112" t="str">
        <f t="shared" si="89"/>
        <v/>
      </c>
      <c r="AT259" s="112" t="str">
        <f>IF(AS259="","",COUNTIF($AS$13:AS259,AS259))</f>
        <v/>
      </c>
      <c r="AU259" s="147">
        <f t="shared" si="90"/>
        <v>246</v>
      </c>
      <c r="AV259" s="147">
        <f>COUNTIF($AZ$14:AZ259,AZ259)</f>
        <v>3</v>
      </c>
      <c r="AW259" s="147">
        <f>IFERROR(COUNTIF(AX$14:$BL259,AX259),"")</f>
        <v>36</v>
      </c>
      <c r="AX259" s="148" t="str">
        <f t="shared" si="91"/>
        <v>Sun</v>
      </c>
      <c r="AY259" s="149">
        <f>'Raw Data'!A249</f>
        <v>41854</v>
      </c>
      <c r="AZ259" s="150" t="str">
        <f>'Raw Data'!E249</f>
        <v>RD Event</v>
      </c>
      <c r="BA259" s="150">
        <f>'Raw Data'!I249</f>
        <v>622</v>
      </c>
      <c r="BB259" s="112"/>
      <c r="BC259" s="112"/>
      <c r="BD259" s="112">
        <f>'Raw Data'!O249</f>
        <v>1</v>
      </c>
    </row>
    <row r="260" spans="19:56">
      <c r="S260" s="30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33" t="str">
        <f t="shared" si="88"/>
        <v/>
      </c>
      <c r="AF260" s="114" t="str">
        <f t="shared" si="92"/>
        <v/>
      </c>
      <c r="AG260" s="108" t="str">
        <f t="shared" si="83"/>
        <v/>
      </c>
      <c r="AH260" s="21" t="str">
        <f t="shared" si="84"/>
        <v/>
      </c>
      <c r="AI260" s="21" t="str">
        <f t="shared" si="85"/>
        <v/>
      </c>
      <c r="AJ260" s="21" t="str">
        <f t="shared" si="86"/>
        <v/>
      </c>
      <c r="AK260" s="21" t="str">
        <f t="shared" si="87"/>
        <v/>
      </c>
      <c r="AL260" s="21"/>
      <c r="AM260" s="21"/>
      <c r="AN260" s="21"/>
      <c r="AS260" s="112" t="str">
        <f t="shared" si="89"/>
        <v/>
      </c>
      <c r="AT260" s="112" t="str">
        <f>IF(AS260="","",COUNTIF($AS$13:AS260,AS260))</f>
        <v/>
      </c>
      <c r="AU260" s="147">
        <f t="shared" si="90"/>
        <v>247</v>
      </c>
      <c r="AV260" s="147">
        <f>COUNTIF($AZ$14:AZ260,AZ260)</f>
        <v>73</v>
      </c>
      <c r="AW260" s="147">
        <f>IFERROR(COUNTIF(AX$14:$BL260,AX260),"")</f>
        <v>36</v>
      </c>
      <c r="AX260" s="148" t="str">
        <f t="shared" si="91"/>
        <v>Mon</v>
      </c>
      <c r="AY260" s="149">
        <f>'Raw Data'!A250</f>
        <v>41855</v>
      </c>
      <c r="AZ260" s="150" t="str">
        <f>'Raw Data'!E250</f>
        <v>No Email Drop</v>
      </c>
      <c r="BA260" s="150">
        <f>'Raw Data'!I250</f>
        <v>1098</v>
      </c>
      <c r="BB260" s="112"/>
      <c r="BC260" s="112"/>
      <c r="BD260" s="112">
        <f>'Raw Data'!O250</f>
        <v>0</v>
      </c>
    </row>
    <row r="261" spans="19:56">
      <c r="S261" s="30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33" t="str">
        <f t="shared" si="88"/>
        <v/>
      </c>
      <c r="AF261" s="114" t="str">
        <f t="shared" si="92"/>
        <v/>
      </c>
      <c r="AG261" s="108" t="str">
        <f t="shared" si="83"/>
        <v/>
      </c>
      <c r="AH261" s="21" t="str">
        <f t="shared" si="84"/>
        <v/>
      </c>
      <c r="AI261" s="21" t="str">
        <f t="shared" si="85"/>
        <v/>
      </c>
      <c r="AJ261" s="21" t="str">
        <f t="shared" si="86"/>
        <v/>
      </c>
      <c r="AK261" s="21" t="str">
        <f t="shared" si="87"/>
        <v/>
      </c>
      <c r="AL261" s="21"/>
      <c r="AM261" s="21"/>
      <c r="AN261" s="21"/>
      <c r="AS261" s="112">
        <f t="shared" si="89"/>
        <v>1</v>
      </c>
      <c r="AT261" s="112">
        <f>IF(AS261="","",COUNTIF($AS$13:AS261,AS261))</f>
        <v>9</v>
      </c>
      <c r="AU261" s="147">
        <f t="shared" si="90"/>
        <v>248</v>
      </c>
      <c r="AV261" s="147">
        <f>COUNTIF($AZ$14:AZ261,AZ261)</f>
        <v>1</v>
      </c>
      <c r="AW261" s="147">
        <f>IFERROR(COUNTIF(AX$14:$BL261,AX261),"")</f>
        <v>36</v>
      </c>
      <c r="AX261" s="148" t="str">
        <f t="shared" si="91"/>
        <v>Tue</v>
      </c>
      <c r="AY261" s="149">
        <f>'Raw Data'!A251</f>
        <v>41856</v>
      </c>
      <c r="AZ261" s="150" t="str">
        <f>'Raw Data'!E251</f>
        <v>Flash Sale,25% Off,FS on $49</v>
      </c>
      <c r="BA261" s="150">
        <f>'Raw Data'!I251</f>
        <v>1378</v>
      </c>
      <c r="BB261" s="112"/>
      <c r="BC261" s="112"/>
      <c r="BD261" s="112">
        <f>'Raw Data'!O251</f>
        <v>2</v>
      </c>
    </row>
    <row r="262" spans="19:56">
      <c r="S262" s="30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33" t="str">
        <f t="shared" si="88"/>
        <v/>
      </c>
      <c r="AF262" s="114" t="str">
        <f t="shared" si="92"/>
        <v/>
      </c>
      <c r="AG262" s="108" t="str">
        <f t="shared" si="83"/>
        <v/>
      </c>
      <c r="AH262" s="21" t="str">
        <f t="shared" si="84"/>
        <v/>
      </c>
      <c r="AI262" s="21" t="str">
        <f t="shared" si="85"/>
        <v/>
      </c>
      <c r="AJ262" s="21" t="str">
        <f t="shared" si="86"/>
        <v/>
      </c>
      <c r="AK262" s="21" t="str">
        <f t="shared" si="87"/>
        <v/>
      </c>
      <c r="AL262" s="21"/>
      <c r="AM262" s="21"/>
      <c r="AN262" s="21"/>
      <c r="AS262" s="112">
        <f t="shared" si="89"/>
        <v>1</v>
      </c>
      <c r="AT262" s="112">
        <f>IF(AS262="","",COUNTIF($AS$13:AS262,AS262))</f>
        <v>10</v>
      </c>
      <c r="AU262" s="147">
        <f t="shared" si="90"/>
        <v>249</v>
      </c>
      <c r="AV262" s="147">
        <f>COUNTIF($AZ$14:AZ262,AZ262)</f>
        <v>2</v>
      </c>
      <c r="AW262" s="147">
        <f>IFERROR(COUNTIF(AX$14:$BL262,AX262),"")</f>
        <v>36</v>
      </c>
      <c r="AX262" s="148" t="str">
        <f t="shared" si="91"/>
        <v>Wed</v>
      </c>
      <c r="AY262" s="149">
        <f>'Raw Data'!A252</f>
        <v>41857</v>
      </c>
      <c r="AZ262" s="150" t="str">
        <f>'Raw Data'!E252</f>
        <v>Flash Sale,25% Off,FS on $49</v>
      </c>
      <c r="BA262" s="150">
        <f>'Raw Data'!I252</f>
        <v>1179</v>
      </c>
      <c r="BB262" s="112"/>
      <c r="BC262" s="112"/>
      <c r="BD262" s="112">
        <f>'Raw Data'!O252</f>
        <v>1</v>
      </c>
    </row>
    <row r="263" spans="19:56">
      <c r="S263" s="30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33" t="str">
        <f t="shared" si="88"/>
        <v/>
      </c>
      <c r="AF263" s="114" t="str">
        <f t="shared" si="92"/>
        <v/>
      </c>
      <c r="AG263" s="108" t="str">
        <f t="shared" si="83"/>
        <v/>
      </c>
      <c r="AH263" s="21" t="str">
        <f t="shared" si="84"/>
        <v/>
      </c>
      <c r="AI263" s="21" t="str">
        <f t="shared" si="85"/>
        <v/>
      </c>
      <c r="AJ263" s="21" t="str">
        <f t="shared" si="86"/>
        <v/>
      </c>
      <c r="AK263" s="21" t="str">
        <f t="shared" si="87"/>
        <v/>
      </c>
      <c r="AL263" s="21"/>
      <c r="AM263" s="21"/>
      <c r="AN263" s="21"/>
      <c r="AS263" s="112" t="str">
        <f t="shared" si="89"/>
        <v/>
      </c>
      <c r="AT263" s="112" t="str">
        <f>IF(AS263="","",COUNTIF($AS$13:AS263,AS263))</f>
        <v/>
      </c>
      <c r="AU263" s="147">
        <f t="shared" si="90"/>
        <v>250</v>
      </c>
      <c r="AV263" s="147">
        <f>COUNTIF($AZ$14:AZ263,AZ263)</f>
        <v>3</v>
      </c>
      <c r="AW263" s="147">
        <f>IFERROR(COUNTIF(AX$14:$BL263,AX263),"")</f>
        <v>36</v>
      </c>
      <c r="AX263" s="148" t="str">
        <f t="shared" si="91"/>
        <v>Thu</v>
      </c>
      <c r="AY263" s="149">
        <f>'Raw Data'!A253</f>
        <v>41858</v>
      </c>
      <c r="AZ263" s="150" t="str">
        <f>'Raw Data'!E253</f>
        <v>Up To 40% Off,FS on $49</v>
      </c>
      <c r="BA263" s="150">
        <f>'Raw Data'!I253</f>
        <v>1044</v>
      </c>
      <c r="BB263" s="112"/>
      <c r="BC263" s="112"/>
      <c r="BD263" s="112">
        <f>'Raw Data'!O253</f>
        <v>1</v>
      </c>
    </row>
    <row r="264" spans="19:56">
      <c r="S264" s="30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33" t="str">
        <f t="shared" si="88"/>
        <v/>
      </c>
      <c r="AF264" s="114" t="str">
        <f t="shared" si="92"/>
        <v/>
      </c>
      <c r="AG264" s="108" t="str">
        <f t="shared" si="83"/>
        <v/>
      </c>
      <c r="AH264" s="21" t="str">
        <f t="shared" si="84"/>
        <v/>
      </c>
      <c r="AI264" s="21" t="str">
        <f t="shared" si="85"/>
        <v/>
      </c>
      <c r="AJ264" s="21" t="str">
        <f t="shared" si="86"/>
        <v/>
      </c>
      <c r="AK264" s="21" t="str">
        <f t="shared" si="87"/>
        <v/>
      </c>
      <c r="AL264" s="21"/>
      <c r="AM264" s="21"/>
      <c r="AN264" s="21"/>
      <c r="AS264" s="112" t="str">
        <f t="shared" si="89"/>
        <v/>
      </c>
      <c r="AT264" s="112" t="str">
        <f>IF(AS264="","",COUNTIF($AS$13:AS264,AS264))</f>
        <v/>
      </c>
      <c r="AU264" s="147">
        <f t="shared" si="90"/>
        <v>251</v>
      </c>
      <c r="AV264" s="147">
        <f>COUNTIF($AZ$14:AZ264,AZ264)</f>
        <v>4</v>
      </c>
      <c r="AW264" s="147">
        <f>IFERROR(COUNTIF(AX$14:$BL264,AX264),"")</f>
        <v>36</v>
      </c>
      <c r="AX264" s="148" t="str">
        <f t="shared" si="91"/>
        <v>Fri</v>
      </c>
      <c r="AY264" s="149">
        <f>'Raw Data'!A254</f>
        <v>41859</v>
      </c>
      <c r="AZ264" s="150" t="str">
        <f>'Raw Data'!E254</f>
        <v>RD Event</v>
      </c>
      <c r="BA264" s="150">
        <f>'Raw Data'!I254</f>
        <v>1022</v>
      </c>
      <c r="BB264" s="112"/>
      <c r="BC264" s="112"/>
      <c r="BD264" s="112">
        <f>'Raw Data'!O254</f>
        <v>1</v>
      </c>
    </row>
    <row r="265" spans="19:56">
      <c r="S265" s="30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33" t="str">
        <f t="shared" si="88"/>
        <v/>
      </c>
      <c r="AF265" s="114" t="str">
        <f t="shared" si="92"/>
        <v/>
      </c>
      <c r="AG265" s="108" t="str">
        <f t="shared" si="83"/>
        <v/>
      </c>
      <c r="AH265" s="21" t="str">
        <f t="shared" si="84"/>
        <v/>
      </c>
      <c r="AI265" s="21" t="str">
        <f t="shared" si="85"/>
        <v/>
      </c>
      <c r="AJ265" s="21" t="str">
        <f t="shared" si="86"/>
        <v/>
      </c>
      <c r="AK265" s="21" t="str">
        <f t="shared" si="87"/>
        <v/>
      </c>
      <c r="AL265" s="21"/>
      <c r="AM265" s="21"/>
      <c r="AN265" s="21"/>
      <c r="AS265" s="112" t="str">
        <f t="shared" si="89"/>
        <v/>
      </c>
      <c r="AT265" s="112" t="str">
        <f>IF(AS265="","",COUNTIF($AS$13:AS265,AS265))</f>
        <v/>
      </c>
      <c r="AU265" s="147">
        <f t="shared" si="90"/>
        <v>252</v>
      </c>
      <c r="AV265" s="147">
        <f>COUNTIF($AZ$14:AZ265,AZ265)</f>
        <v>4</v>
      </c>
      <c r="AW265" s="147">
        <f>IFERROR(COUNTIF(AX$14:$BL265,AX265),"")</f>
        <v>36</v>
      </c>
      <c r="AX265" s="148" t="str">
        <f t="shared" si="91"/>
        <v>Sat</v>
      </c>
      <c r="AY265" s="149">
        <f>'Raw Data'!A255</f>
        <v>41860</v>
      </c>
      <c r="AZ265" s="150" t="str">
        <f>'Raw Data'!E255</f>
        <v>Up To 40% Off,FS on $49</v>
      </c>
      <c r="BA265" s="150">
        <f>'Raw Data'!I255</f>
        <v>918</v>
      </c>
      <c r="BB265" s="112"/>
      <c r="BC265" s="112"/>
      <c r="BD265" s="112">
        <f>'Raw Data'!O255</f>
        <v>1</v>
      </c>
    </row>
    <row r="266" spans="19:56">
      <c r="S266" s="30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33" t="str">
        <f t="shared" si="88"/>
        <v/>
      </c>
      <c r="AF266" s="114" t="str">
        <f t="shared" si="92"/>
        <v/>
      </c>
      <c r="AG266" s="108" t="str">
        <f t="shared" si="83"/>
        <v/>
      </c>
      <c r="AH266" s="21" t="str">
        <f t="shared" si="84"/>
        <v/>
      </c>
      <c r="AI266" s="21" t="str">
        <f t="shared" si="85"/>
        <v/>
      </c>
      <c r="AJ266" s="21" t="str">
        <f t="shared" si="86"/>
        <v/>
      </c>
      <c r="AK266" s="21" t="str">
        <f t="shared" si="87"/>
        <v/>
      </c>
      <c r="AL266" s="21"/>
      <c r="AM266" s="21"/>
      <c r="AN266" s="21"/>
      <c r="AS266" s="112" t="str">
        <f t="shared" si="89"/>
        <v/>
      </c>
      <c r="AT266" s="112" t="str">
        <f>IF(AS266="","",COUNTIF($AS$13:AS266,AS266))</f>
        <v/>
      </c>
      <c r="AU266" s="147">
        <f t="shared" si="90"/>
        <v>253</v>
      </c>
      <c r="AV266" s="147">
        <f>COUNTIF($AZ$14:AZ266,AZ266)</f>
        <v>1</v>
      </c>
      <c r="AW266" s="147">
        <f>IFERROR(COUNTIF(AX$14:$BL266,AX266),"")</f>
        <v>37</v>
      </c>
      <c r="AX266" s="148" t="str">
        <f t="shared" si="91"/>
        <v>Sun</v>
      </c>
      <c r="AY266" s="149">
        <f>'Raw Data'!A256</f>
        <v>41861</v>
      </c>
      <c r="AZ266" s="150" t="str">
        <f>'Raw Data'!E256</f>
        <v>7 DOD, 50% Dog</v>
      </c>
      <c r="BA266" s="150">
        <f>'Raw Data'!I256</f>
        <v>705</v>
      </c>
      <c r="BB266" s="112"/>
      <c r="BC266" s="112"/>
      <c r="BD266" s="112">
        <f>'Raw Data'!O256</f>
        <v>1</v>
      </c>
    </row>
    <row r="267" spans="19:56">
      <c r="S267" s="30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33" t="str">
        <f t="shared" si="88"/>
        <v/>
      </c>
      <c r="AF267" s="114" t="str">
        <f t="shared" si="92"/>
        <v/>
      </c>
      <c r="AG267" s="108" t="str">
        <f t="shared" si="83"/>
        <v/>
      </c>
      <c r="AH267" s="21" t="str">
        <f t="shared" si="84"/>
        <v/>
      </c>
      <c r="AI267" s="21" t="str">
        <f t="shared" si="85"/>
        <v/>
      </c>
      <c r="AJ267" s="21" t="str">
        <f t="shared" si="86"/>
        <v/>
      </c>
      <c r="AK267" s="21" t="str">
        <f t="shared" si="87"/>
        <v/>
      </c>
      <c r="AL267" s="21"/>
      <c r="AM267" s="21"/>
      <c r="AN267" s="21"/>
      <c r="AS267" s="112" t="str">
        <f t="shared" si="89"/>
        <v/>
      </c>
      <c r="AT267" s="112" t="str">
        <f>IF(AS267="","",COUNTIF($AS$13:AS267,AS267))</f>
        <v/>
      </c>
      <c r="AU267" s="147">
        <f t="shared" si="90"/>
        <v>254</v>
      </c>
      <c r="AV267" s="147">
        <f>COUNTIF($AZ$14:AZ267,AZ267)</f>
        <v>1</v>
      </c>
      <c r="AW267" s="147">
        <f>IFERROR(COUNTIF(AX$14:$BL267,AX267),"")</f>
        <v>37</v>
      </c>
      <c r="AX267" s="148" t="str">
        <f t="shared" si="91"/>
        <v>Mon</v>
      </c>
      <c r="AY267" s="149">
        <f>'Raw Data'!A257</f>
        <v>41862</v>
      </c>
      <c r="AZ267" s="150" t="str">
        <f>'Raw Data'!E257</f>
        <v>7 DOD, 40% Cat, $100 up</v>
      </c>
      <c r="BA267" s="150">
        <f>'Raw Data'!I257</f>
        <v>1173</v>
      </c>
      <c r="BB267" s="112"/>
      <c r="BC267" s="112"/>
      <c r="BD267" s="112">
        <f>'Raw Data'!O257</f>
        <v>1</v>
      </c>
    </row>
    <row r="268" spans="19:56">
      <c r="S268" s="30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33" t="str">
        <f t="shared" si="88"/>
        <v/>
      </c>
      <c r="AF268" s="114" t="str">
        <f t="shared" si="92"/>
        <v/>
      </c>
      <c r="AG268" s="108" t="str">
        <f t="shared" si="83"/>
        <v/>
      </c>
      <c r="AH268" s="21" t="str">
        <f t="shared" si="84"/>
        <v/>
      </c>
      <c r="AI268" s="21" t="str">
        <f t="shared" si="85"/>
        <v/>
      </c>
      <c r="AJ268" s="21" t="str">
        <f t="shared" si="86"/>
        <v/>
      </c>
      <c r="AK268" s="21" t="str">
        <f t="shared" si="87"/>
        <v/>
      </c>
      <c r="AL268" s="21"/>
      <c r="AM268" s="21"/>
      <c r="AN268" s="21"/>
      <c r="AS268" s="112" t="str">
        <f t="shared" si="89"/>
        <v/>
      </c>
      <c r="AT268" s="112" t="str">
        <f>IF(AS268="","",COUNTIF($AS$13:AS268,AS268))</f>
        <v/>
      </c>
      <c r="AU268" s="147">
        <f t="shared" si="90"/>
        <v>255</v>
      </c>
      <c r="AV268" s="147">
        <f>COUNTIF($AZ$14:AZ268,AZ268)</f>
        <v>1</v>
      </c>
      <c r="AW268" s="147">
        <f>IFERROR(COUNTIF(AX$14:$BL268,AX268),"")</f>
        <v>37</v>
      </c>
      <c r="AX268" s="148" t="str">
        <f t="shared" si="91"/>
        <v>Tue</v>
      </c>
      <c r="AY268" s="149">
        <f>'Raw Data'!A258</f>
        <v>41863</v>
      </c>
      <c r="AZ268" s="150" t="str">
        <f>'Raw Data'!E258</f>
        <v>7 DOD, 50% Midwest</v>
      </c>
      <c r="BA268" s="150">
        <f>'Raw Data'!I258</f>
        <v>1080</v>
      </c>
      <c r="BB268" s="112"/>
      <c r="BC268" s="112"/>
      <c r="BD268" s="112">
        <f>'Raw Data'!O258</f>
        <v>1</v>
      </c>
    </row>
    <row r="269" spans="19:56">
      <c r="S269" s="30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33" t="str">
        <f t="shared" si="88"/>
        <v/>
      </c>
      <c r="AF269" s="114" t="str">
        <f t="shared" si="92"/>
        <v/>
      </c>
      <c r="AG269" s="108" t="str">
        <f t="shared" si="83"/>
        <v/>
      </c>
      <c r="AH269" s="21" t="str">
        <f t="shared" si="84"/>
        <v/>
      </c>
      <c r="AI269" s="21" t="str">
        <f t="shared" si="85"/>
        <v/>
      </c>
      <c r="AJ269" s="21" t="str">
        <f t="shared" si="86"/>
        <v/>
      </c>
      <c r="AK269" s="21" t="str">
        <f t="shared" si="87"/>
        <v/>
      </c>
      <c r="AL269" s="21"/>
      <c r="AM269" s="21"/>
      <c r="AN269" s="21"/>
      <c r="AS269" s="112" t="str">
        <f t="shared" si="89"/>
        <v/>
      </c>
      <c r="AT269" s="112" t="str">
        <f>IF(AS269="","",COUNTIF($AS$13:AS269,AS269))</f>
        <v/>
      </c>
      <c r="AU269" s="147">
        <f t="shared" si="90"/>
        <v>256</v>
      </c>
      <c r="AV269" s="147">
        <f>COUNTIF($AZ$14:AZ269,AZ269)</f>
        <v>1</v>
      </c>
      <c r="AW269" s="147">
        <f>IFERROR(COUNTIF(AX$14:$BL269,AX269),"")</f>
        <v>37</v>
      </c>
      <c r="AX269" s="148" t="str">
        <f t="shared" si="91"/>
        <v>Wed</v>
      </c>
      <c r="AY269" s="149">
        <f>'Raw Data'!A259</f>
        <v>41864</v>
      </c>
      <c r="AZ269" s="150" t="str">
        <f>'Raw Data'!E259</f>
        <v>7 DOD, TBD Electronic</v>
      </c>
      <c r="BA269" s="150">
        <f>'Raw Data'!I259</f>
        <v>1070</v>
      </c>
      <c r="BB269" s="112"/>
      <c r="BC269" s="112"/>
      <c r="BD269" s="112">
        <f>'Raw Data'!O259</f>
        <v>1</v>
      </c>
    </row>
    <row r="270" spans="19:56">
      <c r="S270" s="30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33" t="str">
        <f t="shared" si="88"/>
        <v/>
      </c>
      <c r="AF270" s="114" t="str">
        <f t="shared" si="92"/>
        <v/>
      </c>
      <c r="AG270" s="108" t="str">
        <f t="shared" si="83"/>
        <v/>
      </c>
      <c r="AH270" s="21" t="str">
        <f t="shared" si="84"/>
        <v/>
      </c>
      <c r="AI270" s="21" t="str">
        <f t="shared" si="85"/>
        <v/>
      </c>
      <c r="AJ270" s="21" t="str">
        <f t="shared" si="86"/>
        <v/>
      </c>
      <c r="AK270" s="21" t="str">
        <f t="shared" si="87"/>
        <v/>
      </c>
      <c r="AL270" s="21"/>
      <c r="AM270" s="21"/>
      <c r="AN270" s="21"/>
      <c r="AS270" s="112" t="str">
        <f t="shared" si="89"/>
        <v/>
      </c>
      <c r="AT270" s="112" t="str">
        <f>IF(AS270="","",COUNTIF($AS$13:AS270,AS270))</f>
        <v/>
      </c>
      <c r="AU270" s="147">
        <f t="shared" si="90"/>
        <v>257</v>
      </c>
      <c r="AV270" s="147">
        <f>COUNTIF($AZ$14:AZ270,AZ270)</f>
        <v>1</v>
      </c>
      <c r="AW270" s="147">
        <f>IFERROR(COUNTIF(AX$14:$BL270,AX270),"")</f>
        <v>37</v>
      </c>
      <c r="AX270" s="148" t="str">
        <f t="shared" si="91"/>
        <v>Thu</v>
      </c>
      <c r="AY270" s="149">
        <f>'Raw Data'!A260</f>
        <v>41865</v>
      </c>
      <c r="AZ270" s="150" t="str">
        <f>'Raw Data'!E260</f>
        <v>7 DOD, Double Pals</v>
      </c>
      <c r="BA270" s="150">
        <f>'Raw Data'!I260</f>
        <v>996</v>
      </c>
      <c r="BB270" s="112"/>
      <c r="BC270" s="112"/>
      <c r="BD270" s="112">
        <f>'Raw Data'!O260</f>
        <v>1</v>
      </c>
    </row>
    <row r="271" spans="19:56">
      <c r="S271" s="30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33" t="str">
        <f t="shared" si="88"/>
        <v/>
      </c>
      <c r="AF271" s="114" t="str">
        <f t="shared" si="92"/>
        <v/>
      </c>
      <c r="AG271" s="108" t="str">
        <f t="shared" ref="AG271:AG334" si="93">IF(AF271="","",VLOOKUP(AF271,$AT$14:$BC$1042,6,0))</f>
        <v/>
      </c>
      <c r="AH271" s="21" t="str">
        <f t="shared" ref="AH271:AH334" si="94">IF(AF271="","",VLOOKUP(AF271,$AT$14:$BC$1042,7,0))</f>
        <v/>
      </c>
      <c r="AI271" s="21" t="str">
        <f t="shared" ref="AI271:AI334" si="95">IF(AF271="","",VLOOKUP(AF271,$AT$14:$BC$1042,8,0))</f>
        <v/>
      </c>
      <c r="AJ271" s="21" t="str">
        <f t="shared" ref="AJ271:AJ334" si="96">IF(AF271="","",VLOOKUP(AF271,$AT$14:$BD$1042,11,0))</f>
        <v/>
      </c>
      <c r="AK271" s="21" t="str">
        <f t="shared" ref="AK271:AK334" si="97">IF(AG271="","",VLOOKUP(AG271,$AY$14:$BD$1042,5,0))</f>
        <v/>
      </c>
      <c r="AL271" s="21"/>
      <c r="AM271" s="21"/>
      <c r="AN271" s="21"/>
      <c r="AS271" s="112" t="str">
        <f t="shared" si="89"/>
        <v/>
      </c>
      <c r="AT271" s="112" t="str">
        <f>IF(AS271="","",COUNTIF($AS$13:AS271,AS271))</f>
        <v/>
      </c>
      <c r="AU271" s="147">
        <f t="shared" si="90"/>
        <v>258</v>
      </c>
      <c r="AV271" s="147">
        <f>COUNTIF($AZ$14:AZ271,AZ271)</f>
        <v>1</v>
      </c>
      <c r="AW271" s="147">
        <f>IFERROR(COUNTIF(AX$14:$BL271,AX271),"")</f>
        <v>37</v>
      </c>
      <c r="AX271" s="148" t="str">
        <f t="shared" si="91"/>
        <v>Fri</v>
      </c>
      <c r="AY271" s="149">
        <f>'Raw Data'!A261</f>
        <v>41866</v>
      </c>
      <c r="AZ271" s="150" t="str">
        <f>'Raw Data'!E261</f>
        <v>7 DOD, $39.99 Carefresh</v>
      </c>
      <c r="BA271" s="150">
        <f>'Raw Data'!I261</f>
        <v>1137</v>
      </c>
      <c r="BB271" s="112"/>
      <c r="BC271" s="112"/>
      <c r="BD271" s="112">
        <f>'Raw Data'!O261</f>
        <v>1</v>
      </c>
    </row>
    <row r="272" spans="19:56">
      <c r="S272" s="30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33" t="str">
        <f t="shared" ref="AE272:AE335" si="98">TEXT(AG272,"DDD")</f>
        <v/>
      </c>
      <c r="AF272" s="114" t="str">
        <f t="shared" si="92"/>
        <v/>
      </c>
      <c r="AG272" s="108" t="str">
        <f t="shared" si="93"/>
        <v/>
      </c>
      <c r="AH272" s="21" t="str">
        <f t="shared" si="94"/>
        <v/>
      </c>
      <c r="AI272" s="21" t="str">
        <f t="shared" si="95"/>
        <v/>
      </c>
      <c r="AJ272" s="21" t="str">
        <f t="shared" si="96"/>
        <v/>
      </c>
      <c r="AK272" s="21" t="str">
        <f t="shared" si="97"/>
        <v/>
      </c>
      <c r="AL272" s="21"/>
      <c r="AM272" s="21"/>
      <c r="AN272" s="21"/>
      <c r="AS272" s="112" t="str">
        <f t="shared" ref="AS272:AS335" si="99">IFERROR(IF(FIND($AT$12,AZ272)&gt;0,1,0),"")</f>
        <v/>
      </c>
      <c r="AT272" s="112" t="str">
        <f>IF(AS272="","",COUNTIF($AS$13:AS272,AS272))</f>
        <v/>
      </c>
      <c r="AU272" s="147">
        <f t="shared" ref="AU272:AU335" si="100">AU271+1</f>
        <v>259</v>
      </c>
      <c r="AV272" s="147">
        <f>COUNTIF($AZ$14:AZ272,AZ272)</f>
        <v>1</v>
      </c>
      <c r="AW272" s="147">
        <f>IFERROR(COUNTIF(AX$14:$BL272,AX272),"")</f>
        <v>37</v>
      </c>
      <c r="AX272" s="148" t="str">
        <f t="shared" ref="AX272:AX335" si="101">TEXT(AY272,"ddd")</f>
        <v>Sat</v>
      </c>
      <c r="AY272" s="149">
        <f>'Raw Data'!A262</f>
        <v>41867</v>
      </c>
      <c r="AZ272" s="150" t="str">
        <f>'Raw Data'!E262</f>
        <v>7 DOD, Up to 30% Dog</v>
      </c>
      <c r="BA272" s="150">
        <f>'Raw Data'!I262</f>
        <v>976</v>
      </c>
      <c r="BB272" s="112"/>
      <c r="BC272" s="112"/>
      <c r="BD272" s="112">
        <f>'Raw Data'!O262</f>
        <v>2</v>
      </c>
    </row>
    <row r="273" spans="19:56">
      <c r="S273" s="30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33" t="str">
        <f t="shared" si="98"/>
        <v/>
      </c>
      <c r="AF273" s="114" t="str">
        <f t="shared" ref="AF273:AF336" si="102">IFERROR(IF(AF272=1,"",AF272-1),"")</f>
        <v/>
      </c>
      <c r="AG273" s="108" t="str">
        <f t="shared" si="93"/>
        <v/>
      </c>
      <c r="AH273" s="21" t="str">
        <f t="shared" si="94"/>
        <v/>
      </c>
      <c r="AI273" s="21" t="str">
        <f t="shared" si="95"/>
        <v/>
      </c>
      <c r="AJ273" s="21" t="str">
        <f t="shared" si="96"/>
        <v/>
      </c>
      <c r="AK273" s="21" t="str">
        <f t="shared" si="97"/>
        <v/>
      </c>
      <c r="AL273" s="21"/>
      <c r="AM273" s="21"/>
      <c r="AN273" s="21"/>
      <c r="AS273" s="112" t="str">
        <f t="shared" si="99"/>
        <v/>
      </c>
      <c r="AT273" s="112" t="str">
        <f>IF(AS273="","",COUNTIF($AS$13:AS273,AS273))</f>
        <v/>
      </c>
      <c r="AU273" s="147">
        <f t="shared" si="100"/>
        <v>260</v>
      </c>
      <c r="AV273" s="147">
        <f>COUNTIF($AZ$14:AZ273,AZ273)</f>
        <v>4</v>
      </c>
      <c r="AW273" s="147">
        <f>IFERROR(COUNTIF(AX$14:$BL273,AX273),"")</f>
        <v>38</v>
      </c>
      <c r="AX273" s="148" t="str">
        <f t="shared" si="101"/>
        <v>Sun</v>
      </c>
      <c r="AY273" s="149">
        <f>'Raw Data'!A263</f>
        <v>41868</v>
      </c>
      <c r="AZ273" s="150" t="str">
        <f>'Raw Data'!E263</f>
        <v>30-50% Off,FS on $49</v>
      </c>
      <c r="BA273" s="150">
        <f>'Raw Data'!I263</f>
        <v>783</v>
      </c>
      <c r="BB273" s="112"/>
      <c r="BC273" s="112"/>
      <c r="BD273" s="112">
        <f>'Raw Data'!O263</f>
        <v>1</v>
      </c>
    </row>
    <row r="274" spans="19:56">
      <c r="S274" s="30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33" t="str">
        <f t="shared" si="98"/>
        <v/>
      </c>
      <c r="AF274" s="114" t="str">
        <f t="shared" si="102"/>
        <v/>
      </c>
      <c r="AG274" s="108" t="str">
        <f t="shared" si="93"/>
        <v/>
      </c>
      <c r="AH274" s="21" t="str">
        <f t="shared" si="94"/>
        <v/>
      </c>
      <c r="AI274" s="21" t="str">
        <f t="shared" si="95"/>
        <v/>
      </c>
      <c r="AJ274" s="21" t="str">
        <f t="shared" si="96"/>
        <v/>
      </c>
      <c r="AK274" s="21" t="str">
        <f t="shared" si="97"/>
        <v/>
      </c>
      <c r="AL274" s="21"/>
      <c r="AM274" s="21"/>
      <c r="AN274" s="21"/>
      <c r="AS274" s="112" t="str">
        <f t="shared" si="99"/>
        <v/>
      </c>
      <c r="AT274" s="112" t="str">
        <f>IF(AS274="","",COUNTIF($AS$13:AS274,AS274))</f>
        <v/>
      </c>
      <c r="AU274" s="147">
        <f t="shared" si="100"/>
        <v>261</v>
      </c>
      <c r="AV274" s="147">
        <f>COUNTIF($AZ$14:AZ274,AZ274)</f>
        <v>5</v>
      </c>
      <c r="AW274" s="147">
        <f>IFERROR(COUNTIF(AX$14:$BL274,AX274),"")</f>
        <v>38</v>
      </c>
      <c r="AX274" s="148" t="str">
        <f t="shared" si="101"/>
        <v>Mon</v>
      </c>
      <c r="AY274" s="149">
        <f>'Raw Data'!A264</f>
        <v>41869</v>
      </c>
      <c r="AZ274" s="150" t="str">
        <f>'Raw Data'!E264</f>
        <v>30-50% Off,FS on $49</v>
      </c>
      <c r="BA274" s="150">
        <f>'Raw Data'!I264</f>
        <v>1216</v>
      </c>
      <c r="BB274" s="112"/>
      <c r="BC274" s="112"/>
      <c r="BD274" s="112">
        <f>'Raw Data'!O264</f>
        <v>1</v>
      </c>
    </row>
    <row r="275" spans="19:56">
      <c r="S275" s="30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33" t="str">
        <f t="shared" si="98"/>
        <v/>
      </c>
      <c r="AF275" s="114" t="str">
        <f t="shared" si="102"/>
        <v/>
      </c>
      <c r="AG275" s="108" t="str">
        <f t="shared" si="93"/>
        <v/>
      </c>
      <c r="AH275" s="21" t="str">
        <f t="shared" si="94"/>
        <v/>
      </c>
      <c r="AI275" s="21" t="str">
        <f t="shared" si="95"/>
        <v/>
      </c>
      <c r="AJ275" s="21" t="str">
        <f t="shared" si="96"/>
        <v/>
      </c>
      <c r="AK275" s="21" t="str">
        <f t="shared" si="97"/>
        <v/>
      </c>
      <c r="AL275" s="21"/>
      <c r="AM275" s="21"/>
      <c r="AN275" s="21"/>
      <c r="AS275" s="112" t="str">
        <f t="shared" si="99"/>
        <v/>
      </c>
      <c r="AT275" s="112" t="str">
        <f>IF(AS275="","",COUNTIF($AS$13:AS275,AS275))</f>
        <v/>
      </c>
      <c r="AU275" s="147">
        <f t="shared" si="100"/>
        <v>262</v>
      </c>
      <c r="AV275" s="147">
        <f>COUNTIF($AZ$14:AZ275,AZ275)</f>
        <v>4</v>
      </c>
      <c r="AW275" s="147">
        <f>IFERROR(COUNTIF(AX$14:$BL275,AX275),"")</f>
        <v>38</v>
      </c>
      <c r="AX275" s="148" t="str">
        <f t="shared" si="101"/>
        <v>Tue</v>
      </c>
      <c r="AY275" s="149">
        <f>'Raw Data'!A265</f>
        <v>41870</v>
      </c>
      <c r="AZ275" s="150" t="str">
        <f>'Raw Data'!E265</f>
        <v>$15 Off,FS on $49</v>
      </c>
      <c r="BA275" s="150">
        <f>'Raw Data'!I265</f>
        <v>1335</v>
      </c>
      <c r="BB275" s="112"/>
      <c r="BC275" s="112"/>
      <c r="BD275" s="112">
        <f>'Raw Data'!O265</f>
        <v>2</v>
      </c>
    </row>
    <row r="276" spans="19:56">
      <c r="S276" s="30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33" t="str">
        <f t="shared" si="98"/>
        <v/>
      </c>
      <c r="AF276" s="114" t="str">
        <f t="shared" si="102"/>
        <v/>
      </c>
      <c r="AG276" s="108" t="str">
        <f t="shared" si="93"/>
        <v/>
      </c>
      <c r="AH276" s="21" t="str">
        <f t="shared" si="94"/>
        <v/>
      </c>
      <c r="AI276" s="21" t="str">
        <f t="shared" si="95"/>
        <v/>
      </c>
      <c r="AJ276" s="21" t="str">
        <f t="shared" si="96"/>
        <v/>
      </c>
      <c r="AK276" s="21" t="str">
        <f t="shared" si="97"/>
        <v/>
      </c>
      <c r="AL276" s="21"/>
      <c r="AM276" s="21"/>
      <c r="AN276" s="21"/>
      <c r="AS276" s="112" t="str">
        <f t="shared" si="99"/>
        <v/>
      </c>
      <c r="AT276" s="112" t="str">
        <f>IF(AS276="","",COUNTIF($AS$13:AS276,AS276))</f>
        <v/>
      </c>
      <c r="AU276" s="147">
        <f t="shared" si="100"/>
        <v>263</v>
      </c>
      <c r="AV276" s="147">
        <f>COUNTIF($AZ$14:AZ276,AZ276)</f>
        <v>74</v>
      </c>
      <c r="AW276" s="147">
        <f>IFERROR(COUNTIF(AX$14:$BL276,AX276),"")</f>
        <v>38</v>
      </c>
      <c r="AX276" s="148" t="str">
        <f t="shared" si="101"/>
        <v>Wed</v>
      </c>
      <c r="AY276" s="149">
        <f>'Raw Data'!A266</f>
        <v>41871</v>
      </c>
      <c r="AZ276" s="150" t="str">
        <f>'Raw Data'!E266</f>
        <v>No Email Drop</v>
      </c>
      <c r="BA276" s="150">
        <f>'Raw Data'!I266</f>
        <v>1433</v>
      </c>
      <c r="BB276" s="112"/>
      <c r="BC276" s="112"/>
      <c r="BD276" s="112">
        <f>'Raw Data'!O266</f>
        <v>0</v>
      </c>
    </row>
    <row r="277" spans="19:56">
      <c r="S277" s="30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33" t="str">
        <f t="shared" si="98"/>
        <v/>
      </c>
      <c r="AF277" s="114" t="str">
        <f t="shared" si="102"/>
        <v/>
      </c>
      <c r="AG277" s="108" t="str">
        <f t="shared" si="93"/>
        <v/>
      </c>
      <c r="AH277" s="21" t="str">
        <f t="shared" si="94"/>
        <v/>
      </c>
      <c r="AI277" s="21" t="str">
        <f t="shared" si="95"/>
        <v/>
      </c>
      <c r="AJ277" s="21" t="str">
        <f t="shared" si="96"/>
        <v/>
      </c>
      <c r="AK277" s="21" t="str">
        <f t="shared" si="97"/>
        <v/>
      </c>
      <c r="AL277" s="21"/>
      <c r="AM277" s="21"/>
      <c r="AN277" s="21"/>
      <c r="AS277" s="112" t="str">
        <f t="shared" si="99"/>
        <v/>
      </c>
      <c r="AT277" s="112" t="str">
        <f>IF(AS277="","",COUNTIF($AS$13:AS277,AS277))</f>
        <v/>
      </c>
      <c r="AU277" s="147">
        <f t="shared" si="100"/>
        <v>264</v>
      </c>
      <c r="AV277" s="147">
        <f>COUNTIF($AZ$14:AZ277,AZ277)</f>
        <v>6</v>
      </c>
      <c r="AW277" s="147">
        <f>IFERROR(COUNTIF(AX$14:$BL277,AX277),"")</f>
        <v>38</v>
      </c>
      <c r="AX277" s="148" t="str">
        <f t="shared" si="101"/>
        <v>Thu</v>
      </c>
      <c r="AY277" s="149">
        <f>'Raw Data'!A267</f>
        <v>41872</v>
      </c>
      <c r="AZ277" s="150" t="str">
        <f>'Raw Data'!E267</f>
        <v>30-50% Off,FS on $49</v>
      </c>
      <c r="BA277" s="150">
        <f>'Raw Data'!I267</f>
        <v>1156</v>
      </c>
      <c r="BB277" s="112"/>
      <c r="BC277" s="112"/>
      <c r="BD277" s="112">
        <f>'Raw Data'!O267</f>
        <v>1</v>
      </c>
    </row>
    <row r="278" spans="19:56">
      <c r="S278" s="30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33" t="str">
        <f t="shared" si="98"/>
        <v/>
      </c>
      <c r="AF278" s="114" t="str">
        <f t="shared" si="102"/>
        <v/>
      </c>
      <c r="AG278" s="108" t="str">
        <f t="shared" si="93"/>
        <v/>
      </c>
      <c r="AH278" s="21" t="str">
        <f t="shared" si="94"/>
        <v/>
      </c>
      <c r="AI278" s="21" t="str">
        <f t="shared" si="95"/>
        <v/>
      </c>
      <c r="AJ278" s="21" t="str">
        <f t="shared" si="96"/>
        <v/>
      </c>
      <c r="AK278" s="21" t="str">
        <f t="shared" si="97"/>
        <v/>
      </c>
      <c r="AL278" s="21"/>
      <c r="AM278" s="21"/>
      <c r="AN278" s="21"/>
      <c r="AS278" s="112" t="str">
        <f t="shared" si="99"/>
        <v/>
      </c>
      <c r="AT278" s="112" t="str">
        <f>IF(AS278="","",COUNTIF($AS$13:AS278,AS278))</f>
        <v/>
      </c>
      <c r="AU278" s="147">
        <f t="shared" si="100"/>
        <v>265</v>
      </c>
      <c r="AV278" s="147">
        <f>COUNTIF($AZ$14:AZ278,AZ278)</f>
        <v>10</v>
      </c>
      <c r="AW278" s="147">
        <f>IFERROR(COUNTIF(AX$14:$BL278,AX278),"")</f>
        <v>38</v>
      </c>
      <c r="AX278" s="148" t="str">
        <f t="shared" si="101"/>
        <v>Fri</v>
      </c>
      <c r="AY278" s="149">
        <f>'Raw Data'!A268</f>
        <v>41873</v>
      </c>
      <c r="AZ278" s="150" t="str">
        <f>'Raw Data'!E268</f>
        <v>Free Ship No Min</v>
      </c>
      <c r="BA278" s="150">
        <f>'Raw Data'!I268</f>
        <v>1402</v>
      </c>
      <c r="BB278" s="112"/>
      <c r="BC278" s="112"/>
      <c r="BD278" s="112">
        <f>'Raw Data'!O268</f>
        <v>1</v>
      </c>
    </row>
    <row r="279" spans="19:56">
      <c r="S279" s="30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33" t="str">
        <f t="shared" si="98"/>
        <v/>
      </c>
      <c r="AF279" s="114" t="str">
        <f t="shared" si="102"/>
        <v/>
      </c>
      <c r="AG279" s="108" t="str">
        <f t="shared" si="93"/>
        <v/>
      </c>
      <c r="AH279" s="21" t="str">
        <f t="shared" si="94"/>
        <v/>
      </c>
      <c r="AI279" s="21" t="str">
        <f t="shared" si="95"/>
        <v/>
      </c>
      <c r="AJ279" s="21" t="str">
        <f t="shared" si="96"/>
        <v/>
      </c>
      <c r="AK279" s="21" t="str">
        <f t="shared" si="97"/>
        <v/>
      </c>
      <c r="AL279" s="21"/>
      <c r="AM279" s="21"/>
      <c r="AN279" s="21"/>
      <c r="AS279" s="112" t="str">
        <f t="shared" si="99"/>
        <v/>
      </c>
      <c r="AT279" s="112" t="str">
        <f>IF(AS279="","",COUNTIF($AS$13:AS279,AS279))</f>
        <v/>
      </c>
      <c r="AU279" s="147">
        <f t="shared" si="100"/>
        <v>266</v>
      </c>
      <c r="AV279" s="147">
        <f>COUNTIF($AZ$14:AZ279,AZ279)</f>
        <v>11</v>
      </c>
      <c r="AW279" s="147">
        <f>IFERROR(COUNTIF(AX$14:$BL279,AX279),"")</f>
        <v>38</v>
      </c>
      <c r="AX279" s="148" t="str">
        <f t="shared" si="101"/>
        <v>Sat</v>
      </c>
      <c r="AY279" s="149">
        <f>'Raw Data'!A269</f>
        <v>41874</v>
      </c>
      <c r="AZ279" s="150" t="str">
        <f>'Raw Data'!E269</f>
        <v>Free Ship No Min</v>
      </c>
      <c r="BA279" s="150">
        <f>'Raw Data'!I269</f>
        <v>1031</v>
      </c>
      <c r="BB279" s="112"/>
      <c r="BC279" s="112"/>
      <c r="BD279" s="112">
        <f>'Raw Data'!O269</f>
        <v>1</v>
      </c>
    </row>
    <row r="280" spans="19:56">
      <c r="S280" s="30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33" t="str">
        <f t="shared" si="98"/>
        <v/>
      </c>
      <c r="AF280" s="114" t="str">
        <f t="shared" si="102"/>
        <v/>
      </c>
      <c r="AG280" s="108" t="str">
        <f t="shared" si="93"/>
        <v/>
      </c>
      <c r="AH280" s="21" t="str">
        <f t="shared" si="94"/>
        <v/>
      </c>
      <c r="AI280" s="21" t="str">
        <f t="shared" si="95"/>
        <v/>
      </c>
      <c r="AJ280" s="21" t="str">
        <f t="shared" si="96"/>
        <v/>
      </c>
      <c r="AK280" s="21" t="str">
        <f t="shared" si="97"/>
        <v/>
      </c>
      <c r="AL280" s="21"/>
      <c r="AM280" s="21"/>
      <c r="AN280" s="21"/>
      <c r="AS280" s="112" t="str">
        <f t="shared" si="99"/>
        <v/>
      </c>
      <c r="AT280" s="112" t="str">
        <f>IF(AS280="","",COUNTIF($AS$13:AS280,AS280))</f>
        <v/>
      </c>
      <c r="AU280" s="147">
        <f t="shared" si="100"/>
        <v>267</v>
      </c>
      <c r="AV280" s="147">
        <f>COUNTIF($AZ$14:AZ280,AZ280)</f>
        <v>2</v>
      </c>
      <c r="AW280" s="147">
        <f>IFERROR(COUNTIF(AX$14:$BL280,AX280),"")</f>
        <v>39</v>
      </c>
      <c r="AX280" s="148" t="str">
        <f t="shared" si="101"/>
        <v>Sun</v>
      </c>
      <c r="AY280" s="149">
        <f>'Raw Data'!A270</f>
        <v>41875</v>
      </c>
      <c r="AZ280" s="150" t="str">
        <f>'Raw Data'!E270</f>
        <v>$5 Off,FS on $35</v>
      </c>
      <c r="BA280" s="150">
        <f>'Raw Data'!I270</f>
        <v>919</v>
      </c>
      <c r="BB280" s="112"/>
      <c r="BC280" s="112"/>
      <c r="BD280" s="112">
        <f>'Raw Data'!O270</f>
        <v>2</v>
      </c>
    </row>
    <row r="281" spans="19:56">
      <c r="S281" s="30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33" t="str">
        <f t="shared" si="98"/>
        <v/>
      </c>
      <c r="AF281" s="114" t="str">
        <f t="shared" si="102"/>
        <v/>
      </c>
      <c r="AG281" s="108" t="str">
        <f t="shared" si="93"/>
        <v/>
      </c>
      <c r="AH281" s="21" t="str">
        <f t="shared" si="94"/>
        <v/>
      </c>
      <c r="AI281" s="21" t="str">
        <f t="shared" si="95"/>
        <v/>
      </c>
      <c r="AJ281" s="21" t="str">
        <f t="shared" si="96"/>
        <v/>
      </c>
      <c r="AK281" s="21" t="str">
        <f t="shared" si="97"/>
        <v/>
      </c>
      <c r="AL281" s="21"/>
      <c r="AM281" s="21"/>
      <c r="AN281" s="21"/>
      <c r="AS281" s="112" t="str">
        <f t="shared" si="99"/>
        <v/>
      </c>
      <c r="AT281" s="112" t="str">
        <f>IF(AS281="","",COUNTIF($AS$13:AS281,AS281))</f>
        <v/>
      </c>
      <c r="AU281" s="147">
        <f t="shared" si="100"/>
        <v>268</v>
      </c>
      <c r="AV281" s="147">
        <f>COUNTIF($AZ$14:AZ281,AZ281)</f>
        <v>3</v>
      </c>
      <c r="AW281" s="147">
        <f>IFERROR(COUNTIF(AX$14:$BL281,AX281),"")</f>
        <v>39</v>
      </c>
      <c r="AX281" s="148" t="str">
        <f t="shared" si="101"/>
        <v>Mon</v>
      </c>
      <c r="AY281" s="149">
        <f>'Raw Data'!A271</f>
        <v>41876</v>
      </c>
      <c r="AZ281" s="150" t="str">
        <f>'Raw Data'!E271</f>
        <v>$5 Off,FS on $35</v>
      </c>
      <c r="BA281" s="150">
        <f>'Raw Data'!I271</f>
        <v>1494</v>
      </c>
      <c r="BB281" s="112"/>
      <c r="BC281" s="112"/>
      <c r="BD281" s="112">
        <f>'Raw Data'!O271</f>
        <v>1</v>
      </c>
    </row>
    <row r="282" spans="19:56">
      <c r="S282" s="30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33" t="str">
        <f t="shared" si="98"/>
        <v/>
      </c>
      <c r="AF282" s="114" t="str">
        <f t="shared" si="102"/>
        <v/>
      </c>
      <c r="AG282" s="108" t="str">
        <f t="shared" si="93"/>
        <v/>
      </c>
      <c r="AH282" s="21" t="str">
        <f t="shared" si="94"/>
        <v/>
      </c>
      <c r="AI282" s="21" t="str">
        <f t="shared" si="95"/>
        <v/>
      </c>
      <c r="AJ282" s="21" t="str">
        <f t="shared" si="96"/>
        <v/>
      </c>
      <c r="AK282" s="21" t="str">
        <f t="shared" si="97"/>
        <v/>
      </c>
      <c r="AL282" s="21"/>
      <c r="AM282" s="21"/>
      <c r="AN282" s="21"/>
      <c r="AS282" s="112" t="str">
        <f t="shared" si="99"/>
        <v/>
      </c>
      <c r="AT282" s="112" t="str">
        <f>IF(AS282="","",COUNTIF($AS$13:AS282,AS282))</f>
        <v/>
      </c>
      <c r="AU282" s="147">
        <f t="shared" si="100"/>
        <v>269</v>
      </c>
      <c r="AV282" s="147">
        <f>COUNTIF($AZ$14:AZ282,AZ282)</f>
        <v>7</v>
      </c>
      <c r="AW282" s="147">
        <f>IFERROR(COUNTIF(AX$14:$BL282,AX282),"")</f>
        <v>39</v>
      </c>
      <c r="AX282" s="148" t="str">
        <f t="shared" si="101"/>
        <v>Tue</v>
      </c>
      <c r="AY282" s="149">
        <f>'Raw Data'!A272</f>
        <v>41877</v>
      </c>
      <c r="AZ282" s="150" t="str">
        <f>'Raw Data'!E272</f>
        <v>30-50% Off,FS on $49</v>
      </c>
      <c r="BA282" s="150">
        <f>'Raw Data'!I272</f>
        <v>1395</v>
      </c>
      <c r="BB282" s="112"/>
      <c r="BC282" s="112"/>
      <c r="BD282" s="112">
        <f>'Raw Data'!O272</f>
        <v>1</v>
      </c>
    </row>
    <row r="283" spans="19:56">
      <c r="S283" s="30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33" t="str">
        <f t="shared" si="98"/>
        <v/>
      </c>
      <c r="AF283" s="114" t="str">
        <f t="shared" si="102"/>
        <v/>
      </c>
      <c r="AG283" s="108" t="str">
        <f t="shared" si="93"/>
        <v/>
      </c>
      <c r="AH283" s="21" t="str">
        <f t="shared" si="94"/>
        <v/>
      </c>
      <c r="AI283" s="21" t="str">
        <f t="shared" si="95"/>
        <v/>
      </c>
      <c r="AJ283" s="21" t="str">
        <f t="shared" si="96"/>
        <v/>
      </c>
      <c r="AK283" s="21" t="str">
        <f t="shared" si="97"/>
        <v/>
      </c>
      <c r="AL283" s="21"/>
      <c r="AM283" s="21"/>
      <c r="AN283" s="21"/>
      <c r="AS283" s="112" t="str">
        <f t="shared" si="99"/>
        <v/>
      </c>
      <c r="AT283" s="112" t="str">
        <f>IF(AS283="","",COUNTIF($AS$13:AS283,AS283))</f>
        <v/>
      </c>
      <c r="AU283" s="147">
        <f t="shared" si="100"/>
        <v>270</v>
      </c>
      <c r="AV283" s="147">
        <f>COUNTIF($AZ$14:AZ283,AZ283)</f>
        <v>8</v>
      </c>
      <c r="AW283" s="147">
        <f>IFERROR(COUNTIF(AX$14:$BL283,AX283),"")</f>
        <v>39</v>
      </c>
      <c r="AX283" s="148" t="str">
        <f t="shared" si="101"/>
        <v>Wed</v>
      </c>
      <c r="AY283" s="149">
        <f>'Raw Data'!A273</f>
        <v>41878</v>
      </c>
      <c r="AZ283" s="150" t="str">
        <f>'Raw Data'!E273</f>
        <v>30-50% Off,FS on $49</v>
      </c>
      <c r="BA283" s="150">
        <f>'Raw Data'!I273</f>
        <v>1251</v>
      </c>
      <c r="BB283" s="112"/>
      <c r="BC283" s="112"/>
      <c r="BD283" s="112">
        <f>'Raw Data'!O273</f>
        <v>1</v>
      </c>
    </row>
    <row r="284" spans="19:56">
      <c r="S284" s="30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33" t="str">
        <f t="shared" si="98"/>
        <v/>
      </c>
      <c r="AF284" s="114" t="str">
        <f t="shared" si="102"/>
        <v/>
      </c>
      <c r="AG284" s="108" t="str">
        <f t="shared" si="93"/>
        <v/>
      </c>
      <c r="AH284" s="21" t="str">
        <f t="shared" si="94"/>
        <v/>
      </c>
      <c r="AI284" s="21" t="str">
        <f t="shared" si="95"/>
        <v/>
      </c>
      <c r="AJ284" s="21" t="str">
        <f t="shared" si="96"/>
        <v/>
      </c>
      <c r="AK284" s="21" t="str">
        <f t="shared" si="97"/>
        <v/>
      </c>
      <c r="AL284" s="21"/>
      <c r="AM284" s="21"/>
      <c r="AN284" s="21"/>
      <c r="AS284" s="112" t="str">
        <f t="shared" si="99"/>
        <v/>
      </c>
      <c r="AT284" s="112" t="str">
        <f>IF(AS284="","",COUNTIF($AS$13:AS284,AS284))</f>
        <v/>
      </c>
      <c r="AU284" s="147">
        <f t="shared" si="100"/>
        <v>271</v>
      </c>
      <c r="AV284" s="147">
        <f>COUNTIF($AZ$14:AZ284,AZ284)</f>
        <v>1</v>
      </c>
      <c r="AW284" s="147">
        <f>IFERROR(COUNTIF(AX$14:$BL284,AX284),"")</f>
        <v>39</v>
      </c>
      <c r="AX284" s="148" t="str">
        <f t="shared" si="101"/>
        <v>Thu</v>
      </c>
      <c r="AY284" s="149">
        <f>'Raw Data'!A274</f>
        <v>41879</v>
      </c>
      <c r="AZ284" s="150" t="str">
        <f>'Raw Data'!E274</f>
        <v>15% Off,FS on $49</v>
      </c>
      <c r="BA284" s="150">
        <f>'Raw Data'!I274</f>
        <v>1335</v>
      </c>
      <c r="BB284" s="112"/>
      <c r="BC284" s="112"/>
      <c r="BD284" s="112">
        <f>'Raw Data'!O274</f>
        <v>1</v>
      </c>
    </row>
    <row r="285" spans="19:56">
      <c r="S285" s="30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33" t="str">
        <f t="shared" si="98"/>
        <v/>
      </c>
      <c r="AF285" s="114" t="str">
        <f t="shared" si="102"/>
        <v/>
      </c>
      <c r="AG285" s="108" t="str">
        <f t="shared" si="93"/>
        <v/>
      </c>
      <c r="AH285" s="21" t="str">
        <f t="shared" si="94"/>
        <v/>
      </c>
      <c r="AI285" s="21" t="str">
        <f t="shared" si="95"/>
        <v/>
      </c>
      <c r="AJ285" s="21" t="str">
        <f t="shared" si="96"/>
        <v/>
      </c>
      <c r="AK285" s="21" t="str">
        <f t="shared" si="97"/>
        <v/>
      </c>
      <c r="AL285" s="21"/>
      <c r="AM285" s="21"/>
      <c r="AN285" s="21"/>
      <c r="AS285" s="112" t="str">
        <f t="shared" si="99"/>
        <v/>
      </c>
      <c r="AT285" s="112" t="str">
        <f>IF(AS285="","",COUNTIF($AS$13:AS285,AS285))</f>
        <v/>
      </c>
      <c r="AU285" s="147">
        <f t="shared" si="100"/>
        <v>272</v>
      </c>
      <c r="AV285" s="147">
        <f>COUNTIF($AZ$14:AZ285,AZ285)</f>
        <v>2</v>
      </c>
      <c r="AW285" s="147">
        <f>IFERROR(COUNTIF(AX$14:$BL285,AX285),"")</f>
        <v>39</v>
      </c>
      <c r="AX285" s="148" t="str">
        <f t="shared" si="101"/>
        <v>Fri</v>
      </c>
      <c r="AY285" s="149">
        <f>'Raw Data'!A275</f>
        <v>41880</v>
      </c>
      <c r="AZ285" s="150" t="str">
        <f>'Raw Data'!E275</f>
        <v>15% Off,FS on $49</v>
      </c>
      <c r="BA285" s="150">
        <f>'Raw Data'!I275</f>
        <v>1204</v>
      </c>
      <c r="BB285" s="112"/>
      <c r="BC285" s="112"/>
      <c r="BD285" s="112">
        <f>'Raw Data'!O275</f>
        <v>1</v>
      </c>
    </row>
    <row r="286" spans="19:56">
      <c r="S286" s="30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33" t="str">
        <f t="shared" si="98"/>
        <v/>
      </c>
      <c r="AF286" s="114" t="str">
        <f t="shared" si="102"/>
        <v/>
      </c>
      <c r="AG286" s="108" t="str">
        <f t="shared" si="93"/>
        <v/>
      </c>
      <c r="AH286" s="21" t="str">
        <f t="shared" si="94"/>
        <v/>
      </c>
      <c r="AI286" s="21" t="str">
        <f t="shared" si="95"/>
        <v/>
      </c>
      <c r="AJ286" s="21" t="str">
        <f t="shared" si="96"/>
        <v/>
      </c>
      <c r="AK286" s="21" t="str">
        <f t="shared" si="97"/>
        <v/>
      </c>
      <c r="AL286" s="21"/>
      <c r="AM286" s="21"/>
      <c r="AN286" s="21"/>
      <c r="AS286" s="112" t="str">
        <f t="shared" si="99"/>
        <v/>
      </c>
      <c r="AT286" s="112" t="str">
        <f>IF(AS286="","",COUNTIF($AS$13:AS286,AS286))</f>
        <v/>
      </c>
      <c r="AU286" s="147">
        <f t="shared" si="100"/>
        <v>273</v>
      </c>
      <c r="AV286" s="147">
        <f>COUNTIF($AZ$14:AZ286,AZ286)</f>
        <v>75</v>
      </c>
      <c r="AW286" s="147">
        <f>IFERROR(COUNTIF(AX$14:$BL286,AX286),"")</f>
        <v>39</v>
      </c>
      <c r="AX286" s="148" t="str">
        <f t="shared" si="101"/>
        <v>Sat</v>
      </c>
      <c r="AY286" s="149">
        <f>'Raw Data'!A276</f>
        <v>41881</v>
      </c>
      <c r="AZ286" s="150" t="str">
        <f>'Raw Data'!E276</f>
        <v>No Email Drop</v>
      </c>
      <c r="BA286" s="150">
        <f>'Raw Data'!I276</f>
        <v>769</v>
      </c>
      <c r="BB286" s="112"/>
      <c r="BC286" s="112"/>
      <c r="BD286" s="112">
        <f>'Raw Data'!O276</f>
        <v>0</v>
      </c>
    </row>
    <row r="287" spans="19:56">
      <c r="S287" s="30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33" t="str">
        <f t="shared" si="98"/>
        <v/>
      </c>
      <c r="AF287" s="114" t="str">
        <f t="shared" si="102"/>
        <v/>
      </c>
      <c r="AG287" s="108" t="str">
        <f t="shared" si="93"/>
        <v/>
      </c>
      <c r="AH287" s="21" t="str">
        <f t="shared" si="94"/>
        <v/>
      </c>
      <c r="AI287" s="21" t="str">
        <f t="shared" si="95"/>
        <v/>
      </c>
      <c r="AJ287" s="21" t="str">
        <f t="shared" si="96"/>
        <v/>
      </c>
      <c r="AK287" s="21" t="str">
        <f t="shared" si="97"/>
        <v/>
      </c>
      <c r="AL287" s="21"/>
      <c r="AM287" s="21"/>
      <c r="AN287" s="21"/>
      <c r="AS287" s="112" t="str">
        <f t="shared" si="99"/>
        <v/>
      </c>
      <c r="AT287" s="112" t="str">
        <f>IF(AS287="","",COUNTIF($AS$13:AS287,AS287))</f>
        <v/>
      </c>
      <c r="AU287" s="147">
        <f t="shared" si="100"/>
        <v>274</v>
      </c>
      <c r="AV287" s="147">
        <f>COUNTIF($AZ$14:AZ287,AZ287)</f>
        <v>3</v>
      </c>
      <c r="AW287" s="147">
        <f>IFERROR(COUNTIF(AX$14:$BL287,AX287),"")</f>
        <v>40</v>
      </c>
      <c r="AX287" s="148" t="str">
        <f t="shared" si="101"/>
        <v>Sun</v>
      </c>
      <c r="AY287" s="149">
        <f>'Raw Data'!A277</f>
        <v>41882</v>
      </c>
      <c r="AZ287" s="150" t="str">
        <f>'Raw Data'!E277</f>
        <v>15% Off,FS on $49</v>
      </c>
      <c r="BA287" s="150">
        <f>'Raw Data'!I277</f>
        <v>694</v>
      </c>
      <c r="BB287" s="112"/>
      <c r="BC287" s="112"/>
      <c r="BD287" s="112">
        <f>'Raw Data'!O277</f>
        <v>1</v>
      </c>
    </row>
    <row r="288" spans="19:56">
      <c r="S288" s="30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33" t="str">
        <f t="shared" si="98"/>
        <v/>
      </c>
      <c r="AF288" s="114" t="str">
        <f t="shared" si="102"/>
        <v/>
      </c>
      <c r="AG288" s="108" t="str">
        <f t="shared" si="93"/>
        <v/>
      </c>
      <c r="AH288" s="21" t="str">
        <f t="shared" si="94"/>
        <v/>
      </c>
      <c r="AI288" s="21" t="str">
        <f t="shared" si="95"/>
        <v/>
      </c>
      <c r="AJ288" s="21" t="str">
        <f t="shared" si="96"/>
        <v/>
      </c>
      <c r="AK288" s="21" t="str">
        <f t="shared" si="97"/>
        <v/>
      </c>
      <c r="AL288" s="21"/>
      <c r="AM288" s="21"/>
      <c r="AN288" s="21"/>
      <c r="AS288" s="112" t="str">
        <f t="shared" si="99"/>
        <v/>
      </c>
      <c r="AT288" s="112" t="str">
        <f>IF(AS288="","",COUNTIF($AS$13:AS288,AS288))</f>
        <v/>
      </c>
      <c r="AU288" s="147">
        <f t="shared" si="100"/>
        <v>275</v>
      </c>
      <c r="AV288" s="147">
        <f>COUNTIF($AZ$14:AZ288,AZ288)</f>
        <v>13</v>
      </c>
      <c r="AW288" s="147">
        <f>IFERROR(COUNTIF(AX$14:$BL288,AX288),"")</f>
        <v>40</v>
      </c>
      <c r="AX288" s="148" t="str">
        <f t="shared" si="101"/>
        <v>Mon</v>
      </c>
      <c r="AY288" s="149">
        <f>'Raw Data'!A278</f>
        <v>41883</v>
      </c>
      <c r="AZ288" s="150" t="str">
        <f>'Raw Data'!E278</f>
        <v>25% Off,FS on $49</v>
      </c>
      <c r="BA288" s="150">
        <f>'Raw Data'!I278</f>
        <v>1034</v>
      </c>
      <c r="BB288" s="112"/>
      <c r="BC288" s="112"/>
      <c r="BD288" s="112">
        <f>'Raw Data'!O278</f>
        <v>2</v>
      </c>
    </row>
    <row r="289" spans="19:56">
      <c r="S289" s="30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33" t="str">
        <f t="shared" si="98"/>
        <v/>
      </c>
      <c r="AF289" s="114" t="str">
        <f t="shared" si="102"/>
        <v/>
      </c>
      <c r="AG289" s="108" t="str">
        <f t="shared" si="93"/>
        <v/>
      </c>
      <c r="AH289" s="21" t="str">
        <f t="shared" si="94"/>
        <v/>
      </c>
      <c r="AI289" s="21" t="str">
        <f t="shared" si="95"/>
        <v/>
      </c>
      <c r="AJ289" s="21" t="str">
        <f t="shared" si="96"/>
        <v/>
      </c>
      <c r="AK289" s="21" t="str">
        <f t="shared" si="97"/>
        <v/>
      </c>
      <c r="AL289" s="21"/>
      <c r="AM289" s="21"/>
      <c r="AN289" s="21"/>
      <c r="AS289" s="112" t="str">
        <f t="shared" si="99"/>
        <v/>
      </c>
      <c r="AT289" s="112" t="str">
        <f>IF(AS289="","",COUNTIF($AS$13:AS289,AS289))</f>
        <v/>
      </c>
      <c r="AU289" s="147">
        <f t="shared" si="100"/>
        <v>276</v>
      </c>
      <c r="AV289" s="147">
        <f>COUNTIF($AZ$14:AZ289,AZ289)</f>
        <v>14</v>
      </c>
      <c r="AW289" s="147">
        <f>IFERROR(COUNTIF(AX$14:$BL289,AX289),"")</f>
        <v>40</v>
      </c>
      <c r="AX289" s="148" t="str">
        <f t="shared" si="101"/>
        <v>Tue</v>
      </c>
      <c r="AY289" s="149">
        <f>'Raw Data'!A279</f>
        <v>41884</v>
      </c>
      <c r="AZ289" s="150" t="str">
        <f>'Raw Data'!E279</f>
        <v>25% Off,FS on $49</v>
      </c>
      <c r="BA289" s="150">
        <f>'Raw Data'!I279</f>
        <v>1309</v>
      </c>
      <c r="BB289" s="112"/>
      <c r="BC289" s="112"/>
      <c r="BD289" s="112">
        <f>'Raw Data'!O279</f>
        <v>1</v>
      </c>
    </row>
    <row r="290" spans="19:56">
      <c r="S290" s="30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33" t="str">
        <f t="shared" si="98"/>
        <v/>
      </c>
      <c r="AF290" s="114" t="str">
        <f t="shared" si="102"/>
        <v/>
      </c>
      <c r="AG290" s="108" t="str">
        <f t="shared" si="93"/>
        <v/>
      </c>
      <c r="AH290" s="21" t="str">
        <f t="shared" si="94"/>
        <v/>
      </c>
      <c r="AI290" s="21" t="str">
        <f t="shared" si="95"/>
        <v/>
      </c>
      <c r="AJ290" s="21" t="str">
        <f t="shared" si="96"/>
        <v/>
      </c>
      <c r="AK290" s="21" t="str">
        <f t="shared" si="97"/>
        <v/>
      </c>
      <c r="AL290" s="21"/>
      <c r="AM290" s="21"/>
      <c r="AN290" s="21"/>
      <c r="AS290" s="112" t="str">
        <f t="shared" si="99"/>
        <v/>
      </c>
      <c r="AT290" s="112" t="str">
        <f>IF(AS290="","",COUNTIF($AS$13:AS290,AS290))</f>
        <v/>
      </c>
      <c r="AU290" s="147">
        <f t="shared" si="100"/>
        <v>277</v>
      </c>
      <c r="AV290" s="147">
        <f>COUNTIF($AZ$14:AZ290,AZ290)</f>
        <v>5</v>
      </c>
      <c r="AW290" s="147">
        <f>IFERROR(COUNTIF(AX$14:$BL290,AX290),"")</f>
        <v>40</v>
      </c>
      <c r="AX290" s="148" t="str">
        <f t="shared" si="101"/>
        <v>Wed</v>
      </c>
      <c r="AY290" s="149">
        <f>'Raw Data'!A280</f>
        <v>41885</v>
      </c>
      <c r="AZ290" s="150" t="str">
        <f>'Raw Data'!E280</f>
        <v>RD Event</v>
      </c>
      <c r="BA290" s="150">
        <f>'Raw Data'!I280</f>
        <v>1207</v>
      </c>
      <c r="BB290" s="112"/>
      <c r="BC290" s="112"/>
      <c r="BD290" s="112">
        <f>'Raw Data'!O280</f>
        <v>1</v>
      </c>
    </row>
    <row r="291" spans="19:56">
      <c r="S291" s="30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33" t="str">
        <f t="shared" si="98"/>
        <v/>
      </c>
      <c r="AF291" s="114" t="str">
        <f t="shared" si="102"/>
        <v/>
      </c>
      <c r="AG291" s="108" t="str">
        <f t="shared" si="93"/>
        <v/>
      </c>
      <c r="AH291" s="21" t="str">
        <f t="shared" si="94"/>
        <v/>
      </c>
      <c r="AI291" s="21" t="str">
        <f t="shared" si="95"/>
        <v/>
      </c>
      <c r="AJ291" s="21" t="str">
        <f t="shared" si="96"/>
        <v/>
      </c>
      <c r="AK291" s="21" t="str">
        <f t="shared" si="97"/>
        <v/>
      </c>
      <c r="AL291" s="21"/>
      <c r="AM291" s="21"/>
      <c r="AN291" s="21"/>
      <c r="AS291" s="112" t="str">
        <f t="shared" si="99"/>
        <v/>
      </c>
      <c r="AT291" s="112" t="str">
        <f>IF(AS291="","",COUNTIF($AS$13:AS291,AS291))</f>
        <v/>
      </c>
      <c r="AU291" s="147">
        <f t="shared" si="100"/>
        <v>278</v>
      </c>
      <c r="AV291" s="147">
        <f>COUNTIF($AZ$14:AZ291,AZ291)</f>
        <v>5</v>
      </c>
      <c r="AW291" s="147">
        <f>IFERROR(COUNTIF(AX$14:$BL291,AX291),"")</f>
        <v>40</v>
      </c>
      <c r="AX291" s="148" t="str">
        <f t="shared" si="101"/>
        <v>Thu</v>
      </c>
      <c r="AY291" s="149">
        <f>'Raw Data'!A281</f>
        <v>41886</v>
      </c>
      <c r="AZ291" s="150" t="str">
        <f>'Raw Data'!E281</f>
        <v>Up To 40% Off,FS on $49</v>
      </c>
      <c r="BA291" s="150">
        <f>'Raw Data'!I281</f>
        <v>1239</v>
      </c>
      <c r="BB291" s="112"/>
      <c r="BC291" s="112"/>
      <c r="BD291" s="112">
        <f>'Raw Data'!O281</f>
        <v>1</v>
      </c>
    </row>
    <row r="292" spans="19:56">
      <c r="S292" s="30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33" t="str">
        <f t="shared" si="98"/>
        <v/>
      </c>
      <c r="AF292" s="114" t="str">
        <f t="shared" si="102"/>
        <v/>
      </c>
      <c r="AG292" s="108" t="str">
        <f t="shared" si="93"/>
        <v/>
      </c>
      <c r="AH292" s="21" t="str">
        <f t="shared" si="94"/>
        <v/>
      </c>
      <c r="AI292" s="21" t="str">
        <f t="shared" si="95"/>
        <v/>
      </c>
      <c r="AJ292" s="21" t="str">
        <f t="shared" si="96"/>
        <v/>
      </c>
      <c r="AK292" s="21" t="str">
        <f t="shared" si="97"/>
        <v/>
      </c>
      <c r="AL292" s="21"/>
      <c r="AM292" s="21"/>
      <c r="AN292" s="21"/>
      <c r="AS292" s="112" t="str">
        <f t="shared" si="99"/>
        <v/>
      </c>
      <c r="AT292" s="112" t="str">
        <f>IF(AS292="","",COUNTIF($AS$13:AS292,AS292))</f>
        <v/>
      </c>
      <c r="AU292" s="147">
        <f t="shared" si="100"/>
        <v>279</v>
      </c>
      <c r="AV292" s="147">
        <f>COUNTIF($AZ$14:AZ292,AZ292)</f>
        <v>1</v>
      </c>
      <c r="AW292" s="147">
        <f>IFERROR(COUNTIF(AX$14:$BL292,AX292),"")</f>
        <v>40</v>
      </c>
      <c r="AX292" s="148" t="str">
        <f t="shared" si="101"/>
        <v>Fri</v>
      </c>
      <c r="AY292" s="149">
        <f>'Raw Data'!A282</f>
        <v>41887</v>
      </c>
      <c r="AZ292" s="150" t="str">
        <f>'Raw Data'!E282</f>
        <v>30% Off,FS on $100</v>
      </c>
      <c r="BA292" s="150">
        <f>'Raw Data'!I282</f>
        <v>1297</v>
      </c>
      <c r="BB292" s="112"/>
      <c r="BC292" s="112"/>
      <c r="BD292" s="112">
        <f>'Raw Data'!O282</f>
        <v>2</v>
      </c>
    </row>
    <row r="293" spans="19:56">
      <c r="S293" s="30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33" t="str">
        <f t="shared" si="98"/>
        <v/>
      </c>
      <c r="AF293" s="114" t="str">
        <f t="shared" si="102"/>
        <v/>
      </c>
      <c r="AG293" s="108" t="str">
        <f t="shared" si="93"/>
        <v/>
      </c>
      <c r="AH293" s="21" t="str">
        <f t="shared" si="94"/>
        <v/>
      </c>
      <c r="AI293" s="21" t="str">
        <f t="shared" si="95"/>
        <v/>
      </c>
      <c r="AJ293" s="21" t="str">
        <f t="shared" si="96"/>
        <v/>
      </c>
      <c r="AK293" s="21" t="str">
        <f t="shared" si="97"/>
        <v/>
      </c>
      <c r="AL293" s="21"/>
      <c r="AM293" s="21"/>
      <c r="AN293" s="21"/>
      <c r="AS293" s="112" t="str">
        <f t="shared" si="99"/>
        <v/>
      </c>
      <c r="AT293" s="112" t="str">
        <f>IF(AS293="","",COUNTIF($AS$13:AS293,AS293))</f>
        <v/>
      </c>
      <c r="AU293" s="147">
        <f t="shared" si="100"/>
        <v>280</v>
      </c>
      <c r="AV293" s="147">
        <f>COUNTIF($AZ$14:AZ293,AZ293)</f>
        <v>76</v>
      </c>
      <c r="AW293" s="147">
        <f>IFERROR(COUNTIF(AX$14:$BL293,AX293),"")</f>
        <v>40</v>
      </c>
      <c r="AX293" s="148" t="str">
        <f t="shared" si="101"/>
        <v>Sat</v>
      </c>
      <c r="AY293" s="149">
        <f>'Raw Data'!A283</f>
        <v>41888</v>
      </c>
      <c r="AZ293" s="150" t="str">
        <f>'Raw Data'!E283</f>
        <v>No Email Drop</v>
      </c>
      <c r="BA293" s="150">
        <f>'Raw Data'!I283</f>
        <v>812</v>
      </c>
      <c r="BB293" s="112"/>
      <c r="BC293" s="112"/>
      <c r="BD293" s="112">
        <f>'Raw Data'!O283</f>
        <v>0</v>
      </c>
    </row>
    <row r="294" spans="19:56">
      <c r="S294" s="30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33" t="str">
        <f t="shared" si="98"/>
        <v/>
      </c>
      <c r="AF294" s="114" t="str">
        <f t="shared" si="102"/>
        <v/>
      </c>
      <c r="AG294" s="108" t="str">
        <f t="shared" si="93"/>
        <v/>
      </c>
      <c r="AH294" s="21" t="str">
        <f t="shared" si="94"/>
        <v/>
      </c>
      <c r="AI294" s="21" t="str">
        <f t="shared" si="95"/>
        <v/>
      </c>
      <c r="AJ294" s="21" t="str">
        <f t="shared" si="96"/>
        <v/>
      </c>
      <c r="AK294" s="21" t="str">
        <f t="shared" si="97"/>
        <v/>
      </c>
      <c r="AL294" s="21"/>
      <c r="AM294" s="21"/>
      <c r="AN294" s="21"/>
      <c r="AS294" s="112" t="str">
        <f t="shared" si="99"/>
        <v/>
      </c>
      <c r="AT294" s="112" t="str">
        <f>IF(AS294="","",COUNTIF($AS$13:AS294,AS294))</f>
        <v/>
      </c>
      <c r="AU294" s="147">
        <f t="shared" si="100"/>
        <v>281</v>
      </c>
      <c r="AV294" s="147">
        <f>COUNTIF($AZ$14:AZ294,AZ294)</f>
        <v>6</v>
      </c>
      <c r="AW294" s="147">
        <f>IFERROR(COUNTIF(AX$14:$BL294,AX294),"")</f>
        <v>41</v>
      </c>
      <c r="AX294" s="148" t="str">
        <f t="shared" si="101"/>
        <v>Sun</v>
      </c>
      <c r="AY294" s="149">
        <f>'Raw Data'!A284</f>
        <v>41889</v>
      </c>
      <c r="AZ294" s="150" t="str">
        <f>'Raw Data'!E284</f>
        <v>Up To 40% Off,FS on $49</v>
      </c>
      <c r="BA294" s="150">
        <f>'Raw Data'!I284</f>
        <v>727</v>
      </c>
      <c r="BB294" s="112"/>
      <c r="BC294" s="112"/>
      <c r="BD294" s="112">
        <f>'Raw Data'!O284</f>
        <v>1</v>
      </c>
    </row>
    <row r="295" spans="19:56">
      <c r="S295" s="30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33" t="str">
        <f t="shared" si="98"/>
        <v/>
      </c>
      <c r="AF295" s="114" t="str">
        <f t="shared" si="102"/>
        <v/>
      </c>
      <c r="AG295" s="108" t="str">
        <f t="shared" si="93"/>
        <v/>
      </c>
      <c r="AH295" s="21" t="str">
        <f t="shared" si="94"/>
        <v/>
      </c>
      <c r="AI295" s="21" t="str">
        <f t="shared" si="95"/>
        <v/>
      </c>
      <c r="AJ295" s="21" t="str">
        <f t="shared" si="96"/>
        <v/>
      </c>
      <c r="AK295" s="21" t="str">
        <f t="shared" si="97"/>
        <v/>
      </c>
      <c r="AL295" s="21"/>
      <c r="AM295" s="21"/>
      <c r="AN295" s="21"/>
      <c r="AS295" s="112" t="str">
        <f t="shared" si="99"/>
        <v/>
      </c>
      <c r="AT295" s="112" t="str">
        <f>IF(AS295="","",COUNTIF($AS$13:AS295,AS295))</f>
        <v/>
      </c>
      <c r="AU295" s="147">
        <f t="shared" si="100"/>
        <v>282</v>
      </c>
      <c r="AV295" s="147">
        <f>COUNTIF($AZ$14:AZ295,AZ295)</f>
        <v>1</v>
      </c>
      <c r="AW295" s="147">
        <f>IFERROR(COUNTIF(AX$14:$BL295,AX295),"")</f>
        <v>41</v>
      </c>
      <c r="AX295" s="148" t="str">
        <f t="shared" si="101"/>
        <v>Mon</v>
      </c>
      <c r="AY295" s="149">
        <f>'Raw Data'!A285</f>
        <v>41890</v>
      </c>
      <c r="AZ295" s="150" t="str">
        <f>'Raw Data'!E285</f>
        <v>$10 Off,FS on $49 Mobile</v>
      </c>
      <c r="BA295" s="150">
        <f>'Raw Data'!I285</f>
        <v>1607</v>
      </c>
      <c r="BB295" s="112"/>
      <c r="BC295" s="112"/>
      <c r="BD295" s="112">
        <f>'Raw Data'!O285</f>
        <v>1</v>
      </c>
    </row>
    <row r="296" spans="19:56">
      <c r="S296" s="30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33" t="str">
        <f t="shared" si="98"/>
        <v/>
      </c>
      <c r="AF296" s="114" t="str">
        <f t="shared" si="102"/>
        <v/>
      </c>
      <c r="AG296" s="108" t="str">
        <f t="shared" si="93"/>
        <v/>
      </c>
      <c r="AH296" s="21" t="str">
        <f t="shared" si="94"/>
        <v/>
      </c>
      <c r="AI296" s="21" t="str">
        <f t="shared" si="95"/>
        <v/>
      </c>
      <c r="AJ296" s="21" t="str">
        <f t="shared" si="96"/>
        <v/>
      </c>
      <c r="AK296" s="21" t="str">
        <f t="shared" si="97"/>
        <v/>
      </c>
      <c r="AL296" s="21"/>
      <c r="AM296" s="21"/>
      <c r="AN296" s="21"/>
      <c r="AS296" s="112" t="str">
        <f t="shared" si="99"/>
        <v/>
      </c>
      <c r="AT296" s="112" t="str">
        <f>IF(AS296="","",COUNTIF($AS$13:AS296,AS296))</f>
        <v/>
      </c>
      <c r="AU296" s="147">
        <f t="shared" si="100"/>
        <v>283</v>
      </c>
      <c r="AV296" s="147">
        <f>COUNTIF($AZ$14:AZ296,AZ296)</f>
        <v>6</v>
      </c>
      <c r="AW296" s="147">
        <f>IFERROR(COUNTIF(AX$14:$BL296,AX296),"")</f>
        <v>41</v>
      </c>
      <c r="AX296" s="148" t="str">
        <f t="shared" si="101"/>
        <v>Tue</v>
      </c>
      <c r="AY296" s="149">
        <f>'Raw Data'!A286</f>
        <v>41891</v>
      </c>
      <c r="AZ296" s="150" t="str">
        <f>'Raw Data'!E286</f>
        <v>RD Event</v>
      </c>
      <c r="BA296" s="150">
        <f>'Raw Data'!I286</f>
        <v>1281</v>
      </c>
      <c r="BB296" s="112"/>
      <c r="BC296" s="112"/>
      <c r="BD296" s="112">
        <f>'Raw Data'!O286</f>
        <v>1</v>
      </c>
    </row>
    <row r="297" spans="19:56">
      <c r="S297" s="30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33" t="str">
        <f t="shared" si="98"/>
        <v/>
      </c>
      <c r="AF297" s="114" t="str">
        <f t="shared" si="102"/>
        <v/>
      </c>
      <c r="AG297" s="108" t="str">
        <f t="shared" si="93"/>
        <v/>
      </c>
      <c r="AH297" s="21" t="str">
        <f t="shared" si="94"/>
        <v/>
      </c>
      <c r="AI297" s="21" t="str">
        <f t="shared" si="95"/>
        <v/>
      </c>
      <c r="AJ297" s="21" t="str">
        <f t="shared" si="96"/>
        <v/>
      </c>
      <c r="AK297" s="21" t="str">
        <f t="shared" si="97"/>
        <v/>
      </c>
      <c r="AL297" s="21"/>
      <c r="AM297" s="21"/>
      <c r="AN297" s="21"/>
      <c r="AS297" s="112" t="str">
        <f t="shared" si="99"/>
        <v/>
      </c>
      <c r="AT297" s="112" t="str">
        <f>IF(AS297="","",COUNTIF($AS$13:AS297,AS297))</f>
        <v/>
      </c>
      <c r="AU297" s="147">
        <f t="shared" si="100"/>
        <v>284</v>
      </c>
      <c r="AV297" s="147">
        <f>COUNTIF($AZ$14:AZ297,AZ297)</f>
        <v>1</v>
      </c>
      <c r="AW297" s="147">
        <f>IFERROR(COUNTIF(AX$14:$BL297,AX297),"")</f>
        <v>41</v>
      </c>
      <c r="AX297" s="148" t="str">
        <f t="shared" si="101"/>
        <v>Wed</v>
      </c>
      <c r="AY297" s="149">
        <f>'Raw Data'!A287</f>
        <v>41892</v>
      </c>
      <c r="AZ297" s="150" t="str">
        <f>'Raw Data'!E287</f>
        <v>10% Off,FS on $49</v>
      </c>
      <c r="BA297" s="150">
        <f>'Raw Data'!I287</f>
        <v>1292</v>
      </c>
      <c r="BB297" s="112"/>
      <c r="BC297" s="112"/>
      <c r="BD297" s="112">
        <f>'Raw Data'!O287</f>
        <v>1</v>
      </c>
    </row>
    <row r="298" spans="19:56">
      <c r="S298" s="30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33" t="str">
        <f t="shared" si="98"/>
        <v/>
      </c>
      <c r="AF298" s="114" t="str">
        <f t="shared" si="102"/>
        <v/>
      </c>
      <c r="AG298" s="108" t="str">
        <f t="shared" si="93"/>
        <v/>
      </c>
      <c r="AH298" s="21" t="str">
        <f t="shared" si="94"/>
        <v/>
      </c>
      <c r="AI298" s="21" t="str">
        <f t="shared" si="95"/>
        <v/>
      </c>
      <c r="AJ298" s="21" t="str">
        <f t="shared" si="96"/>
        <v/>
      </c>
      <c r="AK298" s="21" t="str">
        <f t="shared" si="97"/>
        <v/>
      </c>
      <c r="AL298" s="21"/>
      <c r="AM298" s="21"/>
      <c r="AN298" s="21"/>
      <c r="AS298" s="112" t="str">
        <f t="shared" si="99"/>
        <v/>
      </c>
      <c r="AT298" s="112" t="str">
        <f>IF(AS298="","",COUNTIF($AS$13:AS298,AS298))</f>
        <v/>
      </c>
      <c r="AU298" s="147">
        <f t="shared" si="100"/>
        <v>285</v>
      </c>
      <c r="AV298" s="147">
        <f>COUNTIF($AZ$14:AZ298,AZ298)</f>
        <v>77</v>
      </c>
      <c r="AW298" s="147">
        <f>IFERROR(COUNTIF(AX$14:$BL298,AX298),"")</f>
        <v>41</v>
      </c>
      <c r="AX298" s="148" t="str">
        <f t="shared" si="101"/>
        <v>Thu</v>
      </c>
      <c r="AY298" s="149">
        <f>'Raw Data'!A288</f>
        <v>41893</v>
      </c>
      <c r="AZ298" s="150" t="str">
        <f>'Raw Data'!E288</f>
        <v>No Email Drop</v>
      </c>
      <c r="BA298" s="150">
        <f>'Raw Data'!I288</f>
        <v>1093</v>
      </c>
      <c r="BB298" s="112"/>
      <c r="BC298" s="112"/>
      <c r="BD298" s="112">
        <f>'Raw Data'!O288</f>
        <v>0</v>
      </c>
    </row>
    <row r="299" spans="19:56">
      <c r="S299" s="30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33" t="str">
        <f t="shared" si="98"/>
        <v/>
      </c>
      <c r="AF299" s="114" t="str">
        <f t="shared" si="102"/>
        <v/>
      </c>
      <c r="AG299" s="108" t="str">
        <f t="shared" si="93"/>
        <v/>
      </c>
      <c r="AH299" s="21" t="str">
        <f t="shared" si="94"/>
        <v/>
      </c>
      <c r="AI299" s="21" t="str">
        <f t="shared" si="95"/>
        <v/>
      </c>
      <c r="AJ299" s="21" t="str">
        <f t="shared" si="96"/>
        <v/>
      </c>
      <c r="AK299" s="21" t="str">
        <f t="shared" si="97"/>
        <v/>
      </c>
      <c r="AL299" s="21"/>
      <c r="AM299" s="21"/>
      <c r="AN299" s="21"/>
      <c r="AS299" s="112" t="str">
        <f t="shared" si="99"/>
        <v/>
      </c>
      <c r="AT299" s="112" t="str">
        <f>IF(AS299="","",COUNTIF($AS$13:AS299,AS299))</f>
        <v/>
      </c>
      <c r="AU299" s="147">
        <f t="shared" si="100"/>
        <v>286</v>
      </c>
      <c r="AV299" s="147">
        <f>COUNTIF($AZ$14:AZ299,AZ299)</f>
        <v>1</v>
      </c>
      <c r="AW299" s="147">
        <f>IFERROR(COUNTIF(AX$14:$BL299,AX299),"")</f>
        <v>41</v>
      </c>
      <c r="AX299" s="148" t="str">
        <f t="shared" si="101"/>
        <v>Fri</v>
      </c>
      <c r="AY299" s="149">
        <f>'Raw Data'!A289</f>
        <v>41894</v>
      </c>
      <c r="AZ299" s="150" t="str">
        <f>'Raw Data'!E289</f>
        <v>Up To 40% Off plus $5 FS on $10, FS on $49</v>
      </c>
      <c r="BA299" s="150">
        <f>'Raw Data'!I289</f>
        <v>1229</v>
      </c>
      <c r="BB299" s="112"/>
      <c r="BC299" s="112"/>
      <c r="BD299" s="112">
        <f>'Raw Data'!O289</f>
        <v>1</v>
      </c>
    </row>
    <row r="300" spans="19:56">
      <c r="S300" s="30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33" t="str">
        <f t="shared" si="98"/>
        <v/>
      </c>
      <c r="AF300" s="114" t="str">
        <f t="shared" si="102"/>
        <v/>
      </c>
      <c r="AG300" s="108" t="str">
        <f t="shared" si="93"/>
        <v/>
      </c>
      <c r="AH300" s="21" t="str">
        <f t="shared" si="94"/>
        <v/>
      </c>
      <c r="AI300" s="21" t="str">
        <f t="shared" si="95"/>
        <v/>
      </c>
      <c r="AJ300" s="21" t="str">
        <f t="shared" si="96"/>
        <v/>
      </c>
      <c r="AK300" s="21" t="str">
        <f t="shared" si="97"/>
        <v/>
      </c>
      <c r="AL300" s="21"/>
      <c r="AM300" s="21"/>
      <c r="AN300" s="21"/>
      <c r="AS300" s="112" t="str">
        <f t="shared" si="99"/>
        <v/>
      </c>
      <c r="AT300" s="112" t="str">
        <f>IF(AS300="","",COUNTIF($AS$13:AS300,AS300))</f>
        <v/>
      </c>
      <c r="AU300" s="147">
        <f t="shared" si="100"/>
        <v>287</v>
      </c>
      <c r="AV300" s="147">
        <f>COUNTIF($AZ$14:AZ300,AZ300)</f>
        <v>7</v>
      </c>
      <c r="AW300" s="147">
        <f>IFERROR(COUNTIF(AX$14:$BL300,AX300),"")</f>
        <v>41</v>
      </c>
      <c r="AX300" s="148" t="str">
        <f t="shared" si="101"/>
        <v>Sat</v>
      </c>
      <c r="AY300" s="149">
        <f>'Raw Data'!A290</f>
        <v>41895</v>
      </c>
      <c r="AZ300" s="150" t="str">
        <f>'Raw Data'!E290</f>
        <v>Up To 40% Off,FS on $49</v>
      </c>
      <c r="BA300" s="150">
        <f>'Raw Data'!I290</f>
        <v>980</v>
      </c>
      <c r="BB300" s="112"/>
      <c r="BC300" s="112"/>
      <c r="BD300" s="112">
        <f>'Raw Data'!O290</f>
        <v>1</v>
      </c>
    </row>
    <row r="301" spans="19:56">
      <c r="S301" s="30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33" t="str">
        <f t="shared" si="98"/>
        <v/>
      </c>
      <c r="AF301" s="114" t="str">
        <f t="shared" si="102"/>
        <v/>
      </c>
      <c r="AG301" s="108" t="str">
        <f t="shared" si="93"/>
        <v/>
      </c>
      <c r="AH301" s="21" t="str">
        <f t="shared" si="94"/>
        <v/>
      </c>
      <c r="AI301" s="21" t="str">
        <f t="shared" si="95"/>
        <v/>
      </c>
      <c r="AJ301" s="21" t="str">
        <f t="shared" si="96"/>
        <v/>
      </c>
      <c r="AK301" s="21" t="str">
        <f t="shared" si="97"/>
        <v/>
      </c>
      <c r="AL301" s="21"/>
      <c r="AM301" s="21"/>
      <c r="AN301" s="21"/>
      <c r="AS301" s="112" t="str">
        <f t="shared" si="99"/>
        <v/>
      </c>
      <c r="AT301" s="112" t="str">
        <f>IF(AS301="","",COUNTIF($AS$13:AS301,AS301))</f>
        <v/>
      </c>
      <c r="AU301" s="147">
        <f t="shared" si="100"/>
        <v>288</v>
      </c>
      <c r="AV301" s="147">
        <f>COUNTIF($AZ$14:AZ301,AZ301)</f>
        <v>1</v>
      </c>
      <c r="AW301" s="147">
        <f>IFERROR(COUNTIF(AX$14:$BL301,AX301),"")</f>
        <v>42</v>
      </c>
      <c r="AX301" s="148" t="str">
        <f t="shared" si="101"/>
        <v>Sun</v>
      </c>
      <c r="AY301" s="149">
        <f>'Raw Data'!A291</f>
        <v>41896</v>
      </c>
      <c r="AZ301" s="150" t="str">
        <f>'Raw Data'!E291</f>
        <v>Bonus Week</v>
      </c>
      <c r="BA301" s="150">
        <f>'Raw Data'!I291</f>
        <v>726</v>
      </c>
      <c r="BB301" s="112"/>
      <c r="BC301" s="112"/>
      <c r="BD301" s="112">
        <f>'Raw Data'!O291</f>
        <v>1</v>
      </c>
    </row>
    <row r="302" spans="19:56">
      <c r="S302" s="30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33" t="str">
        <f t="shared" si="98"/>
        <v/>
      </c>
      <c r="AF302" s="114" t="str">
        <f t="shared" si="102"/>
        <v/>
      </c>
      <c r="AG302" s="108" t="str">
        <f t="shared" si="93"/>
        <v/>
      </c>
      <c r="AH302" s="21" t="str">
        <f t="shared" si="94"/>
        <v/>
      </c>
      <c r="AI302" s="21" t="str">
        <f t="shared" si="95"/>
        <v/>
      </c>
      <c r="AJ302" s="21" t="str">
        <f t="shared" si="96"/>
        <v/>
      </c>
      <c r="AK302" s="21" t="str">
        <f t="shared" si="97"/>
        <v/>
      </c>
      <c r="AL302" s="21"/>
      <c r="AM302" s="21"/>
      <c r="AN302" s="21"/>
      <c r="AS302" s="112" t="str">
        <f t="shared" si="99"/>
        <v/>
      </c>
      <c r="AT302" s="112" t="str">
        <f>IF(AS302="","",COUNTIF($AS$13:AS302,AS302))</f>
        <v/>
      </c>
      <c r="AU302" s="147">
        <f t="shared" si="100"/>
        <v>289</v>
      </c>
      <c r="AV302" s="147">
        <f>COUNTIF($AZ$14:AZ302,AZ302)</f>
        <v>1</v>
      </c>
      <c r="AW302" s="147">
        <f>IFERROR(COUNTIF(AX$14:$BL302,AX302),"")</f>
        <v>42</v>
      </c>
      <c r="AX302" s="148" t="str">
        <f t="shared" si="101"/>
        <v>Mon</v>
      </c>
      <c r="AY302" s="149">
        <f>'Raw Data'!A292</f>
        <v>41897</v>
      </c>
      <c r="AZ302" s="150" t="str">
        <f>'Raw Data'!E292</f>
        <v>Bonus Week- FSNM</v>
      </c>
      <c r="BA302" s="150">
        <f>'Raw Data'!I292</f>
        <v>1330</v>
      </c>
      <c r="BB302" s="112"/>
      <c r="BC302" s="112"/>
      <c r="BD302" s="112">
        <f>'Raw Data'!O292</f>
        <v>1</v>
      </c>
    </row>
    <row r="303" spans="19:56">
      <c r="S303" s="30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33" t="str">
        <f t="shared" si="98"/>
        <v/>
      </c>
      <c r="AF303" s="114" t="str">
        <f t="shared" si="102"/>
        <v/>
      </c>
      <c r="AG303" s="108" t="str">
        <f t="shared" si="93"/>
        <v/>
      </c>
      <c r="AH303" s="21" t="str">
        <f t="shared" si="94"/>
        <v/>
      </c>
      <c r="AI303" s="21" t="str">
        <f t="shared" si="95"/>
        <v/>
      </c>
      <c r="AJ303" s="21" t="str">
        <f t="shared" si="96"/>
        <v/>
      </c>
      <c r="AK303" s="21" t="str">
        <f t="shared" si="97"/>
        <v/>
      </c>
      <c r="AL303" s="21"/>
      <c r="AM303" s="21"/>
      <c r="AN303" s="21"/>
      <c r="AS303" s="112" t="str">
        <f t="shared" si="99"/>
        <v/>
      </c>
      <c r="AT303" s="112" t="str">
        <f>IF(AS303="","",COUNTIF($AS$13:AS303,AS303))</f>
        <v/>
      </c>
      <c r="AU303" s="147">
        <f t="shared" si="100"/>
        <v>290</v>
      </c>
      <c r="AV303" s="147">
        <f>COUNTIF($AZ$14:AZ303,AZ303)</f>
        <v>2</v>
      </c>
      <c r="AW303" s="147">
        <f>IFERROR(COUNTIF(AX$14:$BL303,AX303),"")</f>
        <v>42</v>
      </c>
      <c r="AX303" s="148" t="str">
        <f t="shared" si="101"/>
        <v>Tue</v>
      </c>
      <c r="AY303" s="149">
        <f>'Raw Data'!A293</f>
        <v>41898</v>
      </c>
      <c r="AZ303" s="150" t="str">
        <f>'Raw Data'!E293</f>
        <v>Bonus Week</v>
      </c>
      <c r="BA303" s="150">
        <f>'Raw Data'!I293</f>
        <v>1240</v>
      </c>
      <c r="BB303" s="112"/>
      <c r="BC303" s="112"/>
      <c r="BD303" s="112">
        <f>'Raw Data'!O293</f>
        <v>1</v>
      </c>
    </row>
    <row r="304" spans="19:56">
      <c r="S304" s="30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33" t="str">
        <f t="shared" si="98"/>
        <v/>
      </c>
      <c r="AF304" s="114" t="str">
        <f t="shared" si="102"/>
        <v/>
      </c>
      <c r="AG304" s="108" t="str">
        <f t="shared" si="93"/>
        <v/>
      </c>
      <c r="AH304" s="21" t="str">
        <f t="shared" si="94"/>
        <v/>
      </c>
      <c r="AI304" s="21" t="str">
        <f t="shared" si="95"/>
        <v/>
      </c>
      <c r="AJ304" s="21" t="str">
        <f t="shared" si="96"/>
        <v/>
      </c>
      <c r="AK304" s="21" t="str">
        <f t="shared" si="97"/>
        <v/>
      </c>
      <c r="AL304" s="21"/>
      <c r="AM304" s="21"/>
      <c r="AN304" s="21"/>
      <c r="AS304" s="112" t="str">
        <f t="shared" si="99"/>
        <v/>
      </c>
      <c r="AT304" s="112" t="str">
        <f>IF(AS304="","",COUNTIF($AS$13:AS304,AS304))</f>
        <v/>
      </c>
      <c r="AU304" s="147">
        <f t="shared" si="100"/>
        <v>291</v>
      </c>
      <c r="AV304" s="147">
        <f>COUNTIF($AZ$14:AZ304,AZ304)</f>
        <v>3</v>
      </c>
      <c r="AW304" s="147">
        <f>IFERROR(COUNTIF(AX$14:$BL304,AX304),"")</f>
        <v>42</v>
      </c>
      <c r="AX304" s="148" t="str">
        <f t="shared" si="101"/>
        <v>Wed</v>
      </c>
      <c r="AY304" s="149">
        <f>'Raw Data'!A294</f>
        <v>41899</v>
      </c>
      <c r="AZ304" s="150" t="str">
        <f>'Raw Data'!E294</f>
        <v>Bonus Week</v>
      </c>
      <c r="BA304" s="150">
        <f>'Raw Data'!I294</f>
        <v>1238</v>
      </c>
      <c r="BB304" s="112"/>
      <c r="BC304" s="112"/>
      <c r="BD304" s="112">
        <f>'Raw Data'!O294</f>
        <v>1</v>
      </c>
    </row>
    <row r="305" spans="19:56">
      <c r="S305" s="30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33" t="str">
        <f t="shared" si="98"/>
        <v/>
      </c>
      <c r="AF305" s="114" t="str">
        <f t="shared" si="102"/>
        <v/>
      </c>
      <c r="AG305" s="108" t="str">
        <f t="shared" si="93"/>
        <v/>
      </c>
      <c r="AH305" s="21" t="str">
        <f t="shared" si="94"/>
        <v/>
      </c>
      <c r="AI305" s="21" t="str">
        <f t="shared" si="95"/>
        <v/>
      </c>
      <c r="AJ305" s="21" t="str">
        <f t="shared" si="96"/>
        <v/>
      </c>
      <c r="AK305" s="21" t="str">
        <f t="shared" si="97"/>
        <v/>
      </c>
      <c r="AL305" s="21"/>
      <c r="AM305" s="21"/>
      <c r="AN305" s="21"/>
      <c r="AS305" s="112" t="str">
        <f t="shared" si="99"/>
        <v/>
      </c>
      <c r="AT305" s="112" t="str">
        <f>IF(AS305="","",COUNTIF($AS$13:AS305,AS305))</f>
        <v/>
      </c>
      <c r="AU305" s="147">
        <f t="shared" si="100"/>
        <v>292</v>
      </c>
      <c r="AV305" s="147">
        <f>COUNTIF($AZ$14:AZ305,AZ305)</f>
        <v>1</v>
      </c>
      <c r="AW305" s="147">
        <f>IFERROR(COUNTIF(AX$14:$BL305,AX305),"")</f>
        <v>42</v>
      </c>
      <c r="AX305" s="148" t="str">
        <f t="shared" si="101"/>
        <v>Thu</v>
      </c>
      <c r="AY305" s="149">
        <f>'Raw Data'!A295</f>
        <v>41900</v>
      </c>
      <c r="AZ305" s="150" t="str">
        <f>'Raw Data'!E295</f>
        <v>Bonus Week- 50% off plus $5 on $35, FS on $49</v>
      </c>
      <c r="BA305" s="150">
        <f>'Raw Data'!I295</f>
        <v>1356</v>
      </c>
      <c r="BB305" s="112"/>
      <c r="BC305" s="112"/>
      <c r="BD305" s="112">
        <f>'Raw Data'!O295</f>
        <v>1</v>
      </c>
    </row>
    <row r="306" spans="19:56">
      <c r="S306" s="30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33" t="str">
        <f t="shared" si="98"/>
        <v/>
      </c>
      <c r="AF306" s="114" t="str">
        <f t="shared" si="102"/>
        <v/>
      </c>
      <c r="AG306" s="108" t="str">
        <f t="shared" si="93"/>
        <v/>
      </c>
      <c r="AH306" s="21" t="str">
        <f t="shared" si="94"/>
        <v/>
      </c>
      <c r="AI306" s="21" t="str">
        <f t="shared" si="95"/>
        <v/>
      </c>
      <c r="AJ306" s="21" t="str">
        <f t="shared" si="96"/>
        <v/>
      </c>
      <c r="AK306" s="21" t="str">
        <f t="shared" si="97"/>
        <v/>
      </c>
      <c r="AL306" s="21"/>
      <c r="AM306" s="21"/>
      <c r="AN306" s="21"/>
      <c r="AS306" s="112" t="str">
        <f t="shared" si="99"/>
        <v/>
      </c>
      <c r="AT306" s="112" t="str">
        <f>IF(AS306="","",COUNTIF($AS$13:AS306,AS306))</f>
        <v/>
      </c>
      <c r="AU306" s="147">
        <f t="shared" si="100"/>
        <v>293</v>
      </c>
      <c r="AV306" s="147">
        <f>COUNTIF($AZ$14:AZ306,AZ306)</f>
        <v>4</v>
      </c>
      <c r="AW306" s="147">
        <f>IFERROR(COUNTIF(AX$14:$BL306,AX306),"")</f>
        <v>42</v>
      </c>
      <c r="AX306" s="148" t="str">
        <f t="shared" si="101"/>
        <v>Fri</v>
      </c>
      <c r="AY306" s="149">
        <f>'Raw Data'!A296</f>
        <v>41901</v>
      </c>
      <c r="AZ306" s="150" t="str">
        <f>'Raw Data'!E296</f>
        <v>Bonus Week</v>
      </c>
      <c r="BA306" s="150">
        <f>'Raw Data'!I296</f>
        <v>1282</v>
      </c>
      <c r="BB306" s="112"/>
      <c r="BC306" s="112"/>
      <c r="BD306" s="112">
        <f>'Raw Data'!O296</f>
        <v>1</v>
      </c>
    </row>
    <row r="307" spans="19:56">
      <c r="S307" s="30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33" t="str">
        <f t="shared" si="98"/>
        <v/>
      </c>
      <c r="AF307" s="114" t="str">
        <f t="shared" si="102"/>
        <v/>
      </c>
      <c r="AG307" s="108" t="str">
        <f t="shared" si="93"/>
        <v/>
      </c>
      <c r="AH307" s="21" t="str">
        <f t="shared" si="94"/>
        <v/>
      </c>
      <c r="AI307" s="21" t="str">
        <f t="shared" si="95"/>
        <v/>
      </c>
      <c r="AJ307" s="21" t="str">
        <f t="shared" si="96"/>
        <v/>
      </c>
      <c r="AK307" s="21" t="str">
        <f t="shared" si="97"/>
        <v/>
      </c>
      <c r="AL307" s="21"/>
      <c r="AM307" s="21"/>
      <c r="AN307" s="21"/>
      <c r="AS307" s="112" t="str">
        <f t="shared" si="99"/>
        <v/>
      </c>
      <c r="AT307" s="112" t="str">
        <f>IF(AS307="","",COUNTIF($AS$13:AS307,AS307))</f>
        <v/>
      </c>
      <c r="AU307" s="147">
        <f t="shared" si="100"/>
        <v>294</v>
      </c>
      <c r="AV307" s="147">
        <f>COUNTIF($AZ$14:AZ307,AZ307)</f>
        <v>1</v>
      </c>
      <c r="AW307" s="147">
        <f>IFERROR(COUNTIF(AX$14:$BL307,AX307),"")</f>
        <v>42</v>
      </c>
      <c r="AX307" s="148" t="str">
        <f t="shared" si="101"/>
        <v>Sat</v>
      </c>
      <c r="AY307" s="149">
        <f>'Raw Data'!A297</f>
        <v>41902</v>
      </c>
      <c r="AZ307" s="150" t="str">
        <f>'Raw Data'!E297</f>
        <v>Bonus Week- 50% off plus $5 on $25, FS on $49</v>
      </c>
      <c r="BA307" s="150">
        <f>'Raw Data'!I297</f>
        <v>1056</v>
      </c>
      <c r="BB307" s="112"/>
      <c r="BC307" s="112"/>
      <c r="BD307" s="112">
        <f>'Raw Data'!O297</f>
        <v>2</v>
      </c>
    </row>
    <row r="308" spans="19:56">
      <c r="S308" s="30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33" t="str">
        <f t="shared" si="98"/>
        <v/>
      </c>
      <c r="AF308" s="114" t="str">
        <f t="shared" si="102"/>
        <v/>
      </c>
      <c r="AG308" s="108" t="str">
        <f t="shared" si="93"/>
        <v/>
      </c>
      <c r="AH308" s="21" t="str">
        <f t="shared" si="94"/>
        <v/>
      </c>
      <c r="AI308" s="21" t="str">
        <f t="shared" si="95"/>
        <v/>
      </c>
      <c r="AJ308" s="21" t="str">
        <f t="shared" si="96"/>
        <v/>
      </c>
      <c r="AK308" s="21" t="str">
        <f t="shared" si="97"/>
        <v/>
      </c>
      <c r="AL308" s="21"/>
      <c r="AM308" s="21"/>
      <c r="AN308" s="21"/>
      <c r="AS308" s="112" t="str">
        <f t="shared" si="99"/>
        <v/>
      </c>
      <c r="AT308" s="112" t="str">
        <f>IF(AS308="","",COUNTIF($AS$13:AS308,AS308))</f>
        <v/>
      </c>
      <c r="AU308" s="147">
        <f t="shared" si="100"/>
        <v>295</v>
      </c>
      <c r="AV308" s="147">
        <f>COUNTIF($AZ$14:AZ308,AZ308)</f>
        <v>3</v>
      </c>
      <c r="AW308" s="147">
        <f>IFERROR(COUNTIF(AX$14:$BL308,AX308),"")</f>
        <v>43</v>
      </c>
      <c r="AX308" s="148" t="str">
        <f t="shared" si="101"/>
        <v>Sun</v>
      </c>
      <c r="AY308" s="149">
        <f>'Raw Data'!A298</f>
        <v>41903</v>
      </c>
      <c r="AZ308" s="150" t="str">
        <f>'Raw Data'!E298</f>
        <v>Up To 50% Off,FS on $49</v>
      </c>
      <c r="BA308" s="150">
        <f>'Raw Data'!I298</f>
        <v>796</v>
      </c>
      <c r="BB308" s="112"/>
      <c r="BC308" s="112"/>
      <c r="BD308" s="112">
        <f>'Raw Data'!O298</f>
        <v>1</v>
      </c>
    </row>
    <row r="309" spans="19:56">
      <c r="S309" s="30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33" t="str">
        <f t="shared" si="98"/>
        <v/>
      </c>
      <c r="AF309" s="114" t="str">
        <f t="shared" si="102"/>
        <v/>
      </c>
      <c r="AG309" s="108" t="str">
        <f t="shared" si="93"/>
        <v/>
      </c>
      <c r="AH309" s="21" t="str">
        <f t="shared" si="94"/>
        <v/>
      </c>
      <c r="AI309" s="21" t="str">
        <f t="shared" si="95"/>
        <v/>
      </c>
      <c r="AJ309" s="21" t="str">
        <f t="shared" si="96"/>
        <v/>
      </c>
      <c r="AK309" s="21" t="str">
        <f t="shared" si="97"/>
        <v/>
      </c>
      <c r="AL309" s="21"/>
      <c r="AM309" s="21"/>
      <c r="AN309" s="21"/>
      <c r="AS309" s="112" t="str">
        <f t="shared" si="99"/>
        <v/>
      </c>
      <c r="AT309" s="112" t="str">
        <f>IF(AS309="","",COUNTIF($AS$13:AS309,AS309))</f>
        <v/>
      </c>
      <c r="AU309" s="147">
        <f t="shared" si="100"/>
        <v>296</v>
      </c>
      <c r="AV309" s="147">
        <f>COUNTIF($AZ$14:AZ309,AZ309)</f>
        <v>4</v>
      </c>
      <c r="AW309" s="147">
        <f>IFERROR(COUNTIF(AX$14:$BL309,AX309),"")</f>
        <v>43</v>
      </c>
      <c r="AX309" s="148" t="str">
        <f t="shared" si="101"/>
        <v>Mon</v>
      </c>
      <c r="AY309" s="149">
        <f>'Raw Data'!A299</f>
        <v>41904</v>
      </c>
      <c r="AZ309" s="150" t="str">
        <f>'Raw Data'!E299</f>
        <v>Up To 50% Off,FS on $49</v>
      </c>
      <c r="BA309" s="150">
        <f>'Raw Data'!I299</f>
        <v>1356</v>
      </c>
      <c r="BB309" s="112"/>
      <c r="BC309" s="112"/>
      <c r="BD309" s="112">
        <f>'Raw Data'!O299</f>
        <v>1</v>
      </c>
    </row>
    <row r="310" spans="19:56">
      <c r="S310" s="30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33" t="str">
        <f t="shared" si="98"/>
        <v/>
      </c>
      <c r="AF310" s="114" t="str">
        <f t="shared" si="102"/>
        <v/>
      </c>
      <c r="AG310" s="108" t="str">
        <f t="shared" si="93"/>
        <v/>
      </c>
      <c r="AH310" s="21" t="str">
        <f t="shared" si="94"/>
        <v/>
      </c>
      <c r="AI310" s="21" t="str">
        <f t="shared" si="95"/>
        <v/>
      </c>
      <c r="AJ310" s="21" t="str">
        <f t="shared" si="96"/>
        <v/>
      </c>
      <c r="AK310" s="21" t="str">
        <f t="shared" si="97"/>
        <v/>
      </c>
      <c r="AL310" s="21"/>
      <c r="AM310" s="21"/>
      <c r="AN310" s="21"/>
      <c r="AS310" s="112" t="str">
        <f t="shared" si="99"/>
        <v/>
      </c>
      <c r="AT310" s="112" t="str">
        <f>IF(AS310="","",COUNTIF($AS$13:AS310,AS310))</f>
        <v/>
      </c>
      <c r="AU310" s="147">
        <f t="shared" si="100"/>
        <v>297</v>
      </c>
      <c r="AV310" s="147">
        <f>COUNTIF($AZ$14:AZ310,AZ310)</f>
        <v>12</v>
      </c>
      <c r="AW310" s="147">
        <f>IFERROR(COUNTIF(AX$14:$BL310,AX310),"")</f>
        <v>43</v>
      </c>
      <c r="AX310" s="148" t="str">
        <f t="shared" si="101"/>
        <v>Tue</v>
      </c>
      <c r="AY310" s="149">
        <f>'Raw Data'!A300</f>
        <v>41905</v>
      </c>
      <c r="AZ310" s="150" t="str">
        <f>'Raw Data'!E300</f>
        <v>Free Ship No Min</v>
      </c>
      <c r="BA310" s="150">
        <f>'Raw Data'!I300</f>
        <v>1568</v>
      </c>
      <c r="BB310" s="112"/>
      <c r="BC310" s="112"/>
      <c r="BD310" s="112">
        <f>'Raw Data'!O300</f>
        <v>1</v>
      </c>
    </row>
    <row r="311" spans="19:56">
      <c r="S311" s="30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33" t="str">
        <f t="shared" si="98"/>
        <v/>
      </c>
      <c r="AF311" s="114" t="str">
        <f t="shared" si="102"/>
        <v/>
      </c>
      <c r="AG311" s="108" t="str">
        <f t="shared" si="93"/>
        <v/>
      </c>
      <c r="AH311" s="21" t="str">
        <f t="shared" si="94"/>
        <v/>
      </c>
      <c r="AI311" s="21" t="str">
        <f t="shared" si="95"/>
        <v/>
      </c>
      <c r="AJ311" s="21" t="str">
        <f t="shared" si="96"/>
        <v/>
      </c>
      <c r="AK311" s="21" t="str">
        <f t="shared" si="97"/>
        <v/>
      </c>
      <c r="AL311" s="21"/>
      <c r="AM311" s="21"/>
      <c r="AN311" s="21"/>
      <c r="AS311" s="112" t="str">
        <f t="shared" si="99"/>
        <v/>
      </c>
      <c r="AT311" s="112" t="str">
        <f>IF(AS311="","",COUNTIF($AS$13:AS311,AS311))</f>
        <v/>
      </c>
      <c r="AU311" s="147">
        <f t="shared" si="100"/>
        <v>298</v>
      </c>
      <c r="AV311" s="147">
        <f>COUNTIF($AZ$14:AZ311,AZ311)</f>
        <v>78</v>
      </c>
      <c r="AW311" s="147">
        <f>IFERROR(COUNTIF(AX$14:$BL311,AX311),"")</f>
        <v>43</v>
      </c>
      <c r="AX311" s="148" t="str">
        <f t="shared" si="101"/>
        <v>Wed</v>
      </c>
      <c r="AY311" s="149">
        <f>'Raw Data'!A301</f>
        <v>41906</v>
      </c>
      <c r="AZ311" s="150" t="str">
        <f>'Raw Data'!E301</f>
        <v>No Email Drop</v>
      </c>
      <c r="BA311" s="150">
        <f>'Raw Data'!I301</f>
        <v>1326</v>
      </c>
      <c r="BB311" s="112"/>
      <c r="BC311" s="112"/>
      <c r="BD311" s="112">
        <f>'Raw Data'!O301</f>
        <v>0</v>
      </c>
    </row>
    <row r="312" spans="19:56">
      <c r="S312" s="30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33" t="str">
        <f t="shared" si="98"/>
        <v/>
      </c>
      <c r="AF312" s="114" t="str">
        <f t="shared" si="102"/>
        <v/>
      </c>
      <c r="AG312" s="108" t="str">
        <f t="shared" si="93"/>
        <v/>
      </c>
      <c r="AH312" s="21" t="str">
        <f t="shared" si="94"/>
        <v/>
      </c>
      <c r="AI312" s="21" t="str">
        <f t="shared" si="95"/>
        <v/>
      </c>
      <c r="AJ312" s="21" t="str">
        <f t="shared" si="96"/>
        <v/>
      </c>
      <c r="AK312" s="21" t="str">
        <f t="shared" si="97"/>
        <v/>
      </c>
      <c r="AL312" s="21"/>
      <c r="AM312" s="21"/>
      <c r="AN312" s="21"/>
      <c r="AS312" s="112" t="str">
        <f t="shared" si="99"/>
        <v/>
      </c>
      <c r="AT312" s="112" t="str">
        <f>IF(AS312="","",COUNTIF($AS$13:AS312,AS312))</f>
        <v/>
      </c>
      <c r="AU312" s="147">
        <f t="shared" si="100"/>
        <v>299</v>
      </c>
      <c r="AV312" s="147">
        <f>COUNTIF($AZ$14:AZ312,AZ312)</f>
        <v>5</v>
      </c>
      <c r="AW312" s="147">
        <f>IFERROR(COUNTIF(AX$14:$BL312,AX312),"")</f>
        <v>43</v>
      </c>
      <c r="AX312" s="148" t="str">
        <f t="shared" si="101"/>
        <v>Thu</v>
      </c>
      <c r="AY312" s="149">
        <f>'Raw Data'!A302</f>
        <v>41907</v>
      </c>
      <c r="AZ312" s="150" t="str">
        <f>'Raw Data'!E302</f>
        <v>Up To 50% Off,FS on $49</v>
      </c>
      <c r="BA312" s="150">
        <f>'Raw Data'!I302</f>
        <v>1258</v>
      </c>
      <c r="BB312" s="112"/>
      <c r="BC312" s="112"/>
      <c r="BD312" s="112">
        <f>'Raw Data'!O302</f>
        <v>1</v>
      </c>
    </row>
    <row r="313" spans="19:56">
      <c r="S313" s="30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33" t="str">
        <f t="shared" si="98"/>
        <v/>
      </c>
      <c r="AF313" s="114" t="str">
        <f t="shared" si="102"/>
        <v/>
      </c>
      <c r="AG313" s="108" t="str">
        <f t="shared" si="93"/>
        <v/>
      </c>
      <c r="AH313" s="21" t="str">
        <f t="shared" si="94"/>
        <v/>
      </c>
      <c r="AI313" s="21" t="str">
        <f t="shared" si="95"/>
        <v/>
      </c>
      <c r="AJ313" s="21" t="str">
        <f t="shared" si="96"/>
        <v/>
      </c>
      <c r="AK313" s="21" t="str">
        <f t="shared" si="97"/>
        <v/>
      </c>
      <c r="AL313" s="21"/>
      <c r="AM313" s="21"/>
      <c r="AN313" s="21"/>
      <c r="AS313" s="112" t="str">
        <f t="shared" si="99"/>
        <v/>
      </c>
      <c r="AT313" s="112" t="str">
        <f>IF(AS313="","",COUNTIF($AS$13:AS313,AS313))</f>
        <v/>
      </c>
      <c r="AU313" s="147">
        <f t="shared" si="100"/>
        <v>300</v>
      </c>
      <c r="AV313" s="147">
        <f>COUNTIF($AZ$14:AZ313,AZ313)</f>
        <v>6</v>
      </c>
      <c r="AW313" s="147">
        <f>IFERROR(COUNTIF(AX$14:$BL313,AX313),"")</f>
        <v>43</v>
      </c>
      <c r="AX313" s="148" t="str">
        <f t="shared" si="101"/>
        <v>Fri</v>
      </c>
      <c r="AY313" s="149">
        <f>'Raw Data'!A303</f>
        <v>41908</v>
      </c>
      <c r="AZ313" s="150" t="str">
        <f>'Raw Data'!E303</f>
        <v>Up To 50% Off,FS on $49</v>
      </c>
      <c r="BA313" s="150">
        <f>'Raw Data'!I303</f>
        <v>1301</v>
      </c>
      <c r="BB313" s="112"/>
      <c r="BC313" s="112"/>
      <c r="BD313" s="112">
        <f>'Raw Data'!O303</f>
        <v>1</v>
      </c>
    </row>
    <row r="314" spans="19:56">
      <c r="S314" s="30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33" t="str">
        <f t="shared" si="98"/>
        <v/>
      </c>
      <c r="AF314" s="114" t="str">
        <f t="shared" si="102"/>
        <v/>
      </c>
      <c r="AG314" s="108" t="str">
        <f t="shared" si="93"/>
        <v/>
      </c>
      <c r="AH314" s="21" t="str">
        <f t="shared" si="94"/>
        <v/>
      </c>
      <c r="AI314" s="21" t="str">
        <f t="shared" si="95"/>
        <v/>
      </c>
      <c r="AJ314" s="21" t="str">
        <f t="shared" si="96"/>
        <v/>
      </c>
      <c r="AK314" s="21" t="str">
        <f t="shared" si="97"/>
        <v/>
      </c>
      <c r="AL314" s="21"/>
      <c r="AM314" s="21"/>
      <c r="AN314" s="21"/>
      <c r="AS314" s="112" t="str">
        <f t="shared" si="99"/>
        <v/>
      </c>
      <c r="AT314" s="112" t="str">
        <f>IF(AS314="","",COUNTIF($AS$13:AS314,AS314))</f>
        <v/>
      </c>
      <c r="AU314" s="147">
        <f t="shared" si="100"/>
        <v>301</v>
      </c>
      <c r="AV314" s="147">
        <f>COUNTIF($AZ$14:AZ314,AZ314)</f>
        <v>7</v>
      </c>
      <c r="AW314" s="147">
        <f>IFERROR(COUNTIF(AX$14:$BL314,AX314),"")</f>
        <v>43</v>
      </c>
      <c r="AX314" s="148" t="str">
        <f t="shared" si="101"/>
        <v>Sat</v>
      </c>
      <c r="AY314" s="149">
        <f>'Raw Data'!A304</f>
        <v>41909</v>
      </c>
      <c r="AZ314" s="150" t="str">
        <f>'Raw Data'!E304</f>
        <v>Up To 50% Off,FS on $49</v>
      </c>
      <c r="BA314" s="150">
        <f>'Raw Data'!I304</f>
        <v>901</v>
      </c>
      <c r="BB314" s="112"/>
      <c r="BC314" s="112"/>
      <c r="BD314" s="112">
        <f>'Raw Data'!O304</f>
        <v>1</v>
      </c>
    </row>
    <row r="315" spans="19:56">
      <c r="S315" s="30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33" t="str">
        <f t="shared" si="98"/>
        <v/>
      </c>
      <c r="AF315" s="114" t="str">
        <f t="shared" si="102"/>
        <v/>
      </c>
      <c r="AG315" s="108" t="str">
        <f t="shared" si="93"/>
        <v/>
      </c>
      <c r="AH315" s="21" t="str">
        <f t="shared" si="94"/>
        <v/>
      </c>
      <c r="AI315" s="21" t="str">
        <f t="shared" si="95"/>
        <v/>
      </c>
      <c r="AJ315" s="21" t="str">
        <f t="shared" si="96"/>
        <v/>
      </c>
      <c r="AK315" s="21" t="str">
        <f t="shared" si="97"/>
        <v/>
      </c>
      <c r="AL315" s="21"/>
      <c r="AM315" s="21"/>
      <c r="AN315" s="21"/>
      <c r="AS315" s="112" t="str">
        <f t="shared" si="99"/>
        <v/>
      </c>
      <c r="AT315" s="112" t="str">
        <f>IF(AS315="","",COUNTIF($AS$13:AS315,AS315))</f>
        <v/>
      </c>
      <c r="AU315" s="147">
        <f t="shared" si="100"/>
        <v>302</v>
      </c>
      <c r="AV315" s="147">
        <f>COUNTIF($AZ$14:AZ315,AZ315)</f>
        <v>8</v>
      </c>
      <c r="AW315" s="147">
        <f>IFERROR(COUNTIF(AX$14:$BL315,AX315),"")</f>
        <v>44</v>
      </c>
      <c r="AX315" s="148" t="str">
        <f t="shared" si="101"/>
        <v>Sun</v>
      </c>
      <c r="AY315" s="149">
        <f>'Raw Data'!A305</f>
        <v>41910</v>
      </c>
      <c r="AZ315" s="150" t="str">
        <f>'Raw Data'!E305</f>
        <v>Up To 50% Off,FS on $49</v>
      </c>
      <c r="BA315" s="150">
        <f>'Raw Data'!I305</f>
        <v>738</v>
      </c>
      <c r="BB315" s="112"/>
      <c r="BC315" s="112"/>
      <c r="BD315" s="112">
        <f>'Raw Data'!O305</f>
        <v>2</v>
      </c>
    </row>
    <row r="316" spans="19:56">
      <c r="S316" s="30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33" t="str">
        <f t="shared" si="98"/>
        <v/>
      </c>
      <c r="AF316" s="114" t="str">
        <f t="shared" si="102"/>
        <v/>
      </c>
      <c r="AG316" s="108" t="str">
        <f t="shared" si="93"/>
        <v/>
      </c>
      <c r="AH316" s="21" t="str">
        <f t="shared" si="94"/>
        <v/>
      </c>
      <c r="AI316" s="21" t="str">
        <f t="shared" si="95"/>
        <v/>
      </c>
      <c r="AJ316" s="21" t="str">
        <f t="shared" si="96"/>
        <v/>
      </c>
      <c r="AK316" s="21" t="str">
        <f t="shared" si="97"/>
        <v/>
      </c>
      <c r="AL316" s="21"/>
      <c r="AM316" s="21"/>
      <c r="AN316" s="21"/>
      <c r="AS316" s="112" t="str">
        <f t="shared" si="99"/>
        <v/>
      </c>
      <c r="AT316" s="112" t="str">
        <f>IF(AS316="","",COUNTIF($AS$13:AS316,AS316))</f>
        <v/>
      </c>
      <c r="AU316" s="147">
        <f t="shared" si="100"/>
        <v>303</v>
      </c>
      <c r="AV316" s="147">
        <f>COUNTIF($AZ$14:AZ316,AZ316)</f>
        <v>16</v>
      </c>
      <c r="AW316" s="147">
        <f>IFERROR(COUNTIF(AX$14:$BL316,AX316),"")</f>
        <v>44</v>
      </c>
      <c r="AX316" s="148" t="str">
        <f t="shared" si="101"/>
        <v>Mon</v>
      </c>
      <c r="AY316" s="149">
        <f>'Raw Data'!A306</f>
        <v>41911</v>
      </c>
      <c r="AZ316" s="150" t="str">
        <f>'Raw Data'!E306</f>
        <v>20% Off,FS on $49</v>
      </c>
      <c r="BA316" s="150">
        <f>'Raw Data'!I306</f>
        <v>1342</v>
      </c>
      <c r="BB316" s="112"/>
      <c r="BC316" s="112"/>
      <c r="BD316" s="112">
        <f>'Raw Data'!O306</f>
        <v>1</v>
      </c>
    </row>
    <row r="317" spans="19:56">
      <c r="S317" s="30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33" t="str">
        <f t="shared" si="98"/>
        <v/>
      </c>
      <c r="AF317" s="114" t="str">
        <f t="shared" si="102"/>
        <v/>
      </c>
      <c r="AG317" s="108" t="str">
        <f t="shared" si="93"/>
        <v/>
      </c>
      <c r="AH317" s="21" t="str">
        <f t="shared" si="94"/>
        <v/>
      </c>
      <c r="AI317" s="21" t="str">
        <f t="shared" si="95"/>
        <v/>
      </c>
      <c r="AJ317" s="21" t="str">
        <f t="shared" si="96"/>
        <v/>
      </c>
      <c r="AK317" s="21" t="str">
        <f t="shared" si="97"/>
        <v/>
      </c>
      <c r="AL317" s="21"/>
      <c r="AM317" s="21"/>
      <c r="AN317" s="21"/>
      <c r="AS317" s="112" t="str">
        <f t="shared" si="99"/>
        <v/>
      </c>
      <c r="AT317" s="112" t="str">
        <f>IF(AS317="","",COUNTIF($AS$13:AS317,AS317))</f>
        <v/>
      </c>
      <c r="AU317" s="147">
        <f t="shared" si="100"/>
        <v>304</v>
      </c>
      <c r="AV317" s="147">
        <f>COUNTIF($AZ$14:AZ317,AZ317)</f>
        <v>1</v>
      </c>
      <c r="AW317" s="147">
        <f>IFERROR(COUNTIF(AX$14:$BL317,AX317),"")</f>
        <v>44</v>
      </c>
      <c r="AX317" s="148" t="str">
        <f t="shared" si="101"/>
        <v>Tue</v>
      </c>
      <c r="AY317" s="149">
        <f>'Raw Data'!A307</f>
        <v>41912</v>
      </c>
      <c r="AZ317" s="150" t="str">
        <f>'Raw Data'!E307</f>
        <v>20% Off on Food, FS on $49</v>
      </c>
      <c r="BA317" s="150">
        <f>'Raw Data'!I307</f>
        <v>1323</v>
      </c>
      <c r="BB317" s="112"/>
      <c r="BC317" s="112"/>
      <c r="BD317" s="112">
        <f>'Raw Data'!O307</f>
        <v>1</v>
      </c>
    </row>
    <row r="318" spans="19:56">
      <c r="S318" s="30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33" t="str">
        <f t="shared" si="98"/>
        <v/>
      </c>
      <c r="AF318" s="114" t="str">
        <f t="shared" si="102"/>
        <v/>
      </c>
      <c r="AG318" s="108" t="str">
        <f t="shared" si="93"/>
        <v/>
      </c>
      <c r="AH318" s="21" t="str">
        <f t="shared" si="94"/>
        <v/>
      </c>
      <c r="AI318" s="21" t="str">
        <f t="shared" si="95"/>
        <v/>
      </c>
      <c r="AJ318" s="21" t="str">
        <f t="shared" si="96"/>
        <v/>
      </c>
      <c r="AK318" s="21" t="str">
        <f t="shared" si="97"/>
        <v/>
      </c>
      <c r="AL318" s="21"/>
      <c r="AM318" s="21"/>
      <c r="AN318" s="21"/>
      <c r="AS318" s="112" t="str">
        <f t="shared" si="99"/>
        <v/>
      </c>
      <c r="AT318" s="112" t="str">
        <f>IF(AS318="","",COUNTIF($AS$13:AS318,AS318))</f>
        <v/>
      </c>
      <c r="AU318" s="147">
        <f t="shared" si="100"/>
        <v>305</v>
      </c>
      <c r="AV318" s="147">
        <f>COUNTIF($AZ$14:AZ318,AZ318)</f>
        <v>79</v>
      </c>
      <c r="AW318" s="147">
        <f>IFERROR(COUNTIF(AX$14:$BL318,AX318),"")</f>
        <v>44</v>
      </c>
      <c r="AX318" s="148" t="str">
        <f t="shared" si="101"/>
        <v>Wed</v>
      </c>
      <c r="AY318" s="149">
        <f>'Raw Data'!A308</f>
        <v>41913</v>
      </c>
      <c r="AZ318" s="150" t="str">
        <f>'Raw Data'!E308</f>
        <v>No Email Drop</v>
      </c>
      <c r="BA318" s="150">
        <f>'Raw Data'!I308</f>
        <v>1252</v>
      </c>
      <c r="BB318" s="112"/>
      <c r="BC318" s="112"/>
      <c r="BD318" s="112">
        <f>'Raw Data'!O308</f>
        <v>0</v>
      </c>
    </row>
    <row r="319" spans="19:56">
      <c r="S319" s="30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33" t="str">
        <f t="shared" si="98"/>
        <v/>
      </c>
      <c r="AF319" s="114" t="str">
        <f t="shared" si="102"/>
        <v/>
      </c>
      <c r="AG319" s="108" t="str">
        <f t="shared" si="93"/>
        <v/>
      </c>
      <c r="AH319" s="21" t="str">
        <f t="shared" si="94"/>
        <v/>
      </c>
      <c r="AI319" s="21" t="str">
        <f t="shared" si="95"/>
        <v/>
      </c>
      <c r="AJ319" s="21" t="str">
        <f t="shared" si="96"/>
        <v/>
      </c>
      <c r="AK319" s="21" t="str">
        <f t="shared" si="97"/>
        <v/>
      </c>
      <c r="AL319" s="21"/>
      <c r="AM319" s="21"/>
      <c r="AN319" s="21"/>
      <c r="AS319" s="112" t="str">
        <f t="shared" si="99"/>
        <v/>
      </c>
      <c r="AT319" s="112" t="str">
        <f>IF(AS319="","",COUNTIF($AS$13:AS319,AS319))</f>
        <v/>
      </c>
      <c r="AU319" s="147">
        <f t="shared" si="100"/>
        <v>306</v>
      </c>
      <c r="AV319" s="147">
        <f>COUNTIF($AZ$14:AZ319,AZ319)</f>
        <v>1</v>
      </c>
      <c r="AW319" s="147">
        <f>IFERROR(COUNTIF(AX$14:$BL319,AX319),"")</f>
        <v>44</v>
      </c>
      <c r="AX319" s="148" t="str">
        <f t="shared" si="101"/>
        <v>Thu</v>
      </c>
      <c r="AY319" s="149">
        <f>'Raw Data'!A309</f>
        <v>41914</v>
      </c>
      <c r="AZ319" s="150" t="str">
        <f>'Raw Data'!E309</f>
        <v>$5 Off, FS on $50</v>
      </c>
      <c r="BA319" s="150">
        <f>'Raw Data'!I309</f>
        <v>1247</v>
      </c>
      <c r="BB319" s="112"/>
      <c r="BC319" s="112"/>
      <c r="BD319" s="112">
        <f>'Raw Data'!O309</f>
        <v>1</v>
      </c>
    </row>
    <row r="320" spans="19:56">
      <c r="S320" s="30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33" t="str">
        <f t="shared" si="98"/>
        <v/>
      </c>
      <c r="AF320" s="114" t="str">
        <f t="shared" si="102"/>
        <v/>
      </c>
      <c r="AG320" s="108" t="str">
        <f t="shared" si="93"/>
        <v/>
      </c>
      <c r="AH320" s="21" t="str">
        <f t="shared" si="94"/>
        <v/>
      </c>
      <c r="AI320" s="21" t="str">
        <f t="shared" si="95"/>
        <v/>
      </c>
      <c r="AJ320" s="21" t="str">
        <f t="shared" si="96"/>
        <v/>
      </c>
      <c r="AK320" s="21" t="str">
        <f t="shared" si="97"/>
        <v/>
      </c>
      <c r="AL320" s="21"/>
      <c r="AM320" s="21"/>
      <c r="AN320" s="21"/>
      <c r="AS320" s="112" t="str">
        <f t="shared" si="99"/>
        <v/>
      </c>
      <c r="AT320" s="112" t="str">
        <f>IF(AS320="","",COUNTIF($AS$13:AS320,AS320))</f>
        <v/>
      </c>
      <c r="AU320" s="147">
        <f t="shared" si="100"/>
        <v>307</v>
      </c>
      <c r="AV320" s="147">
        <f>COUNTIF($AZ$14:AZ320,AZ320)</f>
        <v>9</v>
      </c>
      <c r="AW320" s="147">
        <f>IFERROR(COUNTIF(AX$14:$BL320,AX320),"")</f>
        <v>44</v>
      </c>
      <c r="AX320" s="148" t="str">
        <f t="shared" si="101"/>
        <v>Fri</v>
      </c>
      <c r="AY320" s="149">
        <f>'Raw Data'!A310</f>
        <v>41915</v>
      </c>
      <c r="AZ320" s="150" t="str">
        <f>'Raw Data'!E310</f>
        <v>Up To 50% Off,FS on $49</v>
      </c>
      <c r="BA320" s="150">
        <f>'Raw Data'!I310</f>
        <v>1097</v>
      </c>
      <c r="BB320" s="112"/>
      <c r="BC320" s="112"/>
      <c r="BD320" s="112">
        <f>'Raw Data'!O310</f>
        <v>1</v>
      </c>
    </row>
    <row r="321" spans="19:56">
      <c r="S321" s="30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33" t="str">
        <f t="shared" si="98"/>
        <v/>
      </c>
      <c r="AF321" s="114" t="str">
        <f t="shared" si="102"/>
        <v/>
      </c>
      <c r="AG321" s="108" t="str">
        <f t="shared" si="93"/>
        <v/>
      </c>
      <c r="AH321" s="21" t="str">
        <f t="shared" si="94"/>
        <v/>
      </c>
      <c r="AI321" s="21" t="str">
        <f t="shared" si="95"/>
        <v/>
      </c>
      <c r="AJ321" s="21" t="str">
        <f t="shared" si="96"/>
        <v/>
      </c>
      <c r="AK321" s="21" t="str">
        <f t="shared" si="97"/>
        <v/>
      </c>
      <c r="AL321" s="21"/>
      <c r="AM321" s="21"/>
      <c r="AN321" s="21"/>
      <c r="AS321" s="112" t="str">
        <f t="shared" si="99"/>
        <v/>
      </c>
      <c r="AT321" s="112" t="str">
        <f>IF(AS321="","",COUNTIF($AS$13:AS321,AS321))</f>
        <v/>
      </c>
      <c r="AU321" s="147">
        <f t="shared" si="100"/>
        <v>308</v>
      </c>
      <c r="AV321" s="147">
        <f>COUNTIF($AZ$14:AZ321,AZ321)</f>
        <v>2</v>
      </c>
      <c r="AW321" s="147">
        <f>IFERROR(COUNTIF(AX$14:$BL321,AX321),"")</f>
        <v>44</v>
      </c>
      <c r="AX321" s="148" t="str">
        <f t="shared" si="101"/>
        <v>Sat</v>
      </c>
      <c r="AY321" s="149">
        <f>'Raw Data'!A311</f>
        <v>41916</v>
      </c>
      <c r="AZ321" s="150" t="str">
        <f>'Raw Data'!E311</f>
        <v>$5 Off, FS on $50</v>
      </c>
      <c r="BA321" s="150">
        <f>'Raw Data'!I311</f>
        <v>911</v>
      </c>
      <c r="BB321" s="112"/>
      <c r="BC321" s="112"/>
      <c r="BD321" s="112">
        <f>'Raw Data'!O311</f>
        <v>1</v>
      </c>
    </row>
    <row r="322" spans="19:56">
      <c r="S322" s="30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33" t="str">
        <f t="shared" si="98"/>
        <v/>
      </c>
      <c r="AF322" s="114" t="str">
        <f t="shared" si="102"/>
        <v/>
      </c>
      <c r="AG322" s="108" t="str">
        <f t="shared" si="93"/>
        <v/>
      </c>
      <c r="AH322" s="21" t="str">
        <f t="shared" si="94"/>
        <v/>
      </c>
      <c r="AI322" s="21" t="str">
        <f t="shared" si="95"/>
        <v/>
      </c>
      <c r="AJ322" s="21" t="str">
        <f t="shared" si="96"/>
        <v/>
      </c>
      <c r="AK322" s="21" t="str">
        <f t="shared" si="97"/>
        <v/>
      </c>
      <c r="AL322" s="21"/>
      <c r="AM322" s="21"/>
      <c r="AN322" s="21"/>
      <c r="AS322" s="112" t="str">
        <f t="shared" si="99"/>
        <v/>
      </c>
      <c r="AT322" s="112" t="str">
        <f>IF(AS322="","",COUNTIF($AS$13:AS322,AS322))</f>
        <v/>
      </c>
      <c r="AU322" s="147">
        <f t="shared" si="100"/>
        <v>309</v>
      </c>
      <c r="AV322" s="147">
        <f>COUNTIF($AZ$14:AZ322,AZ322)</f>
        <v>3</v>
      </c>
      <c r="AW322" s="147">
        <f>IFERROR(COUNTIF(AX$14:$BL322,AX322),"")</f>
        <v>45</v>
      </c>
      <c r="AX322" s="148" t="str">
        <f t="shared" si="101"/>
        <v>Sun</v>
      </c>
      <c r="AY322" s="149">
        <f>'Raw Data'!A312</f>
        <v>41917</v>
      </c>
      <c r="AZ322" s="150" t="str">
        <f>'Raw Data'!E312</f>
        <v>$5 Off, FS on $50</v>
      </c>
      <c r="BA322" s="150">
        <f>'Raw Data'!I312</f>
        <v>721</v>
      </c>
      <c r="BB322" s="112"/>
      <c r="BC322" s="112"/>
      <c r="BD322" s="112">
        <f>'Raw Data'!O312</f>
        <v>1</v>
      </c>
    </row>
    <row r="323" spans="19:56">
      <c r="S323" s="30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33" t="str">
        <f t="shared" si="98"/>
        <v/>
      </c>
      <c r="AF323" s="114" t="str">
        <f t="shared" si="102"/>
        <v/>
      </c>
      <c r="AG323" s="108" t="str">
        <f t="shared" si="93"/>
        <v/>
      </c>
      <c r="AH323" s="21" t="str">
        <f t="shared" si="94"/>
        <v/>
      </c>
      <c r="AI323" s="21" t="str">
        <f t="shared" si="95"/>
        <v/>
      </c>
      <c r="AJ323" s="21" t="str">
        <f t="shared" si="96"/>
        <v/>
      </c>
      <c r="AK323" s="21" t="str">
        <f t="shared" si="97"/>
        <v/>
      </c>
      <c r="AL323" s="21"/>
      <c r="AM323" s="21"/>
      <c r="AN323" s="21"/>
      <c r="AS323" s="112" t="str">
        <f t="shared" si="99"/>
        <v/>
      </c>
      <c r="AT323" s="112" t="str">
        <f>IF(AS323="","",COUNTIF($AS$13:AS323,AS323))</f>
        <v/>
      </c>
      <c r="AU323" s="147">
        <f t="shared" si="100"/>
        <v>310</v>
      </c>
      <c r="AV323" s="147">
        <f>COUNTIF($AZ$14:AZ323,AZ323)</f>
        <v>2</v>
      </c>
      <c r="AW323" s="147">
        <f>IFERROR(COUNTIF(AX$14:$BL323,AX323),"")</f>
        <v>45</v>
      </c>
      <c r="AX323" s="148" t="str">
        <f t="shared" si="101"/>
        <v>Mon</v>
      </c>
      <c r="AY323" s="149">
        <f>'Raw Data'!A313</f>
        <v>41918</v>
      </c>
      <c r="AZ323" s="150" t="str">
        <f>'Raw Data'!E313</f>
        <v>20% Off on Food, FS on $49</v>
      </c>
      <c r="BA323" s="150">
        <f>'Raw Data'!I313</f>
        <v>1285</v>
      </c>
      <c r="BB323" s="112"/>
      <c r="BC323" s="112"/>
      <c r="BD323" s="112">
        <f>'Raw Data'!O313</f>
        <v>1</v>
      </c>
    </row>
    <row r="324" spans="19:56">
      <c r="S324" s="30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33" t="str">
        <f t="shared" si="98"/>
        <v/>
      </c>
      <c r="AF324" s="114" t="str">
        <f t="shared" si="102"/>
        <v/>
      </c>
      <c r="AG324" s="108" t="str">
        <f t="shared" si="93"/>
        <v/>
      </c>
      <c r="AH324" s="21" t="str">
        <f t="shared" si="94"/>
        <v/>
      </c>
      <c r="AI324" s="21" t="str">
        <f t="shared" si="95"/>
        <v/>
      </c>
      <c r="AJ324" s="21" t="str">
        <f t="shared" si="96"/>
        <v/>
      </c>
      <c r="AK324" s="21" t="str">
        <f t="shared" si="97"/>
        <v/>
      </c>
      <c r="AL324" s="21"/>
      <c r="AM324" s="21"/>
      <c r="AN324" s="21"/>
      <c r="AS324" s="112" t="str">
        <f t="shared" si="99"/>
        <v/>
      </c>
      <c r="AT324" s="112" t="str">
        <f>IF(AS324="","",COUNTIF($AS$13:AS324,AS324))</f>
        <v/>
      </c>
      <c r="AU324" s="147">
        <f t="shared" si="100"/>
        <v>311</v>
      </c>
      <c r="AV324" s="147">
        <f>COUNTIF($AZ$14:AZ324,AZ324)</f>
        <v>4</v>
      </c>
      <c r="AW324" s="147">
        <f>IFERROR(COUNTIF(AX$14:$BL324,AX324),"")</f>
        <v>45</v>
      </c>
      <c r="AX324" s="148" t="str">
        <f t="shared" si="101"/>
        <v>Tue</v>
      </c>
      <c r="AY324" s="149">
        <f>'Raw Data'!A314</f>
        <v>41919</v>
      </c>
      <c r="AZ324" s="150" t="str">
        <f>'Raw Data'!E314</f>
        <v>$5 Off, FS on $50</v>
      </c>
      <c r="BA324" s="150">
        <f>'Raw Data'!I314</f>
        <v>1302</v>
      </c>
      <c r="BB324" s="112"/>
      <c r="BC324" s="112"/>
      <c r="BD324" s="112">
        <f>'Raw Data'!O314</f>
        <v>2</v>
      </c>
    </row>
    <row r="325" spans="19:56">
      <c r="S325" s="30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33" t="str">
        <f t="shared" si="98"/>
        <v/>
      </c>
      <c r="AF325" s="114" t="str">
        <f t="shared" si="102"/>
        <v/>
      </c>
      <c r="AG325" s="108" t="str">
        <f t="shared" si="93"/>
        <v/>
      </c>
      <c r="AH325" s="21" t="str">
        <f t="shared" si="94"/>
        <v/>
      </c>
      <c r="AI325" s="21" t="str">
        <f t="shared" si="95"/>
        <v/>
      </c>
      <c r="AJ325" s="21" t="str">
        <f t="shared" si="96"/>
        <v/>
      </c>
      <c r="AK325" s="21" t="str">
        <f t="shared" si="97"/>
        <v/>
      </c>
      <c r="AL325" s="21"/>
      <c r="AM325" s="21"/>
      <c r="AN325" s="21"/>
      <c r="AS325" s="112" t="str">
        <f t="shared" si="99"/>
        <v/>
      </c>
      <c r="AT325" s="112" t="str">
        <f>IF(AS325="","",COUNTIF($AS$13:AS325,AS325))</f>
        <v/>
      </c>
      <c r="AU325" s="147">
        <f t="shared" si="100"/>
        <v>312</v>
      </c>
      <c r="AV325" s="147">
        <f>COUNTIF($AZ$14:AZ325,AZ325)</f>
        <v>5</v>
      </c>
      <c r="AW325" s="147">
        <f>IFERROR(COUNTIF(AX$14:$BL325,AX325),"")</f>
        <v>45</v>
      </c>
      <c r="AX325" s="148" t="str">
        <f t="shared" si="101"/>
        <v>Wed</v>
      </c>
      <c r="AY325" s="149">
        <f>'Raw Data'!A315</f>
        <v>41920</v>
      </c>
      <c r="AZ325" s="150" t="str">
        <f>'Raw Data'!E315</f>
        <v>$5 Off, FS on $50</v>
      </c>
      <c r="BA325" s="150">
        <f>'Raw Data'!I315</f>
        <v>1285</v>
      </c>
      <c r="BB325" s="112"/>
      <c r="BC325" s="112"/>
      <c r="BD325" s="112">
        <f>'Raw Data'!O315</f>
        <v>2</v>
      </c>
    </row>
    <row r="326" spans="19:56">
      <c r="S326" s="30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33" t="str">
        <f t="shared" si="98"/>
        <v/>
      </c>
      <c r="AF326" s="114" t="str">
        <f t="shared" si="102"/>
        <v/>
      </c>
      <c r="AG326" s="108" t="str">
        <f t="shared" si="93"/>
        <v/>
      </c>
      <c r="AH326" s="21" t="str">
        <f t="shared" si="94"/>
        <v/>
      </c>
      <c r="AI326" s="21" t="str">
        <f t="shared" si="95"/>
        <v/>
      </c>
      <c r="AJ326" s="21" t="str">
        <f t="shared" si="96"/>
        <v/>
      </c>
      <c r="AK326" s="21" t="str">
        <f t="shared" si="97"/>
        <v/>
      </c>
      <c r="AL326" s="21"/>
      <c r="AM326" s="21"/>
      <c r="AN326" s="21"/>
      <c r="AS326" s="112" t="str">
        <f t="shared" si="99"/>
        <v/>
      </c>
      <c r="AT326" s="112" t="str">
        <f>IF(AS326="","",COUNTIF($AS$13:AS326,AS326))</f>
        <v/>
      </c>
      <c r="AU326" s="147">
        <f t="shared" si="100"/>
        <v>313</v>
      </c>
      <c r="AV326" s="147">
        <f>COUNTIF($AZ$14:AZ326,AZ326)</f>
        <v>6</v>
      </c>
      <c r="AW326" s="147">
        <f>IFERROR(COUNTIF(AX$14:$BL326,AX326),"")</f>
        <v>45</v>
      </c>
      <c r="AX326" s="148" t="str">
        <f t="shared" si="101"/>
        <v>Thu</v>
      </c>
      <c r="AY326" s="149">
        <f>'Raw Data'!A316</f>
        <v>41921</v>
      </c>
      <c r="AZ326" s="150" t="str">
        <f>'Raw Data'!E316</f>
        <v>$5 Off, FS on $50</v>
      </c>
      <c r="BA326" s="150">
        <f>'Raw Data'!I316</f>
        <v>1116</v>
      </c>
      <c r="BB326" s="112"/>
      <c r="BC326" s="112"/>
      <c r="BD326" s="112">
        <f>'Raw Data'!O316</f>
        <v>1</v>
      </c>
    </row>
    <row r="327" spans="19:56">
      <c r="S327" s="30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33" t="str">
        <f t="shared" si="98"/>
        <v/>
      </c>
      <c r="AF327" s="114" t="str">
        <f t="shared" si="102"/>
        <v/>
      </c>
      <c r="AG327" s="108" t="str">
        <f t="shared" si="93"/>
        <v/>
      </c>
      <c r="AH327" s="21" t="str">
        <f t="shared" si="94"/>
        <v/>
      </c>
      <c r="AI327" s="21" t="str">
        <f t="shared" si="95"/>
        <v/>
      </c>
      <c r="AJ327" s="21" t="str">
        <f t="shared" si="96"/>
        <v/>
      </c>
      <c r="AK327" s="21" t="str">
        <f t="shared" si="97"/>
        <v/>
      </c>
      <c r="AL327" s="21"/>
      <c r="AM327" s="21"/>
      <c r="AN327" s="21"/>
      <c r="AS327" s="112" t="str">
        <f t="shared" si="99"/>
        <v/>
      </c>
      <c r="AT327" s="112" t="str">
        <f>IF(AS327="","",COUNTIF($AS$13:AS327,AS327))</f>
        <v/>
      </c>
      <c r="AU327" s="147">
        <f t="shared" si="100"/>
        <v>314</v>
      </c>
      <c r="AV327" s="147">
        <f>COUNTIF($AZ$14:AZ327,AZ327)</f>
        <v>7</v>
      </c>
      <c r="AW327" s="147">
        <f>IFERROR(COUNTIF(AX$14:$BL327,AX327),"")</f>
        <v>45</v>
      </c>
      <c r="AX327" s="148" t="str">
        <f t="shared" si="101"/>
        <v>Fri</v>
      </c>
      <c r="AY327" s="149">
        <f>'Raw Data'!A317</f>
        <v>41922</v>
      </c>
      <c r="AZ327" s="150" t="str">
        <f>'Raw Data'!E317</f>
        <v>$5 Off, FS on $50</v>
      </c>
      <c r="BA327" s="150">
        <f>'Raw Data'!I317</f>
        <v>1182</v>
      </c>
      <c r="BB327" s="112"/>
      <c r="BC327" s="112"/>
      <c r="BD327" s="112">
        <f>'Raw Data'!O317</f>
        <v>1</v>
      </c>
    </row>
    <row r="328" spans="19:56">
      <c r="S328" s="30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33" t="str">
        <f t="shared" si="98"/>
        <v/>
      </c>
      <c r="AF328" s="114" t="str">
        <f t="shared" si="102"/>
        <v/>
      </c>
      <c r="AG328" s="108" t="str">
        <f t="shared" si="93"/>
        <v/>
      </c>
      <c r="AH328" s="21" t="str">
        <f t="shared" si="94"/>
        <v/>
      </c>
      <c r="AI328" s="21" t="str">
        <f t="shared" si="95"/>
        <v/>
      </c>
      <c r="AJ328" s="21" t="str">
        <f t="shared" si="96"/>
        <v/>
      </c>
      <c r="AK328" s="21" t="str">
        <f t="shared" si="97"/>
        <v/>
      </c>
      <c r="AL328" s="21"/>
      <c r="AM328" s="21"/>
      <c r="AN328" s="21"/>
      <c r="AS328" s="112" t="str">
        <f t="shared" si="99"/>
        <v/>
      </c>
      <c r="AT328" s="112" t="str">
        <f>IF(AS328="","",COUNTIF($AS$13:AS328,AS328))</f>
        <v/>
      </c>
      <c r="AU328" s="147">
        <f t="shared" si="100"/>
        <v>315</v>
      </c>
      <c r="AV328" s="147">
        <f>COUNTIF($AZ$14:AZ328,AZ328)</f>
        <v>8</v>
      </c>
      <c r="AW328" s="147">
        <f>IFERROR(COUNTIF(AX$14:$BL328,AX328),"")</f>
        <v>45</v>
      </c>
      <c r="AX328" s="148" t="str">
        <f t="shared" si="101"/>
        <v>Sat</v>
      </c>
      <c r="AY328" s="149">
        <f>'Raw Data'!A318</f>
        <v>41923</v>
      </c>
      <c r="AZ328" s="150" t="str">
        <f>'Raw Data'!E318</f>
        <v>$5 Off, FS on $50</v>
      </c>
      <c r="BA328" s="150">
        <f>'Raw Data'!I318</f>
        <v>931</v>
      </c>
      <c r="BB328" s="112"/>
      <c r="BC328" s="112"/>
      <c r="BD328" s="112">
        <f>'Raw Data'!O318</f>
        <v>1</v>
      </c>
    </row>
    <row r="329" spans="19:56">
      <c r="S329" s="30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33" t="str">
        <f t="shared" si="98"/>
        <v/>
      </c>
      <c r="AF329" s="114" t="str">
        <f t="shared" si="102"/>
        <v/>
      </c>
      <c r="AG329" s="108" t="str">
        <f t="shared" si="93"/>
        <v/>
      </c>
      <c r="AH329" s="21" t="str">
        <f t="shared" si="94"/>
        <v/>
      </c>
      <c r="AI329" s="21" t="str">
        <f t="shared" si="95"/>
        <v/>
      </c>
      <c r="AJ329" s="21" t="str">
        <f t="shared" si="96"/>
        <v/>
      </c>
      <c r="AK329" s="21" t="str">
        <f t="shared" si="97"/>
        <v/>
      </c>
      <c r="AL329" s="21"/>
      <c r="AM329" s="21"/>
      <c r="AN329" s="21"/>
      <c r="AS329" s="112" t="str">
        <f t="shared" si="99"/>
        <v/>
      </c>
      <c r="AT329" s="112" t="str">
        <f>IF(AS329="","",COUNTIF($AS$13:AS329,AS329))</f>
        <v/>
      </c>
      <c r="AU329" s="147">
        <f t="shared" si="100"/>
        <v>316</v>
      </c>
      <c r="AV329" s="147">
        <f>COUNTIF($AZ$14:AZ329,AZ329)</f>
        <v>2</v>
      </c>
      <c r="AW329" s="147">
        <f>IFERROR(COUNTIF(AX$14:$BL329,AX329),"")</f>
        <v>46</v>
      </c>
      <c r="AX329" s="148" t="str">
        <f t="shared" si="101"/>
        <v>Sun</v>
      </c>
      <c r="AY329" s="149">
        <f>'Raw Data'!A319</f>
        <v>41924</v>
      </c>
      <c r="AZ329" s="150" t="str">
        <f>'Raw Data'!E319</f>
        <v>10% Off,FS on $49</v>
      </c>
      <c r="BA329" s="150">
        <f>'Raw Data'!I319</f>
        <v>709</v>
      </c>
      <c r="BB329" s="112"/>
      <c r="BC329" s="112"/>
      <c r="BD329" s="112">
        <f>'Raw Data'!O319</f>
        <v>1</v>
      </c>
    </row>
    <row r="330" spans="19:56">
      <c r="S330" s="30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33" t="str">
        <f t="shared" si="98"/>
        <v/>
      </c>
      <c r="AF330" s="114" t="str">
        <f t="shared" si="102"/>
        <v/>
      </c>
      <c r="AG330" s="108" t="str">
        <f t="shared" si="93"/>
        <v/>
      </c>
      <c r="AH330" s="21" t="str">
        <f t="shared" si="94"/>
        <v/>
      </c>
      <c r="AI330" s="21" t="str">
        <f t="shared" si="95"/>
        <v/>
      </c>
      <c r="AJ330" s="21" t="str">
        <f t="shared" si="96"/>
        <v/>
      </c>
      <c r="AK330" s="21" t="str">
        <f t="shared" si="97"/>
        <v/>
      </c>
      <c r="AL330" s="21"/>
      <c r="AM330" s="21"/>
      <c r="AN330" s="21"/>
      <c r="AS330" s="112" t="str">
        <f t="shared" si="99"/>
        <v/>
      </c>
      <c r="AT330" s="112" t="str">
        <f>IF(AS330="","",COUNTIF($AS$13:AS330,AS330))</f>
        <v/>
      </c>
      <c r="AU330" s="147">
        <f t="shared" si="100"/>
        <v>317</v>
      </c>
      <c r="AV330" s="147">
        <f>COUNTIF($AZ$14:AZ330,AZ330)</f>
        <v>1</v>
      </c>
      <c r="AW330" s="147">
        <f>IFERROR(COUNTIF(AX$14:$BL330,AX330),"")</f>
        <v>46</v>
      </c>
      <c r="AX330" s="148" t="str">
        <f t="shared" si="101"/>
        <v>Mon</v>
      </c>
      <c r="AY330" s="149">
        <f>'Raw Data'!A320</f>
        <v>41925</v>
      </c>
      <c r="AZ330" s="150" t="str">
        <f>'Raw Data'!E320</f>
        <v>RD Event, Earn $20</v>
      </c>
      <c r="BA330" s="150">
        <f>'Raw Data'!I320</f>
        <v>1397</v>
      </c>
      <c r="BB330" s="112"/>
      <c r="BC330" s="112"/>
      <c r="BD330" s="112">
        <f>'Raw Data'!O320</f>
        <v>1</v>
      </c>
    </row>
    <row r="331" spans="19:56">
      <c r="S331" s="30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33" t="str">
        <f t="shared" si="98"/>
        <v/>
      </c>
      <c r="AF331" s="114" t="str">
        <f t="shared" si="102"/>
        <v/>
      </c>
      <c r="AG331" s="108" t="str">
        <f t="shared" si="93"/>
        <v/>
      </c>
      <c r="AH331" s="21" t="str">
        <f t="shared" si="94"/>
        <v/>
      </c>
      <c r="AI331" s="21" t="str">
        <f t="shared" si="95"/>
        <v/>
      </c>
      <c r="AJ331" s="21" t="str">
        <f t="shared" si="96"/>
        <v/>
      </c>
      <c r="AK331" s="21" t="str">
        <f t="shared" si="97"/>
        <v/>
      </c>
      <c r="AL331" s="21"/>
      <c r="AM331" s="21"/>
      <c r="AN331" s="21"/>
      <c r="AS331" s="112" t="str">
        <f t="shared" si="99"/>
        <v/>
      </c>
      <c r="AT331" s="112" t="str">
        <f>IF(AS331="","",COUNTIF($AS$13:AS331,AS331))</f>
        <v/>
      </c>
      <c r="AU331" s="147">
        <f t="shared" si="100"/>
        <v>318</v>
      </c>
      <c r="AV331" s="147">
        <f>COUNTIF($AZ$14:AZ331,AZ331)</f>
        <v>1</v>
      </c>
      <c r="AW331" s="147">
        <f>IFERROR(COUNTIF(AX$14:$BL331,AX331),"")</f>
        <v>46</v>
      </c>
      <c r="AX331" s="148" t="str">
        <f t="shared" si="101"/>
        <v>Tue</v>
      </c>
      <c r="AY331" s="149">
        <f>'Raw Data'!A321</f>
        <v>41926</v>
      </c>
      <c r="AZ331" s="150" t="str">
        <f>'Raw Data'!E321</f>
        <v>20% Off on Halloween, FS on $49</v>
      </c>
      <c r="BA331" s="150">
        <f>'Raw Data'!I321</f>
        <v>1088</v>
      </c>
      <c r="BB331" s="112"/>
      <c r="BC331" s="112"/>
      <c r="BD331" s="112">
        <f>'Raw Data'!O321</f>
        <v>1</v>
      </c>
    </row>
    <row r="332" spans="19:56">
      <c r="S332" s="30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33" t="str">
        <f t="shared" si="98"/>
        <v/>
      </c>
      <c r="AF332" s="114" t="str">
        <f t="shared" si="102"/>
        <v/>
      </c>
      <c r="AG332" s="108" t="str">
        <f t="shared" si="93"/>
        <v/>
      </c>
      <c r="AH332" s="21" t="str">
        <f t="shared" si="94"/>
        <v/>
      </c>
      <c r="AI332" s="21" t="str">
        <f t="shared" si="95"/>
        <v/>
      </c>
      <c r="AJ332" s="21" t="str">
        <f t="shared" si="96"/>
        <v/>
      </c>
      <c r="AK332" s="21" t="str">
        <f t="shared" si="97"/>
        <v/>
      </c>
      <c r="AL332" s="21"/>
      <c r="AM332" s="21"/>
      <c r="AN332" s="21"/>
      <c r="AS332" s="112" t="str">
        <f t="shared" si="99"/>
        <v/>
      </c>
      <c r="AT332" s="112" t="str">
        <f>IF(AS332="","",COUNTIF($AS$13:AS332,AS332))</f>
        <v/>
      </c>
      <c r="AU332" s="147">
        <f t="shared" si="100"/>
        <v>319</v>
      </c>
      <c r="AV332" s="147">
        <f>COUNTIF($AZ$14:AZ332,AZ332)</f>
        <v>3</v>
      </c>
      <c r="AW332" s="147">
        <f>IFERROR(COUNTIF(AX$14:$BL332,AX332),"")</f>
        <v>46</v>
      </c>
      <c r="AX332" s="148" t="str">
        <f t="shared" si="101"/>
        <v>Wed</v>
      </c>
      <c r="AY332" s="149">
        <f>'Raw Data'!A322</f>
        <v>41927</v>
      </c>
      <c r="AZ332" s="150" t="str">
        <f>'Raw Data'!E322</f>
        <v>10% Off,FS on $49</v>
      </c>
      <c r="BA332" s="150">
        <f>'Raw Data'!I322</f>
        <v>1270</v>
      </c>
      <c r="BB332" s="112"/>
      <c r="BC332" s="112"/>
      <c r="BD332" s="112">
        <f>'Raw Data'!O322</f>
        <v>1</v>
      </c>
    </row>
    <row r="333" spans="19:56">
      <c r="S333" s="30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33" t="str">
        <f t="shared" si="98"/>
        <v/>
      </c>
      <c r="AF333" s="114" t="str">
        <f t="shared" si="102"/>
        <v/>
      </c>
      <c r="AG333" s="108" t="str">
        <f t="shared" si="93"/>
        <v/>
      </c>
      <c r="AH333" s="21" t="str">
        <f t="shared" si="94"/>
        <v/>
      </c>
      <c r="AI333" s="21" t="str">
        <f t="shared" si="95"/>
        <v/>
      </c>
      <c r="AJ333" s="21" t="str">
        <f t="shared" si="96"/>
        <v/>
      </c>
      <c r="AK333" s="21" t="str">
        <f t="shared" si="97"/>
        <v/>
      </c>
      <c r="AL333" s="21"/>
      <c r="AM333" s="21"/>
      <c r="AN333" s="21"/>
      <c r="AS333" s="112" t="str">
        <f t="shared" si="99"/>
        <v/>
      </c>
      <c r="AT333" s="112" t="str">
        <f>IF(AS333="","",COUNTIF($AS$13:AS333,AS333))</f>
        <v/>
      </c>
      <c r="AU333" s="147">
        <f t="shared" si="100"/>
        <v>320</v>
      </c>
      <c r="AV333" s="147">
        <f>COUNTIF($AZ$14:AZ333,AZ333)</f>
        <v>4</v>
      </c>
      <c r="AW333" s="147">
        <f>IFERROR(COUNTIF(AX$14:$BL333,AX333),"")</f>
        <v>46</v>
      </c>
      <c r="AX333" s="148" t="str">
        <f t="shared" si="101"/>
        <v>Thu</v>
      </c>
      <c r="AY333" s="149">
        <f>'Raw Data'!A323</f>
        <v>41928</v>
      </c>
      <c r="AZ333" s="150" t="str">
        <f>'Raw Data'!E323</f>
        <v>10% Off,FS on $49</v>
      </c>
      <c r="BA333" s="150">
        <f>'Raw Data'!I323</f>
        <v>1057</v>
      </c>
      <c r="BB333" s="112"/>
      <c r="BC333" s="112"/>
      <c r="BD333" s="112">
        <f>'Raw Data'!O323</f>
        <v>1</v>
      </c>
    </row>
    <row r="334" spans="19:56">
      <c r="S334" s="30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33" t="str">
        <f t="shared" si="98"/>
        <v/>
      </c>
      <c r="AF334" s="114" t="str">
        <f t="shared" si="102"/>
        <v/>
      </c>
      <c r="AG334" s="108" t="str">
        <f t="shared" si="93"/>
        <v/>
      </c>
      <c r="AH334" s="21" t="str">
        <f t="shared" si="94"/>
        <v/>
      </c>
      <c r="AI334" s="21" t="str">
        <f t="shared" si="95"/>
        <v/>
      </c>
      <c r="AJ334" s="21" t="str">
        <f t="shared" si="96"/>
        <v/>
      </c>
      <c r="AK334" s="21" t="str">
        <f t="shared" si="97"/>
        <v/>
      </c>
      <c r="AL334" s="21"/>
      <c r="AM334" s="21"/>
      <c r="AN334" s="21"/>
      <c r="AS334" s="112">
        <f t="shared" si="99"/>
        <v>1</v>
      </c>
      <c r="AT334" s="112">
        <f>IF(AS334="","",COUNTIF($AS$13:AS334,AS334))</f>
        <v>11</v>
      </c>
      <c r="AU334" s="147">
        <f t="shared" si="100"/>
        <v>321</v>
      </c>
      <c r="AV334" s="147">
        <f>COUNTIF($AZ$14:AZ334,AZ334)</f>
        <v>3</v>
      </c>
      <c r="AW334" s="147">
        <f>IFERROR(COUNTIF(AX$14:$BL334,AX334),"")</f>
        <v>46</v>
      </c>
      <c r="AX334" s="148" t="str">
        <f t="shared" si="101"/>
        <v>Fri</v>
      </c>
      <c r="AY334" s="149">
        <f>'Raw Data'!A324</f>
        <v>41929</v>
      </c>
      <c r="AZ334" s="150" t="str">
        <f>'Raw Data'!E324</f>
        <v>Flash Sale,25% Off,FS on $49</v>
      </c>
      <c r="BA334" s="150">
        <f>'Raw Data'!I324</f>
        <v>1229</v>
      </c>
      <c r="BB334" s="112"/>
      <c r="BC334" s="112"/>
      <c r="BD334" s="112">
        <f>'Raw Data'!O324</f>
        <v>2</v>
      </c>
    </row>
    <row r="335" spans="19:56">
      <c r="S335" s="30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33" t="str">
        <f t="shared" si="98"/>
        <v/>
      </c>
      <c r="AF335" s="114" t="str">
        <f t="shared" si="102"/>
        <v/>
      </c>
      <c r="AG335" s="108" t="str">
        <f t="shared" ref="AG335:AG398" si="103">IF(AF335="","",VLOOKUP(AF335,$AT$14:$BC$1042,6,0))</f>
        <v/>
      </c>
      <c r="AH335" s="21" t="str">
        <f t="shared" ref="AH335:AH398" si="104">IF(AF335="","",VLOOKUP(AF335,$AT$14:$BC$1042,7,0))</f>
        <v/>
      </c>
      <c r="AI335" s="21" t="str">
        <f t="shared" ref="AI335:AI398" si="105">IF(AF335="","",VLOOKUP(AF335,$AT$14:$BC$1042,8,0))</f>
        <v/>
      </c>
      <c r="AJ335" s="21" t="str">
        <f t="shared" ref="AJ335:AJ398" si="106">IF(AF335="","",VLOOKUP(AF335,$AT$14:$BD$1042,11,0))</f>
        <v/>
      </c>
      <c r="AK335" s="21" t="str">
        <f t="shared" ref="AK335:AK398" si="107">IF(AG335="","",VLOOKUP(AG335,$AY$14:$BD$1042,5,0))</f>
        <v/>
      </c>
      <c r="AL335" s="21"/>
      <c r="AM335" s="21"/>
      <c r="AN335" s="21"/>
      <c r="AS335" s="112" t="str">
        <f t="shared" si="99"/>
        <v/>
      </c>
      <c r="AT335" s="112" t="str">
        <f>IF(AS335="","",COUNTIF($AS$13:AS335,AS335))</f>
        <v/>
      </c>
      <c r="AU335" s="147">
        <f t="shared" si="100"/>
        <v>322</v>
      </c>
      <c r="AV335" s="147">
        <f>COUNTIF($AZ$14:AZ335,AZ335)</f>
        <v>5</v>
      </c>
      <c r="AW335" s="147">
        <f>IFERROR(COUNTIF(AX$14:$BL335,AX335),"")</f>
        <v>46</v>
      </c>
      <c r="AX335" s="148" t="str">
        <f t="shared" si="101"/>
        <v>Sat</v>
      </c>
      <c r="AY335" s="149">
        <f>'Raw Data'!A325</f>
        <v>41930</v>
      </c>
      <c r="AZ335" s="150" t="str">
        <f>'Raw Data'!E325</f>
        <v>10% Off,FS on $49</v>
      </c>
      <c r="BA335" s="150">
        <f>'Raw Data'!I325</f>
        <v>877</v>
      </c>
      <c r="BB335" s="112"/>
      <c r="BC335" s="112"/>
      <c r="BD335" s="112">
        <f>'Raw Data'!O325</f>
        <v>1</v>
      </c>
    </row>
    <row r="336" spans="19:56">
      <c r="S336" s="30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33" t="str">
        <f t="shared" ref="AE336:AE363" si="108">TEXT(AG336,"DDD")</f>
        <v/>
      </c>
      <c r="AF336" s="114" t="str">
        <f t="shared" si="102"/>
        <v/>
      </c>
      <c r="AG336" s="108" t="str">
        <f t="shared" si="103"/>
        <v/>
      </c>
      <c r="AH336" s="21" t="str">
        <f t="shared" si="104"/>
        <v/>
      </c>
      <c r="AI336" s="21" t="str">
        <f t="shared" si="105"/>
        <v/>
      </c>
      <c r="AJ336" s="21" t="str">
        <f t="shared" si="106"/>
        <v/>
      </c>
      <c r="AK336" s="21" t="str">
        <f t="shared" si="107"/>
        <v/>
      </c>
      <c r="AL336" s="21"/>
      <c r="AM336" s="21"/>
      <c r="AN336" s="21"/>
      <c r="AS336" s="112" t="str">
        <f t="shared" ref="AS336:AS399" si="109">IFERROR(IF(FIND($AT$12,AZ336)&gt;0,1,0),"")</f>
        <v/>
      </c>
      <c r="AT336" s="112" t="str">
        <f>IF(AS336="","",COUNTIF($AS$13:AS336,AS336))</f>
        <v/>
      </c>
      <c r="AU336" s="147">
        <f t="shared" ref="AU336:AU399" si="110">AU335+1</f>
        <v>323</v>
      </c>
      <c r="AV336" s="147">
        <f>COUNTIF($AZ$14:AZ336,AZ336)</f>
        <v>5</v>
      </c>
      <c r="AW336" s="147">
        <f>IFERROR(COUNTIF(AX$14:$BL336,AX336),"")</f>
        <v>47</v>
      </c>
      <c r="AX336" s="148" t="str">
        <f t="shared" ref="AX336:AX399" si="111">TEXT(AY336,"ddd")</f>
        <v>Sun</v>
      </c>
      <c r="AY336" s="149">
        <f>'Raw Data'!A326</f>
        <v>41931</v>
      </c>
      <c r="AZ336" s="150" t="str">
        <f>'Raw Data'!E326</f>
        <v>$15 Off,FS on $49</v>
      </c>
      <c r="BA336" s="150">
        <f>'Raw Data'!I326</f>
        <v>877</v>
      </c>
      <c r="BB336" s="112"/>
      <c r="BC336" s="112"/>
      <c r="BD336" s="112">
        <f>'Raw Data'!O326</f>
        <v>2</v>
      </c>
    </row>
    <row r="337" spans="19:56">
      <c r="S337" s="30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33" t="str">
        <f t="shared" si="108"/>
        <v/>
      </c>
      <c r="AF337" s="114" t="str">
        <f t="shared" ref="AF337:AF400" si="112">IFERROR(IF(AF336=1,"",AF336-1),"")</f>
        <v/>
      </c>
      <c r="AG337" s="108" t="str">
        <f t="shared" si="103"/>
        <v/>
      </c>
      <c r="AH337" s="21" t="str">
        <f t="shared" si="104"/>
        <v/>
      </c>
      <c r="AI337" s="21" t="str">
        <f t="shared" si="105"/>
        <v/>
      </c>
      <c r="AJ337" s="21" t="str">
        <f t="shared" si="106"/>
        <v/>
      </c>
      <c r="AK337" s="21" t="str">
        <f t="shared" si="107"/>
        <v/>
      </c>
      <c r="AL337" s="21"/>
      <c r="AM337" s="21"/>
      <c r="AN337" s="21"/>
      <c r="AS337" s="112" t="str">
        <f t="shared" si="109"/>
        <v/>
      </c>
      <c r="AT337" s="112" t="str">
        <f>IF(AS337="","",COUNTIF($AS$13:AS337,AS337))</f>
        <v/>
      </c>
      <c r="AU337" s="147">
        <f t="shared" si="110"/>
        <v>324</v>
      </c>
      <c r="AV337" s="147">
        <f>COUNTIF($AZ$14:AZ337,AZ337)</f>
        <v>6</v>
      </c>
      <c r="AW337" s="147">
        <f>IFERROR(COUNTIF(AX$14:$BL337,AX337),"")</f>
        <v>47</v>
      </c>
      <c r="AX337" s="148" t="str">
        <f t="shared" si="111"/>
        <v>Mon</v>
      </c>
      <c r="AY337" s="149">
        <f>'Raw Data'!A327</f>
        <v>41932</v>
      </c>
      <c r="AZ337" s="150" t="str">
        <f>'Raw Data'!E327</f>
        <v>$15 Off,FS on $49</v>
      </c>
      <c r="BA337" s="150">
        <f>'Raw Data'!I327</f>
        <v>1478</v>
      </c>
      <c r="BB337" s="112"/>
      <c r="BC337" s="112"/>
      <c r="BD337" s="112">
        <f>'Raw Data'!O327</f>
        <v>1</v>
      </c>
    </row>
    <row r="338" spans="19:56">
      <c r="S338" s="30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33" t="str">
        <f t="shared" si="108"/>
        <v/>
      </c>
      <c r="AF338" s="114" t="str">
        <f t="shared" si="112"/>
        <v/>
      </c>
      <c r="AG338" s="108" t="str">
        <f t="shared" si="103"/>
        <v/>
      </c>
      <c r="AH338" s="21" t="str">
        <f t="shared" si="104"/>
        <v/>
      </c>
      <c r="AI338" s="21" t="str">
        <f t="shared" si="105"/>
        <v/>
      </c>
      <c r="AJ338" s="21" t="str">
        <f t="shared" si="106"/>
        <v/>
      </c>
      <c r="AK338" s="21" t="str">
        <f t="shared" si="107"/>
        <v/>
      </c>
      <c r="AL338" s="21"/>
      <c r="AM338" s="21"/>
      <c r="AN338" s="21"/>
      <c r="AS338" s="112" t="str">
        <f t="shared" si="109"/>
        <v/>
      </c>
      <c r="AT338" s="112" t="str">
        <f>IF(AS338="","",COUNTIF($AS$13:AS338,AS338))</f>
        <v/>
      </c>
      <c r="AU338" s="147">
        <f t="shared" si="110"/>
        <v>325</v>
      </c>
      <c r="AV338" s="147">
        <f>COUNTIF($AZ$14:AZ338,AZ338)</f>
        <v>1</v>
      </c>
      <c r="AW338" s="147">
        <f>IFERROR(COUNTIF(AX$14:$BL338,AX338),"")</f>
        <v>47</v>
      </c>
      <c r="AX338" s="148" t="str">
        <f t="shared" si="111"/>
        <v>Tue</v>
      </c>
      <c r="AY338" s="149">
        <f>'Raw Data'!A328</f>
        <v>41933</v>
      </c>
      <c r="AZ338" s="150" t="str">
        <f>'Raw Data'!E328</f>
        <v>Adverts Only</v>
      </c>
      <c r="BA338" s="150">
        <f>'Raw Data'!I328</f>
        <v>1258</v>
      </c>
      <c r="BB338" s="112"/>
      <c r="BC338" s="112"/>
      <c r="BD338" s="112">
        <f>'Raw Data'!O328</f>
        <v>2</v>
      </c>
    </row>
    <row r="339" spans="19:56">
      <c r="S339" s="30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33" t="str">
        <f t="shared" si="108"/>
        <v/>
      </c>
      <c r="AF339" s="114" t="str">
        <f t="shared" si="112"/>
        <v/>
      </c>
      <c r="AG339" s="108" t="str">
        <f t="shared" si="103"/>
        <v/>
      </c>
      <c r="AH339" s="21" t="str">
        <f t="shared" si="104"/>
        <v/>
      </c>
      <c r="AI339" s="21" t="str">
        <f t="shared" si="105"/>
        <v/>
      </c>
      <c r="AJ339" s="21" t="str">
        <f t="shared" si="106"/>
        <v/>
      </c>
      <c r="AK339" s="21" t="str">
        <f t="shared" si="107"/>
        <v/>
      </c>
      <c r="AL339" s="21"/>
      <c r="AM339" s="21"/>
      <c r="AN339" s="21"/>
      <c r="AS339" s="112" t="str">
        <f t="shared" si="109"/>
        <v/>
      </c>
      <c r="AT339" s="112" t="str">
        <f>IF(AS339="","",COUNTIF($AS$13:AS339,AS339))</f>
        <v/>
      </c>
      <c r="AU339" s="147">
        <f t="shared" si="110"/>
        <v>326</v>
      </c>
      <c r="AV339" s="147">
        <f>COUNTIF($AZ$14:AZ339,AZ339)</f>
        <v>7</v>
      </c>
      <c r="AW339" s="147">
        <f>IFERROR(COUNTIF(AX$14:$BL339,AX339),"")</f>
        <v>47</v>
      </c>
      <c r="AX339" s="148" t="str">
        <f t="shared" si="111"/>
        <v>Wed</v>
      </c>
      <c r="AY339" s="149">
        <f>'Raw Data'!A329</f>
        <v>41934</v>
      </c>
      <c r="AZ339" s="150" t="str">
        <f>'Raw Data'!E329</f>
        <v>$15 Off,FS on $49</v>
      </c>
      <c r="BA339" s="150">
        <f>'Raw Data'!I329</f>
        <v>1312</v>
      </c>
      <c r="BB339" s="112"/>
      <c r="BC339" s="112"/>
      <c r="BD339" s="112">
        <f>'Raw Data'!O329</f>
        <v>1</v>
      </c>
    </row>
    <row r="340" spans="19:56">
      <c r="S340" s="30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33" t="str">
        <f t="shared" si="108"/>
        <v/>
      </c>
      <c r="AF340" s="114" t="str">
        <f t="shared" si="112"/>
        <v/>
      </c>
      <c r="AG340" s="108" t="str">
        <f t="shared" si="103"/>
        <v/>
      </c>
      <c r="AH340" s="21" t="str">
        <f t="shared" si="104"/>
        <v/>
      </c>
      <c r="AI340" s="21" t="str">
        <f t="shared" si="105"/>
        <v/>
      </c>
      <c r="AJ340" s="21" t="str">
        <f t="shared" si="106"/>
        <v/>
      </c>
      <c r="AK340" s="21" t="str">
        <f t="shared" si="107"/>
        <v/>
      </c>
      <c r="AL340" s="21"/>
      <c r="AM340" s="21"/>
      <c r="AN340" s="21"/>
      <c r="AS340" s="112" t="str">
        <f t="shared" si="109"/>
        <v/>
      </c>
      <c r="AT340" s="112" t="str">
        <f>IF(AS340="","",COUNTIF($AS$13:AS340,AS340))</f>
        <v/>
      </c>
      <c r="AU340" s="147">
        <f t="shared" si="110"/>
        <v>327</v>
      </c>
      <c r="AV340" s="147">
        <f>COUNTIF($AZ$14:AZ340,AZ340)</f>
        <v>15</v>
      </c>
      <c r="AW340" s="147">
        <f>IFERROR(COUNTIF(AX$14:$BL340,AX340),"")</f>
        <v>47</v>
      </c>
      <c r="AX340" s="148" t="str">
        <f t="shared" si="111"/>
        <v>Thu</v>
      </c>
      <c r="AY340" s="149">
        <f>'Raw Data'!A330</f>
        <v>41935</v>
      </c>
      <c r="AZ340" s="150" t="str">
        <f>'Raw Data'!E330</f>
        <v>25% Off,FS on $49</v>
      </c>
      <c r="BA340" s="150">
        <f>'Raw Data'!I330</f>
        <v>1325</v>
      </c>
      <c r="BB340" s="112"/>
      <c r="BC340" s="112"/>
      <c r="BD340" s="112">
        <f>'Raw Data'!O330</f>
        <v>1</v>
      </c>
    </row>
    <row r="341" spans="19:56">
      <c r="S341" s="30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33" t="str">
        <f t="shared" si="108"/>
        <v/>
      </c>
      <c r="AF341" s="114" t="str">
        <f t="shared" si="112"/>
        <v/>
      </c>
      <c r="AG341" s="108" t="str">
        <f t="shared" si="103"/>
        <v/>
      </c>
      <c r="AH341" s="21" t="str">
        <f t="shared" si="104"/>
        <v/>
      </c>
      <c r="AI341" s="21" t="str">
        <f t="shared" si="105"/>
        <v/>
      </c>
      <c r="AJ341" s="21" t="str">
        <f t="shared" si="106"/>
        <v/>
      </c>
      <c r="AK341" s="21" t="str">
        <f t="shared" si="107"/>
        <v/>
      </c>
      <c r="AL341" s="21"/>
      <c r="AM341" s="21"/>
      <c r="AN341" s="21"/>
      <c r="AS341" s="112" t="str">
        <f t="shared" si="109"/>
        <v/>
      </c>
      <c r="AT341" s="112" t="str">
        <f>IF(AS341="","",COUNTIF($AS$13:AS341,AS341))</f>
        <v/>
      </c>
      <c r="AU341" s="147">
        <f t="shared" si="110"/>
        <v>328</v>
      </c>
      <c r="AV341" s="147">
        <f>COUNTIF($AZ$14:AZ341,AZ341)</f>
        <v>8</v>
      </c>
      <c r="AW341" s="147">
        <f>IFERROR(COUNTIF(AX$14:$BL341,AX341),"")</f>
        <v>47</v>
      </c>
      <c r="AX341" s="148" t="str">
        <f t="shared" si="111"/>
        <v>Fri</v>
      </c>
      <c r="AY341" s="149">
        <f>'Raw Data'!A331</f>
        <v>41936</v>
      </c>
      <c r="AZ341" s="150" t="str">
        <f>'Raw Data'!E331</f>
        <v>$15 Off,FS on $49</v>
      </c>
      <c r="BA341" s="150">
        <f>'Raw Data'!I331</f>
        <v>1263</v>
      </c>
      <c r="BB341" s="112"/>
      <c r="BC341" s="112"/>
      <c r="BD341" s="112">
        <f>'Raw Data'!O331</f>
        <v>1</v>
      </c>
    </row>
    <row r="342" spans="19:56">
      <c r="S342" s="30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33" t="str">
        <f t="shared" si="108"/>
        <v/>
      </c>
      <c r="AF342" s="114" t="str">
        <f t="shared" si="112"/>
        <v/>
      </c>
      <c r="AG342" s="108" t="str">
        <f t="shared" si="103"/>
        <v/>
      </c>
      <c r="AH342" s="21" t="str">
        <f t="shared" si="104"/>
        <v/>
      </c>
      <c r="AI342" s="21" t="str">
        <f t="shared" si="105"/>
        <v/>
      </c>
      <c r="AJ342" s="21" t="str">
        <f t="shared" si="106"/>
        <v/>
      </c>
      <c r="AK342" s="21" t="str">
        <f t="shared" si="107"/>
        <v/>
      </c>
      <c r="AL342" s="21"/>
      <c r="AM342" s="21"/>
      <c r="AN342" s="21"/>
      <c r="AS342" s="112" t="str">
        <f t="shared" si="109"/>
        <v/>
      </c>
      <c r="AT342" s="112" t="str">
        <f>IF(AS342="","",COUNTIF($AS$13:AS342,AS342))</f>
        <v/>
      </c>
      <c r="AU342" s="147">
        <f t="shared" si="110"/>
        <v>329</v>
      </c>
      <c r="AV342" s="147">
        <f>COUNTIF($AZ$14:AZ342,AZ342)</f>
        <v>1</v>
      </c>
      <c r="AW342" s="147">
        <f>IFERROR(COUNTIF(AX$14:$BL342,AX342),"")</f>
        <v>47</v>
      </c>
      <c r="AX342" s="148" t="str">
        <f t="shared" si="111"/>
        <v>Sat</v>
      </c>
      <c r="AY342" s="149">
        <f>'Raw Data'!A332</f>
        <v>41937</v>
      </c>
      <c r="AZ342" s="150" t="str">
        <f>'Raw Data'!E332</f>
        <v>Up To 25% Off, FS on $49</v>
      </c>
      <c r="BA342" s="150">
        <f>'Raw Data'!I332</f>
        <v>1259</v>
      </c>
      <c r="BB342" s="112"/>
      <c r="BC342" s="112"/>
      <c r="BD342" s="112">
        <f>'Raw Data'!O332</f>
        <v>2</v>
      </c>
    </row>
    <row r="343" spans="19:56">
      <c r="S343" s="30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33" t="str">
        <f t="shared" si="108"/>
        <v/>
      </c>
      <c r="AF343" s="114" t="str">
        <f t="shared" si="112"/>
        <v/>
      </c>
      <c r="AG343" s="108" t="str">
        <f t="shared" si="103"/>
        <v/>
      </c>
      <c r="AH343" s="21" t="str">
        <f t="shared" si="104"/>
        <v/>
      </c>
      <c r="AI343" s="21" t="str">
        <f t="shared" si="105"/>
        <v/>
      </c>
      <c r="AJ343" s="21" t="str">
        <f t="shared" si="106"/>
        <v/>
      </c>
      <c r="AK343" s="21" t="str">
        <f t="shared" si="107"/>
        <v/>
      </c>
      <c r="AL343" s="21"/>
      <c r="AM343" s="21"/>
      <c r="AN343" s="21"/>
      <c r="AS343" s="112" t="str">
        <f t="shared" si="109"/>
        <v/>
      </c>
      <c r="AT343" s="112" t="str">
        <f>IF(AS343="","",COUNTIF($AS$13:AS343,AS343))</f>
        <v/>
      </c>
      <c r="AU343" s="147">
        <f t="shared" si="110"/>
        <v>330</v>
      </c>
      <c r="AV343" s="147">
        <f>COUNTIF($AZ$14:AZ343,AZ343)</f>
        <v>13</v>
      </c>
      <c r="AW343" s="147">
        <f>IFERROR(COUNTIF(AX$14:$BL343,AX343),"")</f>
        <v>48</v>
      </c>
      <c r="AX343" s="148" t="str">
        <f t="shared" si="111"/>
        <v>Sun</v>
      </c>
      <c r="AY343" s="149">
        <f>'Raw Data'!A333</f>
        <v>41938</v>
      </c>
      <c r="AZ343" s="150" t="str">
        <f>'Raw Data'!E333</f>
        <v>Free Ship No Min</v>
      </c>
      <c r="BA343" s="150">
        <f>'Raw Data'!I333</f>
        <v>764</v>
      </c>
      <c r="BB343" s="112"/>
      <c r="BC343" s="112"/>
      <c r="BD343" s="112">
        <f>'Raw Data'!O333</f>
        <v>1</v>
      </c>
    </row>
    <row r="344" spans="19:56">
      <c r="S344" s="30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33" t="str">
        <f t="shared" si="108"/>
        <v/>
      </c>
      <c r="AF344" s="114" t="str">
        <f t="shared" si="112"/>
        <v/>
      </c>
      <c r="AG344" s="108" t="str">
        <f t="shared" si="103"/>
        <v/>
      </c>
      <c r="AH344" s="21" t="str">
        <f t="shared" si="104"/>
        <v/>
      </c>
      <c r="AI344" s="21" t="str">
        <f t="shared" si="105"/>
        <v/>
      </c>
      <c r="AJ344" s="21" t="str">
        <f t="shared" si="106"/>
        <v/>
      </c>
      <c r="AK344" s="21" t="str">
        <f t="shared" si="107"/>
        <v/>
      </c>
      <c r="AL344" s="21"/>
      <c r="AM344" s="21"/>
      <c r="AN344" s="21"/>
      <c r="AS344" s="112" t="str">
        <f t="shared" si="109"/>
        <v/>
      </c>
      <c r="AT344" s="112" t="str">
        <f>IF(AS344="","",COUNTIF($AS$13:AS344,AS344))</f>
        <v/>
      </c>
      <c r="AU344" s="147">
        <f t="shared" si="110"/>
        <v>331</v>
      </c>
      <c r="AV344" s="147">
        <f>COUNTIF($AZ$14:AZ344,AZ344)</f>
        <v>14</v>
      </c>
      <c r="AW344" s="147">
        <f>IFERROR(COUNTIF(AX$14:$BL344,AX344),"")</f>
        <v>48</v>
      </c>
      <c r="AX344" s="148" t="str">
        <f t="shared" si="111"/>
        <v>Mon</v>
      </c>
      <c r="AY344" s="149">
        <f>'Raw Data'!A334</f>
        <v>41939</v>
      </c>
      <c r="AZ344" s="150" t="str">
        <f>'Raw Data'!E334</f>
        <v>Free Ship No Min</v>
      </c>
      <c r="BA344" s="150">
        <f>'Raw Data'!I334</f>
        <v>1429</v>
      </c>
      <c r="BB344" s="112"/>
      <c r="BC344" s="112"/>
      <c r="BD344" s="112">
        <f>'Raw Data'!O334</f>
        <v>1</v>
      </c>
    </row>
    <row r="345" spans="19:56">
      <c r="S345" s="30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33" t="str">
        <f t="shared" si="108"/>
        <v/>
      </c>
      <c r="AF345" s="114" t="str">
        <f t="shared" si="112"/>
        <v/>
      </c>
      <c r="AG345" s="108" t="str">
        <f t="shared" si="103"/>
        <v/>
      </c>
      <c r="AH345" s="21" t="str">
        <f t="shared" si="104"/>
        <v/>
      </c>
      <c r="AI345" s="21" t="str">
        <f t="shared" si="105"/>
        <v/>
      </c>
      <c r="AJ345" s="21" t="str">
        <f t="shared" si="106"/>
        <v/>
      </c>
      <c r="AK345" s="21" t="str">
        <f t="shared" si="107"/>
        <v/>
      </c>
      <c r="AL345" s="21"/>
      <c r="AM345" s="21"/>
      <c r="AN345" s="21"/>
      <c r="AS345" s="112" t="str">
        <f t="shared" si="109"/>
        <v/>
      </c>
      <c r="AT345" s="112" t="str">
        <f>IF(AS345="","",COUNTIF($AS$13:AS345,AS345))</f>
        <v/>
      </c>
      <c r="AU345" s="147">
        <f t="shared" si="110"/>
        <v>332</v>
      </c>
      <c r="AV345" s="147">
        <f>COUNTIF($AZ$14:AZ345,AZ345)</f>
        <v>17</v>
      </c>
      <c r="AW345" s="147">
        <f>IFERROR(COUNTIF(AX$14:$BL345,AX345),"")</f>
        <v>48</v>
      </c>
      <c r="AX345" s="148" t="str">
        <f t="shared" si="111"/>
        <v>Tue</v>
      </c>
      <c r="AY345" s="149">
        <f>'Raw Data'!A335</f>
        <v>41940</v>
      </c>
      <c r="AZ345" s="150" t="str">
        <f>'Raw Data'!E335</f>
        <v>20% Off,FS on $49</v>
      </c>
      <c r="BA345" s="150">
        <f>'Raw Data'!I335</f>
        <v>1133</v>
      </c>
      <c r="BB345" s="112"/>
      <c r="BC345" s="112"/>
      <c r="BD345" s="112">
        <f>'Raw Data'!O335</f>
        <v>1</v>
      </c>
    </row>
    <row r="346" spans="19:56">
      <c r="S346" s="30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33" t="str">
        <f t="shared" si="108"/>
        <v/>
      </c>
      <c r="AF346" s="114" t="str">
        <f t="shared" si="112"/>
        <v/>
      </c>
      <c r="AG346" s="108" t="str">
        <f t="shared" si="103"/>
        <v/>
      </c>
      <c r="AH346" s="21" t="str">
        <f t="shared" si="104"/>
        <v/>
      </c>
      <c r="AI346" s="21" t="str">
        <f t="shared" si="105"/>
        <v/>
      </c>
      <c r="AJ346" s="21" t="str">
        <f t="shared" si="106"/>
        <v/>
      </c>
      <c r="AK346" s="21" t="str">
        <f t="shared" si="107"/>
        <v/>
      </c>
      <c r="AL346" s="21"/>
      <c r="AM346" s="21"/>
      <c r="AN346" s="21"/>
      <c r="AS346" s="112" t="str">
        <f t="shared" si="109"/>
        <v/>
      </c>
      <c r="AT346" s="112" t="str">
        <f>IF(AS346="","",COUNTIF($AS$13:AS346,AS346))</f>
        <v/>
      </c>
      <c r="AU346" s="147">
        <f t="shared" si="110"/>
        <v>333</v>
      </c>
      <c r="AV346" s="147">
        <f>COUNTIF($AZ$14:AZ346,AZ346)</f>
        <v>18</v>
      </c>
      <c r="AW346" s="147">
        <f>IFERROR(COUNTIF(AX$14:$BL346,AX346),"")</f>
        <v>48</v>
      </c>
      <c r="AX346" s="148" t="str">
        <f t="shared" si="111"/>
        <v>Wed</v>
      </c>
      <c r="AY346" s="149">
        <f>'Raw Data'!A336</f>
        <v>41941</v>
      </c>
      <c r="AZ346" s="150" t="str">
        <f>'Raw Data'!E336</f>
        <v>20% Off,FS on $49</v>
      </c>
      <c r="BA346" s="150">
        <f>'Raw Data'!I336</f>
        <v>1278</v>
      </c>
      <c r="BB346" s="112"/>
      <c r="BC346" s="112"/>
      <c r="BD346" s="112">
        <f>'Raw Data'!O336</f>
        <v>1</v>
      </c>
    </row>
    <row r="347" spans="19:56">
      <c r="S347" s="30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33" t="str">
        <f t="shared" si="108"/>
        <v/>
      </c>
      <c r="AF347" s="114" t="str">
        <f t="shared" si="112"/>
        <v/>
      </c>
      <c r="AG347" s="108" t="str">
        <f t="shared" si="103"/>
        <v/>
      </c>
      <c r="AH347" s="21" t="str">
        <f t="shared" si="104"/>
        <v/>
      </c>
      <c r="AI347" s="21" t="str">
        <f t="shared" si="105"/>
        <v/>
      </c>
      <c r="AJ347" s="21" t="str">
        <f t="shared" si="106"/>
        <v/>
      </c>
      <c r="AK347" s="21" t="str">
        <f t="shared" si="107"/>
        <v/>
      </c>
      <c r="AL347" s="21"/>
      <c r="AM347" s="21"/>
      <c r="AN347" s="21"/>
      <c r="AS347" s="112" t="str">
        <f t="shared" si="109"/>
        <v/>
      </c>
      <c r="AT347" s="112" t="str">
        <f>IF(AS347="","",COUNTIF($AS$13:AS347,AS347))</f>
        <v/>
      </c>
      <c r="AU347" s="147">
        <f t="shared" si="110"/>
        <v>334</v>
      </c>
      <c r="AV347" s="147">
        <f>COUNTIF($AZ$14:AZ347,AZ347)</f>
        <v>19</v>
      </c>
      <c r="AW347" s="147">
        <f>IFERROR(COUNTIF(AX$14:$BL347,AX347),"")</f>
        <v>48</v>
      </c>
      <c r="AX347" s="148" t="str">
        <f t="shared" si="111"/>
        <v>Thu</v>
      </c>
      <c r="AY347" s="149">
        <f>'Raw Data'!A337</f>
        <v>41942</v>
      </c>
      <c r="AZ347" s="150" t="str">
        <f>'Raw Data'!E337</f>
        <v>20% Off,FS on $49</v>
      </c>
      <c r="BA347" s="150">
        <f>'Raw Data'!I337</f>
        <v>1120</v>
      </c>
      <c r="BB347" s="112"/>
      <c r="BC347" s="112"/>
      <c r="BD347" s="112">
        <f>'Raw Data'!O337</f>
        <v>1</v>
      </c>
    </row>
    <row r="348" spans="19:56">
      <c r="S348" s="30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33" t="str">
        <f t="shared" si="108"/>
        <v/>
      </c>
      <c r="AF348" s="114" t="str">
        <f t="shared" si="112"/>
        <v/>
      </c>
      <c r="AG348" s="108" t="str">
        <f t="shared" si="103"/>
        <v/>
      </c>
      <c r="AH348" s="21" t="str">
        <f t="shared" si="104"/>
        <v/>
      </c>
      <c r="AI348" s="21" t="str">
        <f t="shared" si="105"/>
        <v/>
      </c>
      <c r="AJ348" s="21" t="str">
        <f t="shared" si="106"/>
        <v/>
      </c>
      <c r="AK348" s="21" t="str">
        <f t="shared" si="107"/>
        <v/>
      </c>
      <c r="AL348" s="21"/>
      <c r="AM348" s="21"/>
      <c r="AN348" s="21"/>
      <c r="AS348" s="112" t="str">
        <f t="shared" si="109"/>
        <v/>
      </c>
      <c r="AT348" s="112" t="str">
        <f>IF(AS348="","",COUNTIF($AS$13:AS348,AS348))</f>
        <v/>
      </c>
      <c r="AU348" s="147">
        <f t="shared" si="110"/>
        <v>335</v>
      </c>
      <c r="AV348" s="147">
        <f>COUNTIF($AZ$14:AZ348,AZ348)</f>
        <v>20</v>
      </c>
      <c r="AW348" s="147">
        <f>IFERROR(COUNTIF(AX$14:$BL348,AX348),"")</f>
        <v>48</v>
      </c>
      <c r="AX348" s="148" t="str">
        <f t="shared" si="111"/>
        <v>Fri</v>
      </c>
      <c r="AY348" s="149">
        <f>'Raw Data'!A338</f>
        <v>41943</v>
      </c>
      <c r="AZ348" s="150" t="str">
        <f>'Raw Data'!E338</f>
        <v>20% Off,FS on $49</v>
      </c>
      <c r="BA348" s="150">
        <f>'Raw Data'!I338</f>
        <v>944</v>
      </c>
      <c r="BB348" s="112"/>
      <c r="BC348" s="112"/>
      <c r="BD348" s="112">
        <f>'Raw Data'!O338</f>
        <v>1</v>
      </c>
    </row>
    <row r="349" spans="19:56">
      <c r="S349" s="30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33" t="str">
        <f t="shared" si="108"/>
        <v/>
      </c>
      <c r="AF349" s="114" t="str">
        <f t="shared" si="112"/>
        <v/>
      </c>
      <c r="AG349" s="108" t="str">
        <f t="shared" si="103"/>
        <v/>
      </c>
      <c r="AH349" s="21" t="str">
        <f t="shared" si="104"/>
        <v/>
      </c>
      <c r="AI349" s="21" t="str">
        <f t="shared" si="105"/>
        <v/>
      </c>
      <c r="AJ349" s="21" t="str">
        <f t="shared" si="106"/>
        <v/>
      </c>
      <c r="AK349" s="21" t="str">
        <f t="shared" si="107"/>
        <v/>
      </c>
      <c r="AL349" s="21"/>
      <c r="AM349" s="21"/>
      <c r="AN349" s="21"/>
      <c r="AS349" s="112" t="str">
        <f t="shared" si="109"/>
        <v/>
      </c>
      <c r="AT349" s="112" t="str">
        <f>IF(AS349="","",COUNTIF($AS$13:AS349,AS349))</f>
        <v/>
      </c>
      <c r="AU349" s="147">
        <f t="shared" si="110"/>
        <v>336</v>
      </c>
      <c r="AV349" s="147">
        <f>COUNTIF($AZ$14:AZ349,AZ349)</f>
        <v>21</v>
      </c>
      <c r="AW349" s="147">
        <f>IFERROR(COUNTIF(AX$14:$BL349,AX349),"")</f>
        <v>48</v>
      </c>
      <c r="AX349" s="148" t="str">
        <f t="shared" si="111"/>
        <v>Sat</v>
      </c>
      <c r="AY349" s="149">
        <f>'Raw Data'!A339</f>
        <v>41944</v>
      </c>
      <c r="AZ349" s="150" t="str">
        <f>'Raw Data'!E339</f>
        <v>20% Off,FS on $49</v>
      </c>
      <c r="BA349" s="150">
        <f>'Raw Data'!I339</f>
        <v>998</v>
      </c>
      <c r="BB349" s="112"/>
      <c r="BC349" s="112"/>
      <c r="BD349" s="112">
        <f>'Raw Data'!O339</f>
        <v>1</v>
      </c>
    </row>
    <row r="350" spans="19:56">
      <c r="S350" s="30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33" t="str">
        <f t="shared" si="108"/>
        <v/>
      </c>
      <c r="AF350" s="114" t="str">
        <f t="shared" si="112"/>
        <v/>
      </c>
      <c r="AG350" s="108" t="str">
        <f t="shared" si="103"/>
        <v/>
      </c>
      <c r="AH350" s="21" t="str">
        <f t="shared" si="104"/>
        <v/>
      </c>
      <c r="AI350" s="21" t="str">
        <f t="shared" si="105"/>
        <v/>
      </c>
      <c r="AJ350" s="21" t="str">
        <f t="shared" si="106"/>
        <v/>
      </c>
      <c r="AK350" s="21" t="str">
        <f t="shared" si="107"/>
        <v/>
      </c>
      <c r="AL350" s="21"/>
      <c r="AM350" s="21"/>
      <c r="AN350" s="21"/>
      <c r="AS350" s="112" t="str">
        <f t="shared" si="109"/>
        <v/>
      </c>
      <c r="AT350" s="112" t="str">
        <f>IF(AS350="","",COUNTIF($AS$13:AS350,AS350))</f>
        <v/>
      </c>
      <c r="AU350" s="147">
        <f t="shared" si="110"/>
        <v>337</v>
      </c>
      <c r="AV350" s="147">
        <f>COUNTIF($AZ$14:AZ350,AZ350)</f>
        <v>8</v>
      </c>
      <c r="AW350" s="147">
        <f>IFERROR(COUNTIF(AX$14:$BL350,AX350),"")</f>
        <v>49</v>
      </c>
      <c r="AX350" s="148" t="str">
        <f t="shared" si="111"/>
        <v>Sun</v>
      </c>
      <c r="AY350" s="149">
        <f>'Raw Data'!A340</f>
        <v>41945</v>
      </c>
      <c r="AZ350" s="150" t="str">
        <f>'Raw Data'!E340</f>
        <v>Up To 40% Off,FS on $49</v>
      </c>
      <c r="BA350" s="150">
        <f>'Raw Data'!I340</f>
        <v>710</v>
      </c>
      <c r="BB350" s="112"/>
      <c r="BC350" s="112"/>
      <c r="BD350" s="112">
        <f>'Raw Data'!O340</f>
        <v>2</v>
      </c>
    </row>
    <row r="351" spans="19:56">
      <c r="S351" s="30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33" t="str">
        <f t="shared" si="108"/>
        <v/>
      </c>
      <c r="AF351" s="114" t="str">
        <f t="shared" si="112"/>
        <v/>
      </c>
      <c r="AG351" s="108" t="str">
        <f t="shared" si="103"/>
        <v/>
      </c>
      <c r="AH351" s="21" t="str">
        <f t="shared" si="104"/>
        <v/>
      </c>
      <c r="AI351" s="21" t="str">
        <f t="shared" si="105"/>
        <v/>
      </c>
      <c r="AJ351" s="21" t="str">
        <f t="shared" si="106"/>
        <v/>
      </c>
      <c r="AK351" s="21" t="str">
        <f t="shared" si="107"/>
        <v/>
      </c>
      <c r="AL351" s="21"/>
      <c r="AM351" s="21"/>
      <c r="AN351" s="21"/>
      <c r="AS351" s="112" t="str">
        <f t="shared" si="109"/>
        <v/>
      </c>
      <c r="AT351" s="112" t="str">
        <f>IF(AS351="","",COUNTIF($AS$13:AS351,AS351))</f>
        <v/>
      </c>
      <c r="AU351" s="147">
        <f t="shared" si="110"/>
        <v>338</v>
      </c>
      <c r="AV351" s="147">
        <f>COUNTIF($AZ$14:AZ351,AZ351)</f>
        <v>80</v>
      </c>
      <c r="AW351" s="147">
        <f>IFERROR(COUNTIF(AX$14:$BL351,AX351),"")</f>
        <v>49</v>
      </c>
      <c r="AX351" s="148" t="str">
        <f t="shared" si="111"/>
        <v>Mon</v>
      </c>
      <c r="AY351" s="149">
        <f>'Raw Data'!A341</f>
        <v>41946</v>
      </c>
      <c r="AZ351" s="150" t="str">
        <f>'Raw Data'!E341</f>
        <v>No Email Drop</v>
      </c>
      <c r="BA351" s="150">
        <f>'Raw Data'!I341</f>
        <v>1110</v>
      </c>
      <c r="BB351" s="112"/>
      <c r="BC351" s="112"/>
      <c r="BD351" s="112">
        <f>'Raw Data'!O341</f>
        <v>0</v>
      </c>
    </row>
    <row r="352" spans="19:56">
      <c r="S352" s="30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33" t="str">
        <f t="shared" si="108"/>
        <v/>
      </c>
      <c r="AF352" s="114" t="str">
        <f t="shared" si="112"/>
        <v/>
      </c>
      <c r="AG352" s="108" t="str">
        <f t="shared" si="103"/>
        <v/>
      </c>
      <c r="AH352" s="21" t="str">
        <f t="shared" si="104"/>
        <v/>
      </c>
      <c r="AI352" s="21" t="str">
        <f t="shared" si="105"/>
        <v/>
      </c>
      <c r="AJ352" s="21" t="str">
        <f t="shared" si="106"/>
        <v/>
      </c>
      <c r="AK352" s="21" t="str">
        <f t="shared" si="107"/>
        <v/>
      </c>
      <c r="AL352" s="21"/>
      <c r="AM352" s="21"/>
      <c r="AN352" s="21"/>
      <c r="AS352" s="112" t="str">
        <f t="shared" si="109"/>
        <v/>
      </c>
      <c r="AT352" s="112" t="str">
        <f>IF(AS352="","",COUNTIF($AS$13:AS352,AS352))</f>
        <v/>
      </c>
      <c r="AU352" s="147">
        <f t="shared" si="110"/>
        <v>339</v>
      </c>
      <c r="AV352" s="147">
        <f>COUNTIF($AZ$14:AZ352,AZ352)</f>
        <v>81</v>
      </c>
      <c r="AW352" s="147">
        <f>IFERROR(COUNTIF(AX$14:$BL352,AX352),"")</f>
        <v>49</v>
      </c>
      <c r="AX352" s="148" t="str">
        <f t="shared" si="111"/>
        <v>Tue</v>
      </c>
      <c r="AY352" s="149">
        <f>'Raw Data'!A342</f>
        <v>41947</v>
      </c>
      <c r="AZ352" s="150" t="str">
        <f>'Raw Data'!E342</f>
        <v>No Email Drop</v>
      </c>
      <c r="BA352" s="150">
        <f>'Raw Data'!I342</f>
        <v>877</v>
      </c>
      <c r="BB352" s="112"/>
      <c r="BC352" s="112"/>
      <c r="BD352" s="112">
        <f>'Raw Data'!O342</f>
        <v>0</v>
      </c>
    </row>
    <row r="353" spans="19:56">
      <c r="S353" s="30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33" t="str">
        <f t="shared" si="108"/>
        <v/>
      </c>
      <c r="AF353" s="114" t="str">
        <f t="shared" si="112"/>
        <v/>
      </c>
      <c r="AG353" s="108" t="str">
        <f t="shared" si="103"/>
        <v/>
      </c>
      <c r="AH353" s="21" t="str">
        <f t="shared" si="104"/>
        <v/>
      </c>
      <c r="AI353" s="21" t="str">
        <f t="shared" si="105"/>
        <v/>
      </c>
      <c r="AJ353" s="21" t="str">
        <f t="shared" si="106"/>
        <v/>
      </c>
      <c r="AK353" s="21" t="str">
        <f t="shared" si="107"/>
        <v/>
      </c>
      <c r="AL353" s="21"/>
      <c r="AM353" s="21"/>
      <c r="AN353" s="21"/>
      <c r="AS353" s="112" t="str">
        <f t="shared" si="109"/>
        <v/>
      </c>
      <c r="AT353" s="112" t="str">
        <f>IF(AS353="","",COUNTIF($AS$13:AS353,AS353))</f>
        <v/>
      </c>
      <c r="AU353" s="147">
        <f t="shared" si="110"/>
        <v>340</v>
      </c>
      <c r="AV353" s="147">
        <f>COUNTIF($AZ$14:AZ353,AZ353)</f>
        <v>1</v>
      </c>
      <c r="AW353" s="147">
        <f>IFERROR(COUNTIF(AX$14:$BL353,AX353),"")</f>
        <v>49</v>
      </c>
      <c r="AX353" s="148" t="str">
        <f t="shared" si="111"/>
        <v>Wed</v>
      </c>
      <c r="AY353" s="149">
        <f>'Raw Data'!A343</f>
        <v>41948</v>
      </c>
      <c r="AZ353" s="150" t="str">
        <f>'Raw Data'!E343</f>
        <v>Reveal Your Deal Promo,15, 20% Off</v>
      </c>
      <c r="BA353" s="150">
        <f>'Raw Data'!I343</f>
        <v>1529</v>
      </c>
      <c r="BB353" s="112"/>
      <c r="BC353" s="112"/>
      <c r="BD353" s="112">
        <f>'Raw Data'!O343</f>
        <v>2</v>
      </c>
    </row>
    <row r="354" spans="19:56">
      <c r="S354" s="30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33" t="str">
        <f t="shared" si="108"/>
        <v/>
      </c>
      <c r="AF354" s="114" t="str">
        <f t="shared" si="112"/>
        <v/>
      </c>
      <c r="AG354" s="108" t="str">
        <f t="shared" si="103"/>
        <v/>
      </c>
      <c r="AH354" s="21" t="str">
        <f t="shared" si="104"/>
        <v/>
      </c>
      <c r="AI354" s="21" t="str">
        <f t="shared" si="105"/>
        <v/>
      </c>
      <c r="AJ354" s="21" t="str">
        <f t="shared" si="106"/>
        <v/>
      </c>
      <c r="AK354" s="21" t="str">
        <f t="shared" si="107"/>
        <v/>
      </c>
      <c r="AL354" s="21"/>
      <c r="AM354" s="21"/>
      <c r="AN354" s="21"/>
      <c r="AS354" s="112" t="str">
        <f t="shared" si="109"/>
        <v/>
      </c>
      <c r="AT354" s="112" t="str">
        <f>IF(AS354="","",COUNTIF($AS$13:AS354,AS354))</f>
        <v/>
      </c>
      <c r="AU354" s="147">
        <f t="shared" si="110"/>
        <v>341</v>
      </c>
      <c r="AV354" s="147">
        <f>COUNTIF($AZ$14:AZ354,AZ354)</f>
        <v>2</v>
      </c>
      <c r="AW354" s="147">
        <f>IFERROR(COUNTIF(AX$14:$BL354,AX354),"")</f>
        <v>49</v>
      </c>
      <c r="AX354" s="148" t="str">
        <f t="shared" si="111"/>
        <v>Thu</v>
      </c>
      <c r="AY354" s="149">
        <f>'Raw Data'!A344</f>
        <v>41949</v>
      </c>
      <c r="AZ354" s="150" t="str">
        <f>'Raw Data'!E344</f>
        <v>Reveal Your Deal Promo,15, 20% Off</v>
      </c>
      <c r="BA354" s="150">
        <f>'Raw Data'!I344</f>
        <v>1719</v>
      </c>
      <c r="BB354" s="112"/>
      <c r="BC354" s="112"/>
      <c r="BD354" s="112">
        <f>'Raw Data'!O344</f>
        <v>2</v>
      </c>
    </row>
    <row r="355" spans="19:56">
      <c r="S355" s="30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33" t="str">
        <f t="shared" si="108"/>
        <v/>
      </c>
      <c r="AF355" s="114" t="str">
        <f t="shared" si="112"/>
        <v/>
      </c>
      <c r="AG355" s="108" t="str">
        <f t="shared" si="103"/>
        <v/>
      </c>
      <c r="AH355" s="21" t="str">
        <f t="shared" si="104"/>
        <v/>
      </c>
      <c r="AI355" s="21" t="str">
        <f t="shared" si="105"/>
        <v/>
      </c>
      <c r="AJ355" s="21" t="str">
        <f t="shared" si="106"/>
        <v/>
      </c>
      <c r="AK355" s="21" t="str">
        <f t="shared" si="107"/>
        <v/>
      </c>
      <c r="AL355" s="21"/>
      <c r="AM355" s="21"/>
      <c r="AN355" s="21"/>
      <c r="AS355" s="112" t="str">
        <f t="shared" si="109"/>
        <v/>
      </c>
      <c r="AT355" s="112" t="str">
        <f>IF(AS355="","",COUNTIF($AS$13:AS355,AS355))</f>
        <v/>
      </c>
      <c r="AU355" s="147">
        <f t="shared" si="110"/>
        <v>342</v>
      </c>
      <c r="AV355" s="147">
        <f>COUNTIF($AZ$14:AZ355,AZ355)</f>
        <v>7</v>
      </c>
      <c r="AW355" s="147">
        <f>IFERROR(COUNTIF(AX$14:$BL355,AX355),"")</f>
        <v>49</v>
      </c>
      <c r="AX355" s="148" t="str">
        <f t="shared" si="111"/>
        <v>Fri</v>
      </c>
      <c r="AY355" s="149">
        <f>'Raw Data'!A345</f>
        <v>41950</v>
      </c>
      <c r="AZ355" s="150" t="str">
        <f>'Raw Data'!E345</f>
        <v>RD Event</v>
      </c>
      <c r="BA355" s="150">
        <f>'Raw Data'!I345</f>
        <v>1352</v>
      </c>
      <c r="BB355" s="112"/>
      <c r="BC355" s="112"/>
      <c r="BD355" s="112">
        <f>'Raw Data'!O345</f>
        <v>1</v>
      </c>
    </row>
    <row r="356" spans="19:56">
      <c r="S356" s="30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33" t="str">
        <f t="shared" si="108"/>
        <v/>
      </c>
      <c r="AF356" s="114" t="str">
        <f t="shared" si="112"/>
        <v/>
      </c>
      <c r="AG356" s="108" t="str">
        <f t="shared" si="103"/>
        <v/>
      </c>
      <c r="AH356" s="21" t="str">
        <f t="shared" si="104"/>
        <v/>
      </c>
      <c r="AI356" s="21" t="str">
        <f t="shared" si="105"/>
        <v/>
      </c>
      <c r="AJ356" s="21" t="str">
        <f t="shared" si="106"/>
        <v/>
      </c>
      <c r="AK356" s="21" t="str">
        <f t="shared" si="107"/>
        <v/>
      </c>
      <c r="AL356" s="21"/>
      <c r="AM356" s="21"/>
      <c r="AN356" s="21"/>
      <c r="AS356" s="112" t="str">
        <f t="shared" si="109"/>
        <v/>
      </c>
      <c r="AT356" s="112" t="str">
        <f>IF(AS356="","",COUNTIF($AS$13:AS356,AS356))</f>
        <v/>
      </c>
      <c r="AU356" s="147">
        <f t="shared" si="110"/>
        <v>343</v>
      </c>
      <c r="AV356" s="147">
        <f>COUNTIF($AZ$14:AZ356,AZ356)</f>
        <v>82</v>
      </c>
      <c r="AW356" s="147">
        <f>IFERROR(COUNTIF(AX$14:$BL356,AX356),"")</f>
        <v>49</v>
      </c>
      <c r="AX356" s="148" t="str">
        <f t="shared" si="111"/>
        <v>Sat</v>
      </c>
      <c r="AY356" s="149">
        <f>'Raw Data'!A346</f>
        <v>41951</v>
      </c>
      <c r="AZ356" s="150" t="str">
        <f>'Raw Data'!E346</f>
        <v>No Email Drop</v>
      </c>
      <c r="BA356" s="150">
        <f>'Raw Data'!I346</f>
        <v>978</v>
      </c>
      <c r="BB356" s="112"/>
      <c r="BC356" s="112"/>
      <c r="BD356" s="112">
        <f>'Raw Data'!O346</f>
        <v>0</v>
      </c>
    </row>
    <row r="357" spans="19:56">
      <c r="S357" s="30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33" t="str">
        <f t="shared" si="108"/>
        <v/>
      </c>
      <c r="AF357" s="114" t="str">
        <f t="shared" si="112"/>
        <v/>
      </c>
      <c r="AG357" s="108" t="str">
        <f t="shared" si="103"/>
        <v/>
      </c>
      <c r="AH357" s="21" t="str">
        <f t="shared" si="104"/>
        <v/>
      </c>
      <c r="AI357" s="21" t="str">
        <f t="shared" si="105"/>
        <v/>
      </c>
      <c r="AJ357" s="21" t="str">
        <f t="shared" si="106"/>
        <v/>
      </c>
      <c r="AK357" s="21" t="str">
        <f t="shared" si="107"/>
        <v/>
      </c>
      <c r="AL357" s="21"/>
      <c r="AM357" s="21"/>
      <c r="AN357" s="21"/>
      <c r="AS357" s="112" t="str">
        <f t="shared" si="109"/>
        <v/>
      </c>
      <c r="AT357" s="112" t="str">
        <f>IF(AS357="","",COUNTIF($AS$13:AS357,AS357))</f>
        <v/>
      </c>
      <c r="AU357" s="147">
        <f t="shared" si="110"/>
        <v>344</v>
      </c>
      <c r="AV357" s="147">
        <f>COUNTIF($AZ$14:AZ357,AZ357)</f>
        <v>1</v>
      </c>
      <c r="AW357" s="147">
        <f>IFERROR(COUNTIF(AX$14:$BL357,AX357),"")</f>
        <v>50</v>
      </c>
      <c r="AX357" s="148" t="str">
        <f t="shared" si="111"/>
        <v>Sun</v>
      </c>
      <c r="AY357" s="149">
        <f>'Raw Data'!A347</f>
        <v>41952</v>
      </c>
      <c r="AZ357" s="150" t="str">
        <f>'Raw Data'!E347</f>
        <v>20% Off,FS on $49 Omni</v>
      </c>
      <c r="BA357" s="150">
        <f>'Raw Data'!I347</f>
        <v>838</v>
      </c>
      <c r="BB357" s="112"/>
      <c r="BC357" s="112"/>
      <c r="BD357" s="112">
        <f>'Raw Data'!O347</f>
        <v>1</v>
      </c>
    </row>
    <row r="358" spans="19:56">
      <c r="S358" s="30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33" t="str">
        <f t="shared" si="108"/>
        <v/>
      </c>
      <c r="AF358" s="114" t="str">
        <f t="shared" si="112"/>
        <v/>
      </c>
      <c r="AG358" s="108" t="str">
        <f t="shared" si="103"/>
        <v/>
      </c>
      <c r="AH358" s="21" t="str">
        <f t="shared" si="104"/>
        <v/>
      </c>
      <c r="AI358" s="21" t="str">
        <f t="shared" si="105"/>
        <v/>
      </c>
      <c r="AJ358" s="21" t="str">
        <f t="shared" si="106"/>
        <v/>
      </c>
      <c r="AK358" s="21" t="str">
        <f t="shared" si="107"/>
        <v/>
      </c>
      <c r="AL358" s="21"/>
      <c r="AM358" s="21"/>
      <c r="AN358" s="21"/>
      <c r="AS358" s="112" t="str">
        <f t="shared" si="109"/>
        <v/>
      </c>
      <c r="AT358" s="112" t="str">
        <f>IF(AS358="","",COUNTIF($AS$13:AS358,AS358))</f>
        <v/>
      </c>
      <c r="AU358" s="147">
        <f t="shared" si="110"/>
        <v>345</v>
      </c>
      <c r="AV358" s="147">
        <f>COUNTIF($AZ$14:AZ358,AZ358)</f>
        <v>83</v>
      </c>
      <c r="AW358" s="147">
        <f>IFERROR(COUNTIF(AX$14:$BL358,AX358),"")</f>
        <v>50</v>
      </c>
      <c r="AX358" s="148" t="str">
        <f t="shared" si="111"/>
        <v>Mon</v>
      </c>
      <c r="AY358" s="149">
        <f>'Raw Data'!A348</f>
        <v>41953</v>
      </c>
      <c r="AZ358" s="150" t="str">
        <f>'Raw Data'!E348</f>
        <v>No Email Drop</v>
      </c>
      <c r="BA358" s="150">
        <f>'Raw Data'!I348</f>
        <v>1166</v>
      </c>
      <c r="BB358" s="112"/>
      <c r="BC358" s="112"/>
      <c r="BD358" s="112">
        <f>'Raw Data'!O348</f>
        <v>0</v>
      </c>
    </row>
    <row r="359" spans="19:56">
      <c r="S359" s="30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33" t="str">
        <f t="shared" si="108"/>
        <v/>
      </c>
      <c r="AF359" s="114" t="str">
        <f t="shared" si="112"/>
        <v/>
      </c>
      <c r="AG359" s="108" t="str">
        <f t="shared" si="103"/>
        <v/>
      </c>
      <c r="AH359" s="21" t="str">
        <f t="shared" si="104"/>
        <v/>
      </c>
      <c r="AI359" s="21" t="str">
        <f t="shared" si="105"/>
        <v/>
      </c>
      <c r="AJ359" s="21" t="str">
        <f t="shared" si="106"/>
        <v/>
      </c>
      <c r="AK359" s="21" t="str">
        <f t="shared" si="107"/>
        <v/>
      </c>
      <c r="AL359" s="21"/>
      <c r="AM359" s="21"/>
      <c r="AN359" s="21"/>
      <c r="AS359" s="112" t="str">
        <f t="shared" si="109"/>
        <v/>
      </c>
      <c r="AT359" s="112" t="str">
        <f>IF(AS359="","",COUNTIF($AS$13:AS359,AS359))</f>
        <v/>
      </c>
      <c r="AU359" s="147">
        <f t="shared" si="110"/>
        <v>346</v>
      </c>
      <c r="AV359" s="147">
        <f>COUNTIF($AZ$14:AZ359,AZ359)</f>
        <v>15</v>
      </c>
      <c r="AW359" s="147">
        <f>IFERROR(COUNTIF(AX$14:$BL359,AX359),"")</f>
        <v>50</v>
      </c>
      <c r="AX359" s="148" t="str">
        <f t="shared" si="111"/>
        <v>Tue</v>
      </c>
      <c r="AY359" s="149">
        <f>'Raw Data'!A349</f>
        <v>41954</v>
      </c>
      <c r="AZ359" s="150" t="str">
        <f>'Raw Data'!E349</f>
        <v>Free Ship No Min</v>
      </c>
      <c r="BA359" s="150">
        <f>'Raw Data'!I349</f>
        <v>1349</v>
      </c>
      <c r="BB359" s="112"/>
      <c r="BC359" s="112"/>
      <c r="BD359" s="112">
        <f>'Raw Data'!O349</f>
        <v>2</v>
      </c>
    </row>
    <row r="360" spans="19:56">
      <c r="S360" s="30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33" t="str">
        <f t="shared" si="108"/>
        <v/>
      </c>
      <c r="AF360" s="114" t="str">
        <f t="shared" si="112"/>
        <v/>
      </c>
      <c r="AG360" s="108" t="str">
        <f t="shared" si="103"/>
        <v/>
      </c>
      <c r="AH360" s="21" t="str">
        <f t="shared" si="104"/>
        <v/>
      </c>
      <c r="AI360" s="21" t="str">
        <f t="shared" si="105"/>
        <v/>
      </c>
      <c r="AJ360" s="21" t="str">
        <f t="shared" si="106"/>
        <v/>
      </c>
      <c r="AK360" s="21" t="str">
        <f t="shared" si="107"/>
        <v/>
      </c>
      <c r="AL360" s="21"/>
      <c r="AM360" s="21"/>
      <c r="AN360" s="21"/>
      <c r="AS360" s="112" t="str">
        <f t="shared" si="109"/>
        <v/>
      </c>
      <c r="AT360" s="112" t="str">
        <f>IF(AS360="","",COUNTIF($AS$13:AS360,AS360))</f>
        <v/>
      </c>
      <c r="AU360" s="147">
        <f t="shared" si="110"/>
        <v>347</v>
      </c>
      <c r="AV360" s="147">
        <f>COUNTIF($AZ$14:AZ360,AZ360)</f>
        <v>16</v>
      </c>
      <c r="AW360" s="147">
        <f>IFERROR(COUNTIF(AX$14:$BL360,AX360),"")</f>
        <v>50</v>
      </c>
      <c r="AX360" s="148" t="str">
        <f t="shared" si="111"/>
        <v>Wed</v>
      </c>
      <c r="AY360" s="149">
        <f>'Raw Data'!A350</f>
        <v>41955</v>
      </c>
      <c r="AZ360" s="150" t="str">
        <f>'Raw Data'!E350</f>
        <v>Free Ship No Min</v>
      </c>
      <c r="BA360" s="150">
        <f>'Raw Data'!I350</f>
        <v>1179</v>
      </c>
      <c r="BB360" s="112"/>
      <c r="BC360" s="112"/>
      <c r="BD360" s="112">
        <f>'Raw Data'!O350</f>
        <v>1</v>
      </c>
    </row>
    <row r="361" spans="19:56">
      <c r="S361" s="30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33" t="str">
        <f t="shared" si="108"/>
        <v/>
      </c>
      <c r="AF361" s="114" t="str">
        <f t="shared" si="112"/>
        <v/>
      </c>
      <c r="AG361" s="108" t="str">
        <f t="shared" si="103"/>
        <v/>
      </c>
      <c r="AH361" s="21" t="str">
        <f t="shared" si="104"/>
        <v/>
      </c>
      <c r="AI361" s="21" t="str">
        <f t="shared" si="105"/>
        <v/>
      </c>
      <c r="AJ361" s="21" t="str">
        <f t="shared" si="106"/>
        <v/>
      </c>
      <c r="AK361" s="21" t="str">
        <f t="shared" si="107"/>
        <v/>
      </c>
      <c r="AL361" s="21"/>
      <c r="AM361" s="21"/>
      <c r="AN361" s="21"/>
      <c r="AS361" s="112" t="str">
        <f t="shared" si="109"/>
        <v/>
      </c>
      <c r="AT361" s="112" t="str">
        <f>IF(AS361="","",COUNTIF($AS$13:AS361,AS361))</f>
        <v/>
      </c>
      <c r="AU361" s="147">
        <f t="shared" si="110"/>
        <v>348</v>
      </c>
      <c r="AV361" s="147">
        <f>COUNTIF($AZ$14:AZ361,AZ361)</f>
        <v>17</v>
      </c>
      <c r="AW361" s="147">
        <f>IFERROR(COUNTIF(AX$14:$BL361,AX361),"")</f>
        <v>50</v>
      </c>
      <c r="AX361" s="148" t="str">
        <f t="shared" si="111"/>
        <v>Thu</v>
      </c>
      <c r="AY361" s="149">
        <f>'Raw Data'!A351</f>
        <v>41956</v>
      </c>
      <c r="AZ361" s="150" t="str">
        <f>'Raw Data'!E351</f>
        <v>Free Ship No Min</v>
      </c>
      <c r="BA361" s="150">
        <f>'Raw Data'!I351</f>
        <v>1082</v>
      </c>
      <c r="BB361" s="112"/>
      <c r="BC361" s="112"/>
      <c r="BD361" s="112">
        <f>'Raw Data'!O351</f>
        <v>1</v>
      </c>
    </row>
    <row r="362" spans="19:56">
      <c r="S362" s="30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33" t="str">
        <f t="shared" si="108"/>
        <v/>
      </c>
      <c r="AF362" s="114" t="str">
        <f t="shared" si="112"/>
        <v/>
      </c>
      <c r="AG362" s="108" t="str">
        <f t="shared" si="103"/>
        <v/>
      </c>
      <c r="AH362" s="21" t="str">
        <f t="shared" si="104"/>
        <v/>
      </c>
      <c r="AI362" s="21" t="str">
        <f t="shared" si="105"/>
        <v/>
      </c>
      <c r="AJ362" s="21" t="str">
        <f t="shared" si="106"/>
        <v/>
      </c>
      <c r="AK362" s="21" t="str">
        <f t="shared" si="107"/>
        <v/>
      </c>
      <c r="AL362" s="21"/>
      <c r="AM362" s="21"/>
      <c r="AN362" s="21"/>
      <c r="AS362" s="112" t="str">
        <f t="shared" si="109"/>
        <v/>
      </c>
      <c r="AT362" s="112" t="str">
        <f>IF(AS362="","",COUNTIF($AS$13:AS362,AS362))</f>
        <v/>
      </c>
      <c r="AU362" s="147">
        <f t="shared" si="110"/>
        <v>349</v>
      </c>
      <c r="AV362" s="147">
        <f>COUNTIF($AZ$14:AZ362,AZ362)</f>
        <v>1</v>
      </c>
      <c r="AW362" s="147">
        <f>IFERROR(COUNTIF(AX$14:$BL362,AX362),"")</f>
        <v>50</v>
      </c>
      <c r="AX362" s="148" t="str">
        <f t="shared" si="111"/>
        <v>Fri</v>
      </c>
      <c r="AY362" s="149">
        <f>'Raw Data'!A352</f>
        <v>41957</v>
      </c>
      <c r="AZ362" s="150" t="str">
        <f>'Raw Data'!E352</f>
        <v>$5 Off,FS on $10</v>
      </c>
      <c r="BA362" s="150">
        <f>'Raw Data'!I352</f>
        <v>1486</v>
      </c>
      <c r="BB362" s="112"/>
      <c r="BC362" s="112"/>
      <c r="BD362" s="112">
        <f>'Raw Data'!O352</f>
        <v>1</v>
      </c>
    </row>
    <row r="363" spans="19:56">
      <c r="S363" s="30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33" t="str">
        <f t="shared" si="108"/>
        <v/>
      </c>
      <c r="AF363" s="114" t="str">
        <f t="shared" si="112"/>
        <v/>
      </c>
      <c r="AG363" s="108" t="str">
        <f t="shared" si="103"/>
        <v/>
      </c>
      <c r="AH363" s="21" t="str">
        <f t="shared" si="104"/>
        <v/>
      </c>
      <c r="AI363" s="21" t="str">
        <f t="shared" si="105"/>
        <v/>
      </c>
      <c r="AJ363" s="21" t="str">
        <f t="shared" si="106"/>
        <v/>
      </c>
      <c r="AK363" s="21" t="str">
        <f t="shared" si="107"/>
        <v/>
      </c>
      <c r="AL363" s="21"/>
      <c r="AM363" s="21"/>
      <c r="AN363" s="21"/>
      <c r="AS363" s="112" t="str">
        <f t="shared" si="109"/>
        <v/>
      </c>
      <c r="AT363" s="112" t="str">
        <f>IF(AS363="","",COUNTIF($AS$13:AS363,AS363))</f>
        <v/>
      </c>
      <c r="AU363" s="147">
        <f t="shared" si="110"/>
        <v>350</v>
      </c>
      <c r="AV363" s="147">
        <f>COUNTIF($AZ$14:AZ363,AZ363)</f>
        <v>2</v>
      </c>
      <c r="AW363" s="147">
        <f>IFERROR(COUNTIF(AX$14:$BL363,AX363),"")</f>
        <v>50</v>
      </c>
      <c r="AX363" s="148" t="str">
        <f t="shared" si="111"/>
        <v>Sat</v>
      </c>
      <c r="AY363" s="149">
        <f>'Raw Data'!A353</f>
        <v>41958</v>
      </c>
      <c r="AZ363" s="150" t="str">
        <f>'Raw Data'!E353</f>
        <v>$5 Off,FS on $10</v>
      </c>
      <c r="BA363" s="150">
        <f>'Raw Data'!I353</f>
        <v>1236</v>
      </c>
      <c r="BB363" s="112"/>
      <c r="BC363" s="112"/>
      <c r="BD363" s="112">
        <f>'Raw Data'!O353</f>
        <v>1</v>
      </c>
    </row>
    <row r="364" spans="19:56">
      <c r="S364" s="30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114" t="str">
        <f t="shared" si="112"/>
        <v/>
      </c>
      <c r="AG364" s="108" t="str">
        <f t="shared" si="103"/>
        <v/>
      </c>
      <c r="AH364" s="21" t="str">
        <f t="shared" si="104"/>
        <v/>
      </c>
      <c r="AI364" s="21" t="str">
        <f t="shared" si="105"/>
        <v/>
      </c>
      <c r="AJ364" s="21" t="str">
        <f t="shared" si="106"/>
        <v/>
      </c>
      <c r="AK364" s="21" t="str">
        <f t="shared" si="107"/>
        <v/>
      </c>
      <c r="AL364" s="21"/>
      <c r="AM364" s="21"/>
      <c r="AN364" s="21"/>
      <c r="AS364" s="112" t="str">
        <f t="shared" si="109"/>
        <v/>
      </c>
      <c r="AT364" s="112" t="str">
        <f>IF(AS364="","",COUNTIF($AS$13:AS364,AS364))</f>
        <v/>
      </c>
      <c r="AU364" s="147">
        <f t="shared" si="110"/>
        <v>351</v>
      </c>
      <c r="AV364" s="147">
        <f>COUNTIF($AZ$14:AZ364,AZ364)</f>
        <v>16</v>
      </c>
      <c r="AW364" s="147">
        <f>IFERROR(COUNTIF(AX$14:$BL364,AX364),"")</f>
        <v>51</v>
      </c>
      <c r="AX364" s="148" t="str">
        <f t="shared" si="111"/>
        <v>Sun</v>
      </c>
      <c r="AY364" s="149">
        <f>'Raw Data'!A354</f>
        <v>41959</v>
      </c>
      <c r="AZ364" s="150" t="str">
        <f>'Raw Data'!E354</f>
        <v>25% Off,FS on $49</v>
      </c>
      <c r="BA364" s="150">
        <f>'Raw Data'!I354</f>
        <v>741</v>
      </c>
      <c r="BB364" s="112"/>
      <c r="BC364" s="112"/>
      <c r="BD364" s="112">
        <f>'Raw Data'!O354</f>
        <v>2</v>
      </c>
    </row>
    <row r="365" spans="19:56">
      <c r="S365" s="30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114" t="str">
        <f t="shared" si="112"/>
        <v/>
      </c>
      <c r="AG365" s="108" t="str">
        <f t="shared" si="103"/>
        <v/>
      </c>
      <c r="AH365" s="21" t="str">
        <f t="shared" si="104"/>
        <v/>
      </c>
      <c r="AI365" s="21" t="str">
        <f t="shared" si="105"/>
        <v/>
      </c>
      <c r="AJ365" s="21" t="str">
        <f t="shared" si="106"/>
        <v/>
      </c>
      <c r="AK365" s="21" t="str">
        <f t="shared" si="107"/>
        <v/>
      </c>
      <c r="AL365" s="21"/>
      <c r="AM365" s="21"/>
      <c r="AN365" s="21"/>
      <c r="AS365" s="112" t="str">
        <f t="shared" si="109"/>
        <v/>
      </c>
      <c r="AT365" s="112" t="str">
        <f>IF(AS365="","",COUNTIF($AS$13:AS365,AS365))</f>
        <v/>
      </c>
      <c r="AU365" s="147">
        <f t="shared" si="110"/>
        <v>352</v>
      </c>
      <c r="AV365" s="147">
        <f>COUNTIF($AZ$14:AZ365,AZ365)</f>
        <v>6</v>
      </c>
      <c r="AW365" s="147">
        <f>IFERROR(COUNTIF(AX$14:$BL365,AX365),"")</f>
        <v>51</v>
      </c>
      <c r="AX365" s="148" t="str">
        <f t="shared" si="111"/>
        <v>Mon</v>
      </c>
      <c r="AY365" s="149">
        <f>'Raw Data'!A355</f>
        <v>41960</v>
      </c>
      <c r="AZ365" s="150" t="str">
        <f>'Raw Data'!E355</f>
        <v>10% Off,FS on $49</v>
      </c>
      <c r="BA365" s="150">
        <f>'Raw Data'!I355</f>
        <v>1434</v>
      </c>
      <c r="BB365" s="112"/>
      <c r="BC365" s="112"/>
      <c r="BD365" s="112">
        <f>'Raw Data'!O355</f>
        <v>2</v>
      </c>
    </row>
    <row r="366" spans="19:56">
      <c r="S366" s="30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114" t="str">
        <f t="shared" si="112"/>
        <v/>
      </c>
      <c r="AG366" s="108" t="str">
        <f t="shared" si="103"/>
        <v/>
      </c>
      <c r="AH366" s="21" t="str">
        <f t="shared" si="104"/>
        <v/>
      </c>
      <c r="AI366" s="21" t="str">
        <f t="shared" si="105"/>
        <v/>
      </c>
      <c r="AJ366" s="21" t="str">
        <f t="shared" si="106"/>
        <v/>
      </c>
      <c r="AK366" s="21" t="str">
        <f t="shared" si="107"/>
        <v/>
      </c>
      <c r="AL366" s="21"/>
      <c r="AM366" s="21"/>
      <c r="AN366" s="21"/>
      <c r="AS366" s="112" t="str">
        <f t="shared" si="109"/>
        <v/>
      </c>
      <c r="AT366" s="112" t="str">
        <f>IF(AS366="","",COUNTIF($AS$13:AS366,AS366))</f>
        <v/>
      </c>
      <c r="AU366" s="147">
        <f t="shared" si="110"/>
        <v>353</v>
      </c>
      <c r="AV366" s="147">
        <f>COUNTIF($AZ$14:AZ366,AZ366)</f>
        <v>17</v>
      </c>
      <c r="AW366" s="147">
        <f>IFERROR(COUNTIF(AX$14:$BL366,AX366),"")</f>
        <v>51</v>
      </c>
      <c r="AX366" s="148" t="str">
        <f t="shared" si="111"/>
        <v>Tue</v>
      </c>
      <c r="AY366" s="149">
        <f>'Raw Data'!A356</f>
        <v>41961</v>
      </c>
      <c r="AZ366" s="150" t="str">
        <f>'Raw Data'!E356</f>
        <v>25% Off,FS on $49</v>
      </c>
      <c r="BA366" s="150">
        <f>'Raw Data'!I356</f>
        <v>1141</v>
      </c>
      <c r="BB366" s="112"/>
      <c r="BC366" s="112"/>
      <c r="BD366" s="112">
        <f>'Raw Data'!O356</f>
        <v>1</v>
      </c>
    </row>
    <row r="367" spans="19:56">
      <c r="S367" s="30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114" t="str">
        <f t="shared" si="112"/>
        <v/>
      </c>
      <c r="AG367" s="108" t="str">
        <f t="shared" si="103"/>
        <v/>
      </c>
      <c r="AH367" s="21" t="str">
        <f t="shared" si="104"/>
        <v/>
      </c>
      <c r="AI367" s="21" t="str">
        <f t="shared" si="105"/>
        <v/>
      </c>
      <c r="AJ367" s="21" t="str">
        <f t="shared" si="106"/>
        <v/>
      </c>
      <c r="AK367" s="21" t="str">
        <f t="shared" si="107"/>
        <v/>
      </c>
      <c r="AL367" s="21"/>
      <c r="AM367" s="21"/>
      <c r="AN367" s="21"/>
      <c r="AS367" s="112" t="str">
        <f t="shared" si="109"/>
        <v/>
      </c>
      <c r="AT367" s="112" t="str">
        <f>IF(AS367="","",COUNTIF($AS$13:AS367,AS367))</f>
        <v/>
      </c>
      <c r="AU367" s="147">
        <f t="shared" si="110"/>
        <v>354</v>
      </c>
      <c r="AV367" s="147">
        <f>COUNTIF($AZ$14:AZ367,AZ367)</f>
        <v>1</v>
      </c>
      <c r="AW367" s="147">
        <f>IFERROR(COUNTIF(AX$14:$BL367,AX367),"")</f>
        <v>51</v>
      </c>
      <c r="AX367" s="148" t="str">
        <f t="shared" si="111"/>
        <v>Wed</v>
      </c>
      <c r="AY367" s="149">
        <f>'Raw Data'!A357</f>
        <v>41962</v>
      </c>
      <c r="AZ367" s="150" t="str">
        <f>'Raw Data'!E357</f>
        <v>$15 eGC Visa Checkout,FS on $49</v>
      </c>
      <c r="BA367" s="150">
        <f>'Raw Data'!I357</f>
        <v>1214</v>
      </c>
      <c r="BB367" s="112"/>
      <c r="BC367" s="112"/>
      <c r="BD367" s="112">
        <f>'Raw Data'!O357</f>
        <v>1</v>
      </c>
    </row>
    <row r="368" spans="19:56">
      <c r="S368" s="30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114" t="str">
        <f t="shared" si="112"/>
        <v/>
      </c>
      <c r="AG368" s="108" t="str">
        <f t="shared" si="103"/>
        <v/>
      </c>
      <c r="AH368" s="21" t="str">
        <f t="shared" si="104"/>
        <v/>
      </c>
      <c r="AI368" s="21" t="str">
        <f t="shared" si="105"/>
        <v/>
      </c>
      <c r="AJ368" s="21" t="str">
        <f t="shared" si="106"/>
        <v/>
      </c>
      <c r="AK368" s="21" t="str">
        <f t="shared" si="107"/>
        <v/>
      </c>
      <c r="AL368" s="21"/>
      <c r="AM368" s="21"/>
      <c r="AN368" s="21"/>
      <c r="AS368" s="112" t="str">
        <f t="shared" si="109"/>
        <v/>
      </c>
      <c r="AT368" s="112" t="str">
        <f>IF(AS368="","",COUNTIF($AS$13:AS368,AS368))</f>
        <v/>
      </c>
      <c r="AU368" s="147">
        <f t="shared" si="110"/>
        <v>355</v>
      </c>
      <c r="AV368" s="147">
        <f>COUNTIF($AZ$14:AZ368,AZ368)</f>
        <v>18</v>
      </c>
      <c r="AW368" s="147">
        <f>IFERROR(COUNTIF(AX$14:$BL368,AX368),"")</f>
        <v>51</v>
      </c>
      <c r="AX368" s="148" t="str">
        <f t="shared" si="111"/>
        <v>Thu</v>
      </c>
      <c r="AY368" s="149">
        <f>'Raw Data'!A358</f>
        <v>41963</v>
      </c>
      <c r="AZ368" s="150" t="str">
        <f>'Raw Data'!E358</f>
        <v>25% Off,FS on $49</v>
      </c>
      <c r="BA368" s="150">
        <f>'Raw Data'!I358</f>
        <v>1112</v>
      </c>
      <c r="BB368" s="112"/>
      <c r="BC368" s="112"/>
      <c r="BD368" s="112">
        <f>'Raw Data'!O358</f>
        <v>1</v>
      </c>
    </row>
    <row r="369" spans="19:56">
      <c r="S369" s="30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114" t="str">
        <f t="shared" si="112"/>
        <v/>
      </c>
      <c r="AG369" s="108" t="str">
        <f t="shared" si="103"/>
        <v/>
      </c>
      <c r="AH369" s="21" t="str">
        <f t="shared" si="104"/>
        <v/>
      </c>
      <c r="AI369" s="21" t="str">
        <f t="shared" si="105"/>
        <v/>
      </c>
      <c r="AJ369" s="21" t="str">
        <f t="shared" si="106"/>
        <v/>
      </c>
      <c r="AK369" s="21" t="str">
        <f t="shared" si="107"/>
        <v/>
      </c>
      <c r="AL369" s="21"/>
      <c r="AM369" s="21"/>
      <c r="AN369" s="21"/>
      <c r="AS369" s="112" t="str">
        <f t="shared" si="109"/>
        <v/>
      </c>
      <c r="AT369" s="112" t="str">
        <f>IF(AS369="","",COUNTIF($AS$13:AS369,AS369))</f>
        <v/>
      </c>
      <c r="AU369" s="147">
        <f t="shared" si="110"/>
        <v>356</v>
      </c>
      <c r="AV369" s="147">
        <f>COUNTIF($AZ$14:AZ369,AZ369)</f>
        <v>18</v>
      </c>
      <c r="AW369" s="147">
        <f>IFERROR(COUNTIF(AX$14:$BL369,AX369),"")</f>
        <v>51</v>
      </c>
      <c r="AX369" s="148" t="str">
        <f t="shared" si="111"/>
        <v>Fri</v>
      </c>
      <c r="AY369" s="149">
        <f>'Raw Data'!A359</f>
        <v>41964</v>
      </c>
      <c r="AZ369" s="150" t="str">
        <f>'Raw Data'!E359</f>
        <v>Free Ship No Min</v>
      </c>
      <c r="BA369" s="150">
        <f>'Raw Data'!I359</f>
        <v>1368</v>
      </c>
      <c r="BB369" s="112"/>
      <c r="BC369" s="112"/>
      <c r="BD369" s="112">
        <f>'Raw Data'!O359</f>
        <v>2</v>
      </c>
    </row>
    <row r="370" spans="19:56">
      <c r="S370" s="30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114" t="str">
        <f t="shared" si="112"/>
        <v/>
      </c>
      <c r="AG370" s="108" t="str">
        <f t="shared" si="103"/>
        <v/>
      </c>
      <c r="AH370" s="21" t="str">
        <f t="shared" si="104"/>
        <v/>
      </c>
      <c r="AI370" s="21" t="str">
        <f t="shared" si="105"/>
        <v/>
      </c>
      <c r="AJ370" s="21" t="str">
        <f t="shared" si="106"/>
        <v/>
      </c>
      <c r="AK370" s="21" t="str">
        <f t="shared" si="107"/>
        <v/>
      </c>
      <c r="AL370" s="21"/>
      <c r="AM370" s="21"/>
      <c r="AN370" s="21"/>
      <c r="AS370" s="112" t="str">
        <f t="shared" si="109"/>
        <v/>
      </c>
      <c r="AT370" s="112" t="str">
        <f>IF(AS370="","",COUNTIF($AS$13:AS370,AS370))</f>
        <v/>
      </c>
      <c r="AU370" s="147">
        <f t="shared" si="110"/>
        <v>357</v>
      </c>
      <c r="AV370" s="147">
        <f>COUNTIF($AZ$14:AZ370,AZ370)</f>
        <v>8</v>
      </c>
      <c r="AW370" s="147">
        <f>IFERROR(COUNTIF(AX$14:$BL370,AX370),"")</f>
        <v>51</v>
      </c>
      <c r="AX370" s="148" t="str">
        <f t="shared" si="111"/>
        <v>Sat</v>
      </c>
      <c r="AY370" s="149">
        <f>'Raw Data'!A360</f>
        <v>41965</v>
      </c>
      <c r="AZ370" s="150" t="str">
        <f>'Raw Data'!E360</f>
        <v>RD Event</v>
      </c>
      <c r="BA370" s="150">
        <f>'Raw Data'!I360</f>
        <v>965</v>
      </c>
      <c r="BB370" s="112"/>
      <c r="BC370" s="112"/>
      <c r="BD370" s="112">
        <f>'Raw Data'!O360</f>
        <v>1</v>
      </c>
    </row>
    <row r="371" spans="19:56">
      <c r="S371" s="30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114" t="str">
        <f t="shared" si="112"/>
        <v/>
      </c>
      <c r="AG371" s="108" t="str">
        <f t="shared" si="103"/>
        <v/>
      </c>
      <c r="AH371" s="21" t="str">
        <f t="shared" si="104"/>
        <v/>
      </c>
      <c r="AI371" s="21" t="str">
        <f t="shared" si="105"/>
        <v/>
      </c>
      <c r="AJ371" s="21" t="str">
        <f t="shared" si="106"/>
        <v/>
      </c>
      <c r="AK371" s="21" t="str">
        <f t="shared" si="107"/>
        <v/>
      </c>
      <c r="AL371" s="21"/>
      <c r="AM371" s="21"/>
      <c r="AN371" s="21"/>
      <c r="AS371" s="112" t="str">
        <f t="shared" si="109"/>
        <v/>
      </c>
      <c r="AT371" s="112" t="str">
        <f>IF(AS371="","",COUNTIF($AS$13:AS371,AS371))</f>
        <v/>
      </c>
      <c r="AU371" s="147">
        <f t="shared" si="110"/>
        <v>358</v>
      </c>
      <c r="AV371" s="147">
        <f>COUNTIF($AZ$14:AZ371,AZ371)</f>
        <v>1</v>
      </c>
      <c r="AW371" s="147">
        <f>IFERROR(COUNTIF(AX$14:$BL371,AX371),"")</f>
        <v>52</v>
      </c>
      <c r="AX371" s="148" t="str">
        <f t="shared" si="111"/>
        <v>Sun</v>
      </c>
      <c r="AY371" s="149">
        <f>'Raw Data'!A361</f>
        <v>41966</v>
      </c>
      <c r="AZ371" s="150" t="str">
        <f>'Raw Data'!E361</f>
        <v>$5 Off Natural Dog and Cat Food,FS on $49</v>
      </c>
      <c r="BA371" s="150">
        <f>'Raw Data'!I361</f>
        <v>756</v>
      </c>
      <c r="BB371" s="112"/>
      <c r="BC371" s="112"/>
      <c r="BD371" s="112">
        <f>'Raw Data'!O361</f>
        <v>1</v>
      </c>
    </row>
    <row r="372" spans="19:56">
      <c r="S372" s="30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114" t="str">
        <f t="shared" si="112"/>
        <v/>
      </c>
      <c r="AG372" s="108" t="str">
        <f t="shared" si="103"/>
        <v/>
      </c>
      <c r="AH372" s="21" t="str">
        <f t="shared" si="104"/>
        <v/>
      </c>
      <c r="AI372" s="21" t="str">
        <f t="shared" si="105"/>
        <v/>
      </c>
      <c r="AJ372" s="21" t="str">
        <f t="shared" si="106"/>
        <v/>
      </c>
      <c r="AK372" s="21" t="str">
        <f t="shared" si="107"/>
        <v/>
      </c>
      <c r="AL372" s="21"/>
      <c r="AM372" s="21"/>
      <c r="AN372" s="21"/>
      <c r="AS372" s="112" t="str">
        <f t="shared" si="109"/>
        <v/>
      </c>
      <c r="AT372" s="112" t="str">
        <f>IF(AS372="","",COUNTIF($AS$13:AS372,AS372))</f>
        <v/>
      </c>
      <c r="AU372" s="147">
        <f t="shared" si="110"/>
        <v>359</v>
      </c>
      <c r="AV372" s="147">
        <f>COUNTIF($AZ$14:AZ372,AZ372)</f>
        <v>84</v>
      </c>
      <c r="AW372" s="147">
        <f>IFERROR(COUNTIF(AX$14:$BL372,AX372),"")</f>
        <v>52</v>
      </c>
      <c r="AX372" s="148" t="str">
        <f t="shared" si="111"/>
        <v>Mon</v>
      </c>
      <c r="AY372" s="149">
        <f>'Raw Data'!A362</f>
        <v>41967</v>
      </c>
      <c r="AZ372" s="150" t="str">
        <f>'Raw Data'!E362</f>
        <v>No Email Drop</v>
      </c>
      <c r="BA372" s="150">
        <f>'Raw Data'!I362</f>
        <v>1401</v>
      </c>
      <c r="BB372" s="112"/>
      <c r="BC372" s="112"/>
      <c r="BD372" s="112">
        <f>'Raw Data'!O362</f>
        <v>0</v>
      </c>
    </row>
    <row r="373" spans="19:56">
      <c r="S373" s="30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114" t="str">
        <f t="shared" si="112"/>
        <v/>
      </c>
      <c r="AG373" s="108" t="str">
        <f t="shared" si="103"/>
        <v/>
      </c>
      <c r="AH373" s="21" t="str">
        <f t="shared" si="104"/>
        <v/>
      </c>
      <c r="AI373" s="21" t="str">
        <f t="shared" si="105"/>
        <v/>
      </c>
      <c r="AJ373" s="21" t="str">
        <f t="shared" si="106"/>
        <v/>
      </c>
      <c r="AK373" s="21" t="str">
        <f t="shared" si="107"/>
        <v/>
      </c>
      <c r="AL373" s="21"/>
      <c r="AM373" s="21"/>
      <c r="AN373" s="21"/>
      <c r="AS373" s="112" t="str">
        <f t="shared" si="109"/>
        <v/>
      </c>
      <c r="AT373" s="112" t="str">
        <f>IF(AS373="","",COUNTIF($AS$13:AS373,AS373))</f>
        <v/>
      </c>
      <c r="AU373" s="147">
        <f t="shared" si="110"/>
        <v>360</v>
      </c>
      <c r="AV373" s="147">
        <f>COUNTIF($AZ$14:AZ373,AZ373)</f>
        <v>2</v>
      </c>
      <c r="AW373" s="147">
        <f>IFERROR(COUNTIF(AX$14:$BL373,AX373),"")</f>
        <v>52</v>
      </c>
      <c r="AX373" s="148" t="str">
        <f t="shared" si="111"/>
        <v>Tue</v>
      </c>
      <c r="AY373" s="149">
        <f>'Raw Data'!A363</f>
        <v>41968</v>
      </c>
      <c r="AZ373" s="150" t="str">
        <f>'Raw Data'!E363</f>
        <v>$5 Off Natural Dog and Cat Food,FS on $49</v>
      </c>
      <c r="BA373" s="150">
        <f>'Raw Data'!I363</f>
        <v>1249</v>
      </c>
      <c r="BB373" s="112"/>
      <c r="BC373" s="112"/>
      <c r="BD373" s="112">
        <f>'Raw Data'!O363</f>
        <v>1</v>
      </c>
    </row>
    <row r="374" spans="19:56">
      <c r="S374" s="30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114" t="str">
        <f t="shared" si="112"/>
        <v/>
      </c>
      <c r="AG374" s="108" t="str">
        <f t="shared" si="103"/>
        <v/>
      </c>
      <c r="AH374" s="21" t="str">
        <f t="shared" si="104"/>
        <v/>
      </c>
      <c r="AI374" s="21" t="str">
        <f t="shared" si="105"/>
        <v/>
      </c>
      <c r="AJ374" s="21" t="str">
        <f t="shared" si="106"/>
        <v/>
      </c>
      <c r="AK374" s="21" t="str">
        <f t="shared" si="107"/>
        <v/>
      </c>
      <c r="AL374" s="21"/>
      <c r="AM374" s="21"/>
      <c r="AN374" s="21"/>
      <c r="AS374" s="112" t="str">
        <f t="shared" si="109"/>
        <v/>
      </c>
      <c r="AT374" s="112" t="str">
        <f>IF(AS374="","",COUNTIF($AS$13:AS374,AS374))</f>
        <v/>
      </c>
      <c r="AU374" s="147">
        <f t="shared" si="110"/>
        <v>361</v>
      </c>
      <c r="AV374" s="147">
        <f>COUNTIF($AZ$14:AZ374,AZ374)</f>
        <v>3</v>
      </c>
      <c r="AW374" s="147">
        <f>IFERROR(COUNTIF(AX$14:$BL374,AX374),"")</f>
        <v>52</v>
      </c>
      <c r="AX374" s="148" t="str">
        <f t="shared" si="111"/>
        <v>Wed</v>
      </c>
      <c r="AY374" s="149">
        <f>'Raw Data'!A364</f>
        <v>41969</v>
      </c>
      <c r="AZ374" s="150" t="str">
        <f>'Raw Data'!E364</f>
        <v>$5 Off Natural Dog and Cat Food,FS on $49</v>
      </c>
      <c r="BA374" s="150">
        <f>'Raw Data'!I364</f>
        <v>1062</v>
      </c>
      <c r="BB374" s="112"/>
      <c r="BC374" s="112"/>
      <c r="BD374" s="112">
        <f>'Raw Data'!O364</f>
        <v>1</v>
      </c>
    </row>
    <row r="375" spans="19:56">
      <c r="S375" s="30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114" t="str">
        <f t="shared" si="112"/>
        <v/>
      </c>
      <c r="AG375" s="108" t="str">
        <f t="shared" si="103"/>
        <v/>
      </c>
      <c r="AH375" s="21" t="str">
        <f t="shared" si="104"/>
        <v/>
      </c>
      <c r="AI375" s="21" t="str">
        <f t="shared" si="105"/>
        <v/>
      </c>
      <c r="AJ375" s="21" t="str">
        <f t="shared" si="106"/>
        <v/>
      </c>
      <c r="AK375" s="21" t="str">
        <f t="shared" si="107"/>
        <v/>
      </c>
      <c r="AL375" s="21"/>
      <c r="AM375" s="21"/>
      <c r="AN375" s="21"/>
      <c r="AS375" s="112" t="str">
        <f t="shared" si="109"/>
        <v/>
      </c>
      <c r="AT375" s="112" t="str">
        <f>IF(AS375="","",COUNTIF($AS$13:AS375,AS375))</f>
        <v/>
      </c>
      <c r="AU375" s="147">
        <f t="shared" si="110"/>
        <v>362</v>
      </c>
      <c r="AV375" s="147">
        <f>COUNTIF($AZ$14:AZ375,AZ375)</f>
        <v>1</v>
      </c>
      <c r="AW375" s="147">
        <f>IFERROR(COUNTIF(AX$14:$BL375,AX375),"")</f>
        <v>52</v>
      </c>
      <c r="AX375" s="148" t="str">
        <f t="shared" si="111"/>
        <v>Thu</v>
      </c>
      <c r="AY375" s="149">
        <f>'Raw Data'!A365</f>
        <v>41970</v>
      </c>
      <c r="AZ375" s="150" t="str">
        <f>'Raw Data'!E365</f>
        <v>Thanksgiving</v>
      </c>
      <c r="BA375" s="150">
        <f>'Raw Data'!I365</f>
        <v>715</v>
      </c>
      <c r="BB375" s="112"/>
      <c r="BC375" s="112"/>
      <c r="BD375" s="112">
        <f>'Raw Data'!O365</f>
        <v>1</v>
      </c>
    </row>
    <row r="376" spans="19:56">
      <c r="S376" s="30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114" t="str">
        <f t="shared" si="112"/>
        <v/>
      </c>
      <c r="AG376" s="108" t="str">
        <f t="shared" si="103"/>
        <v/>
      </c>
      <c r="AH376" s="21" t="str">
        <f t="shared" si="104"/>
        <v/>
      </c>
      <c r="AI376" s="21" t="str">
        <f t="shared" si="105"/>
        <v/>
      </c>
      <c r="AJ376" s="21" t="str">
        <f t="shared" si="106"/>
        <v/>
      </c>
      <c r="AK376" s="21" t="str">
        <f t="shared" si="107"/>
        <v/>
      </c>
      <c r="AL376" s="21"/>
      <c r="AM376" s="21"/>
      <c r="AN376" s="21"/>
      <c r="AS376" s="112" t="str">
        <f t="shared" si="109"/>
        <v/>
      </c>
      <c r="AT376" s="112" t="str">
        <f>IF(AS376="","",COUNTIF($AS$13:AS376,AS376))</f>
        <v/>
      </c>
      <c r="AU376" s="147">
        <f t="shared" si="110"/>
        <v>363</v>
      </c>
      <c r="AV376" s="147">
        <f>COUNTIF($AZ$14:AZ376,AZ376)</f>
        <v>2</v>
      </c>
      <c r="AW376" s="147">
        <f>IFERROR(COUNTIF(AX$14:$BL376,AX376),"")</f>
        <v>52</v>
      </c>
      <c r="AX376" s="148" t="str">
        <f t="shared" si="111"/>
        <v>Fri</v>
      </c>
      <c r="AY376" s="149">
        <f>'Raw Data'!A366</f>
        <v>41971</v>
      </c>
      <c r="AZ376" s="150" t="str">
        <f>'Raw Data'!E366</f>
        <v>Black Friday</v>
      </c>
      <c r="BA376" s="150">
        <f>'Raw Data'!I366</f>
        <v>1473</v>
      </c>
      <c r="BB376" s="112"/>
      <c r="BC376" s="112"/>
      <c r="BD376" s="112">
        <f>'Raw Data'!O366</f>
        <v>1</v>
      </c>
    </row>
    <row r="377" spans="19:56">
      <c r="S377" s="30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114" t="str">
        <f t="shared" si="112"/>
        <v/>
      </c>
      <c r="AG377" s="108" t="str">
        <f t="shared" si="103"/>
        <v/>
      </c>
      <c r="AH377" s="21" t="str">
        <f t="shared" si="104"/>
        <v/>
      </c>
      <c r="AI377" s="21" t="str">
        <f t="shared" si="105"/>
        <v/>
      </c>
      <c r="AJ377" s="21" t="str">
        <f t="shared" si="106"/>
        <v/>
      </c>
      <c r="AK377" s="21" t="str">
        <f t="shared" si="107"/>
        <v/>
      </c>
      <c r="AL377" s="21"/>
      <c r="AM377" s="21"/>
      <c r="AN377" s="21"/>
      <c r="AS377" s="112" t="str">
        <f t="shared" si="109"/>
        <v/>
      </c>
      <c r="AT377" s="112" t="str">
        <f>IF(AS377="","",COUNTIF($AS$13:AS377,AS377))</f>
        <v/>
      </c>
      <c r="AU377" s="147">
        <f t="shared" si="110"/>
        <v>364</v>
      </c>
      <c r="AV377" s="147">
        <f>COUNTIF($AZ$14:AZ377,AZ377)</f>
        <v>3</v>
      </c>
      <c r="AW377" s="147">
        <f>IFERROR(COUNTIF(AX$14:$BL377,AX377),"")</f>
        <v>52</v>
      </c>
      <c r="AX377" s="148" t="str">
        <f t="shared" si="111"/>
        <v>Sat</v>
      </c>
      <c r="AY377" s="149">
        <f>'Raw Data'!A367</f>
        <v>41972</v>
      </c>
      <c r="AZ377" s="150" t="str">
        <f>'Raw Data'!E367</f>
        <v>Black Friday</v>
      </c>
      <c r="BA377" s="150">
        <f>'Raw Data'!I367</f>
        <v>1083</v>
      </c>
      <c r="BB377" s="112"/>
      <c r="BC377" s="112"/>
      <c r="BD377" s="112">
        <f>'Raw Data'!O367</f>
        <v>1</v>
      </c>
    </row>
    <row r="378" spans="19:56">
      <c r="S378" s="30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114" t="str">
        <f t="shared" si="112"/>
        <v/>
      </c>
      <c r="AG378" s="108" t="str">
        <f t="shared" si="103"/>
        <v/>
      </c>
      <c r="AH378" s="21" t="str">
        <f t="shared" si="104"/>
        <v/>
      </c>
      <c r="AI378" s="21" t="str">
        <f t="shared" si="105"/>
        <v/>
      </c>
      <c r="AJ378" s="21" t="str">
        <f t="shared" si="106"/>
        <v/>
      </c>
      <c r="AK378" s="21" t="str">
        <f t="shared" si="107"/>
        <v/>
      </c>
      <c r="AL378" s="21"/>
      <c r="AM378" s="21"/>
      <c r="AN378" s="21"/>
      <c r="AS378" s="112" t="str">
        <f t="shared" si="109"/>
        <v/>
      </c>
      <c r="AT378" s="112" t="str">
        <f>IF(AS378="","",COUNTIF($AS$13:AS378,AS378))</f>
        <v/>
      </c>
      <c r="AU378" s="147">
        <f t="shared" si="110"/>
        <v>365</v>
      </c>
      <c r="AV378" s="147">
        <f>COUNTIF($AZ$14:AZ378,AZ378)</f>
        <v>5</v>
      </c>
      <c r="AW378" s="147">
        <f>IFERROR(COUNTIF(AX$14:$BL378,AX378),"")</f>
        <v>53</v>
      </c>
      <c r="AX378" s="148" t="str">
        <f t="shared" si="111"/>
        <v>Sun</v>
      </c>
      <c r="AY378" s="149">
        <f>'Raw Data'!A368</f>
        <v>41973</v>
      </c>
      <c r="AZ378" s="150" t="str">
        <f>'Raw Data'!E368</f>
        <v>Cyber Savings</v>
      </c>
      <c r="BA378" s="150">
        <f>'Raw Data'!I368</f>
        <v>948</v>
      </c>
      <c r="BB378" s="112"/>
      <c r="BC378" s="112"/>
      <c r="BD378" s="112">
        <f>'Raw Data'!O368</f>
        <v>1</v>
      </c>
    </row>
    <row r="379" spans="19:56">
      <c r="S379" s="30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114" t="str">
        <f t="shared" si="112"/>
        <v/>
      </c>
      <c r="AG379" s="108" t="str">
        <f t="shared" si="103"/>
        <v/>
      </c>
      <c r="AH379" s="21" t="str">
        <f t="shared" si="104"/>
        <v/>
      </c>
      <c r="AI379" s="21" t="str">
        <f t="shared" si="105"/>
        <v/>
      </c>
      <c r="AJ379" s="21" t="str">
        <f t="shared" si="106"/>
        <v/>
      </c>
      <c r="AK379" s="21" t="str">
        <f t="shared" si="107"/>
        <v/>
      </c>
      <c r="AL379" s="21"/>
      <c r="AM379" s="21"/>
      <c r="AN379" s="21"/>
      <c r="AS379" s="112" t="str">
        <f t="shared" si="109"/>
        <v/>
      </c>
      <c r="AT379" s="112" t="str">
        <f>IF(AS379="","",COUNTIF($AS$13:AS379,AS379))</f>
        <v/>
      </c>
      <c r="AU379" s="147">
        <f t="shared" si="110"/>
        <v>366</v>
      </c>
      <c r="AV379" s="147">
        <f>COUNTIF($AZ$14:AZ379,AZ379)</f>
        <v>6</v>
      </c>
      <c r="AW379" s="147">
        <f>IFERROR(COUNTIF(AX$14:$BL379,AX379),"")</f>
        <v>53</v>
      </c>
      <c r="AX379" s="148" t="str">
        <f t="shared" si="111"/>
        <v>Mon</v>
      </c>
      <c r="AY379" s="149">
        <f>'Raw Data'!A369</f>
        <v>41974</v>
      </c>
      <c r="AZ379" s="150" t="str">
        <f>'Raw Data'!E369</f>
        <v>Cyber Savings</v>
      </c>
      <c r="BA379" s="150">
        <f>'Raw Data'!I369</f>
        <v>2543</v>
      </c>
      <c r="BB379" s="112"/>
      <c r="BC379" s="112"/>
      <c r="BD379" s="112">
        <f>'Raw Data'!O369</f>
        <v>2</v>
      </c>
    </row>
    <row r="380" spans="19:56">
      <c r="S380" s="30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114" t="str">
        <f t="shared" si="112"/>
        <v/>
      </c>
      <c r="AG380" s="108" t="str">
        <f t="shared" si="103"/>
        <v/>
      </c>
      <c r="AH380" s="21" t="str">
        <f t="shared" si="104"/>
        <v/>
      </c>
      <c r="AI380" s="21" t="str">
        <f t="shared" si="105"/>
        <v/>
      </c>
      <c r="AJ380" s="21" t="str">
        <f t="shared" si="106"/>
        <v/>
      </c>
      <c r="AK380" s="21" t="str">
        <f t="shared" si="107"/>
        <v/>
      </c>
      <c r="AL380" s="21"/>
      <c r="AM380" s="21"/>
      <c r="AN380" s="21"/>
      <c r="AS380" s="112" t="str">
        <f t="shared" si="109"/>
        <v/>
      </c>
      <c r="AT380" s="112" t="str">
        <f>IF(AS380="","",COUNTIF($AS$13:AS380,AS380))</f>
        <v/>
      </c>
      <c r="AU380" s="147">
        <f t="shared" si="110"/>
        <v>367</v>
      </c>
      <c r="AV380" s="147">
        <f>COUNTIF($AZ$14:AZ380,AZ380)</f>
        <v>7</v>
      </c>
      <c r="AW380" s="147">
        <f>IFERROR(COUNTIF(AX$14:$BL380,AX380),"")</f>
        <v>53</v>
      </c>
      <c r="AX380" s="148" t="str">
        <f t="shared" si="111"/>
        <v>Tue</v>
      </c>
      <c r="AY380" s="149">
        <f>'Raw Data'!A370</f>
        <v>41975</v>
      </c>
      <c r="AZ380" s="150" t="str">
        <f>'Raw Data'!E370</f>
        <v>Cyber Savings</v>
      </c>
      <c r="BA380" s="150">
        <f>'Raw Data'!I370</f>
        <v>1685</v>
      </c>
      <c r="BB380" s="112"/>
      <c r="BC380" s="112"/>
      <c r="BD380" s="112">
        <f>'Raw Data'!O370</f>
        <v>1</v>
      </c>
    </row>
    <row r="381" spans="19:56">
      <c r="S381" s="30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114" t="str">
        <f t="shared" si="112"/>
        <v/>
      </c>
      <c r="AG381" s="108" t="str">
        <f t="shared" si="103"/>
        <v/>
      </c>
      <c r="AH381" s="21" t="str">
        <f t="shared" si="104"/>
        <v/>
      </c>
      <c r="AI381" s="21" t="str">
        <f t="shared" si="105"/>
        <v/>
      </c>
      <c r="AJ381" s="21" t="str">
        <f t="shared" si="106"/>
        <v/>
      </c>
      <c r="AK381" s="21" t="str">
        <f t="shared" si="107"/>
        <v/>
      </c>
      <c r="AL381" s="21"/>
      <c r="AM381" s="21"/>
      <c r="AN381" s="21"/>
      <c r="AS381" s="112" t="str">
        <f t="shared" si="109"/>
        <v/>
      </c>
      <c r="AT381" s="112" t="str">
        <f>IF(AS381="","",COUNTIF($AS$13:AS381,AS381))</f>
        <v/>
      </c>
      <c r="AU381" s="147">
        <f t="shared" si="110"/>
        <v>368</v>
      </c>
      <c r="AV381" s="147">
        <f>COUNTIF($AZ$14:AZ381,AZ381)</f>
        <v>8</v>
      </c>
      <c r="AW381" s="147">
        <f>IFERROR(COUNTIF(AX$14:$BL381,AX381),"")</f>
        <v>53</v>
      </c>
      <c r="AX381" s="148" t="str">
        <f t="shared" si="111"/>
        <v>Wed</v>
      </c>
      <c r="AY381" s="149">
        <f>'Raw Data'!A371</f>
        <v>41976</v>
      </c>
      <c r="AZ381" s="150" t="str">
        <f>'Raw Data'!E371</f>
        <v>Cyber Savings</v>
      </c>
      <c r="BA381" s="150">
        <f>'Raw Data'!I371</f>
        <v>1757</v>
      </c>
      <c r="BB381" s="112"/>
      <c r="BC381" s="112"/>
      <c r="BD381" s="112">
        <f>'Raw Data'!O371</f>
        <v>2</v>
      </c>
    </row>
    <row r="382" spans="19:56">
      <c r="S382" s="30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114" t="str">
        <f t="shared" si="112"/>
        <v/>
      </c>
      <c r="AG382" s="108" t="str">
        <f t="shared" si="103"/>
        <v/>
      </c>
      <c r="AH382" s="21" t="str">
        <f t="shared" si="104"/>
        <v/>
      </c>
      <c r="AI382" s="21" t="str">
        <f t="shared" si="105"/>
        <v/>
      </c>
      <c r="AJ382" s="21" t="str">
        <f t="shared" si="106"/>
        <v/>
      </c>
      <c r="AK382" s="21" t="str">
        <f t="shared" si="107"/>
        <v/>
      </c>
      <c r="AL382" s="21"/>
      <c r="AM382" s="21"/>
      <c r="AN382" s="21"/>
      <c r="AS382" s="112" t="str">
        <f t="shared" si="109"/>
        <v/>
      </c>
      <c r="AT382" s="112" t="str">
        <f>IF(AS382="","",COUNTIF($AS$13:AS382,AS382))</f>
        <v/>
      </c>
      <c r="AU382" s="147">
        <f t="shared" si="110"/>
        <v>369</v>
      </c>
      <c r="AV382" s="147">
        <f>COUNTIF($AZ$14:AZ382,AZ382)</f>
        <v>9</v>
      </c>
      <c r="AW382" s="147">
        <f>IFERROR(COUNTIF(AX$14:$BL382,AX382),"")</f>
        <v>53</v>
      </c>
      <c r="AX382" s="148" t="str">
        <f t="shared" si="111"/>
        <v>Thu</v>
      </c>
      <c r="AY382" s="149">
        <f>'Raw Data'!A372</f>
        <v>41977</v>
      </c>
      <c r="AZ382" s="150" t="str">
        <f>'Raw Data'!E372</f>
        <v>Cyber Savings</v>
      </c>
      <c r="BA382" s="150">
        <f>'Raw Data'!I372</f>
        <v>1688</v>
      </c>
      <c r="BB382" s="112"/>
      <c r="BC382" s="112"/>
      <c r="BD382" s="112">
        <f>'Raw Data'!O372</f>
        <v>2</v>
      </c>
    </row>
    <row r="383" spans="19:56">
      <c r="S383" s="30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114" t="str">
        <f t="shared" si="112"/>
        <v/>
      </c>
      <c r="AG383" s="108" t="str">
        <f t="shared" si="103"/>
        <v/>
      </c>
      <c r="AH383" s="21" t="str">
        <f t="shared" si="104"/>
        <v/>
      </c>
      <c r="AI383" s="21" t="str">
        <f t="shared" si="105"/>
        <v/>
      </c>
      <c r="AJ383" s="21" t="str">
        <f t="shared" si="106"/>
        <v/>
      </c>
      <c r="AK383" s="21" t="str">
        <f t="shared" si="107"/>
        <v/>
      </c>
      <c r="AL383" s="21"/>
      <c r="AM383" s="21"/>
      <c r="AN383" s="21"/>
      <c r="AS383" s="112" t="str">
        <f t="shared" si="109"/>
        <v/>
      </c>
      <c r="AT383" s="112" t="str">
        <f>IF(AS383="","",COUNTIF($AS$13:AS383,AS383))</f>
        <v/>
      </c>
      <c r="AU383" s="147">
        <f t="shared" si="110"/>
        <v>370</v>
      </c>
      <c r="AV383" s="147">
        <f>COUNTIF($AZ$14:AZ383,AZ383)</f>
        <v>10</v>
      </c>
      <c r="AW383" s="147">
        <f>IFERROR(COUNTIF(AX$14:$BL383,AX383),"")</f>
        <v>53</v>
      </c>
      <c r="AX383" s="148" t="str">
        <f t="shared" si="111"/>
        <v>Fri</v>
      </c>
      <c r="AY383" s="149">
        <f>'Raw Data'!A373</f>
        <v>41978</v>
      </c>
      <c r="AZ383" s="150" t="str">
        <f>'Raw Data'!E373</f>
        <v>Cyber Savings</v>
      </c>
      <c r="BA383" s="150">
        <f>'Raw Data'!I373</f>
        <v>1570</v>
      </c>
      <c r="BB383" s="112"/>
      <c r="BC383" s="112"/>
      <c r="BD383" s="112">
        <f>'Raw Data'!O373</f>
        <v>1</v>
      </c>
    </row>
    <row r="384" spans="19:56">
      <c r="S384" s="30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114" t="str">
        <f t="shared" si="112"/>
        <v/>
      </c>
      <c r="AG384" s="108" t="str">
        <f t="shared" si="103"/>
        <v/>
      </c>
      <c r="AH384" s="21" t="str">
        <f t="shared" si="104"/>
        <v/>
      </c>
      <c r="AI384" s="21" t="str">
        <f t="shared" si="105"/>
        <v/>
      </c>
      <c r="AJ384" s="21" t="str">
        <f t="shared" si="106"/>
        <v/>
      </c>
      <c r="AK384" s="21" t="str">
        <f t="shared" si="107"/>
        <v/>
      </c>
      <c r="AL384" s="21"/>
      <c r="AM384" s="21"/>
      <c r="AN384" s="21"/>
      <c r="AS384" s="112" t="str">
        <f t="shared" si="109"/>
        <v/>
      </c>
      <c r="AT384" s="112" t="str">
        <f>IF(AS384="","",COUNTIF($AS$13:AS384,AS384))</f>
        <v/>
      </c>
      <c r="AU384" s="147">
        <f t="shared" si="110"/>
        <v>371</v>
      </c>
      <c r="AV384" s="147">
        <f>COUNTIF($AZ$14:AZ384,AZ384)</f>
        <v>1</v>
      </c>
      <c r="AW384" s="147">
        <f>IFERROR(COUNTIF(AX$14:$BL384,AX384),"")</f>
        <v>53</v>
      </c>
      <c r="AX384" s="148" t="str">
        <f t="shared" si="111"/>
        <v>Sat</v>
      </c>
      <c r="AY384" s="149">
        <f>'Raw Data'!A374</f>
        <v>41979</v>
      </c>
      <c r="AZ384" s="150" t="str">
        <f>'Raw Data'!E374</f>
        <v>$15 Off,FS on $75</v>
      </c>
      <c r="BA384" s="150">
        <f>'Raw Data'!I374</f>
        <v>1184</v>
      </c>
      <c r="BB384" s="112"/>
      <c r="BC384" s="112"/>
      <c r="BD384" s="112">
        <f>'Raw Data'!O374</f>
        <v>2</v>
      </c>
    </row>
    <row r="385" spans="19:56">
      <c r="S385" s="30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114" t="str">
        <f t="shared" si="112"/>
        <v/>
      </c>
      <c r="AG385" s="108" t="str">
        <f t="shared" si="103"/>
        <v/>
      </c>
      <c r="AH385" s="21" t="str">
        <f t="shared" si="104"/>
        <v/>
      </c>
      <c r="AI385" s="21" t="str">
        <f t="shared" si="105"/>
        <v/>
      </c>
      <c r="AJ385" s="21" t="str">
        <f t="shared" si="106"/>
        <v/>
      </c>
      <c r="AK385" s="21" t="str">
        <f t="shared" si="107"/>
        <v/>
      </c>
      <c r="AL385" s="21"/>
      <c r="AM385" s="21"/>
      <c r="AN385" s="21"/>
      <c r="AS385" s="112" t="str">
        <f t="shared" si="109"/>
        <v/>
      </c>
      <c r="AT385" s="112" t="str">
        <f>IF(AS385="","",COUNTIF($AS$13:AS385,AS385))</f>
        <v/>
      </c>
      <c r="AU385" s="147">
        <f t="shared" si="110"/>
        <v>372</v>
      </c>
      <c r="AV385" s="147">
        <f>COUNTIF($AZ$14:AZ385,AZ385)</f>
        <v>2</v>
      </c>
      <c r="AW385" s="147">
        <f>IFERROR(COUNTIF(AX$14:$BL385,AX385),"")</f>
        <v>54</v>
      </c>
      <c r="AX385" s="148" t="str">
        <f t="shared" si="111"/>
        <v>Sun</v>
      </c>
      <c r="AY385" s="149">
        <f>'Raw Data'!A375</f>
        <v>41980</v>
      </c>
      <c r="AZ385" s="150" t="str">
        <f>'Raw Data'!E375</f>
        <v>$15 Off,FS on $75</v>
      </c>
      <c r="BA385" s="150">
        <f>'Raw Data'!I375</f>
        <v>947</v>
      </c>
      <c r="BB385" s="112"/>
      <c r="BC385" s="112"/>
      <c r="BD385" s="112">
        <f>'Raw Data'!O375</f>
        <v>1</v>
      </c>
    </row>
    <row r="386" spans="19:56">
      <c r="S386" s="30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114" t="str">
        <f t="shared" si="112"/>
        <v/>
      </c>
      <c r="AG386" s="108" t="str">
        <f t="shared" si="103"/>
        <v/>
      </c>
      <c r="AH386" s="21" t="str">
        <f t="shared" si="104"/>
        <v/>
      </c>
      <c r="AI386" s="21" t="str">
        <f t="shared" si="105"/>
        <v/>
      </c>
      <c r="AJ386" s="21" t="str">
        <f t="shared" si="106"/>
        <v/>
      </c>
      <c r="AK386" s="21" t="str">
        <f t="shared" si="107"/>
        <v/>
      </c>
      <c r="AL386" s="21"/>
      <c r="AM386" s="21"/>
      <c r="AN386" s="21"/>
      <c r="AS386" s="112" t="str">
        <f t="shared" si="109"/>
        <v/>
      </c>
      <c r="AT386" s="112" t="str">
        <f>IF(AS386="","",COUNTIF($AS$13:AS386,AS386))</f>
        <v/>
      </c>
      <c r="AU386" s="147">
        <f t="shared" si="110"/>
        <v>373</v>
      </c>
      <c r="AV386" s="147">
        <f>COUNTIF($AZ$14:AZ386,AZ386)</f>
        <v>1</v>
      </c>
      <c r="AW386" s="147">
        <f>IFERROR(COUNTIF(AX$14:$BL386,AX386),"")</f>
        <v>54</v>
      </c>
      <c r="AX386" s="148" t="str">
        <f t="shared" si="111"/>
        <v>Mon</v>
      </c>
      <c r="AY386" s="149">
        <f>'Raw Data'!A376</f>
        <v>41981</v>
      </c>
      <c r="AZ386" s="150" t="str">
        <f>'Raw Data'!E376</f>
        <v>Tiered Promo</v>
      </c>
      <c r="BA386" s="150">
        <f>'Raw Data'!I376</f>
        <v>1876</v>
      </c>
      <c r="BB386" s="112"/>
      <c r="BC386" s="112"/>
      <c r="BD386" s="112">
        <f>'Raw Data'!O376</f>
        <v>2</v>
      </c>
    </row>
    <row r="387" spans="19:56">
      <c r="S387" s="30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114" t="str">
        <f t="shared" si="112"/>
        <v/>
      </c>
      <c r="AG387" s="108" t="str">
        <f t="shared" si="103"/>
        <v/>
      </c>
      <c r="AH387" s="21" t="str">
        <f t="shared" si="104"/>
        <v/>
      </c>
      <c r="AI387" s="21" t="str">
        <f t="shared" si="105"/>
        <v/>
      </c>
      <c r="AJ387" s="21" t="str">
        <f t="shared" si="106"/>
        <v/>
      </c>
      <c r="AK387" s="21" t="str">
        <f t="shared" si="107"/>
        <v/>
      </c>
      <c r="AL387" s="21"/>
      <c r="AM387" s="21"/>
      <c r="AN387" s="21"/>
      <c r="AS387" s="112" t="str">
        <f t="shared" si="109"/>
        <v/>
      </c>
      <c r="AT387" s="112" t="str">
        <f>IF(AS387="","",COUNTIF($AS$13:AS387,AS387))</f>
        <v/>
      </c>
      <c r="AU387" s="147">
        <f t="shared" si="110"/>
        <v>374</v>
      </c>
      <c r="AV387" s="147">
        <f>COUNTIF($AZ$14:AZ387,AZ387)</f>
        <v>2</v>
      </c>
      <c r="AW387" s="147">
        <f>IFERROR(COUNTIF(AX$14:$BL387,AX387),"")</f>
        <v>54</v>
      </c>
      <c r="AX387" s="148" t="str">
        <f t="shared" si="111"/>
        <v>Tue</v>
      </c>
      <c r="AY387" s="149">
        <f>'Raw Data'!A377</f>
        <v>41982</v>
      </c>
      <c r="AZ387" s="150" t="str">
        <f>'Raw Data'!E377</f>
        <v>Tiered Promo</v>
      </c>
      <c r="BA387" s="150">
        <f>'Raw Data'!I377</f>
        <v>1904</v>
      </c>
      <c r="BB387" s="112"/>
      <c r="BC387" s="112"/>
      <c r="BD387" s="112">
        <f>'Raw Data'!O377</f>
        <v>2</v>
      </c>
    </row>
    <row r="388" spans="19:56">
      <c r="S388" s="30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114" t="str">
        <f t="shared" si="112"/>
        <v/>
      </c>
      <c r="AG388" s="108" t="str">
        <f t="shared" si="103"/>
        <v/>
      </c>
      <c r="AH388" s="21" t="str">
        <f t="shared" si="104"/>
        <v/>
      </c>
      <c r="AI388" s="21" t="str">
        <f t="shared" si="105"/>
        <v/>
      </c>
      <c r="AJ388" s="21" t="str">
        <f t="shared" si="106"/>
        <v/>
      </c>
      <c r="AK388" s="21" t="str">
        <f t="shared" si="107"/>
        <v/>
      </c>
      <c r="AL388" s="21"/>
      <c r="AM388" s="21"/>
      <c r="AN388" s="21"/>
      <c r="AS388" s="112" t="str">
        <f t="shared" si="109"/>
        <v/>
      </c>
      <c r="AT388" s="112" t="str">
        <f>IF(AS388="","",COUNTIF($AS$13:AS388,AS388))</f>
        <v/>
      </c>
      <c r="AU388" s="147">
        <f t="shared" si="110"/>
        <v>375</v>
      </c>
      <c r="AV388" s="147">
        <f>COUNTIF($AZ$14:AZ388,AZ388)</f>
        <v>1</v>
      </c>
      <c r="AW388" s="147">
        <f>IFERROR(COUNTIF(AX$14:$BL388,AX388),"")</f>
        <v>54</v>
      </c>
      <c r="AX388" s="148" t="str">
        <f t="shared" si="111"/>
        <v>Wed</v>
      </c>
      <c r="AY388" s="149">
        <f>'Raw Data'!A378</f>
        <v>41983</v>
      </c>
      <c r="AZ388" s="150" t="str">
        <f>'Raw Data'!E378</f>
        <v>Up To 15% Off,FS on $49</v>
      </c>
      <c r="BA388" s="150">
        <f>'Raw Data'!I378</f>
        <v>1600</v>
      </c>
      <c r="BB388" s="112"/>
      <c r="BC388" s="112"/>
      <c r="BD388" s="112">
        <f>'Raw Data'!O378</f>
        <v>1</v>
      </c>
    </row>
    <row r="389" spans="19:56">
      <c r="S389" s="30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114" t="str">
        <f t="shared" si="112"/>
        <v/>
      </c>
      <c r="AG389" s="108" t="str">
        <f t="shared" si="103"/>
        <v/>
      </c>
      <c r="AH389" s="21" t="str">
        <f t="shared" si="104"/>
        <v/>
      </c>
      <c r="AI389" s="21" t="str">
        <f t="shared" si="105"/>
        <v/>
      </c>
      <c r="AJ389" s="21" t="str">
        <f t="shared" si="106"/>
        <v/>
      </c>
      <c r="AK389" s="21" t="str">
        <f t="shared" si="107"/>
        <v/>
      </c>
      <c r="AL389" s="21"/>
      <c r="AM389" s="21"/>
      <c r="AN389" s="21"/>
      <c r="AS389" s="112" t="str">
        <f t="shared" si="109"/>
        <v/>
      </c>
      <c r="AT389" s="112" t="str">
        <f>IF(AS389="","",COUNTIF($AS$13:AS389,AS389))</f>
        <v/>
      </c>
      <c r="AU389" s="147">
        <f t="shared" si="110"/>
        <v>376</v>
      </c>
      <c r="AV389" s="147">
        <f>COUNTIF($AZ$14:AZ389,AZ389)</f>
        <v>19</v>
      </c>
      <c r="AW389" s="147">
        <f>IFERROR(COUNTIF(AX$14:$BL389,AX389),"")</f>
        <v>54</v>
      </c>
      <c r="AX389" s="148" t="str">
        <f t="shared" si="111"/>
        <v>Thu</v>
      </c>
      <c r="AY389" s="149">
        <f>'Raw Data'!A379</f>
        <v>41984</v>
      </c>
      <c r="AZ389" s="150" t="str">
        <f>'Raw Data'!E379</f>
        <v>Free Ship No Min</v>
      </c>
      <c r="BA389" s="150">
        <f>'Raw Data'!I379</f>
        <v>1939</v>
      </c>
      <c r="BB389" s="112"/>
      <c r="BC389" s="112"/>
      <c r="BD389" s="112">
        <f>'Raw Data'!O379</f>
        <v>2</v>
      </c>
    </row>
    <row r="390" spans="19:56">
      <c r="S390" s="30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114" t="str">
        <f t="shared" si="112"/>
        <v/>
      </c>
      <c r="AG390" s="108" t="str">
        <f t="shared" si="103"/>
        <v/>
      </c>
      <c r="AH390" s="21" t="str">
        <f t="shared" si="104"/>
        <v/>
      </c>
      <c r="AI390" s="21" t="str">
        <f t="shared" si="105"/>
        <v/>
      </c>
      <c r="AJ390" s="21" t="str">
        <f t="shared" si="106"/>
        <v/>
      </c>
      <c r="AK390" s="21" t="str">
        <f t="shared" si="107"/>
        <v/>
      </c>
      <c r="AL390" s="21"/>
      <c r="AM390" s="21"/>
      <c r="AN390" s="21"/>
      <c r="AS390" s="112" t="str">
        <f t="shared" si="109"/>
        <v/>
      </c>
      <c r="AT390" s="112" t="str">
        <f>IF(AS390="","",COUNTIF($AS$13:AS390,AS390))</f>
        <v/>
      </c>
      <c r="AU390" s="147">
        <f t="shared" si="110"/>
        <v>377</v>
      </c>
      <c r="AV390" s="147">
        <f>COUNTIF($AZ$14:AZ390,AZ390)</f>
        <v>20</v>
      </c>
      <c r="AW390" s="147">
        <f>IFERROR(COUNTIF(AX$14:$BL390,AX390),"")</f>
        <v>54</v>
      </c>
      <c r="AX390" s="148" t="str">
        <f t="shared" si="111"/>
        <v>Fri</v>
      </c>
      <c r="AY390" s="149">
        <f>'Raw Data'!A380</f>
        <v>41985</v>
      </c>
      <c r="AZ390" s="150" t="str">
        <f>'Raw Data'!E380</f>
        <v>Free Ship No Min</v>
      </c>
      <c r="BA390" s="150">
        <f>'Raw Data'!I380</f>
        <v>1596</v>
      </c>
      <c r="BB390" s="112"/>
      <c r="BC390" s="112"/>
      <c r="BD390" s="112">
        <f>'Raw Data'!O380</f>
        <v>2</v>
      </c>
    </row>
    <row r="391" spans="19:56">
      <c r="S391" s="30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114" t="str">
        <f t="shared" si="112"/>
        <v/>
      </c>
      <c r="AG391" s="108" t="str">
        <f t="shared" si="103"/>
        <v/>
      </c>
      <c r="AH391" s="21" t="str">
        <f t="shared" si="104"/>
        <v/>
      </c>
      <c r="AI391" s="21" t="str">
        <f t="shared" si="105"/>
        <v/>
      </c>
      <c r="AJ391" s="21" t="str">
        <f t="shared" si="106"/>
        <v/>
      </c>
      <c r="AK391" s="21" t="str">
        <f t="shared" si="107"/>
        <v/>
      </c>
      <c r="AL391" s="21"/>
      <c r="AM391" s="21"/>
      <c r="AN391" s="21"/>
      <c r="AS391" s="112" t="str">
        <f t="shared" si="109"/>
        <v/>
      </c>
      <c r="AT391" s="112" t="str">
        <f>IF(AS391="","",COUNTIF($AS$13:AS391,AS391))</f>
        <v/>
      </c>
      <c r="AU391" s="147">
        <f t="shared" si="110"/>
        <v>378</v>
      </c>
      <c r="AV391" s="147">
        <f>COUNTIF($AZ$14:AZ391,AZ391)</f>
        <v>1</v>
      </c>
      <c r="AW391" s="147">
        <f>IFERROR(COUNTIF(AX$14:$BL391,AX391),"")</f>
        <v>54</v>
      </c>
      <c r="AX391" s="148" t="str">
        <f t="shared" si="111"/>
        <v>Sat</v>
      </c>
      <c r="AY391" s="149">
        <f>'Raw Data'!A381</f>
        <v>41986</v>
      </c>
      <c r="AZ391" s="150" t="str">
        <f>'Raw Data'!E381</f>
        <v>20% Off on Supplies,FS on $49</v>
      </c>
      <c r="BA391" s="150">
        <f>'Raw Data'!I381</f>
        <v>1225</v>
      </c>
      <c r="BB391" s="112"/>
      <c r="BC391" s="112"/>
      <c r="BD391" s="112">
        <f>'Raw Data'!O381</f>
        <v>1</v>
      </c>
    </row>
    <row r="392" spans="19:56">
      <c r="S392" s="30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114" t="str">
        <f t="shared" si="112"/>
        <v/>
      </c>
      <c r="AG392" s="108" t="str">
        <f t="shared" si="103"/>
        <v/>
      </c>
      <c r="AH392" s="21" t="str">
        <f t="shared" si="104"/>
        <v/>
      </c>
      <c r="AI392" s="21" t="str">
        <f t="shared" si="105"/>
        <v/>
      </c>
      <c r="AJ392" s="21" t="str">
        <f t="shared" si="106"/>
        <v/>
      </c>
      <c r="AK392" s="21" t="str">
        <f t="shared" si="107"/>
        <v/>
      </c>
      <c r="AL392" s="21"/>
      <c r="AM392" s="21"/>
      <c r="AN392" s="21"/>
      <c r="AS392" s="112" t="str">
        <f t="shared" si="109"/>
        <v/>
      </c>
      <c r="AT392" s="112" t="str">
        <f>IF(AS392="","",COUNTIF($AS$13:AS392,AS392))</f>
        <v/>
      </c>
      <c r="AU392" s="147">
        <f t="shared" si="110"/>
        <v>379</v>
      </c>
      <c r="AV392" s="147">
        <f>COUNTIF($AZ$14:AZ392,AZ392)</f>
        <v>2</v>
      </c>
      <c r="AW392" s="147">
        <f>IFERROR(COUNTIF(AX$14:$BL392,AX392),"")</f>
        <v>55</v>
      </c>
      <c r="AX392" s="148" t="str">
        <f t="shared" si="111"/>
        <v>Sun</v>
      </c>
      <c r="AY392" s="149">
        <f>'Raw Data'!A382</f>
        <v>41987</v>
      </c>
      <c r="AZ392" s="150" t="str">
        <f>'Raw Data'!E382</f>
        <v>20% Off on Supplies,FS on $49</v>
      </c>
      <c r="BA392" s="150">
        <f>'Raw Data'!I382</f>
        <v>1023</v>
      </c>
      <c r="BB392" s="112"/>
      <c r="BC392" s="112"/>
      <c r="BD392" s="112">
        <f>'Raw Data'!O382</f>
        <v>1</v>
      </c>
    </row>
    <row r="393" spans="19:56">
      <c r="S393" s="30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114" t="str">
        <f t="shared" si="112"/>
        <v/>
      </c>
      <c r="AG393" s="108" t="str">
        <f t="shared" si="103"/>
        <v/>
      </c>
      <c r="AH393" s="21" t="str">
        <f t="shared" si="104"/>
        <v/>
      </c>
      <c r="AI393" s="21" t="str">
        <f t="shared" si="105"/>
        <v/>
      </c>
      <c r="AJ393" s="21" t="str">
        <f t="shared" si="106"/>
        <v/>
      </c>
      <c r="AK393" s="21" t="str">
        <f t="shared" si="107"/>
        <v/>
      </c>
      <c r="AL393" s="21"/>
      <c r="AM393" s="21"/>
      <c r="AN393" s="21"/>
      <c r="AS393" s="112" t="str">
        <f t="shared" si="109"/>
        <v/>
      </c>
      <c r="AT393" s="112" t="str">
        <f>IF(AS393="","",COUNTIF($AS$13:AS393,AS393))</f>
        <v/>
      </c>
      <c r="AU393" s="147">
        <f t="shared" si="110"/>
        <v>380</v>
      </c>
      <c r="AV393" s="147">
        <f>COUNTIF($AZ$14:AZ393,AZ393)</f>
        <v>9</v>
      </c>
      <c r="AW393" s="147">
        <f>IFERROR(COUNTIF(AX$14:$BL393,AX393),"")</f>
        <v>55</v>
      </c>
      <c r="AX393" s="148" t="str">
        <f t="shared" si="111"/>
        <v>Mon</v>
      </c>
      <c r="AY393" s="149">
        <f>'Raw Data'!A383</f>
        <v>41988</v>
      </c>
      <c r="AZ393" s="150" t="str">
        <f>'Raw Data'!E383</f>
        <v>RD Event</v>
      </c>
      <c r="BA393" s="150">
        <f>'Raw Data'!I383</f>
        <v>1675</v>
      </c>
      <c r="BB393" s="112"/>
      <c r="BC393" s="112"/>
      <c r="BD393" s="112">
        <f>'Raw Data'!O383</f>
        <v>1</v>
      </c>
    </row>
    <row r="394" spans="19:56">
      <c r="S394" s="30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114" t="str">
        <f t="shared" si="112"/>
        <v/>
      </c>
      <c r="AG394" s="108" t="str">
        <f t="shared" si="103"/>
        <v/>
      </c>
      <c r="AH394" s="21" t="str">
        <f t="shared" si="104"/>
        <v/>
      </c>
      <c r="AI394" s="21" t="str">
        <f t="shared" si="105"/>
        <v/>
      </c>
      <c r="AJ394" s="21" t="str">
        <f t="shared" si="106"/>
        <v/>
      </c>
      <c r="AK394" s="21" t="str">
        <f t="shared" si="107"/>
        <v/>
      </c>
      <c r="AL394" s="21"/>
      <c r="AM394" s="21"/>
      <c r="AN394" s="21"/>
      <c r="AS394" s="112" t="str">
        <f t="shared" si="109"/>
        <v/>
      </c>
      <c r="AT394" s="112" t="str">
        <f>IF(AS394="","",COUNTIF($AS$13:AS394,AS394))</f>
        <v/>
      </c>
      <c r="AU394" s="147">
        <f t="shared" si="110"/>
        <v>381</v>
      </c>
      <c r="AV394" s="147">
        <f>COUNTIF($AZ$14:AZ394,AZ394)</f>
        <v>10</v>
      </c>
      <c r="AW394" s="147">
        <f>IFERROR(COUNTIF(AX$14:$BL394,AX394),"")</f>
        <v>55</v>
      </c>
      <c r="AX394" s="148" t="str">
        <f t="shared" si="111"/>
        <v>Tue</v>
      </c>
      <c r="AY394" s="149">
        <f>'Raw Data'!A384</f>
        <v>41989</v>
      </c>
      <c r="AZ394" s="150" t="str">
        <f>'Raw Data'!E384</f>
        <v>RD Event</v>
      </c>
      <c r="BA394" s="150">
        <f>'Raw Data'!I384</f>
        <v>1558</v>
      </c>
      <c r="BB394" s="112"/>
      <c r="BC394" s="112"/>
      <c r="BD394" s="112">
        <f>'Raw Data'!O384</f>
        <v>1</v>
      </c>
    </row>
    <row r="395" spans="19:56">
      <c r="S395" s="30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114" t="str">
        <f t="shared" si="112"/>
        <v/>
      </c>
      <c r="AG395" s="108" t="str">
        <f t="shared" si="103"/>
        <v/>
      </c>
      <c r="AH395" s="21" t="str">
        <f t="shared" si="104"/>
        <v/>
      </c>
      <c r="AI395" s="21" t="str">
        <f t="shared" si="105"/>
        <v/>
      </c>
      <c r="AJ395" s="21" t="str">
        <f t="shared" si="106"/>
        <v/>
      </c>
      <c r="AK395" s="21" t="str">
        <f t="shared" si="107"/>
        <v/>
      </c>
      <c r="AL395" s="21"/>
      <c r="AM395" s="21"/>
      <c r="AN395" s="21"/>
      <c r="AS395" s="112" t="str">
        <f t="shared" si="109"/>
        <v/>
      </c>
      <c r="AT395" s="112" t="str">
        <f>IF(AS395="","",COUNTIF($AS$13:AS395,AS395))</f>
        <v/>
      </c>
      <c r="AU395" s="147">
        <f t="shared" si="110"/>
        <v>382</v>
      </c>
      <c r="AV395" s="147">
        <f>COUNTIF($AZ$14:AZ395,AZ395)</f>
        <v>2</v>
      </c>
      <c r="AW395" s="147">
        <f>IFERROR(COUNTIF(AX$14:$BL395,AX395),"")</f>
        <v>55</v>
      </c>
      <c r="AX395" s="148" t="str">
        <f t="shared" si="111"/>
        <v>Wed</v>
      </c>
      <c r="AY395" s="149">
        <f>'Raw Data'!A385</f>
        <v>41990</v>
      </c>
      <c r="AZ395" s="150" t="str">
        <f>'Raw Data'!E385</f>
        <v>Last Day For Standard Ship</v>
      </c>
      <c r="BA395" s="150">
        <f>'Raw Data'!I385</f>
        <v>1598</v>
      </c>
      <c r="BB395" s="112"/>
      <c r="BC395" s="112"/>
      <c r="BD395" s="112">
        <f>'Raw Data'!O385</f>
        <v>2</v>
      </c>
    </row>
    <row r="396" spans="19:56">
      <c r="S396" s="30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114" t="str">
        <f t="shared" si="112"/>
        <v/>
      </c>
      <c r="AG396" s="108" t="str">
        <f t="shared" si="103"/>
        <v/>
      </c>
      <c r="AH396" s="21" t="str">
        <f t="shared" si="104"/>
        <v/>
      </c>
      <c r="AI396" s="21" t="str">
        <f t="shared" si="105"/>
        <v/>
      </c>
      <c r="AJ396" s="21" t="str">
        <f t="shared" si="106"/>
        <v/>
      </c>
      <c r="AK396" s="21" t="str">
        <f t="shared" si="107"/>
        <v/>
      </c>
      <c r="AL396" s="21"/>
      <c r="AM396" s="21"/>
      <c r="AN396" s="21"/>
      <c r="AS396" s="112" t="str">
        <f t="shared" si="109"/>
        <v/>
      </c>
      <c r="AT396" s="112" t="str">
        <f>IF(AS396="","",COUNTIF($AS$13:AS396,AS396))</f>
        <v/>
      </c>
      <c r="AU396" s="147">
        <f t="shared" si="110"/>
        <v>383</v>
      </c>
      <c r="AV396" s="147">
        <f>COUNTIF($AZ$14:AZ396,AZ396)</f>
        <v>2</v>
      </c>
      <c r="AW396" s="147">
        <f>IFERROR(COUNTIF(AX$14:$BL396,AX396),"")</f>
        <v>55</v>
      </c>
      <c r="AX396" s="148" t="str">
        <f t="shared" si="111"/>
        <v>Thu</v>
      </c>
      <c r="AY396" s="149">
        <f>'Raw Data'!A386</f>
        <v>41991</v>
      </c>
      <c r="AZ396" s="150" t="str">
        <f>'Raw Data'!E386</f>
        <v>2-Day, Overnight Ship</v>
      </c>
      <c r="BA396" s="150">
        <f>'Raw Data'!I386</f>
        <v>1646</v>
      </c>
      <c r="BB396" s="112"/>
      <c r="BC396" s="112"/>
      <c r="BD396" s="112">
        <f>'Raw Data'!O386</f>
        <v>2</v>
      </c>
    </row>
    <row r="397" spans="19:56">
      <c r="S397" s="30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114" t="str">
        <f t="shared" si="112"/>
        <v/>
      </c>
      <c r="AG397" s="108" t="str">
        <f t="shared" si="103"/>
        <v/>
      </c>
      <c r="AH397" s="21" t="str">
        <f t="shared" si="104"/>
        <v/>
      </c>
      <c r="AI397" s="21" t="str">
        <f t="shared" si="105"/>
        <v/>
      </c>
      <c r="AJ397" s="21" t="str">
        <f t="shared" si="106"/>
        <v/>
      </c>
      <c r="AK397" s="21" t="str">
        <f t="shared" si="107"/>
        <v/>
      </c>
      <c r="AL397" s="21"/>
      <c r="AM397" s="21"/>
      <c r="AN397" s="21"/>
      <c r="AS397" s="112" t="str">
        <f t="shared" si="109"/>
        <v/>
      </c>
      <c r="AT397" s="112" t="str">
        <f>IF(AS397="","",COUNTIF($AS$13:AS397,AS397))</f>
        <v/>
      </c>
      <c r="AU397" s="147">
        <f t="shared" si="110"/>
        <v>384</v>
      </c>
      <c r="AV397" s="147">
        <f>COUNTIF($AZ$14:AZ397,AZ397)</f>
        <v>19</v>
      </c>
      <c r="AW397" s="147">
        <f>IFERROR(COUNTIF(AX$14:$BL397,AX397),"")</f>
        <v>55</v>
      </c>
      <c r="AX397" s="148" t="str">
        <f t="shared" si="111"/>
        <v>Fri</v>
      </c>
      <c r="AY397" s="149">
        <f>'Raw Data'!A387</f>
        <v>41992</v>
      </c>
      <c r="AZ397" s="150" t="str">
        <f>'Raw Data'!E387</f>
        <v>25% Off,FS on $49</v>
      </c>
      <c r="BA397" s="150">
        <f>'Raw Data'!I387</f>
        <v>1542</v>
      </c>
      <c r="BB397" s="112"/>
      <c r="BC397" s="112"/>
      <c r="BD397" s="112">
        <f>'Raw Data'!O387</f>
        <v>2</v>
      </c>
    </row>
    <row r="398" spans="19:56">
      <c r="S398" s="30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114" t="str">
        <f t="shared" si="112"/>
        <v/>
      </c>
      <c r="AG398" s="108" t="str">
        <f t="shared" si="103"/>
        <v/>
      </c>
      <c r="AH398" s="21" t="str">
        <f t="shared" si="104"/>
        <v/>
      </c>
      <c r="AI398" s="21" t="str">
        <f t="shared" si="105"/>
        <v/>
      </c>
      <c r="AJ398" s="21" t="str">
        <f t="shared" si="106"/>
        <v/>
      </c>
      <c r="AK398" s="21" t="str">
        <f t="shared" si="107"/>
        <v/>
      </c>
      <c r="AL398" s="21"/>
      <c r="AM398" s="21"/>
      <c r="AN398" s="21"/>
      <c r="AS398" s="112" t="str">
        <f t="shared" si="109"/>
        <v/>
      </c>
      <c r="AT398" s="112" t="str">
        <f>IF(AS398="","",COUNTIF($AS$13:AS398,AS398))</f>
        <v/>
      </c>
      <c r="AU398" s="147">
        <f t="shared" si="110"/>
        <v>385</v>
      </c>
      <c r="AV398" s="147">
        <f>COUNTIF($AZ$14:AZ398,AZ398)</f>
        <v>2</v>
      </c>
      <c r="AW398" s="147">
        <f>IFERROR(COUNTIF(AX$14:$BL398,AX398),"")</f>
        <v>55</v>
      </c>
      <c r="AX398" s="148" t="str">
        <f t="shared" si="111"/>
        <v>Sat</v>
      </c>
      <c r="AY398" s="149">
        <f>'Raw Data'!A388</f>
        <v>41993</v>
      </c>
      <c r="AZ398" s="150" t="str">
        <f>'Raw Data'!E388</f>
        <v>Last Day For 2-Day Shipping</v>
      </c>
      <c r="BA398" s="150">
        <f>'Raw Data'!I388</f>
        <v>1155</v>
      </c>
      <c r="BB398" s="112"/>
      <c r="BC398" s="112"/>
      <c r="BD398" s="112">
        <f>'Raw Data'!O388</f>
        <v>1</v>
      </c>
    </row>
    <row r="399" spans="19:56">
      <c r="S399" s="30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114" t="str">
        <f t="shared" si="112"/>
        <v/>
      </c>
      <c r="AG399" s="108" t="str">
        <f t="shared" ref="AG399:AG462" si="113">IF(AF399="","",VLOOKUP(AF399,$AT$14:$BC$1042,6,0))</f>
        <v/>
      </c>
      <c r="AH399" s="21" t="str">
        <f t="shared" ref="AH399:AH462" si="114">IF(AF399="","",VLOOKUP(AF399,$AT$14:$BC$1042,7,0))</f>
        <v/>
      </c>
      <c r="AI399" s="21" t="str">
        <f t="shared" ref="AI399:AI462" si="115">IF(AF399="","",VLOOKUP(AF399,$AT$14:$BC$1042,8,0))</f>
        <v/>
      </c>
      <c r="AJ399" s="21" t="str">
        <f t="shared" ref="AJ399:AJ462" si="116">IF(AF399="","",VLOOKUP(AF399,$AT$14:$BD$1042,11,0))</f>
        <v/>
      </c>
      <c r="AK399" s="21" t="str">
        <f t="shared" ref="AK399:AK462" si="117">IF(AG399="","",VLOOKUP(AG399,$AY$14:$BD$1042,5,0))</f>
        <v/>
      </c>
      <c r="AL399" s="21"/>
      <c r="AM399" s="21"/>
      <c r="AN399" s="21"/>
      <c r="AS399" s="112" t="str">
        <f t="shared" si="109"/>
        <v/>
      </c>
      <c r="AT399" s="112" t="str">
        <f>IF(AS399="","",COUNTIF($AS$13:AS399,AS399))</f>
        <v/>
      </c>
      <c r="AU399" s="147">
        <f t="shared" si="110"/>
        <v>386</v>
      </c>
      <c r="AV399" s="147">
        <f>COUNTIF($AZ$14:AZ399,AZ399)</f>
        <v>2</v>
      </c>
      <c r="AW399" s="147">
        <f>IFERROR(COUNTIF(AX$14:$BL399,AX399),"")</f>
        <v>56</v>
      </c>
      <c r="AX399" s="148" t="str">
        <f t="shared" si="111"/>
        <v>Sun</v>
      </c>
      <c r="AY399" s="149">
        <f>'Raw Data'!A389</f>
        <v>41994</v>
      </c>
      <c r="AZ399" s="150" t="str">
        <f>'Raw Data'!E389</f>
        <v>Overnight Shipping</v>
      </c>
      <c r="BA399" s="150">
        <f>'Raw Data'!I389</f>
        <v>811</v>
      </c>
      <c r="BB399" s="112"/>
      <c r="BC399" s="112"/>
      <c r="BD399" s="112">
        <f>'Raw Data'!O389</f>
        <v>1</v>
      </c>
    </row>
    <row r="400" spans="19:56">
      <c r="S400" s="30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114" t="str">
        <f t="shared" si="112"/>
        <v/>
      </c>
      <c r="AG400" s="108" t="str">
        <f t="shared" si="113"/>
        <v/>
      </c>
      <c r="AH400" s="21" t="str">
        <f t="shared" si="114"/>
        <v/>
      </c>
      <c r="AI400" s="21" t="str">
        <f t="shared" si="115"/>
        <v/>
      </c>
      <c r="AJ400" s="21" t="str">
        <f t="shared" si="116"/>
        <v/>
      </c>
      <c r="AK400" s="21" t="str">
        <f t="shared" si="117"/>
        <v/>
      </c>
      <c r="AL400" s="21"/>
      <c r="AM400" s="21"/>
      <c r="AN400" s="21"/>
      <c r="AS400" s="112" t="str">
        <f t="shared" ref="AS400:AS463" si="118">IFERROR(IF(FIND($AT$12,AZ400)&gt;0,1,0),"")</f>
        <v/>
      </c>
      <c r="AT400" s="112" t="str">
        <f>IF(AS400="","",COUNTIF($AS$13:AS400,AS400))</f>
        <v/>
      </c>
      <c r="AU400" s="147">
        <f t="shared" ref="AU400:AU463" si="119">AU399+1</f>
        <v>387</v>
      </c>
      <c r="AV400" s="147">
        <f>COUNTIF($AZ$14:AZ400,AZ400)</f>
        <v>2</v>
      </c>
      <c r="AW400" s="147">
        <f>IFERROR(COUNTIF(AX$14:$BL400,AX400),"")</f>
        <v>56</v>
      </c>
      <c r="AX400" s="148" t="str">
        <f t="shared" ref="AX400:AX463" si="120">TEXT(AY400,"ddd")</f>
        <v>Mon</v>
      </c>
      <c r="AY400" s="149">
        <f>'Raw Data'!A390</f>
        <v>41995</v>
      </c>
      <c r="AZ400" s="150" t="str">
        <f>'Raw Data'!E390</f>
        <v>Last Day For Overnight Ship</v>
      </c>
      <c r="BA400" s="150">
        <f>'Raw Data'!I390</f>
        <v>1597</v>
      </c>
      <c r="BB400" s="112"/>
      <c r="BC400" s="112"/>
      <c r="BD400" s="112">
        <f>'Raw Data'!O390</f>
        <v>1</v>
      </c>
    </row>
    <row r="401" spans="19:56">
      <c r="S401" s="30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114" t="str">
        <f t="shared" ref="AF401:AF464" si="121">IFERROR(IF(AF400=1,"",AF400-1),"")</f>
        <v/>
      </c>
      <c r="AG401" s="108" t="str">
        <f t="shared" si="113"/>
        <v/>
      </c>
      <c r="AH401" s="21" t="str">
        <f t="shared" si="114"/>
        <v/>
      </c>
      <c r="AI401" s="21" t="str">
        <f t="shared" si="115"/>
        <v/>
      </c>
      <c r="AJ401" s="21" t="str">
        <f t="shared" si="116"/>
        <v/>
      </c>
      <c r="AK401" s="21" t="str">
        <f t="shared" si="117"/>
        <v/>
      </c>
      <c r="AL401" s="21"/>
      <c r="AM401" s="21"/>
      <c r="AN401" s="21"/>
      <c r="AS401" s="112" t="str">
        <f t="shared" si="118"/>
        <v/>
      </c>
      <c r="AT401" s="112" t="str">
        <f>IF(AS401="","",COUNTIF($AS$13:AS401,AS401))</f>
        <v/>
      </c>
      <c r="AU401" s="147">
        <f t="shared" si="119"/>
        <v>388</v>
      </c>
      <c r="AV401" s="147">
        <f>COUNTIF($AZ$14:AZ401,AZ401)</f>
        <v>3</v>
      </c>
      <c r="AW401" s="147">
        <f>IFERROR(COUNTIF(AX$14:$BL401,AX401),"")</f>
        <v>56</v>
      </c>
      <c r="AX401" s="148" t="str">
        <f t="shared" si="120"/>
        <v>Tue</v>
      </c>
      <c r="AY401" s="149">
        <f>'Raw Data'!A391</f>
        <v>41996</v>
      </c>
      <c r="AZ401" s="150" t="str">
        <f>'Raw Data'!E391</f>
        <v>$15 Off,FS on $75</v>
      </c>
      <c r="BA401" s="150">
        <f>'Raw Data'!I391</f>
        <v>1466</v>
      </c>
      <c r="BB401" s="112"/>
      <c r="BC401" s="112"/>
      <c r="BD401" s="112">
        <f>'Raw Data'!O391</f>
        <v>2</v>
      </c>
    </row>
    <row r="402" spans="19:56">
      <c r="S402" s="30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114" t="str">
        <f t="shared" si="121"/>
        <v/>
      </c>
      <c r="AG402" s="108" t="str">
        <f t="shared" si="113"/>
        <v/>
      </c>
      <c r="AH402" s="21" t="str">
        <f t="shared" si="114"/>
        <v/>
      </c>
      <c r="AI402" s="21" t="str">
        <f t="shared" si="115"/>
        <v/>
      </c>
      <c r="AJ402" s="21" t="str">
        <f t="shared" si="116"/>
        <v/>
      </c>
      <c r="AK402" s="21" t="str">
        <f t="shared" si="117"/>
        <v/>
      </c>
      <c r="AL402" s="21"/>
      <c r="AM402" s="21"/>
      <c r="AN402" s="21"/>
      <c r="AS402" s="112" t="str">
        <f t="shared" si="118"/>
        <v/>
      </c>
      <c r="AT402" s="112" t="str">
        <f>IF(AS402="","",COUNTIF($AS$13:AS402,AS402))</f>
        <v/>
      </c>
      <c r="AU402" s="147">
        <f t="shared" si="119"/>
        <v>389</v>
      </c>
      <c r="AV402" s="147">
        <f>COUNTIF($AZ$14:AZ402,AZ402)</f>
        <v>2</v>
      </c>
      <c r="AW402" s="147">
        <f>IFERROR(COUNTIF(AX$14:$BL402,AX402),"")</f>
        <v>56</v>
      </c>
      <c r="AX402" s="148" t="str">
        <f t="shared" si="120"/>
        <v>Wed</v>
      </c>
      <c r="AY402" s="149">
        <f>'Raw Data'!A392</f>
        <v>41997</v>
      </c>
      <c r="AZ402" s="150" t="str">
        <f>'Raw Data'!E392</f>
        <v>Buy $25, Get $5,FS on $49</v>
      </c>
      <c r="BA402" s="150">
        <f>'Raw Data'!I392</f>
        <v>902</v>
      </c>
      <c r="BB402" s="112"/>
      <c r="BC402" s="112"/>
      <c r="BD402" s="112">
        <f>'Raw Data'!O392</f>
        <v>1</v>
      </c>
    </row>
    <row r="403" spans="19:56">
      <c r="S403" s="30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114" t="str">
        <f t="shared" si="121"/>
        <v/>
      </c>
      <c r="AG403" s="108" t="str">
        <f t="shared" si="113"/>
        <v/>
      </c>
      <c r="AH403" s="21" t="str">
        <f t="shared" si="114"/>
        <v/>
      </c>
      <c r="AI403" s="21" t="str">
        <f t="shared" si="115"/>
        <v/>
      </c>
      <c r="AJ403" s="21" t="str">
        <f t="shared" si="116"/>
        <v/>
      </c>
      <c r="AK403" s="21" t="str">
        <f t="shared" si="117"/>
        <v/>
      </c>
      <c r="AL403" s="21"/>
      <c r="AM403" s="21"/>
      <c r="AN403" s="21"/>
      <c r="AS403" s="112" t="str">
        <f t="shared" si="118"/>
        <v/>
      </c>
      <c r="AT403" s="112" t="str">
        <f>IF(AS403="","",COUNTIF($AS$13:AS403,AS403))</f>
        <v/>
      </c>
      <c r="AU403" s="147">
        <f t="shared" si="119"/>
        <v>390</v>
      </c>
      <c r="AV403" s="147">
        <f>COUNTIF($AZ$14:AZ403,AZ403)</f>
        <v>2</v>
      </c>
      <c r="AW403" s="147">
        <f>IFERROR(COUNTIF(AX$14:$BL403,AX403),"")</f>
        <v>56</v>
      </c>
      <c r="AX403" s="148" t="str">
        <f t="shared" si="120"/>
        <v>Thu</v>
      </c>
      <c r="AY403" s="149">
        <f>'Raw Data'!A393</f>
        <v>41998</v>
      </c>
      <c r="AZ403" s="150" t="str">
        <f>'Raw Data'!E393</f>
        <v>Christmas Day - No Operations</v>
      </c>
      <c r="BA403" s="150">
        <f>'Raw Data'!I393</f>
        <v>0</v>
      </c>
      <c r="BB403" s="112"/>
      <c r="BC403" s="112"/>
      <c r="BD403" s="112">
        <f>'Raw Data'!O393</f>
        <v>1</v>
      </c>
    </row>
    <row r="404" spans="19:56">
      <c r="S404" s="30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114" t="str">
        <f t="shared" si="121"/>
        <v/>
      </c>
      <c r="AG404" s="108" t="str">
        <f t="shared" si="113"/>
        <v/>
      </c>
      <c r="AH404" s="21" t="str">
        <f t="shared" si="114"/>
        <v/>
      </c>
      <c r="AI404" s="21" t="str">
        <f t="shared" si="115"/>
        <v/>
      </c>
      <c r="AJ404" s="21" t="str">
        <f t="shared" si="116"/>
        <v/>
      </c>
      <c r="AK404" s="21" t="str">
        <f t="shared" si="117"/>
        <v/>
      </c>
      <c r="AL404" s="21"/>
      <c r="AM404" s="21"/>
      <c r="AN404" s="21"/>
      <c r="AS404" s="112" t="str">
        <f t="shared" si="118"/>
        <v/>
      </c>
      <c r="AT404" s="112" t="str">
        <f>IF(AS404="","",COUNTIF($AS$13:AS404,AS404))</f>
        <v/>
      </c>
      <c r="AU404" s="147">
        <f t="shared" si="119"/>
        <v>391</v>
      </c>
      <c r="AV404" s="147">
        <f>COUNTIF($AZ$14:AZ404,AZ404)</f>
        <v>1</v>
      </c>
      <c r="AW404" s="147">
        <f>IFERROR(COUNTIF(AX$14:$BL404,AX404),"")</f>
        <v>56</v>
      </c>
      <c r="AX404" s="148" t="str">
        <f t="shared" si="120"/>
        <v>Fri</v>
      </c>
      <c r="AY404" s="149">
        <f>'Raw Data'!A394</f>
        <v>41999</v>
      </c>
      <c r="AZ404" s="150" t="str">
        <f>'Raw Data'!E394</f>
        <v>50% Off,FS on $49</v>
      </c>
      <c r="BA404" s="150">
        <f>'Raw Data'!I394</f>
        <v>1285</v>
      </c>
      <c r="BB404" s="112"/>
      <c r="BC404" s="112"/>
      <c r="BD404" s="112">
        <f>'Raw Data'!O394</f>
        <v>2</v>
      </c>
    </row>
    <row r="405" spans="19:56">
      <c r="S405" s="30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114" t="str">
        <f t="shared" si="121"/>
        <v/>
      </c>
      <c r="AG405" s="108" t="str">
        <f t="shared" si="113"/>
        <v/>
      </c>
      <c r="AH405" s="21" t="str">
        <f t="shared" si="114"/>
        <v/>
      </c>
      <c r="AI405" s="21" t="str">
        <f t="shared" si="115"/>
        <v/>
      </c>
      <c r="AJ405" s="21" t="str">
        <f t="shared" si="116"/>
        <v/>
      </c>
      <c r="AK405" s="21" t="str">
        <f t="shared" si="117"/>
        <v/>
      </c>
      <c r="AL405" s="21"/>
      <c r="AM405" s="21"/>
      <c r="AN405" s="21"/>
      <c r="AS405" s="112" t="str">
        <f t="shared" si="118"/>
        <v/>
      </c>
      <c r="AT405" s="112" t="str">
        <f>IF(AS405="","",COUNTIF($AS$13:AS405,AS405))</f>
        <v/>
      </c>
      <c r="AU405" s="147">
        <f t="shared" si="119"/>
        <v>392</v>
      </c>
      <c r="AV405" s="147">
        <f>COUNTIF($AZ$14:AZ405,AZ405)</f>
        <v>2</v>
      </c>
      <c r="AW405" s="147">
        <f>IFERROR(COUNTIF(AX$14:$BL405,AX405),"")</f>
        <v>56</v>
      </c>
      <c r="AX405" s="148" t="str">
        <f t="shared" si="120"/>
        <v>Sat</v>
      </c>
      <c r="AY405" s="149">
        <f>'Raw Data'!A395</f>
        <v>42000</v>
      </c>
      <c r="AZ405" s="150" t="str">
        <f>'Raw Data'!E395</f>
        <v>50% Off,FS on $49</v>
      </c>
      <c r="BA405" s="150">
        <f>'Raw Data'!I395</f>
        <v>925</v>
      </c>
      <c r="BB405" s="112"/>
      <c r="BC405" s="112"/>
      <c r="BD405" s="112">
        <f>'Raw Data'!O395</f>
        <v>1</v>
      </c>
    </row>
    <row r="406" spans="19:56">
      <c r="S406" s="30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114" t="str">
        <f t="shared" si="121"/>
        <v/>
      </c>
      <c r="AG406" s="108" t="str">
        <f t="shared" si="113"/>
        <v/>
      </c>
      <c r="AH406" s="21" t="str">
        <f t="shared" si="114"/>
        <v/>
      </c>
      <c r="AI406" s="21" t="str">
        <f t="shared" si="115"/>
        <v/>
      </c>
      <c r="AJ406" s="21" t="str">
        <f t="shared" si="116"/>
        <v/>
      </c>
      <c r="AK406" s="21" t="str">
        <f t="shared" si="117"/>
        <v/>
      </c>
      <c r="AL406" s="21"/>
      <c r="AM406" s="21"/>
      <c r="AN406" s="21"/>
      <c r="AS406" s="112" t="str">
        <f t="shared" si="118"/>
        <v/>
      </c>
      <c r="AT406" s="112" t="str">
        <f>IF(AS406="","",COUNTIF($AS$13:AS406,AS406))</f>
        <v/>
      </c>
      <c r="AU406" s="147">
        <f t="shared" si="119"/>
        <v>393</v>
      </c>
      <c r="AV406" s="147">
        <f>COUNTIF($AZ$14:AZ406,AZ406)</f>
        <v>9</v>
      </c>
      <c r="AW406" s="147">
        <f>IFERROR(COUNTIF(AX$14:$BL406,AX406),"")</f>
        <v>57</v>
      </c>
      <c r="AX406" s="148" t="str">
        <f t="shared" si="120"/>
        <v>Sun</v>
      </c>
      <c r="AY406" s="149">
        <f>'Raw Data'!A396</f>
        <v>42001</v>
      </c>
      <c r="AZ406" s="150" t="str">
        <f>'Raw Data'!E396</f>
        <v>Up To 40% Off,FS on $49</v>
      </c>
      <c r="BA406" s="150">
        <f>'Raw Data'!I396</f>
        <v>846</v>
      </c>
      <c r="BB406" s="112"/>
      <c r="BC406" s="112"/>
      <c r="BD406" s="112">
        <f>'Raw Data'!O396</f>
        <v>2</v>
      </c>
    </row>
    <row r="407" spans="19:56">
      <c r="S407" s="30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114" t="str">
        <f t="shared" si="121"/>
        <v/>
      </c>
      <c r="AG407" s="108" t="str">
        <f t="shared" si="113"/>
        <v/>
      </c>
      <c r="AH407" s="21" t="str">
        <f t="shared" si="114"/>
        <v/>
      </c>
      <c r="AI407" s="21" t="str">
        <f t="shared" si="115"/>
        <v/>
      </c>
      <c r="AJ407" s="21" t="str">
        <f t="shared" si="116"/>
        <v/>
      </c>
      <c r="AK407" s="21" t="str">
        <f t="shared" si="117"/>
        <v/>
      </c>
      <c r="AL407" s="21"/>
      <c r="AM407" s="21"/>
      <c r="AN407" s="21"/>
      <c r="AS407" s="112" t="str">
        <f t="shared" si="118"/>
        <v/>
      </c>
      <c r="AT407" s="112" t="str">
        <f>IF(AS407="","",COUNTIF($AS$13:AS407,AS407))</f>
        <v/>
      </c>
      <c r="AU407" s="147">
        <f t="shared" si="119"/>
        <v>394</v>
      </c>
      <c r="AV407" s="147">
        <f>COUNTIF($AZ$14:AZ407,AZ407)</f>
        <v>10</v>
      </c>
      <c r="AW407" s="147">
        <f>IFERROR(COUNTIF(AX$14:$BL407,AX407),"")</f>
        <v>57</v>
      </c>
      <c r="AX407" s="148" t="str">
        <f t="shared" si="120"/>
        <v>Mon</v>
      </c>
      <c r="AY407" s="149">
        <f>'Raw Data'!A397</f>
        <v>42002</v>
      </c>
      <c r="AZ407" s="150" t="str">
        <f>'Raw Data'!E397</f>
        <v>Up To 40% Off,FS on $49</v>
      </c>
      <c r="BA407" s="150">
        <f>'Raw Data'!I397</f>
        <v>1634</v>
      </c>
      <c r="BB407" s="112"/>
      <c r="BC407" s="112"/>
      <c r="BD407" s="112">
        <f>'Raw Data'!O397</f>
        <v>1</v>
      </c>
    </row>
    <row r="408" spans="19:56">
      <c r="S408" s="30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114" t="str">
        <f t="shared" si="121"/>
        <v/>
      </c>
      <c r="AG408" s="108" t="str">
        <f t="shared" si="113"/>
        <v/>
      </c>
      <c r="AH408" s="21" t="str">
        <f t="shared" si="114"/>
        <v/>
      </c>
      <c r="AI408" s="21" t="str">
        <f t="shared" si="115"/>
        <v/>
      </c>
      <c r="AJ408" s="21" t="str">
        <f t="shared" si="116"/>
        <v/>
      </c>
      <c r="AK408" s="21" t="str">
        <f t="shared" si="117"/>
        <v/>
      </c>
      <c r="AL408" s="21"/>
      <c r="AM408" s="21"/>
      <c r="AN408" s="21"/>
      <c r="AS408" s="112" t="str">
        <f t="shared" si="118"/>
        <v/>
      </c>
      <c r="AT408" s="112" t="str">
        <f>IF(AS408="","",COUNTIF($AS$13:AS408,AS408))</f>
        <v/>
      </c>
      <c r="AU408" s="147">
        <f t="shared" si="119"/>
        <v>395</v>
      </c>
      <c r="AV408" s="147">
        <f>COUNTIF($AZ$14:AZ408,AZ408)</f>
        <v>1</v>
      </c>
      <c r="AW408" s="147">
        <f>IFERROR(COUNTIF(AX$14:$BL408,AX408),"")</f>
        <v>57</v>
      </c>
      <c r="AX408" s="148" t="str">
        <f t="shared" si="120"/>
        <v>Tue</v>
      </c>
      <c r="AY408" s="149">
        <f>'Raw Data'!A398</f>
        <v>42003</v>
      </c>
      <c r="AZ408" s="150" t="str">
        <f>'Raw Data'!E398</f>
        <v>Up To 35% Off,FS on $49</v>
      </c>
      <c r="BA408" s="150">
        <f>'Raw Data'!I398</f>
        <v>1418</v>
      </c>
      <c r="BB408" s="112"/>
      <c r="BC408" s="112"/>
      <c r="BD408" s="112">
        <f>'Raw Data'!O398</f>
        <v>1</v>
      </c>
    </row>
    <row r="409" spans="19:56">
      <c r="S409" s="30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33" t="str">
        <f t="shared" ref="AE409:AE411" si="122">TEXT(AG409,"DDD")</f>
        <v/>
      </c>
      <c r="AF409" s="114" t="str">
        <f t="shared" si="121"/>
        <v/>
      </c>
      <c r="AG409" s="108" t="str">
        <f t="shared" si="113"/>
        <v/>
      </c>
      <c r="AH409" s="21" t="str">
        <f t="shared" si="114"/>
        <v/>
      </c>
      <c r="AI409" s="21" t="str">
        <f t="shared" si="115"/>
        <v/>
      </c>
      <c r="AJ409" s="21" t="str">
        <f t="shared" si="116"/>
        <v/>
      </c>
      <c r="AK409" s="21" t="str">
        <f t="shared" si="117"/>
        <v/>
      </c>
      <c r="AL409" s="21"/>
      <c r="AM409" s="21"/>
      <c r="AN409" s="21"/>
      <c r="AS409" s="112" t="str">
        <f t="shared" si="118"/>
        <v/>
      </c>
      <c r="AT409" s="112" t="str">
        <f>IF(AS409="","",COUNTIF($AS$13:AS409,AS409))</f>
        <v/>
      </c>
      <c r="AU409" s="147">
        <f t="shared" si="119"/>
        <v>396</v>
      </c>
      <c r="AV409" s="147">
        <f>COUNTIF($AZ$14:AZ409,AZ409)</f>
        <v>21</v>
      </c>
      <c r="AW409" s="147">
        <f>IFERROR(COUNTIF(AX$14:$BL409,AX409),"")</f>
        <v>57</v>
      </c>
      <c r="AX409" s="148" t="str">
        <f t="shared" si="120"/>
        <v>Wed</v>
      </c>
      <c r="AY409" s="149">
        <f>'Raw Data'!A399</f>
        <v>42004</v>
      </c>
      <c r="AZ409" s="150" t="str">
        <f>'Raw Data'!E399</f>
        <v>Free Ship No Min</v>
      </c>
      <c r="BA409" s="150">
        <f>'Raw Data'!I399</f>
        <v>1391</v>
      </c>
      <c r="BB409" s="112"/>
      <c r="BC409" s="112"/>
      <c r="BD409" s="112">
        <f>'Raw Data'!O399</f>
        <v>2</v>
      </c>
    </row>
    <row r="410" spans="19:56">
      <c r="S410" s="30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33" t="str">
        <f t="shared" si="122"/>
        <v/>
      </c>
      <c r="AF410" s="114" t="str">
        <f t="shared" si="121"/>
        <v/>
      </c>
      <c r="AG410" s="108" t="str">
        <f t="shared" si="113"/>
        <v/>
      </c>
      <c r="AH410" s="21" t="str">
        <f t="shared" si="114"/>
        <v/>
      </c>
      <c r="AI410" s="21" t="str">
        <f t="shared" si="115"/>
        <v/>
      </c>
      <c r="AJ410" s="21" t="str">
        <f t="shared" si="116"/>
        <v/>
      </c>
      <c r="AK410" s="21" t="str">
        <f t="shared" si="117"/>
        <v/>
      </c>
      <c r="AL410" s="21"/>
      <c r="AM410" s="21"/>
      <c r="AN410" s="21"/>
      <c r="AS410" s="112" t="str">
        <f t="shared" si="118"/>
        <v/>
      </c>
      <c r="AT410" s="112" t="str">
        <f>IF(AS410="","",COUNTIF($AS$13:AS410,AS410))</f>
        <v/>
      </c>
      <c r="AU410" s="147">
        <f t="shared" si="119"/>
        <v>397</v>
      </c>
      <c r="AV410" s="147">
        <f>COUNTIF($AZ$14:AZ410,AZ410)</f>
        <v>1</v>
      </c>
      <c r="AW410" s="147">
        <f>IFERROR(COUNTIF(AX$14:$BL410,AX410),"")</f>
        <v>57</v>
      </c>
      <c r="AX410" s="148" t="str">
        <f t="shared" si="120"/>
        <v>Thu</v>
      </c>
      <c r="AY410" s="149">
        <f>'Raw Data'!A400</f>
        <v>42005</v>
      </c>
      <c r="AZ410" s="150" t="str">
        <f>'Raw Data'!E400</f>
        <v>Omnichannel Promo</v>
      </c>
      <c r="BA410" s="150">
        <f>'Raw Data'!I400</f>
        <v>795</v>
      </c>
      <c r="BB410" s="112"/>
      <c r="BC410" s="112"/>
      <c r="BD410" s="112">
        <f>'Raw Data'!O400</f>
        <v>1</v>
      </c>
    </row>
    <row r="411" spans="19:56">
      <c r="S411" s="30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33" t="str">
        <f t="shared" si="122"/>
        <v/>
      </c>
      <c r="AF411" s="114" t="str">
        <f t="shared" si="121"/>
        <v/>
      </c>
      <c r="AG411" s="108" t="str">
        <f t="shared" si="113"/>
        <v/>
      </c>
      <c r="AH411" s="21" t="str">
        <f t="shared" si="114"/>
        <v/>
      </c>
      <c r="AI411" s="21" t="str">
        <f t="shared" si="115"/>
        <v/>
      </c>
      <c r="AJ411" s="21" t="str">
        <f t="shared" si="116"/>
        <v/>
      </c>
      <c r="AK411" s="21" t="str">
        <f t="shared" si="117"/>
        <v/>
      </c>
      <c r="AL411" s="21"/>
      <c r="AM411" s="21"/>
      <c r="AN411" s="21"/>
      <c r="AS411" s="112" t="str">
        <f t="shared" si="118"/>
        <v/>
      </c>
      <c r="AT411" s="112" t="str">
        <f>IF(AS411="","",COUNTIF($AS$13:AS411,AS411))</f>
        <v/>
      </c>
      <c r="AU411" s="147">
        <f t="shared" si="119"/>
        <v>398</v>
      </c>
      <c r="AV411" s="147">
        <f>COUNTIF($AZ$14:AZ411,AZ411)</f>
        <v>2</v>
      </c>
      <c r="AW411" s="147">
        <f>IFERROR(COUNTIF(AX$14:$BL411,AX411),"")</f>
        <v>57</v>
      </c>
      <c r="AX411" s="148" t="str">
        <f t="shared" si="120"/>
        <v>Fri</v>
      </c>
      <c r="AY411" s="149">
        <f>'Raw Data'!A401</f>
        <v>42006</v>
      </c>
      <c r="AZ411" s="150" t="str">
        <f>'Raw Data'!E401</f>
        <v>Omnichannel Promo</v>
      </c>
      <c r="BA411" s="150">
        <f>'Raw Data'!I401</f>
        <v>1591</v>
      </c>
      <c r="BB411" s="112"/>
      <c r="BC411" s="112"/>
      <c r="BD411" s="112">
        <f>'Raw Data'!O401</f>
        <v>1</v>
      </c>
    </row>
    <row r="412" spans="19:56">
      <c r="S412" s="30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114" t="str">
        <f t="shared" si="121"/>
        <v/>
      </c>
      <c r="AG412" s="108" t="str">
        <f t="shared" si="113"/>
        <v/>
      </c>
      <c r="AH412" s="21" t="str">
        <f t="shared" si="114"/>
        <v/>
      </c>
      <c r="AI412" s="21" t="str">
        <f t="shared" si="115"/>
        <v/>
      </c>
      <c r="AJ412" s="21" t="str">
        <f t="shared" si="116"/>
        <v/>
      </c>
      <c r="AK412" s="21" t="str">
        <f t="shared" si="117"/>
        <v/>
      </c>
      <c r="AL412" s="21"/>
      <c r="AM412" s="21"/>
      <c r="AN412" s="21"/>
      <c r="AS412" s="112" t="str">
        <f t="shared" si="118"/>
        <v/>
      </c>
      <c r="AT412" s="112" t="str">
        <f>IF(AS412="","",COUNTIF($AS$13:AS412,AS412))</f>
        <v/>
      </c>
      <c r="AU412" s="147">
        <f t="shared" si="119"/>
        <v>399</v>
      </c>
      <c r="AV412" s="147">
        <f>COUNTIF($AZ$14:AZ412,AZ412)</f>
        <v>3</v>
      </c>
      <c r="AW412" s="147">
        <f>IFERROR(COUNTIF(AX$14:$BL412,AX412),"")</f>
        <v>57</v>
      </c>
      <c r="AX412" s="148" t="str">
        <f t="shared" si="120"/>
        <v>Sat</v>
      </c>
      <c r="AY412" s="149">
        <f>'Raw Data'!A402</f>
        <v>42007</v>
      </c>
      <c r="AZ412" s="150" t="str">
        <f>'Raw Data'!E402</f>
        <v>Omnichannel Promo</v>
      </c>
      <c r="BA412" s="150">
        <f>'Raw Data'!I402</f>
        <v>1159</v>
      </c>
      <c r="BB412" s="112"/>
      <c r="BC412" s="112"/>
      <c r="BD412" s="112">
        <f>'Raw Data'!O402</f>
        <v>1</v>
      </c>
    </row>
    <row r="413" spans="19:56">
      <c r="S413" s="30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114" t="str">
        <f t="shared" si="121"/>
        <v/>
      </c>
      <c r="AG413" s="108" t="str">
        <f t="shared" si="113"/>
        <v/>
      </c>
      <c r="AH413" s="21" t="str">
        <f t="shared" si="114"/>
        <v/>
      </c>
      <c r="AI413" s="21" t="str">
        <f t="shared" si="115"/>
        <v/>
      </c>
      <c r="AJ413" s="21" t="str">
        <f t="shared" si="116"/>
        <v/>
      </c>
      <c r="AK413" s="21" t="str">
        <f t="shared" si="117"/>
        <v/>
      </c>
      <c r="AL413" s="21"/>
      <c r="AM413" s="21"/>
      <c r="AN413" s="21"/>
      <c r="AS413" s="112" t="str">
        <f t="shared" si="118"/>
        <v/>
      </c>
      <c r="AT413" s="112" t="str">
        <f>IF(AS413="","",COUNTIF($AS$13:AS413,AS413))</f>
        <v/>
      </c>
      <c r="AU413" s="147">
        <f t="shared" si="119"/>
        <v>400</v>
      </c>
      <c r="AV413" s="147">
        <f>COUNTIF($AZ$14:AZ413,AZ413)</f>
        <v>4</v>
      </c>
      <c r="AW413" s="147">
        <f>IFERROR(COUNTIF(AX$14:$BL413,AX413),"")</f>
        <v>58</v>
      </c>
      <c r="AX413" s="148" t="str">
        <f t="shared" si="120"/>
        <v>Sun</v>
      </c>
      <c r="AY413" s="149">
        <f>'Raw Data'!A403</f>
        <v>42008</v>
      </c>
      <c r="AZ413" s="150" t="str">
        <f>'Raw Data'!E403</f>
        <v>Omnichannel Promo</v>
      </c>
      <c r="BA413" s="150">
        <f>'Raw Data'!I403</f>
        <v>1154</v>
      </c>
      <c r="BB413" s="112"/>
      <c r="BC413" s="112"/>
      <c r="BD413" s="112">
        <f>'Raw Data'!O403</f>
        <v>2</v>
      </c>
    </row>
    <row r="414" spans="19:56">
      <c r="S414" s="30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114" t="str">
        <f t="shared" si="121"/>
        <v/>
      </c>
      <c r="AG414" s="108" t="str">
        <f t="shared" si="113"/>
        <v/>
      </c>
      <c r="AH414" s="21" t="str">
        <f t="shared" si="114"/>
        <v/>
      </c>
      <c r="AI414" s="21" t="str">
        <f t="shared" si="115"/>
        <v/>
      </c>
      <c r="AJ414" s="21" t="str">
        <f t="shared" si="116"/>
        <v/>
      </c>
      <c r="AK414" s="21" t="str">
        <f t="shared" si="117"/>
        <v/>
      </c>
      <c r="AL414" s="21"/>
      <c r="AM414" s="21"/>
      <c r="AN414" s="21"/>
      <c r="AS414" s="112" t="str">
        <f t="shared" si="118"/>
        <v/>
      </c>
      <c r="AT414" s="112" t="str">
        <f>IF(AS414="","",COUNTIF($AS$13:AS414,AS414))</f>
        <v/>
      </c>
      <c r="AU414" s="147">
        <f t="shared" si="119"/>
        <v>401</v>
      </c>
      <c r="AV414" s="147">
        <f>COUNTIF($AZ$14:AZ414,AZ414)</f>
        <v>20</v>
      </c>
      <c r="AW414" s="147">
        <f>IFERROR(COUNTIF(AX$14:$BL414,AX414),"")</f>
        <v>58</v>
      </c>
      <c r="AX414" s="148" t="str">
        <f t="shared" si="120"/>
        <v>Mon</v>
      </c>
      <c r="AY414" s="149">
        <f>'Raw Data'!A404</f>
        <v>42009</v>
      </c>
      <c r="AZ414" s="150" t="str">
        <f>'Raw Data'!E404</f>
        <v>25% Off,FS on $49</v>
      </c>
      <c r="BA414" s="150">
        <f>'Raw Data'!I404</f>
        <v>1743</v>
      </c>
      <c r="BB414" s="112"/>
      <c r="BC414" s="112"/>
      <c r="BD414" s="112">
        <f>'Raw Data'!O404</f>
        <v>1</v>
      </c>
    </row>
    <row r="415" spans="19:56">
      <c r="S415" s="30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114" t="str">
        <f t="shared" si="121"/>
        <v/>
      </c>
      <c r="AG415" s="108" t="str">
        <f t="shared" si="113"/>
        <v/>
      </c>
      <c r="AH415" s="21" t="str">
        <f t="shared" si="114"/>
        <v/>
      </c>
      <c r="AI415" s="21" t="str">
        <f t="shared" si="115"/>
        <v/>
      </c>
      <c r="AJ415" s="21" t="str">
        <f t="shared" si="116"/>
        <v/>
      </c>
      <c r="AK415" s="21" t="str">
        <f t="shared" si="117"/>
        <v/>
      </c>
      <c r="AL415" s="21"/>
      <c r="AM415" s="21"/>
      <c r="AN415" s="21"/>
      <c r="AS415" s="112" t="str">
        <f t="shared" si="118"/>
        <v/>
      </c>
      <c r="AT415" s="112" t="str">
        <f>IF(AS415="","",COUNTIF($AS$13:AS415,AS415))</f>
        <v/>
      </c>
      <c r="AU415" s="147">
        <f t="shared" si="119"/>
        <v>402</v>
      </c>
      <c r="AV415" s="147">
        <f>COUNTIF($AZ$14:AZ415,AZ415)</f>
        <v>2</v>
      </c>
      <c r="AW415" s="147">
        <f>IFERROR(COUNTIF(AX$14:$BL415,AX415),"")</f>
        <v>58</v>
      </c>
      <c r="AX415" s="148" t="str">
        <f t="shared" si="120"/>
        <v>Tue</v>
      </c>
      <c r="AY415" s="149">
        <f>'Raw Data'!A405</f>
        <v>42010</v>
      </c>
      <c r="AZ415" s="150" t="str">
        <f>'Raw Data'!E405</f>
        <v>15% Off,FS on $60</v>
      </c>
      <c r="BA415" s="150">
        <f>'Raw Data'!I405</f>
        <v>1741</v>
      </c>
      <c r="BB415" s="112"/>
      <c r="BC415" s="112"/>
      <c r="BD415" s="112">
        <f>'Raw Data'!O405</f>
        <v>1</v>
      </c>
    </row>
    <row r="416" spans="19:56">
      <c r="S416" s="30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114" t="str">
        <f t="shared" si="121"/>
        <v/>
      </c>
      <c r="AG416" s="108" t="str">
        <f t="shared" si="113"/>
        <v/>
      </c>
      <c r="AH416" s="21" t="str">
        <f t="shared" si="114"/>
        <v/>
      </c>
      <c r="AI416" s="21" t="str">
        <f t="shared" si="115"/>
        <v/>
      </c>
      <c r="AJ416" s="21" t="str">
        <f t="shared" si="116"/>
        <v/>
      </c>
      <c r="AK416" s="21" t="str">
        <f t="shared" si="117"/>
        <v/>
      </c>
      <c r="AL416" s="21"/>
      <c r="AM416" s="21"/>
      <c r="AN416" s="21"/>
      <c r="AS416" s="112" t="str">
        <f t="shared" si="118"/>
        <v/>
      </c>
      <c r="AT416" s="112" t="str">
        <f>IF(AS416="","",COUNTIF($AS$13:AS416,AS416))</f>
        <v/>
      </c>
      <c r="AU416" s="147">
        <f t="shared" si="119"/>
        <v>403</v>
      </c>
      <c r="AV416" s="147">
        <f>COUNTIF($AZ$14:AZ416,AZ416)</f>
        <v>11</v>
      </c>
      <c r="AW416" s="147">
        <f>IFERROR(COUNTIF(AX$14:$BL416,AX416),"")</f>
        <v>58</v>
      </c>
      <c r="AX416" s="148" t="str">
        <f t="shared" si="120"/>
        <v>Wed</v>
      </c>
      <c r="AY416" s="149">
        <f>'Raw Data'!A406</f>
        <v>42011</v>
      </c>
      <c r="AZ416" s="150" t="str">
        <f>'Raw Data'!E406</f>
        <v>Up To 40% Off,FS on $49</v>
      </c>
      <c r="BA416" s="150">
        <f>'Raw Data'!I406</f>
        <v>1526</v>
      </c>
      <c r="BB416" s="112"/>
      <c r="BC416" s="112"/>
      <c r="BD416" s="112">
        <f>'Raw Data'!O406</f>
        <v>1</v>
      </c>
    </row>
    <row r="417" spans="19:56">
      <c r="S417" s="30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114" t="str">
        <f t="shared" si="121"/>
        <v/>
      </c>
      <c r="AG417" s="108" t="str">
        <f t="shared" si="113"/>
        <v/>
      </c>
      <c r="AH417" s="21" t="str">
        <f t="shared" si="114"/>
        <v/>
      </c>
      <c r="AI417" s="21" t="str">
        <f t="shared" si="115"/>
        <v/>
      </c>
      <c r="AJ417" s="21" t="str">
        <f t="shared" si="116"/>
        <v/>
      </c>
      <c r="AK417" s="21" t="str">
        <f t="shared" si="117"/>
        <v/>
      </c>
      <c r="AL417" s="21"/>
      <c r="AM417" s="21"/>
      <c r="AN417" s="21"/>
      <c r="AS417" s="112" t="str">
        <f t="shared" si="118"/>
        <v/>
      </c>
      <c r="AT417" s="112" t="str">
        <f>IF(AS417="","",COUNTIF($AS$13:AS417,AS417))</f>
        <v/>
      </c>
      <c r="AU417" s="147">
        <f t="shared" si="119"/>
        <v>404</v>
      </c>
      <c r="AV417" s="147">
        <f>COUNTIF($AZ$14:AZ417,AZ417)</f>
        <v>21</v>
      </c>
      <c r="AW417" s="147">
        <f>IFERROR(COUNTIF(AX$14:$BL417,AX417),"")</f>
        <v>58</v>
      </c>
      <c r="AX417" s="148" t="str">
        <f t="shared" si="120"/>
        <v>Thu</v>
      </c>
      <c r="AY417" s="149">
        <f>'Raw Data'!A407</f>
        <v>42012</v>
      </c>
      <c r="AZ417" s="150" t="str">
        <f>'Raw Data'!E407</f>
        <v>25% Off,FS on $49</v>
      </c>
      <c r="BA417" s="150">
        <f>'Raw Data'!I407</f>
        <v>1340</v>
      </c>
      <c r="BB417" s="112"/>
      <c r="BC417" s="112"/>
      <c r="BD417" s="112">
        <f>'Raw Data'!O407</f>
        <v>1</v>
      </c>
    </row>
    <row r="418" spans="19:56">
      <c r="S418" s="30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114" t="str">
        <f t="shared" si="121"/>
        <v/>
      </c>
      <c r="AG418" s="108" t="str">
        <f t="shared" si="113"/>
        <v/>
      </c>
      <c r="AH418" s="21" t="str">
        <f t="shared" si="114"/>
        <v/>
      </c>
      <c r="AI418" s="21" t="str">
        <f t="shared" si="115"/>
        <v/>
      </c>
      <c r="AJ418" s="21" t="str">
        <f t="shared" si="116"/>
        <v/>
      </c>
      <c r="AK418" s="21" t="str">
        <f t="shared" si="117"/>
        <v/>
      </c>
      <c r="AL418" s="21"/>
      <c r="AM418" s="21"/>
      <c r="AN418" s="21"/>
      <c r="AS418" s="112" t="str">
        <f t="shared" si="118"/>
        <v/>
      </c>
      <c r="AT418" s="112" t="str">
        <f>IF(AS418="","",COUNTIF($AS$13:AS418,AS418))</f>
        <v/>
      </c>
      <c r="AU418" s="147">
        <f t="shared" si="119"/>
        <v>405</v>
      </c>
      <c r="AV418" s="147">
        <f>COUNTIF($AZ$14:AZ418,AZ418)</f>
        <v>22</v>
      </c>
      <c r="AW418" s="147">
        <f>IFERROR(COUNTIF(AX$14:$BL418,AX418),"")</f>
        <v>58</v>
      </c>
      <c r="AX418" s="148" t="str">
        <f t="shared" si="120"/>
        <v>Fri</v>
      </c>
      <c r="AY418" s="149">
        <f>'Raw Data'!A408</f>
        <v>42013</v>
      </c>
      <c r="AZ418" s="150" t="str">
        <f>'Raw Data'!E408</f>
        <v>Free Ship No Min</v>
      </c>
      <c r="BA418" s="150">
        <f>'Raw Data'!I408</f>
        <v>1753</v>
      </c>
      <c r="BB418" s="112"/>
      <c r="BC418" s="112"/>
      <c r="BD418" s="112">
        <f>'Raw Data'!O408</f>
        <v>2</v>
      </c>
    </row>
    <row r="419" spans="19:56">
      <c r="S419" s="30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114" t="str">
        <f t="shared" si="121"/>
        <v/>
      </c>
      <c r="AG419" s="108" t="str">
        <f t="shared" si="113"/>
        <v/>
      </c>
      <c r="AH419" s="21" t="str">
        <f t="shared" si="114"/>
        <v/>
      </c>
      <c r="AI419" s="21" t="str">
        <f t="shared" si="115"/>
        <v/>
      </c>
      <c r="AJ419" s="21" t="str">
        <f t="shared" si="116"/>
        <v/>
      </c>
      <c r="AK419" s="21" t="str">
        <f t="shared" si="117"/>
        <v/>
      </c>
      <c r="AL419" s="21"/>
      <c r="AM419" s="21"/>
      <c r="AN419" s="21"/>
      <c r="AS419" s="112" t="str">
        <f t="shared" si="118"/>
        <v/>
      </c>
      <c r="AT419" s="112" t="str">
        <f>IF(AS419="","",COUNTIF($AS$13:AS419,AS419))</f>
        <v/>
      </c>
      <c r="AU419" s="147">
        <f t="shared" si="119"/>
        <v>406</v>
      </c>
      <c r="AV419" s="147">
        <f>COUNTIF($AZ$14:AZ419,AZ419)</f>
        <v>22</v>
      </c>
      <c r="AW419" s="147">
        <f>IFERROR(COUNTIF(AX$14:$BL419,AX419),"")</f>
        <v>58</v>
      </c>
      <c r="AX419" s="148" t="str">
        <f t="shared" si="120"/>
        <v>Sat</v>
      </c>
      <c r="AY419" s="149">
        <f>'Raw Data'!A409</f>
        <v>42014</v>
      </c>
      <c r="AZ419" s="150" t="str">
        <f>'Raw Data'!E409</f>
        <v>25% Off,FS on $49</v>
      </c>
      <c r="BA419" s="150">
        <f>'Raw Data'!I409</f>
        <v>1097</v>
      </c>
      <c r="BB419" s="112"/>
      <c r="BC419" s="112"/>
      <c r="BD419" s="112">
        <f>'Raw Data'!O409</f>
        <v>1</v>
      </c>
    </row>
    <row r="420" spans="19:56">
      <c r="S420" s="30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114" t="str">
        <f t="shared" si="121"/>
        <v/>
      </c>
      <c r="AG420" s="108" t="str">
        <f t="shared" si="113"/>
        <v/>
      </c>
      <c r="AH420" s="21" t="str">
        <f t="shared" si="114"/>
        <v/>
      </c>
      <c r="AI420" s="21" t="str">
        <f t="shared" si="115"/>
        <v/>
      </c>
      <c r="AJ420" s="21" t="str">
        <f t="shared" si="116"/>
        <v/>
      </c>
      <c r="AK420" s="21" t="str">
        <f t="shared" si="117"/>
        <v/>
      </c>
      <c r="AL420" s="21"/>
      <c r="AM420" s="21"/>
      <c r="AN420" s="21"/>
      <c r="AS420" s="112" t="str">
        <f t="shared" si="118"/>
        <v/>
      </c>
      <c r="AT420" s="112" t="str">
        <f>IF(AS420="","",COUNTIF($AS$13:AS420,AS420))</f>
        <v/>
      </c>
      <c r="AU420" s="147">
        <f t="shared" si="119"/>
        <v>407</v>
      </c>
      <c r="AV420" s="147">
        <f>COUNTIF($AZ$14:AZ420,AZ420)</f>
        <v>2</v>
      </c>
      <c r="AW420" s="147">
        <f>IFERROR(COUNTIF(AX$14:$BL420,AX420),"")</f>
        <v>59</v>
      </c>
      <c r="AX420" s="148" t="str">
        <f t="shared" si="120"/>
        <v>Sun</v>
      </c>
      <c r="AY420" s="149">
        <f>'Raw Data'!A410</f>
        <v>42015</v>
      </c>
      <c r="AZ420" s="150" t="str">
        <f>'Raw Data'!E410</f>
        <v>Up To 35% Off,FS on $49</v>
      </c>
      <c r="BA420" s="150">
        <f>'Raw Data'!I410</f>
        <v>767</v>
      </c>
      <c r="BB420" s="112"/>
      <c r="BC420" s="112"/>
      <c r="BD420" s="112">
        <f>'Raw Data'!O410</f>
        <v>1</v>
      </c>
    </row>
    <row r="421" spans="19:56">
      <c r="S421" s="30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114" t="str">
        <f t="shared" si="121"/>
        <v/>
      </c>
      <c r="AG421" s="108" t="str">
        <f t="shared" si="113"/>
        <v/>
      </c>
      <c r="AH421" s="21" t="str">
        <f t="shared" si="114"/>
        <v/>
      </c>
      <c r="AI421" s="21" t="str">
        <f t="shared" si="115"/>
        <v/>
      </c>
      <c r="AJ421" s="21" t="str">
        <f t="shared" si="116"/>
        <v/>
      </c>
      <c r="AK421" s="21" t="str">
        <f t="shared" si="117"/>
        <v/>
      </c>
      <c r="AL421" s="21"/>
      <c r="AM421" s="21"/>
      <c r="AN421" s="21"/>
      <c r="AS421" s="112" t="str">
        <f t="shared" si="118"/>
        <v/>
      </c>
      <c r="AT421" s="112" t="str">
        <f>IF(AS421="","",COUNTIF($AS$13:AS421,AS421))</f>
        <v/>
      </c>
      <c r="AU421" s="147">
        <f t="shared" si="119"/>
        <v>408</v>
      </c>
      <c r="AV421" s="147">
        <f>COUNTIF($AZ$14:AZ421,AZ421)</f>
        <v>11</v>
      </c>
      <c r="AW421" s="147">
        <f>IFERROR(COUNTIF(AX$14:$BL421,AX421),"")</f>
        <v>59</v>
      </c>
      <c r="AX421" s="148" t="str">
        <f t="shared" si="120"/>
        <v>Mon</v>
      </c>
      <c r="AY421" s="149">
        <f>'Raw Data'!A411</f>
        <v>42016</v>
      </c>
      <c r="AZ421" s="150" t="str">
        <f>'Raw Data'!E411</f>
        <v>RD Event</v>
      </c>
      <c r="BA421" s="150">
        <f>'Raw Data'!I411</f>
        <v>1396</v>
      </c>
      <c r="BB421" s="112"/>
      <c r="BC421" s="112"/>
      <c r="BD421" s="112">
        <f>'Raw Data'!O411</f>
        <v>1</v>
      </c>
    </row>
    <row r="422" spans="19:56">
      <c r="S422" s="30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114" t="str">
        <f t="shared" si="121"/>
        <v/>
      </c>
      <c r="AG422" s="108" t="str">
        <f t="shared" si="113"/>
        <v/>
      </c>
      <c r="AH422" s="21" t="str">
        <f t="shared" si="114"/>
        <v/>
      </c>
      <c r="AI422" s="21" t="str">
        <f t="shared" si="115"/>
        <v/>
      </c>
      <c r="AJ422" s="21" t="str">
        <f t="shared" si="116"/>
        <v/>
      </c>
      <c r="AK422" s="21" t="str">
        <f t="shared" si="117"/>
        <v/>
      </c>
      <c r="AL422" s="21"/>
      <c r="AM422" s="21"/>
      <c r="AN422" s="21"/>
      <c r="AS422" s="112" t="str">
        <f t="shared" si="118"/>
        <v/>
      </c>
      <c r="AT422" s="112" t="str">
        <f>IF(AS422="","",COUNTIF($AS$13:AS422,AS422))</f>
        <v/>
      </c>
      <c r="AU422" s="147">
        <f t="shared" si="119"/>
        <v>409</v>
      </c>
      <c r="AV422" s="147">
        <f>COUNTIF($AZ$14:AZ422,AZ422)</f>
        <v>85</v>
      </c>
      <c r="AW422" s="147">
        <f>IFERROR(COUNTIF(AX$14:$BL422,AX422),"")</f>
        <v>59</v>
      </c>
      <c r="AX422" s="148" t="str">
        <f t="shared" si="120"/>
        <v>Tue</v>
      </c>
      <c r="AY422" s="149">
        <f>'Raw Data'!A412</f>
        <v>42017</v>
      </c>
      <c r="AZ422" s="150" t="str">
        <f>'Raw Data'!E412</f>
        <v>No Email Drop</v>
      </c>
      <c r="BA422" s="150">
        <f>'Raw Data'!I412</f>
        <v>1306</v>
      </c>
      <c r="BB422" s="112"/>
      <c r="BC422" s="112"/>
      <c r="BD422" s="112">
        <f>'Raw Data'!O412</f>
        <v>0</v>
      </c>
    </row>
    <row r="423" spans="19:56">
      <c r="S423" s="30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114" t="str">
        <f t="shared" si="121"/>
        <v/>
      </c>
      <c r="AG423" s="108" t="str">
        <f t="shared" si="113"/>
        <v/>
      </c>
      <c r="AH423" s="21" t="str">
        <f t="shared" si="114"/>
        <v/>
      </c>
      <c r="AI423" s="21" t="str">
        <f t="shared" si="115"/>
        <v/>
      </c>
      <c r="AJ423" s="21" t="str">
        <f t="shared" si="116"/>
        <v/>
      </c>
      <c r="AK423" s="21" t="str">
        <f t="shared" si="117"/>
        <v/>
      </c>
      <c r="AL423" s="21"/>
      <c r="AM423" s="21"/>
      <c r="AN423" s="21"/>
      <c r="AS423" s="112">
        <f t="shared" si="118"/>
        <v>1</v>
      </c>
      <c r="AT423" s="112">
        <f>IF(AS423="","",COUNTIF($AS$13:AS423,AS423))</f>
        <v>12</v>
      </c>
      <c r="AU423" s="147">
        <f t="shared" si="119"/>
        <v>410</v>
      </c>
      <c r="AV423" s="147">
        <f>COUNTIF($AZ$14:AZ423,AZ423)</f>
        <v>1</v>
      </c>
      <c r="AW423" s="147">
        <f>IFERROR(COUNTIF(AX$14:$BL423,AX423),"")</f>
        <v>59</v>
      </c>
      <c r="AX423" s="148" t="str">
        <f t="shared" si="120"/>
        <v>Wed</v>
      </c>
      <c r="AY423" s="149">
        <f>'Raw Data'!A413</f>
        <v>42018</v>
      </c>
      <c r="AZ423" s="150" t="str">
        <f>'Raw Data'!E413</f>
        <v>Flash Sale,$10 Off,FS on $49</v>
      </c>
      <c r="BA423" s="150">
        <f>'Raw Data'!I413</f>
        <v>1752</v>
      </c>
      <c r="BB423" s="112"/>
      <c r="BC423" s="112"/>
      <c r="BD423" s="112">
        <f>'Raw Data'!O413</f>
        <v>2</v>
      </c>
    </row>
    <row r="424" spans="19:56">
      <c r="S424" s="30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114" t="str">
        <f t="shared" si="121"/>
        <v/>
      </c>
      <c r="AG424" s="108" t="str">
        <f t="shared" si="113"/>
        <v/>
      </c>
      <c r="AH424" s="21" t="str">
        <f t="shared" si="114"/>
        <v/>
      </c>
      <c r="AI424" s="21" t="str">
        <f t="shared" si="115"/>
        <v/>
      </c>
      <c r="AJ424" s="21" t="str">
        <f t="shared" si="116"/>
        <v/>
      </c>
      <c r="AK424" s="21" t="str">
        <f t="shared" si="117"/>
        <v/>
      </c>
      <c r="AL424" s="21"/>
      <c r="AM424" s="21"/>
      <c r="AN424" s="21"/>
      <c r="AS424" s="112">
        <f t="shared" si="118"/>
        <v>1</v>
      </c>
      <c r="AT424" s="112">
        <f>IF(AS424="","",COUNTIF($AS$13:AS424,AS424))</f>
        <v>13</v>
      </c>
      <c r="AU424" s="147">
        <f t="shared" si="119"/>
        <v>411</v>
      </c>
      <c r="AV424" s="147">
        <f>COUNTIF($AZ$14:AZ424,AZ424)</f>
        <v>2</v>
      </c>
      <c r="AW424" s="147">
        <f>IFERROR(COUNTIF(AX$14:$BL424,AX424),"")</f>
        <v>59</v>
      </c>
      <c r="AX424" s="148" t="str">
        <f t="shared" si="120"/>
        <v>Thu</v>
      </c>
      <c r="AY424" s="149">
        <f>'Raw Data'!A414</f>
        <v>42019</v>
      </c>
      <c r="AZ424" s="150" t="str">
        <f>'Raw Data'!E414</f>
        <v>Flash Sale,$10 Off,FS on $49</v>
      </c>
      <c r="BA424" s="150">
        <f>'Raw Data'!I414</f>
        <v>1472</v>
      </c>
      <c r="BB424" s="112"/>
      <c r="BC424" s="112"/>
      <c r="BD424" s="112">
        <f>'Raw Data'!O414</f>
        <v>1</v>
      </c>
    </row>
    <row r="425" spans="19:56">
      <c r="S425" s="30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114" t="str">
        <f t="shared" si="121"/>
        <v/>
      </c>
      <c r="AG425" s="108" t="str">
        <f t="shared" si="113"/>
        <v/>
      </c>
      <c r="AH425" s="21" t="str">
        <f t="shared" si="114"/>
        <v/>
      </c>
      <c r="AI425" s="21" t="str">
        <f t="shared" si="115"/>
        <v/>
      </c>
      <c r="AJ425" s="21" t="str">
        <f t="shared" si="116"/>
        <v/>
      </c>
      <c r="AK425" s="21" t="str">
        <f t="shared" si="117"/>
        <v/>
      </c>
      <c r="AL425" s="21"/>
      <c r="AM425" s="21"/>
      <c r="AN425" s="21"/>
      <c r="AS425" s="112" t="str">
        <f t="shared" si="118"/>
        <v/>
      </c>
      <c r="AT425" s="112" t="str">
        <f>IF(AS425="","",COUNTIF($AS$13:AS425,AS425))</f>
        <v/>
      </c>
      <c r="AU425" s="147">
        <f t="shared" si="119"/>
        <v>412</v>
      </c>
      <c r="AV425" s="147">
        <f>COUNTIF($AZ$14:AZ425,AZ425)</f>
        <v>12</v>
      </c>
      <c r="AW425" s="147">
        <f>IFERROR(COUNTIF(AX$14:$BL425,AX425),"")</f>
        <v>59</v>
      </c>
      <c r="AX425" s="148" t="str">
        <f t="shared" si="120"/>
        <v>Fri</v>
      </c>
      <c r="AY425" s="149">
        <f>'Raw Data'!A415</f>
        <v>42020</v>
      </c>
      <c r="AZ425" s="150" t="str">
        <f>'Raw Data'!E415</f>
        <v>Up To 40% Off,FS on $49</v>
      </c>
      <c r="BA425" s="150">
        <f>'Raw Data'!I415</f>
        <v>1409</v>
      </c>
      <c r="BB425" s="112"/>
      <c r="BC425" s="112"/>
      <c r="BD425" s="112">
        <f>'Raw Data'!O415</f>
        <v>1</v>
      </c>
    </row>
    <row r="426" spans="19:56">
      <c r="S426" s="30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114" t="str">
        <f t="shared" si="121"/>
        <v/>
      </c>
      <c r="AG426" s="108" t="str">
        <f t="shared" si="113"/>
        <v/>
      </c>
      <c r="AH426" s="21" t="str">
        <f t="shared" si="114"/>
        <v/>
      </c>
      <c r="AI426" s="21" t="str">
        <f t="shared" si="115"/>
        <v/>
      </c>
      <c r="AJ426" s="21" t="str">
        <f t="shared" si="116"/>
        <v/>
      </c>
      <c r="AK426" s="21" t="str">
        <f t="shared" si="117"/>
        <v/>
      </c>
      <c r="AL426" s="21"/>
      <c r="AM426" s="21"/>
      <c r="AN426" s="21"/>
      <c r="AS426" s="112" t="str">
        <f t="shared" si="118"/>
        <v/>
      </c>
      <c r="AT426" s="112" t="str">
        <f>IF(AS426="","",COUNTIF($AS$13:AS426,AS426))</f>
        <v/>
      </c>
      <c r="AU426" s="147">
        <f t="shared" si="119"/>
        <v>413</v>
      </c>
      <c r="AV426" s="147">
        <f>COUNTIF($AZ$14:AZ426,AZ426)</f>
        <v>13</v>
      </c>
      <c r="AW426" s="147">
        <f>IFERROR(COUNTIF(AX$14:$BL426,AX426),"")</f>
        <v>59</v>
      </c>
      <c r="AX426" s="148" t="str">
        <f t="shared" si="120"/>
        <v>Sat</v>
      </c>
      <c r="AY426" s="149">
        <f>'Raw Data'!A416</f>
        <v>42021</v>
      </c>
      <c r="AZ426" s="150" t="str">
        <f>'Raw Data'!E416</f>
        <v>Up To 40% Off,FS on $49</v>
      </c>
      <c r="BA426" s="150">
        <f>'Raw Data'!I416</f>
        <v>1182</v>
      </c>
      <c r="BB426" s="112"/>
      <c r="BC426" s="112"/>
      <c r="BD426" s="112">
        <f>'Raw Data'!O416</f>
        <v>2</v>
      </c>
    </row>
    <row r="427" spans="19:56">
      <c r="S427" s="30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114" t="str">
        <f t="shared" si="121"/>
        <v/>
      </c>
      <c r="AG427" s="108" t="str">
        <f t="shared" si="113"/>
        <v/>
      </c>
      <c r="AH427" s="21" t="str">
        <f t="shared" si="114"/>
        <v/>
      </c>
      <c r="AI427" s="21" t="str">
        <f t="shared" si="115"/>
        <v/>
      </c>
      <c r="AJ427" s="21" t="str">
        <f t="shared" si="116"/>
        <v/>
      </c>
      <c r="AK427" s="21" t="str">
        <f t="shared" si="117"/>
        <v/>
      </c>
      <c r="AL427" s="21"/>
      <c r="AM427" s="21"/>
      <c r="AN427" s="21"/>
      <c r="AS427" s="112" t="str">
        <f t="shared" si="118"/>
        <v/>
      </c>
      <c r="AT427" s="112" t="str">
        <f>IF(AS427="","",COUNTIF($AS$13:AS427,AS427))</f>
        <v/>
      </c>
      <c r="AU427" s="147">
        <f t="shared" si="119"/>
        <v>414</v>
      </c>
      <c r="AV427" s="147">
        <f>COUNTIF($AZ$14:AZ427,AZ427)</f>
        <v>10</v>
      </c>
      <c r="AW427" s="147">
        <f>IFERROR(COUNTIF(AX$14:$BL427,AX427),"")</f>
        <v>60</v>
      </c>
      <c r="AX427" s="148" t="str">
        <f t="shared" si="120"/>
        <v>Sun</v>
      </c>
      <c r="AY427" s="149">
        <f>'Raw Data'!A417</f>
        <v>42022</v>
      </c>
      <c r="AZ427" s="150" t="str">
        <f>'Raw Data'!E417</f>
        <v>Up To 50% Off,FS on $49</v>
      </c>
      <c r="BA427" s="150">
        <f>'Raw Data'!I417</f>
        <v>814</v>
      </c>
      <c r="BB427" s="112"/>
      <c r="BC427" s="112"/>
      <c r="BD427" s="112">
        <f>'Raw Data'!O417</f>
        <v>1</v>
      </c>
    </row>
    <row r="428" spans="19:56">
      <c r="S428" s="30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114" t="str">
        <f t="shared" si="121"/>
        <v/>
      </c>
      <c r="AG428" s="108" t="str">
        <f t="shared" si="113"/>
        <v/>
      </c>
      <c r="AH428" s="21" t="str">
        <f t="shared" si="114"/>
        <v/>
      </c>
      <c r="AI428" s="21" t="str">
        <f t="shared" si="115"/>
        <v/>
      </c>
      <c r="AJ428" s="21" t="str">
        <f t="shared" si="116"/>
        <v/>
      </c>
      <c r="AK428" s="21" t="str">
        <f t="shared" si="117"/>
        <v/>
      </c>
      <c r="AL428" s="21"/>
      <c r="AM428" s="21"/>
      <c r="AN428" s="21"/>
      <c r="AS428" s="112" t="str">
        <f t="shared" si="118"/>
        <v/>
      </c>
      <c r="AT428" s="112" t="str">
        <f>IF(AS428="","",COUNTIF($AS$13:AS428,AS428))</f>
        <v/>
      </c>
      <c r="AU428" s="147">
        <f t="shared" si="119"/>
        <v>415</v>
      </c>
      <c r="AV428" s="147">
        <f>COUNTIF($AZ$14:AZ428,AZ428)</f>
        <v>2</v>
      </c>
      <c r="AW428" s="147">
        <f>IFERROR(COUNTIF(AX$14:$BL428,AX428),"")</f>
        <v>60</v>
      </c>
      <c r="AX428" s="148" t="str">
        <f t="shared" si="120"/>
        <v>Mon</v>
      </c>
      <c r="AY428" s="149">
        <f>'Raw Data'!A418</f>
        <v>42023</v>
      </c>
      <c r="AZ428" s="150" t="str">
        <f>'Raw Data'!E418</f>
        <v>$15 eGC,Up To 40% Off,FS on $49</v>
      </c>
      <c r="BA428" s="150">
        <f>'Raw Data'!I418</f>
        <v>1588</v>
      </c>
      <c r="BB428" s="112"/>
      <c r="BC428" s="112"/>
      <c r="BD428" s="112">
        <f>'Raw Data'!O418</f>
        <v>1</v>
      </c>
    </row>
    <row r="429" spans="19:56">
      <c r="S429" s="30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114" t="str">
        <f t="shared" si="121"/>
        <v/>
      </c>
      <c r="AG429" s="108" t="str">
        <f t="shared" si="113"/>
        <v/>
      </c>
      <c r="AH429" s="21" t="str">
        <f t="shared" si="114"/>
        <v/>
      </c>
      <c r="AI429" s="21" t="str">
        <f t="shared" si="115"/>
        <v/>
      </c>
      <c r="AJ429" s="21" t="str">
        <f t="shared" si="116"/>
        <v/>
      </c>
      <c r="AK429" s="21" t="str">
        <f t="shared" si="117"/>
        <v/>
      </c>
      <c r="AL429" s="21"/>
      <c r="AM429" s="21"/>
      <c r="AN429" s="21"/>
      <c r="AS429" s="112" t="str">
        <f t="shared" si="118"/>
        <v/>
      </c>
      <c r="AT429" s="112" t="str">
        <f>IF(AS429="","",COUNTIF($AS$13:AS429,AS429))</f>
        <v/>
      </c>
      <c r="AU429" s="147">
        <f t="shared" si="119"/>
        <v>416</v>
      </c>
      <c r="AV429" s="147">
        <f>COUNTIF($AZ$14:AZ429,AZ429)</f>
        <v>3</v>
      </c>
      <c r="AW429" s="147">
        <f>IFERROR(COUNTIF(AX$14:$BL429,AX429),"")</f>
        <v>60</v>
      </c>
      <c r="AX429" s="148" t="str">
        <f t="shared" si="120"/>
        <v>Tue</v>
      </c>
      <c r="AY429" s="149">
        <f>'Raw Data'!A419</f>
        <v>42024</v>
      </c>
      <c r="AZ429" s="150" t="str">
        <f>'Raw Data'!E419</f>
        <v>Up To 35% Off,FS on $49</v>
      </c>
      <c r="BA429" s="150">
        <f>'Raw Data'!I419</f>
        <v>1263</v>
      </c>
      <c r="BB429" s="112"/>
      <c r="BC429" s="112"/>
      <c r="BD429" s="112">
        <f>'Raw Data'!O419</f>
        <v>1</v>
      </c>
    </row>
    <row r="430" spans="19:56">
      <c r="S430" s="30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114" t="str">
        <f t="shared" si="121"/>
        <v/>
      </c>
      <c r="AG430" s="108" t="str">
        <f t="shared" si="113"/>
        <v/>
      </c>
      <c r="AH430" s="21" t="str">
        <f t="shared" si="114"/>
        <v/>
      </c>
      <c r="AI430" s="21" t="str">
        <f t="shared" si="115"/>
        <v/>
      </c>
      <c r="AJ430" s="21" t="str">
        <f t="shared" si="116"/>
        <v/>
      </c>
      <c r="AK430" s="21" t="str">
        <f t="shared" si="117"/>
        <v/>
      </c>
      <c r="AL430" s="21"/>
      <c r="AM430" s="21"/>
      <c r="AN430" s="21"/>
      <c r="AS430" s="112" t="str">
        <f t="shared" si="118"/>
        <v/>
      </c>
      <c r="AT430" s="112" t="str">
        <f>IF(AS430="","",COUNTIF($AS$13:AS430,AS430))</f>
        <v/>
      </c>
      <c r="AU430" s="147">
        <f t="shared" si="119"/>
        <v>417</v>
      </c>
      <c r="AV430" s="147">
        <f>COUNTIF($AZ$14:AZ430,AZ430)</f>
        <v>86</v>
      </c>
      <c r="AW430" s="147">
        <f>IFERROR(COUNTIF(AX$14:$BL430,AX430),"")</f>
        <v>60</v>
      </c>
      <c r="AX430" s="148" t="str">
        <f t="shared" si="120"/>
        <v>Wed</v>
      </c>
      <c r="AY430" s="149">
        <f>'Raw Data'!A420</f>
        <v>42025</v>
      </c>
      <c r="AZ430" s="150" t="str">
        <f>'Raw Data'!E420</f>
        <v>No Email Drop</v>
      </c>
      <c r="BA430" s="150">
        <f>'Raw Data'!I420</f>
        <v>1174</v>
      </c>
      <c r="BB430" s="112"/>
      <c r="BC430" s="112"/>
      <c r="BD430" s="112">
        <f>'Raw Data'!O420</f>
        <v>0</v>
      </c>
    </row>
    <row r="431" spans="19:56">
      <c r="S431" s="30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114" t="str">
        <f t="shared" si="121"/>
        <v/>
      </c>
      <c r="AG431" s="108" t="str">
        <f t="shared" si="113"/>
        <v/>
      </c>
      <c r="AH431" s="21" t="str">
        <f t="shared" si="114"/>
        <v/>
      </c>
      <c r="AI431" s="21" t="str">
        <f t="shared" si="115"/>
        <v/>
      </c>
      <c r="AJ431" s="21" t="str">
        <f t="shared" si="116"/>
        <v/>
      </c>
      <c r="AK431" s="21" t="str">
        <f t="shared" si="117"/>
        <v/>
      </c>
      <c r="AL431" s="21"/>
      <c r="AM431" s="21"/>
      <c r="AN431" s="21"/>
      <c r="AS431" s="112" t="str">
        <f t="shared" si="118"/>
        <v/>
      </c>
      <c r="AT431" s="112" t="str">
        <f>IF(AS431="","",COUNTIF($AS$13:AS431,AS431))</f>
        <v/>
      </c>
      <c r="AU431" s="147">
        <f t="shared" si="119"/>
        <v>418</v>
      </c>
      <c r="AV431" s="147">
        <f>COUNTIF($AZ$14:AZ431,AZ431)</f>
        <v>11</v>
      </c>
      <c r="AW431" s="147">
        <f>IFERROR(COUNTIF(AX$14:$BL431,AX431),"")</f>
        <v>60</v>
      </c>
      <c r="AX431" s="148" t="str">
        <f t="shared" si="120"/>
        <v>Thu</v>
      </c>
      <c r="AY431" s="149">
        <f>'Raw Data'!A421</f>
        <v>42026</v>
      </c>
      <c r="AZ431" s="150" t="str">
        <f>'Raw Data'!E421</f>
        <v>Up To 50% Off,FS on $49</v>
      </c>
      <c r="BA431" s="150">
        <f>'Raw Data'!I421</f>
        <v>1606</v>
      </c>
      <c r="BB431" s="112"/>
      <c r="BC431" s="112"/>
      <c r="BD431" s="112">
        <f>'Raw Data'!O421</f>
        <v>1</v>
      </c>
    </row>
    <row r="432" spans="19:56">
      <c r="S432" s="30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114" t="str">
        <f t="shared" si="121"/>
        <v/>
      </c>
      <c r="AG432" s="108" t="str">
        <f t="shared" si="113"/>
        <v/>
      </c>
      <c r="AH432" s="21" t="str">
        <f t="shared" si="114"/>
        <v/>
      </c>
      <c r="AI432" s="21" t="str">
        <f t="shared" si="115"/>
        <v/>
      </c>
      <c r="AJ432" s="21" t="str">
        <f t="shared" si="116"/>
        <v/>
      </c>
      <c r="AK432" s="21" t="str">
        <f t="shared" si="117"/>
        <v/>
      </c>
      <c r="AL432" s="21"/>
      <c r="AM432" s="21"/>
      <c r="AN432" s="21"/>
      <c r="AS432" s="112" t="str">
        <f t="shared" si="118"/>
        <v/>
      </c>
      <c r="AT432" s="112" t="str">
        <f>IF(AS432="","",COUNTIF($AS$13:AS432,AS432))</f>
        <v/>
      </c>
      <c r="AU432" s="147">
        <f t="shared" si="119"/>
        <v>419</v>
      </c>
      <c r="AV432" s="147">
        <f>COUNTIF($AZ$14:AZ432,AZ432)</f>
        <v>23</v>
      </c>
      <c r="AW432" s="147">
        <f>IFERROR(COUNTIF(AX$14:$BL432,AX432),"")</f>
        <v>60</v>
      </c>
      <c r="AX432" s="148" t="str">
        <f t="shared" si="120"/>
        <v>Fri</v>
      </c>
      <c r="AY432" s="149">
        <f>'Raw Data'!A422</f>
        <v>42027</v>
      </c>
      <c r="AZ432" s="150" t="str">
        <f>'Raw Data'!E422</f>
        <v>Free Ship No Min</v>
      </c>
      <c r="BA432" s="150">
        <f>'Raw Data'!I422</f>
        <v>1969</v>
      </c>
      <c r="BB432" s="112"/>
      <c r="BC432" s="112"/>
      <c r="BD432" s="112">
        <f>'Raw Data'!O422</f>
        <v>2</v>
      </c>
    </row>
    <row r="433" spans="19:56">
      <c r="S433" s="30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114" t="str">
        <f t="shared" si="121"/>
        <v/>
      </c>
      <c r="AG433" s="108" t="str">
        <f t="shared" si="113"/>
        <v/>
      </c>
      <c r="AH433" s="21" t="str">
        <f t="shared" si="114"/>
        <v/>
      </c>
      <c r="AI433" s="21" t="str">
        <f t="shared" si="115"/>
        <v/>
      </c>
      <c r="AJ433" s="21" t="str">
        <f t="shared" si="116"/>
        <v/>
      </c>
      <c r="AK433" s="21" t="str">
        <f t="shared" si="117"/>
        <v/>
      </c>
      <c r="AL433" s="21"/>
      <c r="AM433" s="21"/>
      <c r="AN433" s="21"/>
      <c r="AS433" s="112" t="str">
        <f t="shared" si="118"/>
        <v/>
      </c>
      <c r="AT433" s="112" t="str">
        <f>IF(AS433="","",COUNTIF($AS$13:AS433,AS433))</f>
        <v/>
      </c>
      <c r="AU433" s="147">
        <f t="shared" si="119"/>
        <v>420</v>
      </c>
      <c r="AV433" s="147">
        <f>COUNTIF($AZ$14:AZ433,AZ433)</f>
        <v>12</v>
      </c>
      <c r="AW433" s="147">
        <f>IFERROR(COUNTIF(AX$14:$BL433,AX433),"")</f>
        <v>60</v>
      </c>
      <c r="AX433" s="148" t="str">
        <f t="shared" si="120"/>
        <v>Sat</v>
      </c>
      <c r="AY433" s="149">
        <f>'Raw Data'!A423</f>
        <v>42028</v>
      </c>
      <c r="AZ433" s="150" t="str">
        <f>'Raw Data'!E423</f>
        <v>Up To 50% Off,FS on $49</v>
      </c>
      <c r="BA433" s="150">
        <f>'Raw Data'!I423</f>
        <v>1117</v>
      </c>
      <c r="BB433" s="112"/>
      <c r="BC433" s="112"/>
      <c r="BD433" s="112">
        <f>'Raw Data'!O423</f>
        <v>1</v>
      </c>
    </row>
    <row r="434" spans="19:56">
      <c r="S434" s="30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114" t="str">
        <f t="shared" si="121"/>
        <v/>
      </c>
      <c r="AG434" s="108" t="str">
        <f t="shared" si="113"/>
        <v/>
      </c>
      <c r="AH434" s="21" t="str">
        <f t="shared" si="114"/>
        <v/>
      </c>
      <c r="AI434" s="21" t="str">
        <f t="shared" si="115"/>
        <v/>
      </c>
      <c r="AJ434" s="21" t="str">
        <f t="shared" si="116"/>
        <v/>
      </c>
      <c r="AK434" s="21" t="str">
        <f t="shared" si="117"/>
        <v/>
      </c>
      <c r="AL434" s="21"/>
      <c r="AM434" s="21"/>
      <c r="AN434" s="21"/>
      <c r="AS434" s="112" t="str">
        <f t="shared" si="118"/>
        <v/>
      </c>
      <c r="AT434" s="112" t="str">
        <f>IF(AS434="","",COUNTIF($AS$13:AS434,AS434))</f>
        <v/>
      </c>
      <c r="AU434" s="147">
        <f t="shared" si="119"/>
        <v>421</v>
      </c>
      <c r="AV434" s="147">
        <f>COUNTIF($AZ$14:AZ434,AZ434)</f>
        <v>13</v>
      </c>
      <c r="AW434" s="147">
        <f>IFERROR(COUNTIF(AX$14:$BL434,AX434),"")</f>
        <v>61</v>
      </c>
      <c r="AX434" s="148" t="str">
        <f t="shared" si="120"/>
        <v>Sun</v>
      </c>
      <c r="AY434" s="149">
        <f>'Raw Data'!A424</f>
        <v>42029</v>
      </c>
      <c r="AZ434" s="150" t="str">
        <f>'Raw Data'!E424</f>
        <v>Up To 50% Off,FS on $49</v>
      </c>
      <c r="BA434" s="150">
        <f>'Raw Data'!I424</f>
        <v>790</v>
      </c>
      <c r="BB434" s="112"/>
      <c r="BC434" s="112"/>
      <c r="BD434" s="112">
        <f>'Raw Data'!O424</f>
        <v>1</v>
      </c>
    </row>
    <row r="435" spans="19:56">
      <c r="S435" s="30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114" t="str">
        <f t="shared" si="121"/>
        <v/>
      </c>
      <c r="AG435" s="108" t="str">
        <f t="shared" si="113"/>
        <v/>
      </c>
      <c r="AH435" s="21" t="str">
        <f t="shared" si="114"/>
        <v/>
      </c>
      <c r="AI435" s="21" t="str">
        <f t="shared" si="115"/>
        <v/>
      </c>
      <c r="AJ435" s="21" t="str">
        <f t="shared" si="116"/>
        <v/>
      </c>
      <c r="AK435" s="21" t="str">
        <f t="shared" si="117"/>
        <v/>
      </c>
      <c r="AL435" s="21"/>
      <c r="AM435" s="21"/>
      <c r="AN435" s="21"/>
      <c r="AS435" s="112" t="str">
        <f t="shared" si="118"/>
        <v/>
      </c>
      <c r="AT435" s="112" t="str">
        <f>IF(AS435="","",COUNTIF($AS$13:AS435,AS435))</f>
        <v/>
      </c>
      <c r="AU435" s="147">
        <f t="shared" si="119"/>
        <v>422</v>
      </c>
      <c r="AV435" s="147">
        <f>COUNTIF($AZ$14:AZ435,AZ435)</f>
        <v>4</v>
      </c>
      <c r="AW435" s="147">
        <f>IFERROR(COUNTIF(AX$14:$BL435,AX435),"")</f>
        <v>61</v>
      </c>
      <c r="AX435" s="148" t="str">
        <f t="shared" si="120"/>
        <v>Mon</v>
      </c>
      <c r="AY435" s="149">
        <f>'Raw Data'!A425</f>
        <v>42030</v>
      </c>
      <c r="AZ435" s="150" t="str">
        <f>'Raw Data'!E425</f>
        <v>Up To 35% Off,FS on $49</v>
      </c>
      <c r="BA435" s="150">
        <f>'Raw Data'!I425</f>
        <v>1257</v>
      </c>
      <c r="BB435" s="112"/>
      <c r="BC435" s="112"/>
      <c r="BD435" s="112">
        <f>'Raw Data'!O425</f>
        <v>1</v>
      </c>
    </row>
    <row r="436" spans="19:56">
      <c r="S436" s="30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114" t="str">
        <f t="shared" si="121"/>
        <v/>
      </c>
      <c r="AG436" s="108" t="str">
        <f t="shared" si="113"/>
        <v/>
      </c>
      <c r="AH436" s="21" t="str">
        <f t="shared" si="114"/>
        <v/>
      </c>
      <c r="AI436" s="21" t="str">
        <f t="shared" si="115"/>
        <v/>
      </c>
      <c r="AJ436" s="21" t="str">
        <f t="shared" si="116"/>
        <v/>
      </c>
      <c r="AK436" s="21" t="str">
        <f t="shared" si="117"/>
        <v/>
      </c>
      <c r="AL436" s="21"/>
      <c r="AM436" s="21"/>
      <c r="AN436" s="21"/>
      <c r="AS436" s="112" t="str">
        <f t="shared" si="118"/>
        <v/>
      </c>
      <c r="AT436" s="112" t="str">
        <f>IF(AS436="","",COUNTIF($AS$13:AS436,AS436))</f>
        <v/>
      </c>
      <c r="AU436" s="147">
        <f t="shared" si="119"/>
        <v>423</v>
      </c>
      <c r="AV436" s="147">
        <f>COUNTIF($AZ$14:AZ436,AZ436)</f>
        <v>5</v>
      </c>
      <c r="AW436" s="147">
        <f>IFERROR(COUNTIF(AX$14:$BL436,AX436),"")</f>
        <v>61</v>
      </c>
      <c r="AX436" s="148" t="str">
        <f t="shared" si="120"/>
        <v>Tue</v>
      </c>
      <c r="AY436" s="149">
        <f>'Raw Data'!A426</f>
        <v>42031</v>
      </c>
      <c r="AZ436" s="150" t="str">
        <f>'Raw Data'!E426</f>
        <v>Up To 35% Off,FS on $49</v>
      </c>
      <c r="BA436" s="150">
        <f>'Raw Data'!I426</f>
        <v>1280</v>
      </c>
      <c r="BB436" s="112"/>
      <c r="BC436" s="112"/>
      <c r="BD436" s="112">
        <f>'Raw Data'!O426</f>
        <v>1</v>
      </c>
    </row>
    <row r="437" spans="19:56">
      <c r="S437" s="30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114" t="str">
        <f t="shared" si="121"/>
        <v/>
      </c>
      <c r="AG437" s="108" t="str">
        <f t="shared" si="113"/>
        <v/>
      </c>
      <c r="AH437" s="21" t="str">
        <f t="shared" si="114"/>
        <v/>
      </c>
      <c r="AI437" s="21" t="str">
        <f t="shared" si="115"/>
        <v/>
      </c>
      <c r="AJ437" s="21" t="str">
        <f t="shared" si="116"/>
        <v/>
      </c>
      <c r="AK437" s="21" t="str">
        <f t="shared" si="117"/>
        <v/>
      </c>
      <c r="AL437" s="21"/>
      <c r="AM437" s="21"/>
      <c r="AN437" s="21"/>
      <c r="AS437" s="112" t="str">
        <f t="shared" si="118"/>
        <v/>
      </c>
      <c r="AT437" s="112" t="str">
        <f>IF(AS437="","",COUNTIF($AS$13:AS437,AS437))</f>
        <v/>
      </c>
      <c r="AU437" s="147">
        <f t="shared" si="119"/>
        <v>424</v>
      </c>
      <c r="AV437" s="147">
        <f>COUNTIF($AZ$14:AZ437,AZ437)</f>
        <v>22</v>
      </c>
      <c r="AW437" s="147">
        <f>IFERROR(COUNTIF(AX$14:$BL437,AX437),"")</f>
        <v>61</v>
      </c>
      <c r="AX437" s="148" t="str">
        <f t="shared" si="120"/>
        <v>Wed</v>
      </c>
      <c r="AY437" s="149">
        <f>'Raw Data'!A427</f>
        <v>42032</v>
      </c>
      <c r="AZ437" s="150" t="str">
        <f>'Raw Data'!E427</f>
        <v>20% Off,FS on $49</v>
      </c>
      <c r="BA437" s="150">
        <f>'Raw Data'!I427</f>
        <v>1554</v>
      </c>
      <c r="BB437" s="112"/>
      <c r="BC437" s="112"/>
      <c r="BD437" s="112">
        <f>'Raw Data'!O427</f>
        <v>1</v>
      </c>
    </row>
    <row r="438" spans="19:56">
      <c r="S438" s="30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114" t="str">
        <f t="shared" si="121"/>
        <v/>
      </c>
      <c r="AG438" s="108" t="str">
        <f t="shared" si="113"/>
        <v/>
      </c>
      <c r="AH438" s="21" t="str">
        <f t="shared" si="114"/>
        <v/>
      </c>
      <c r="AI438" s="21" t="str">
        <f t="shared" si="115"/>
        <v/>
      </c>
      <c r="AJ438" s="21" t="str">
        <f t="shared" si="116"/>
        <v/>
      </c>
      <c r="AK438" s="21" t="str">
        <f t="shared" si="117"/>
        <v/>
      </c>
      <c r="AL438" s="21"/>
      <c r="AM438" s="21"/>
      <c r="AN438" s="21"/>
      <c r="AS438" s="112" t="str">
        <f t="shared" si="118"/>
        <v/>
      </c>
      <c r="AT438" s="112" t="str">
        <f>IF(AS438="","",COUNTIF($AS$13:AS438,AS438))</f>
        <v/>
      </c>
      <c r="AU438" s="147">
        <f t="shared" si="119"/>
        <v>425</v>
      </c>
      <c r="AV438" s="147">
        <f>COUNTIF($AZ$14:AZ438,AZ438)</f>
        <v>23</v>
      </c>
      <c r="AW438" s="147">
        <f>IFERROR(COUNTIF(AX$14:$BL438,AX438),"")</f>
        <v>61</v>
      </c>
      <c r="AX438" s="148" t="str">
        <f t="shared" si="120"/>
        <v>Thu</v>
      </c>
      <c r="AY438" s="149">
        <f>'Raw Data'!A428</f>
        <v>42033</v>
      </c>
      <c r="AZ438" s="150" t="str">
        <f>'Raw Data'!E428</f>
        <v>20% Off,FS on $49</v>
      </c>
      <c r="BA438" s="150">
        <f>'Raw Data'!I428</f>
        <v>1544</v>
      </c>
      <c r="BB438" s="112"/>
      <c r="BC438" s="112"/>
      <c r="BD438" s="112">
        <f>'Raw Data'!O428</f>
        <v>1</v>
      </c>
    </row>
    <row r="439" spans="19:56">
      <c r="S439" s="30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114" t="str">
        <f t="shared" si="121"/>
        <v/>
      </c>
      <c r="AG439" s="108" t="str">
        <f t="shared" si="113"/>
        <v/>
      </c>
      <c r="AH439" s="21" t="str">
        <f t="shared" si="114"/>
        <v/>
      </c>
      <c r="AI439" s="21" t="str">
        <f t="shared" si="115"/>
        <v/>
      </c>
      <c r="AJ439" s="21" t="str">
        <f t="shared" si="116"/>
        <v/>
      </c>
      <c r="AK439" s="21" t="str">
        <f t="shared" si="117"/>
        <v/>
      </c>
      <c r="AL439" s="21"/>
      <c r="AM439" s="21"/>
      <c r="AN439" s="21"/>
      <c r="AS439" s="112" t="str">
        <f t="shared" si="118"/>
        <v/>
      </c>
      <c r="AT439" s="112" t="str">
        <f>IF(AS439="","",COUNTIF($AS$13:AS439,AS439))</f>
        <v/>
      </c>
      <c r="AU439" s="147">
        <f t="shared" si="119"/>
        <v>426</v>
      </c>
      <c r="AV439" s="147">
        <f>COUNTIF($AZ$14:AZ439,AZ439)</f>
        <v>24</v>
      </c>
      <c r="AW439" s="147">
        <f>IFERROR(COUNTIF(AX$14:$BL439,AX439),"")</f>
        <v>61</v>
      </c>
      <c r="AX439" s="148" t="str">
        <f t="shared" si="120"/>
        <v>Fri</v>
      </c>
      <c r="AY439" s="149">
        <f>'Raw Data'!A429</f>
        <v>42034</v>
      </c>
      <c r="AZ439" s="150" t="str">
        <f>'Raw Data'!E429</f>
        <v>20% Off,FS on $49</v>
      </c>
      <c r="BA439" s="150">
        <f>'Raw Data'!I429</f>
        <v>1435</v>
      </c>
      <c r="BB439" s="112"/>
      <c r="BC439" s="112"/>
      <c r="BD439" s="112">
        <f>'Raw Data'!O429</f>
        <v>1</v>
      </c>
    </row>
    <row r="440" spans="19:56">
      <c r="S440" s="30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114" t="str">
        <f t="shared" si="121"/>
        <v/>
      </c>
      <c r="AG440" s="108" t="str">
        <f t="shared" si="113"/>
        <v/>
      </c>
      <c r="AH440" s="21" t="str">
        <f t="shared" si="114"/>
        <v/>
      </c>
      <c r="AI440" s="21" t="str">
        <f t="shared" si="115"/>
        <v/>
      </c>
      <c r="AJ440" s="21" t="str">
        <f t="shared" si="116"/>
        <v/>
      </c>
      <c r="AK440" s="21" t="str">
        <f t="shared" si="117"/>
        <v/>
      </c>
      <c r="AL440" s="21"/>
      <c r="AM440" s="21"/>
      <c r="AN440" s="21"/>
      <c r="AS440" s="112" t="str">
        <f t="shared" si="118"/>
        <v/>
      </c>
      <c r="AT440" s="112" t="str">
        <f>IF(AS440="","",COUNTIF($AS$13:AS440,AS440))</f>
        <v/>
      </c>
      <c r="AU440" s="147">
        <f t="shared" si="119"/>
        <v>427</v>
      </c>
      <c r="AV440" s="147">
        <f>COUNTIF($AZ$14:AZ440,AZ440)</f>
        <v>87</v>
      </c>
      <c r="AW440" s="147">
        <f>IFERROR(COUNTIF(AX$14:$BL440,AX440),"")</f>
        <v>61</v>
      </c>
      <c r="AX440" s="148" t="str">
        <f t="shared" si="120"/>
        <v>Sat</v>
      </c>
      <c r="AY440" s="149">
        <f>'Raw Data'!A430</f>
        <v>42035</v>
      </c>
      <c r="AZ440" s="150" t="str">
        <f>'Raw Data'!E430</f>
        <v>No Email Drop</v>
      </c>
      <c r="BA440" s="150">
        <f>'Raw Data'!I430</f>
        <v>1033</v>
      </c>
      <c r="BB440" s="112"/>
      <c r="BC440" s="112"/>
      <c r="BD440" s="112">
        <f>'Raw Data'!O430</f>
        <v>0</v>
      </c>
    </row>
    <row r="441" spans="19:56">
      <c r="S441" s="30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114" t="str">
        <f t="shared" si="121"/>
        <v/>
      </c>
      <c r="AG441" s="108" t="str">
        <f t="shared" si="113"/>
        <v/>
      </c>
      <c r="AH441" s="21" t="str">
        <f t="shared" si="114"/>
        <v/>
      </c>
      <c r="AI441" s="21" t="str">
        <f t="shared" si="115"/>
        <v/>
      </c>
      <c r="AJ441" s="21" t="str">
        <f t="shared" si="116"/>
        <v/>
      </c>
      <c r="AK441" s="21" t="str">
        <f t="shared" si="117"/>
        <v/>
      </c>
      <c r="AL441" s="21"/>
      <c r="AM441" s="21"/>
      <c r="AN441" s="21"/>
      <c r="AS441" s="112" t="str">
        <f t="shared" si="118"/>
        <v/>
      </c>
      <c r="AT441" s="112" t="str">
        <f>IF(AS441="","",COUNTIF($AS$13:AS441,AS441))</f>
        <v/>
      </c>
      <c r="AU441" s="147">
        <f t="shared" si="119"/>
        <v>428</v>
      </c>
      <c r="AV441" s="147">
        <f>COUNTIF($AZ$14:AZ441,AZ441)</f>
        <v>14</v>
      </c>
      <c r="AW441" s="147">
        <f>IFERROR(COUNTIF(AX$14:$BL441,AX441),"")</f>
        <v>62</v>
      </c>
      <c r="AX441" s="148" t="str">
        <f t="shared" si="120"/>
        <v>Sun</v>
      </c>
      <c r="AY441" s="149">
        <f>'Raw Data'!A431</f>
        <v>42036</v>
      </c>
      <c r="AZ441" s="150" t="str">
        <f>'Raw Data'!E431</f>
        <v>Up To 40% Off,FS on $49</v>
      </c>
      <c r="BA441" s="150">
        <f>'Raw Data'!I431</f>
        <v>667</v>
      </c>
      <c r="BB441" s="112"/>
      <c r="BC441" s="112"/>
      <c r="BD441" s="112">
        <f>'Raw Data'!O431</f>
        <v>1</v>
      </c>
    </row>
    <row r="442" spans="19:56">
      <c r="S442" s="30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114" t="str">
        <f t="shared" si="121"/>
        <v/>
      </c>
      <c r="AG442" s="108" t="str">
        <f t="shared" si="113"/>
        <v/>
      </c>
      <c r="AH442" s="21" t="str">
        <f t="shared" si="114"/>
        <v/>
      </c>
      <c r="AI442" s="21" t="str">
        <f t="shared" si="115"/>
        <v/>
      </c>
      <c r="AJ442" s="21" t="str">
        <f t="shared" si="116"/>
        <v/>
      </c>
      <c r="AK442" s="21" t="str">
        <f t="shared" si="117"/>
        <v/>
      </c>
      <c r="AL442" s="21"/>
      <c r="AM442" s="21"/>
      <c r="AN442" s="21"/>
      <c r="AS442" s="112" t="str">
        <f t="shared" si="118"/>
        <v/>
      </c>
      <c r="AT442" s="112" t="str">
        <f>IF(AS442="","",COUNTIF($AS$13:AS442,AS442))</f>
        <v/>
      </c>
      <c r="AU442" s="147">
        <f t="shared" si="119"/>
        <v>429</v>
      </c>
      <c r="AV442" s="147">
        <f>COUNTIF($AZ$14:AZ442,AZ442)</f>
        <v>88</v>
      </c>
      <c r="AW442" s="147">
        <f>IFERROR(COUNTIF(AX$14:$BL442,AX442),"")</f>
        <v>62</v>
      </c>
      <c r="AX442" s="148" t="str">
        <f t="shared" si="120"/>
        <v>Mon</v>
      </c>
      <c r="AY442" s="149">
        <f>'Raw Data'!A432</f>
        <v>42037</v>
      </c>
      <c r="AZ442" s="150" t="str">
        <f>'Raw Data'!E432</f>
        <v>No Email Drop</v>
      </c>
      <c r="BA442" s="150">
        <f>'Raw Data'!I432</f>
        <v>1180</v>
      </c>
      <c r="BB442" s="112"/>
      <c r="BC442" s="112"/>
      <c r="BD442" s="112">
        <f>'Raw Data'!O432</f>
        <v>0</v>
      </c>
    </row>
    <row r="443" spans="19:56">
      <c r="S443" s="30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114" t="str">
        <f t="shared" si="121"/>
        <v/>
      </c>
      <c r="AG443" s="108" t="str">
        <f t="shared" si="113"/>
        <v/>
      </c>
      <c r="AH443" s="21" t="str">
        <f t="shared" si="114"/>
        <v/>
      </c>
      <c r="AI443" s="21" t="str">
        <f t="shared" si="115"/>
        <v/>
      </c>
      <c r="AJ443" s="21" t="str">
        <f t="shared" si="116"/>
        <v/>
      </c>
      <c r="AK443" s="21" t="str">
        <f t="shared" si="117"/>
        <v/>
      </c>
      <c r="AL443" s="21"/>
      <c r="AM443" s="21"/>
      <c r="AN443" s="21"/>
      <c r="AS443" s="112" t="str">
        <f t="shared" si="118"/>
        <v/>
      </c>
      <c r="AT443" s="112" t="str">
        <f>IF(AS443="","",COUNTIF($AS$13:AS443,AS443))</f>
        <v/>
      </c>
      <c r="AU443" s="147">
        <f t="shared" si="119"/>
        <v>430</v>
      </c>
      <c r="AV443" s="147">
        <f>COUNTIF($AZ$14:AZ443,AZ443)</f>
        <v>2</v>
      </c>
      <c r="AW443" s="147">
        <f>IFERROR(COUNTIF(AX$14:$BL443,AX443),"")</f>
        <v>62</v>
      </c>
      <c r="AX443" s="148" t="str">
        <f t="shared" si="120"/>
        <v>Tue</v>
      </c>
      <c r="AY443" s="149">
        <f>'Raw Data'!A433</f>
        <v>42038</v>
      </c>
      <c r="AZ443" s="150" t="str">
        <f>'Raw Data'!E433</f>
        <v>Adverts Only</v>
      </c>
      <c r="BA443" s="150">
        <f>'Raw Data'!I433</f>
        <v>1244</v>
      </c>
      <c r="BB443" s="112"/>
      <c r="BC443" s="112"/>
      <c r="BD443" s="112">
        <f>'Raw Data'!O433</f>
        <v>1</v>
      </c>
    </row>
    <row r="444" spans="19:56">
      <c r="S444" s="30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114" t="str">
        <f t="shared" si="121"/>
        <v/>
      </c>
      <c r="AG444" s="108" t="str">
        <f t="shared" si="113"/>
        <v/>
      </c>
      <c r="AH444" s="21" t="str">
        <f t="shared" si="114"/>
        <v/>
      </c>
      <c r="AI444" s="21" t="str">
        <f t="shared" si="115"/>
        <v/>
      </c>
      <c r="AJ444" s="21" t="str">
        <f t="shared" si="116"/>
        <v/>
      </c>
      <c r="AK444" s="21" t="str">
        <f t="shared" si="117"/>
        <v/>
      </c>
      <c r="AL444" s="21"/>
      <c r="AM444" s="21"/>
      <c r="AN444" s="21"/>
      <c r="AS444" s="112">
        <f t="shared" si="118"/>
        <v>1</v>
      </c>
      <c r="AT444" s="112">
        <f>IF(AS444="","",COUNTIF($AS$13:AS444,AS444))</f>
        <v>14</v>
      </c>
      <c r="AU444" s="147">
        <f t="shared" si="119"/>
        <v>431</v>
      </c>
      <c r="AV444" s="147">
        <f>COUNTIF($AZ$14:AZ444,AZ444)</f>
        <v>1</v>
      </c>
      <c r="AW444" s="147">
        <f>IFERROR(COUNTIF(AX$14:$BL444,AX444),"")</f>
        <v>62</v>
      </c>
      <c r="AX444" s="148" t="str">
        <f t="shared" si="120"/>
        <v>Wed</v>
      </c>
      <c r="AY444" s="149">
        <f>'Raw Data'!A434</f>
        <v>42039</v>
      </c>
      <c r="AZ444" s="150" t="str">
        <f>'Raw Data'!E434</f>
        <v>Flash Sale,$20 Off,FS on $49</v>
      </c>
      <c r="BA444" s="150">
        <f>'Raw Data'!I434</f>
        <v>1832</v>
      </c>
      <c r="BB444" s="112"/>
      <c r="BC444" s="112"/>
      <c r="BD444" s="112">
        <f>'Raw Data'!O434</f>
        <v>2</v>
      </c>
    </row>
    <row r="445" spans="19:56">
      <c r="S445" s="30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114" t="str">
        <f t="shared" si="121"/>
        <v/>
      </c>
      <c r="AG445" s="108" t="str">
        <f t="shared" si="113"/>
        <v/>
      </c>
      <c r="AH445" s="21" t="str">
        <f t="shared" si="114"/>
        <v/>
      </c>
      <c r="AI445" s="21" t="str">
        <f t="shared" si="115"/>
        <v/>
      </c>
      <c r="AJ445" s="21" t="str">
        <f t="shared" si="116"/>
        <v/>
      </c>
      <c r="AK445" s="21" t="str">
        <f t="shared" si="117"/>
        <v/>
      </c>
      <c r="AL445" s="21"/>
      <c r="AM445" s="21"/>
      <c r="AN445" s="21"/>
      <c r="AS445" s="112">
        <f t="shared" si="118"/>
        <v>1</v>
      </c>
      <c r="AT445" s="112">
        <f>IF(AS445="","",COUNTIF($AS$13:AS445,AS445))</f>
        <v>15</v>
      </c>
      <c r="AU445" s="147">
        <f t="shared" si="119"/>
        <v>432</v>
      </c>
      <c r="AV445" s="147">
        <f>COUNTIF($AZ$14:AZ445,AZ445)</f>
        <v>2</v>
      </c>
      <c r="AW445" s="147">
        <f>IFERROR(COUNTIF(AX$14:$BL445,AX445),"")</f>
        <v>62</v>
      </c>
      <c r="AX445" s="148" t="str">
        <f t="shared" si="120"/>
        <v>Thu</v>
      </c>
      <c r="AY445" s="149">
        <f>'Raw Data'!A435</f>
        <v>42040</v>
      </c>
      <c r="AZ445" s="150" t="str">
        <f>'Raw Data'!E435</f>
        <v>Flash Sale,$20 Off,FS on $49</v>
      </c>
      <c r="BA445" s="150">
        <f>'Raw Data'!I435</f>
        <v>1738</v>
      </c>
      <c r="BB445" s="112"/>
      <c r="BC445" s="112"/>
      <c r="BD445" s="112">
        <f>'Raw Data'!O435</f>
        <v>2</v>
      </c>
    </row>
    <row r="446" spans="19:56">
      <c r="S446" s="30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114" t="str">
        <f t="shared" si="121"/>
        <v/>
      </c>
      <c r="AG446" s="108" t="str">
        <f t="shared" si="113"/>
        <v/>
      </c>
      <c r="AH446" s="21" t="str">
        <f t="shared" si="114"/>
        <v/>
      </c>
      <c r="AI446" s="21" t="str">
        <f t="shared" si="115"/>
        <v/>
      </c>
      <c r="AJ446" s="21" t="str">
        <f t="shared" si="116"/>
        <v/>
      </c>
      <c r="AK446" s="21" t="str">
        <f t="shared" si="117"/>
        <v/>
      </c>
      <c r="AL446" s="21"/>
      <c r="AM446" s="21"/>
      <c r="AN446" s="21"/>
      <c r="AS446" s="112" t="str">
        <f t="shared" si="118"/>
        <v/>
      </c>
      <c r="AT446" s="112" t="str">
        <f>IF(AS446="","",COUNTIF($AS$13:AS446,AS446))</f>
        <v/>
      </c>
      <c r="AU446" s="147">
        <f t="shared" si="119"/>
        <v>433</v>
      </c>
      <c r="AV446" s="147">
        <f>COUNTIF($AZ$14:AZ446,AZ446)</f>
        <v>24</v>
      </c>
      <c r="AW446" s="147">
        <f>IFERROR(COUNTIF(AX$14:$BL446,AX446),"")</f>
        <v>62</v>
      </c>
      <c r="AX446" s="148" t="str">
        <f t="shared" si="120"/>
        <v>Fri</v>
      </c>
      <c r="AY446" s="149">
        <f>'Raw Data'!A436</f>
        <v>42041</v>
      </c>
      <c r="AZ446" s="150" t="str">
        <f>'Raw Data'!E436</f>
        <v>Free Ship No Min</v>
      </c>
      <c r="BA446" s="150">
        <f>'Raw Data'!I436</f>
        <v>1727</v>
      </c>
      <c r="BB446" s="112"/>
      <c r="BC446" s="112"/>
      <c r="BD446" s="112">
        <f>'Raw Data'!O436</f>
        <v>2</v>
      </c>
    </row>
    <row r="447" spans="19:56">
      <c r="S447" s="30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114" t="str">
        <f t="shared" si="121"/>
        <v/>
      </c>
      <c r="AG447" s="108" t="str">
        <f t="shared" si="113"/>
        <v/>
      </c>
      <c r="AH447" s="21" t="str">
        <f t="shared" si="114"/>
        <v/>
      </c>
      <c r="AI447" s="21" t="str">
        <f t="shared" si="115"/>
        <v/>
      </c>
      <c r="AJ447" s="21" t="str">
        <f t="shared" si="116"/>
        <v/>
      </c>
      <c r="AK447" s="21" t="str">
        <f t="shared" si="117"/>
        <v/>
      </c>
      <c r="AL447" s="21"/>
      <c r="AM447" s="21"/>
      <c r="AN447" s="21"/>
      <c r="AS447" s="112" t="str">
        <f t="shared" si="118"/>
        <v/>
      </c>
      <c r="AT447" s="112" t="str">
        <f>IF(AS447="","",COUNTIF($AS$13:AS447,AS447))</f>
        <v/>
      </c>
      <c r="AU447" s="147">
        <f t="shared" si="119"/>
        <v>434</v>
      </c>
      <c r="AV447" s="147">
        <f>COUNTIF($AZ$14:AZ447,AZ447)</f>
        <v>15</v>
      </c>
      <c r="AW447" s="147">
        <f>IFERROR(COUNTIF(AX$14:$BL447,AX447),"")</f>
        <v>62</v>
      </c>
      <c r="AX447" s="148" t="str">
        <f t="shared" si="120"/>
        <v>Sat</v>
      </c>
      <c r="AY447" s="149">
        <f>'Raw Data'!A437</f>
        <v>42042</v>
      </c>
      <c r="AZ447" s="150" t="str">
        <f>'Raw Data'!E437</f>
        <v>Up To 40% Off,FS on $49</v>
      </c>
      <c r="BA447" s="150">
        <f>'Raw Data'!I437</f>
        <v>979</v>
      </c>
      <c r="BB447" s="112"/>
      <c r="BC447" s="112"/>
      <c r="BD447" s="112">
        <f>'Raw Data'!O437</f>
        <v>2</v>
      </c>
    </row>
    <row r="448" spans="19:56">
      <c r="S448" s="30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114" t="str">
        <f t="shared" si="121"/>
        <v/>
      </c>
      <c r="AG448" s="108" t="str">
        <f t="shared" si="113"/>
        <v/>
      </c>
      <c r="AH448" s="21" t="str">
        <f t="shared" si="114"/>
        <v/>
      </c>
      <c r="AI448" s="21" t="str">
        <f t="shared" si="115"/>
        <v/>
      </c>
      <c r="AJ448" s="21" t="str">
        <f t="shared" si="116"/>
        <v/>
      </c>
      <c r="AK448" s="21" t="str">
        <f t="shared" si="117"/>
        <v/>
      </c>
      <c r="AL448" s="21"/>
      <c r="AM448" s="21"/>
      <c r="AN448" s="21"/>
      <c r="AS448" s="112" t="str">
        <f t="shared" si="118"/>
        <v/>
      </c>
      <c r="AT448" s="112" t="str">
        <f>IF(AS448="","",COUNTIF($AS$13:AS448,AS448))</f>
        <v/>
      </c>
      <c r="AU448" s="147">
        <f t="shared" si="119"/>
        <v>435</v>
      </c>
      <c r="AV448" s="147">
        <f>COUNTIF($AZ$14:AZ448,AZ448)</f>
        <v>16</v>
      </c>
      <c r="AW448" s="147">
        <f>IFERROR(COUNTIF(AX$14:$BL448,AX448),"")</f>
        <v>63</v>
      </c>
      <c r="AX448" s="148" t="str">
        <f t="shared" si="120"/>
        <v>Sun</v>
      </c>
      <c r="AY448" s="149">
        <f>'Raw Data'!A438</f>
        <v>42043</v>
      </c>
      <c r="AZ448" s="150" t="str">
        <f>'Raw Data'!E438</f>
        <v>Up To 40% Off,FS on $49</v>
      </c>
      <c r="BA448" s="150">
        <f>'Raw Data'!I438</f>
        <v>799</v>
      </c>
      <c r="BB448" s="112"/>
      <c r="BC448" s="112"/>
      <c r="BD448" s="112">
        <f>'Raw Data'!O438</f>
        <v>1</v>
      </c>
    </row>
    <row r="449" spans="19:56">
      <c r="S449" s="30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114" t="str">
        <f t="shared" si="121"/>
        <v/>
      </c>
      <c r="AG449" s="108" t="str">
        <f t="shared" si="113"/>
        <v/>
      </c>
      <c r="AH449" s="21" t="str">
        <f t="shared" si="114"/>
        <v/>
      </c>
      <c r="AI449" s="21" t="str">
        <f t="shared" si="115"/>
        <v/>
      </c>
      <c r="AJ449" s="21" t="str">
        <f t="shared" si="116"/>
        <v/>
      </c>
      <c r="AK449" s="21" t="str">
        <f t="shared" si="117"/>
        <v/>
      </c>
      <c r="AL449" s="21"/>
      <c r="AM449" s="21"/>
      <c r="AN449" s="21"/>
      <c r="AS449" s="112" t="str">
        <f t="shared" si="118"/>
        <v/>
      </c>
      <c r="AT449" s="112" t="str">
        <f>IF(AS449="","",COUNTIF($AS$13:AS449,AS449))</f>
        <v/>
      </c>
      <c r="AU449" s="147">
        <f t="shared" si="119"/>
        <v>436</v>
      </c>
      <c r="AV449" s="147">
        <f>COUNTIF($AZ$14:AZ449,AZ449)</f>
        <v>3</v>
      </c>
      <c r="AW449" s="147">
        <f>IFERROR(COUNTIF(AX$14:$BL449,AX449),"")</f>
        <v>63</v>
      </c>
      <c r="AX449" s="148" t="str">
        <f t="shared" si="120"/>
        <v>Mon</v>
      </c>
      <c r="AY449" s="149">
        <f>'Raw Data'!A439</f>
        <v>42044</v>
      </c>
      <c r="AZ449" s="150" t="str">
        <f>'Raw Data'!E439</f>
        <v>Adverts Only</v>
      </c>
      <c r="BA449" s="150">
        <f>'Raw Data'!I439</f>
        <v>1430</v>
      </c>
      <c r="BB449" s="112"/>
      <c r="BC449" s="112"/>
      <c r="BD449" s="112">
        <f>'Raw Data'!O439</f>
        <v>1</v>
      </c>
    </row>
    <row r="450" spans="19:56">
      <c r="S450" s="30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114" t="str">
        <f t="shared" si="121"/>
        <v/>
      </c>
      <c r="AG450" s="108" t="str">
        <f t="shared" si="113"/>
        <v/>
      </c>
      <c r="AH450" s="21" t="str">
        <f t="shared" si="114"/>
        <v/>
      </c>
      <c r="AI450" s="21" t="str">
        <f t="shared" si="115"/>
        <v/>
      </c>
      <c r="AJ450" s="21" t="str">
        <f t="shared" si="116"/>
        <v/>
      </c>
      <c r="AK450" s="21" t="str">
        <f t="shared" si="117"/>
        <v/>
      </c>
      <c r="AL450" s="21"/>
      <c r="AM450" s="21"/>
      <c r="AN450" s="21"/>
      <c r="AS450" s="112" t="str">
        <f t="shared" si="118"/>
        <v/>
      </c>
      <c r="AT450" s="112" t="str">
        <f>IF(AS450="","",COUNTIF($AS$13:AS450,AS450))</f>
        <v/>
      </c>
      <c r="AU450" s="147">
        <f t="shared" si="119"/>
        <v>437</v>
      </c>
      <c r="AV450" s="147">
        <f>COUNTIF($AZ$14:AZ450,AZ450)</f>
        <v>17</v>
      </c>
      <c r="AW450" s="147">
        <f>IFERROR(COUNTIF(AX$14:$BL450,AX450),"")</f>
        <v>63</v>
      </c>
      <c r="AX450" s="148" t="str">
        <f t="shared" si="120"/>
        <v>Tue</v>
      </c>
      <c r="AY450" s="149">
        <f>'Raw Data'!A440</f>
        <v>42045</v>
      </c>
      <c r="AZ450" s="150" t="str">
        <f>'Raw Data'!E440</f>
        <v>Up To 40% Off,FS on $49</v>
      </c>
      <c r="BA450" s="150">
        <f>'Raw Data'!I440</f>
        <v>1498</v>
      </c>
      <c r="BB450" s="112"/>
      <c r="BC450" s="112"/>
      <c r="BD450" s="112">
        <f>'Raw Data'!O440</f>
        <v>2</v>
      </c>
    </row>
    <row r="451" spans="19:56">
      <c r="S451" s="30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114" t="str">
        <f t="shared" si="121"/>
        <v/>
      </c>
      <c r="AG451" s="108" t="str">
        <f t="shared" si="113"/>
        <v/>
      </c>
      <c r="AH451" s="21" t="str">
        <f t="shared" si="114"/>
        <v/>
      </c>
      <c r="AI451" s="21" t="str">
        <f t="shared" si="115"/>
        <v/>
      </c>
      <c r="AJ451" s="21" t="str">
        <f t="shared" si="116"/>
        <v/>
      </c>
      <c r="AK451" s="21" t="str">
        <f t="shared" si="117"/>
        <v/>
      </c>
      <c r="AL451" s="21"/>
      <c r="AM451" s="21"/>
      <c r="AN451" s="21"/>
      <c r="AS451" s="112" t="str">
        <f t="shared" si="118"/>
        <v/>
      </c>
      <c r="AT451" s="112" t="str">
        <f>IF(AS451="","",COUNTIF($AS$13:AS451,AS451))</f>
        <v/>
      </c>
      <c r="AU451" s="147">
        <f t="shared" si="119"/>
        <v>438</v>
      </c>
      <c r="AV451" s="147">
        <f>COUNTIF($AZ$14:AZ451,AZ451)</f>
        <v>18</v>
      </c>
      <c r="AW451" s="147">
        <f>IFERROR(COUNTIF(AX$14:$BL451,AX451),"")</f>
        <v>63</v>
      </c>
      <c r="AX451" s="148" t="str">
        <f t="shared" si="120"/>
        <v>Wed</v>
      </c>
      <c r="AY451" s="149">
        <f>'Raw Data'!A441</f>
        <v>42046</v>
      </c>
      <c r="AZ451" s="150" t="str">
        <f>'Raw Data'!E441</f>
        <v>Up To 40% Off,FS on $49</v>
      </c>
      <c r="BA451" s="150">
        <f>'Raw Data'!I441</f>
        <v>1382</v>
      </c>
      <c r="BB451" s="112"/>
      <c r="BC451" s="112"/>
      <c r="BD451" s="112">
        <f>'Raw Data'!O441</f>
        <v>2</v>
      </c>
    </row>
    <row r="452" spans="19:56">
      <c r="S452" s="30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114" t="str">
        <f t="shared" si="121"/>
        <v/>
      </c>
      <c r="AG452" s="108" t="str">
        <f t="shared" si="113"/>
        <v/>
      </c>
      <c r="AH452" s="21" t="str">
        <f t="shared" si="114"/>
        <v/>
      </c>
      <c r="AI452" s="21" t="str">
        <f t="shared" si="115"/>
        <v/>
      </c>
      <c r="AJ452" s="21" t="str">
        <f t="shared" si="116"/>
        <v/>
      </c>
      <c r="AK452" s="21" t="str">
        <f t="shared" si="117"/>
        <v/>
      </c>
      <c r="AL452" s="21"/>
      <c r="AM452" s="21"/>
      <c r="AN452" s="21"/>
      <c r="AS452" s="112" t="str">
        <f t="shared" si="118"/>
        <v/>
      </c>
      <c r="AT452" s="112" t="str">
        <f>IF(AS452="","",COUNTIF($AS$13:AS452,AS452))</f>
        <v/>
      </c>
      <c r="AU452" s="147">
        <f t="shared" si="119"/>
        <v>439</v>
      </c>
      <c r="AV452" s="147">
        <f>COUNTIF($AZ$14:AZ452,AZ452)</f>
        <v>19</v>
      </c>
      <c r="AW452" s="147">
        <f>IFERROR(COUNTIF(AX$14:$BL452,AX452),"")</f>
        <v>63</v>
      </c>
      <c r="AX452" s="148" t="str">
        <f t="shared" si="120"/>
        <v>Thu</v>
      </c>
      <c r="AY452" s="149">
        <f>'Raw Data'!A442</f>
        <v>42047</v>
      </c>
      <c r="AZ452" s="150" t="str">
        <f>'Raw Data'!E442</f>
        <v>Up To 40% Off,FS on $49</v>
      </c>
      <c r="BA452" s="150">
        <f>'Raw Data'!I442</f>
        <v>1309</v>
      </c>
      <c r="BB452" s="112"/>
      <c r="BC452" s="112"/>
      <c r="BD452" s="112">
        <f>'Raw Data'!O442</f>
        <v>1</v>
      </c>
    </row>
    <row r="453" spans="19:56">
      <c r="S453" s="30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114" t="str">
        <f t="shared" si="121"/>
        <v/>
      </c>
      <c r="AG453" s="108" t="str">
        <f t="shared" si="113"/>
        <v/>
      </c>
      <c r="AH453" s="21" t="str">
        <f t="shared" si="114"/>
        <v/>
      </c>
      <c r="AI453" s="21" t="str">
        <f t="shared" si="115"/>
        <v/>
      </c>
      <c r="AJ453" s="21" t="str">
        <f t="shared" si="116"/>
        <v/>
      </c>
      <c r="AK453" s="21" t="str">
        <f t="shared" si="117"/>
        <v/>
      </c>
      <c r="AL453" s="21"/>
      <c r="AM453" s="21"/>
      <c r="AN453" s="21"/>
      <c r="AS453" s="112" t="str">
        <f t="shared" si="118"/>
        <v/>
      </c>
      <c r="AT453" s="112" t="str">
        <f>IF(AS453="","",COUNTIF($AS$13:AS453,AS453))</f>
        <v/>
      </c>
      <c r="AU453" s="147">
        <f t="shared" si="119"/>
        <v>440</v>
      </c>
      <c r="AV453" s="147">
        <f>COUNTIF($AZ$14:AZ453,AZ453)</f>
        <v>14</v>
      </c>
      <c r="AW453" s="147">
        <f>IFERROR(COUNTIF(AX$14:$BL453,AX453),"")</f>
        <v>63</v>
      </c>
      <c r="AX453" s="148" t="str">
        <f t="shared" si="120"/>
        <v>Fri</v>
      </c>
      <c r="AY453" s="149">
        <f>'Raw Data'!A443</f>
        <v>42048</v>
      </c>
      <c r="AZ453" s="150" t="str">
        <f>'Raw Data'!E443</f>
        <v>Up To 50% Off,FS on $49</v>
      </c>
      <c r="BA453" s="150">
        <f>'Raw Data'!I443</f>
        <v>1224</v>
      </c>
      <c r="BB453" s="112"/>
      <c r="BC453" s="112"/>
      <c r="BD453" s="112">
        <f>'Raw Data'!O443</f>
        <v>1</v>
      </c>
    </row>
    <row r="454" spans="19:56">
      <c r="S454" s="30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114" t="str">
        <f t="shared" si="121"/>
        <v/>
      </c>
      <c r="AG454" s="108" t="str">
        <f t="shared" si="113"/>
        <v/>
      </c>
      <c r="AH454" s="21" t="str">
        <f t="shared" si="114"/>
        <v/>
      </c>
      <c r="AI454" s="21" t="str">
        <f t="shared" si="115"/>
        <v/>
      </c>
      <c r="AJ454" s="21" t="str">
        <f t="shared" si="116"/>
        <v/>
      </c>
      <c r="AK454" s="21" t="str">
        <f t="shared" si="117"/>
        <v/>
      </c>
      <c r="AL454" s="21"/>
      <c r="AM454" s="21"/>
      <c r="AN454" s="21"/>
      <c r="AS454" s="112" t="str">
        <f t="shared" si="118"/>
        <v/>
      </c>
      <c r="AT454" s="112" t="str">
        <f>IF(AS454="","",COUNTIF($AS$13:AS454,AS454))</f>
        <v/>
      </c>
      <c r="AU454" s="147">
        <f t="shared" si="119"/>
        <v>441</v>
      </c>
      <c r="AV454" s="147">
        <f>COUNTIF($AZ$14:AZ454,AZ454)</f>
        <v>15</v>
      </c>
      <c r="AW454" s="147">
        <f>IFERROR(COUNTIF(AX$14:$BL454,AX454),"")</f>
        <v>63</v>
      </c>
      <c r="AX454" s="148" t="str">
        <f t="shared" si="120"/>
        <v>Sat</v>
      </c>
      <c r="AY454" s="149">
        <f>'Raw Data'!A444</f>
        <v>42049</v>
      </c>
      <c r="AZ454" s="150" t="str">
        <f>'Raw Data'!E444</f>
        <v>Up To 50% Off,FS on $49</v>
      </c>
      <c r="BA454" s="150">
        <f>'Raw Data'!I444</f>
        <v>943</v>
      </c>
      <c r="BB454" s="112"/>
      <c r="BC454" s="112"/>
      <c r="BD454" s="112">
        <f>'Raw Data'!O444</f>
        <v>1</v>
      </c>
    </row>
    <row r="455" spans="19:56">
      <c r="S455" s="30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114" t="str">
        <f t="shared" si="121"/>
        <v/>
      </c>
      <c r="AG455" s="108" t="str">
        <f t="shared" si="113"/>
        <v/>
      </c>
      <c r="AH455" s="21" t="str">
        <f t="shared" si="114"/>
        <v/>
      </c>
      <c r="AI455" s="21" t="str">
        <f t="shared" si="115"/>
        <v/>
      </c>
      <c r="AJ455" s="21" t="str">
        <f t="shared" si="116"/>
        <v/>
      </c>
      <c r="AK455" s="21" t="str">
        <f t="shared" si="117"/>
        <v/>
      </c>
      <c r="AL455" s="21"/>
      <c r="AM455" s="21"/>
      <c r="AN455" s="21"/>
      <c r="AS455" s="112" t="str">
        <f t="shared" si="118"/>
        <v/>
      </c>
      <c r="AT455" s="112" t="str">
        <f>IF(AS455="","",COUNTIF($AS$13:AS455,AS455))</f>
        <v/>
      </c>
      <c r="AU455" s="147">
        <f t="shared" si="119"/>
        <v>442</v>
      </c>
      <c r="AV455" s="147">
        <f>COUNTIF($AZ$14:AZ455,AZ455)</f>
        <v>2</v>
      </c>
      <c r="AW455" s="147">
        <f>IFERROR(COUNTIF(AX$14:$BL455,AX455),"")</f>
        <v>64</v>
      </c>
      <c r="AX455" s="148" t="str">
        <f t="shared" si="120"/>
        <v>Sun</v>
      </c>
      <c r="AY455" s="149">
        <f>'Raw Data'!A445</f>
        <v>42050</v>
      </c>
      <c r="AZ455" s="150" t="str">
        <f>'Raw Data'!E445</f>
        <v>$10 Off,FS on $49 Mobile</v>
      </c>
      <c r="BA455" s="150">
        <f>'Raw Data'!I445</f>
        <v>948</v>
      </c>
      <c r="BB455" s="112"/>
      <c r="BC455" s="112"/>
      <c r="BD455" s="112">
        <f>'Raw Data'!O445</f>
        <v>1</v>
      </c>
    </row>
    <row r="456" spans="19:56">
      <c r="S456" s="30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114" t="str">
        <f t="shared" si="121"/>
        <v/>
      </c>
      <c r="AG456" s="108" t="str">
        <f t="shared" si="113"/>
        <v/>
      </c>
      <c r="AH456" s="21" t="str">
        <f t="shared" si="114"/>
        <v/>
      </c>
      <c r="AI456" s="21" t="str">
        <f t="shared" si="115"/>
        <v/>
      </c>
      <c r="AJ456" s="21" t="str">
        <f t="shared" si="116"/>
        <v/>
      </c>
      <c r="AK456" s="21" t="str">
        <f t="shared" si="117"/>
        <v/>
      </c>
      <c r="AL456" s="21"/>
      <c r="AM456" s="21"/>
      <c r="AN456" s="21"/>
      <c r="AS456" s="112" t="str">
        <f t="shared" si="118"/>
        <v/>
      </c>
      <c r="AT456" s="112" t="str">
        <f>IF(AS456="","",COUNTIF($AS$13:AS456,AS456))</f>
        <v/>
      </c>
      <c r="AU456" s="147">
        <f t="shared" si="119"/>
        <v>443</v>
      </c>
      <c r="AV456" s="147">
        <f>COUNTIF($AZ$14:AZ456,AZ456)</f>
        <v>3</v>
      </c>
      <c r="AW456" s="147">
        <f>IFERROR(COUNTIF(AX$14:$BL456,AX456),"")</f>
        <v>64</v>
      </c>
      <c r="AX456" s="148" t="str">
        <f t="shared" si="120"/>
        <v>Mon</v>
      </c>
      <c r="AY456" s="149">
        <f>'Raw Data'!A446</f>
        <v>42051</v>
      </c>
      <c r="AZ456" s="150" t="str">
        <f>'Raw Data'!E446</f>
        <v>$10 Off,FS on $49 Mobile</v>
      </c>
      <c r="BA456" s="150">
        <f>'Raw Data'!I446</f>
        <v>1593</v>
      </c>
      <c r="BB456" s="112"/>
      <c r="BC456" s="112"/>
      <c r="BD456" s="112">
        <f>'Raw Data'!O446</f>
        <v>2</v>
      </c>
    </row>
    <row r="457" spans="19:56">
      <c r="S457" s="30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114" t="str">
        <f t="shared" si="121"/>
        <v/>
      </c>
      <c r="AG457" s="108" t="str">
        <f t="shared" si="113"/>
        <v/>
      </c>
      <c r="AH457" s="21" t="str">
        <f t="shared" si="114"/>
        <v/>
      </c>
      <c r="AI457" s="21" t="str">
        <f t="shared" si="115"/>
        <v/>
      </c>
      <c r="AJ457" s="21" t="str">
        <f t="shared" si="116"/>
        <v/>
      </c>
      <c r="AK457" s="21" t="str">
        <f t="shared" si="117"/>
        <v/>
      </c>
      <c r="AL457" s="21"/>
      <c r="AM457" s="21"/>
      <c r="AN457" s="21"/>
      <c r="AS457" s="112" t="str">
        <f t="shared" si="118"/>
        <v/>
      </c>
      <c r="AT457" s="112" t="str">
        <f>IF(AS457="","",COUNTIF($AS$13:AS457,AS457))</f>
        <v/>
      </c>
      <c r="AU457" s="147">
        <f t="shared" si="119"/>
        <v>444</v>
      </c>
      <c r="AV457" s="147">
        <f>COUNTIF($AZ$14:AZ457,AZ457)</f>
        <v>20</v>
      </c>
      <c r="AW457" s="147">
        <f>IFERROR(COUNTIF(AX$14:$BL457,AX457),"")</f>
        <v>64</v>
      </c>
      <c r="AX457" s="148" t="str">
        <f t="shared" si="120"/>
        <v>Tue</v>
      </c>
      <c r="AY457" s="149">
        <f>'Raw Data'!A447</f>
        <v>42052</v>
      </c>
      <c r="AZ457" s="150" t="str">
        <f>'Raw Data'!E447</f>
        <v>Up To 40% Off,FS on $49</v>
      </c>
      <c r="BA457" s="150">
        <f>'Raw Data'!I447</f>
        <v>1272</v>
      </c>
      <c r="BB457" s="112"/>
      <c r="BC457" s="112"/>
      <c r="BD457" s="112">
        <f>'Raw Data'!O447</f>
        <v>1</v>
      </c>
    </row>
    <row r="458" spans="19:56">
      <c r="S458" s="30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114" t="str">
        <f t="shared" si="121"/>
        <v/>
      </c>
      <c r="AG458" s="108" t="str">
        <f t="shared" si="113"/>
        <v/>
      </c>
      <c r="AH458" s="21" t="str">
        <f t="shared" si="114"/>
        <v/>
      </c>
      <c r="AI458" s="21" t="str">
        <f t="shared" si="115"/>
        <v/>
      </c>
      <c r="AJ458" s="21" t="str">
        <f t="shared" si="116"/>
        <v/>
      </c>
      <c r="AK458" s="21" t="str">
        <f t="shared" si="117"/>
        <v/>
      </c>
      <c r="AL458" s="21"/>
      <c r="AM458" s="21"/>
      <c r="AN458" s="21"/>
      <c r="AS458" s="112" t="str">
        <f t="shared" si="118"/>
        <v/>
      </c>
      <c r="AT458" s="112" t="str">
        <f>IF(AS458="","",COUNTIF($AS$13:AS458,AS458))</f>
        <v/>
      </c>
      <c r="AU458" s="147">
        <f t="shared" si="119"/>
        <v>445</v>
      </c>
      <c r="AV458" s="147">
        <f>COUNTIF($AZ$14:AZ458,AZ458)</f>
        <v>89</v>
      </c>
      <c r="AW458" s="147">
        <f>IFERROR(COUNTIF(AX$14:$BL458,AX458),"")</f>
        <v>64</v>
      </c>
      <c r="AX458" s="148" t="str">
        <f t="shared" si="120"/>
        <v>Wed</v>
      </c>
      <c r="AY458" s="149">
        <f>'Raw Data'!A448</f>
        <v>42053</v>
      </c>
      <c r="AZ458" s="150" t="str">
        <f>'Raw Data'!E448</f>
        <v>No Email Drop</v>
      </c>
      <c r="BA458" s="150">
        <f>'Raw Data'!I448</f>
        <v>1142</v>
      </c>
      <c r="BB458" s="112"/>
      <c r="BC458" s="112"/>
      <c r="BD458" s="112">
        <f>'Raw Data'!O448</f>
        <v>0</v>
      </c>
    </row>
    <row r="459" spans="19:56">
      <c r="S459" s="30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114" t="str">
        <f t="shared" si="121"/>
        <v/>
      </c>
      <c r="AG459" s="108" t="str">
        <f t="shared" si="113"/>
        <v/>
      </c>
      <c r="AH459" s="21" t="str">
        <f t="shared" si="114"/>
        <v/>
      </c>
      <c r="AI459" s="21" t="str">
        <f t="shared" si="115"/>
        <v/>
      </c>
      <c r="AJ459" s="21" t="str">
        <f t="shared" si="116"/>
        <v/>
      </c>
      <c r="AK459" s="21" t="str">
        <f t="shared" si="117"/>
        <v/>
      </c>
      <c r="AL459" s="21"/>
      <c r="AM459" s="21"/>
      <c r="AN459" s="21"/>
      <c r="AS459" s="112" t="str">
        <f t="shared" si="118"/>
        <v/>
      </c>
      <c r="AT459" s="112" t="str">
        <f>IF(AS459="","",COUNTIF($AS$13:AS459,AS459))</f>
        <v/>
      </c>
      <c r="AU459" s="147">
        <f t="shared" si="119"/>
        <v>446</v>
      </c>
      <c r="AV459" s="147">
        <f>COUNTIF($AZ$14:AZ459,AZ459)</f>
        <v>16</v>
      </c>
      <c r="AW459" s="147">
        <f>IFERROR(COUNTIF(AX$14:$BL459,AX459),"")</f>
        <v>64</v>
      </c>
      <c r="AX459" s="148" t="str">
        <f t="shared" si="120"/>
        <v>Thu</v>
      </c>
      <c r="AY459" s="149">
        <f>'Raw Data'!A449</f>
        <v>42054</v>
      </c>
      <c r="AZ459" s="150" t="str">
        <f>'Raw Data'!E449</f>
        <v>Up To 50% Off,FS on $49</v>
      </c>
      <c r="BA459" s="150">
        <f>'Raw Data'!I449</f>
        <v>1269</v>
      </c>
      <c r="BB459" s="112"/>
      <c r="BC459" s="112"/>
      <c r="BD459" s="112">
        <f>'Raw Data'!O449</f>
        <v>1</v>
      </c>
    </row>
    <row r="460" spans="19:56">
      <c r="S460" s="30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114" t="str">
        <f t="shared" si="121"/>
        <v/>
      </c>
      <c r="AG460" s="108" t="str">
        <f t="shared" si="113"/>
        <v/>
      </c>
      <c r="AH460" s="21" t="str">
        <f t="shared" si="114"/>
        <v/>
      </c>
      <c r="AI460" s="21" t="str">
        <f t="shared" si="115"/>
        <v/>
      </c>
      <c r="AJ460" s="21" t="str">
        <f t="shared" si="116"/>
        <v/>
      </c>
      <c r="AK460" s="21" t="str">
        <f t="shared" si="117"/>
        <v/>
      </c>
      <c r="AL460" s="21"/>
      <c r="AM460" s="21"/>
      <c r="AN460" s="21"/>
      <c r="AS460" s="112" t="str">
        <f t="shared" si="118"/>
        <v/>
      </c>
      <c r="AT460" s="112" t="str">
        <f>IF(AS460="","",COUNTIF($AS$13:AS460,AS460))</f>
        <v/>
      </c>
      <c r="AU460" s="147">
        <f t="shared" si="119"/>
        <v>447</v>
      </c>
      <c r="AV460" s="147">
        <f>COUNTIF($AZ$14:AZ460,AZ460)</f>
        <v>25</v>
      </c>
      <c r="AW460" s="147">
        <f>IFERROR(COUNTIF(AX$14:$BL460,AX460),"")</f>
        <v>64</v>
      </c>
      <c r="AX460" s="148" t="str">
        <f t="shared" si="120"/>
        <v>Fri</v>
      </c>
      <c r="AY460" s="149">
        <f>'Raw Data'!A450</f>
        <v>42055</v>
      </c>
      <c r="AZ460" s="150" t="str">
        <f>'Raw Data'!E450</f>
        <v>Free Ship No Min</v>
      </c>
      <c r="BA460" s="150">
        <f>'Raw Data'!I450</f>
        <v>1447</v>
      </c>
      <c r="BB460" s="112"/>
      <c r="BC460" s="112"/>
      <c r="BD460" s="112">
        <f>'Raw Data'!O450</f>
        <v>2</v>
      </c>
    </row>
    <row r="461" spans="19:56">
      <c r="S461" s="30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114" t="str">
        <f t="shared" si="121"/>
        <v/>
      </c>
      <c r="AG461" s="108" t="str">
        <f t="shared" si="113"/>
        <v/>
      </c>
      <c r="AH461" s="21" t="str">
        <f t="shared" si="114"/>
        <v/>
      </c>
      <c r="AI461" s="21" t="str">
        <f t="shared" si="115"/>
        <v/>
      </c>
      <c r="AJ461" s="21" t="str">
        <f t="shared" si="116"/>
        <v/>
      </c>
      <c r="AK461" s="21" t="str">
        <f t="shared" si="117"/>
        <v/>
      </c>
      <c r="AL461" s="21"/>
      <c r="AM461" s="21"/>
      <c r="AN461" s="21"/>
      <c r="AS461" s="112" t="str">
        <f t="shared" si="118"/>
        <v/>
      </c>
      <c r="AT461" s="112" t="str">
        <f>IF(AS461="","",COUNTIF($AS$13:AS461,AS461))</f>
        <v/>
      </c>
      <c r="AU461" s="147">
        <f t="shared" si="119"/>
        <v>448</v>
      </c>
      <c r="AV461" s="147">
        <f>COUNTIF($AZ$14:AZ461,AZ461)</f>
        <v>12</v>
      </c>
      <c r="AW461" s="147">
        <f>IFERROR(COUNTIF(AX$14:$BL461,AX461),"")</f>
        <v>64</v>
      </c>
      <c r="AX461" s="148" t="str">
        <f t="shared" si="120"/>
        <v>Sat</v>
      </c>
      <c r="AY461" s="149">
        <f>'Raw Data'!A451</f>
        <v>42056</v>
      </c>
      <c r="AZ461" s="150" t="str">
        <f>'Raw Data'!E451</f>
        <v>RD Event</v>
      </c>
      <c r="BA461" s="150">
        <f>'Raw Data'!I451</f>
        <v>964</v>
      </c>
      <c r="BB461" s="112"/>
      <c r="BC461" s="112"/>
      <c r="BD461" s="112">
        <f>'Raw Data'!O451</f>
        <v>1</v>
      </c>
    </row>
    <row r="462" spans="19:56">
      <c r="S462" s="30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114" t="str">
        <f t="shared" si="121"/>
        <v/>
      </c>
      <c r="AG462" s="108" t="str">
        <f t="shared" si="113"/>
        <v/>
      </c>
      <c r="AH462" s="21" t="str">
        <f t="shared" si="114"/>
        <v/>
      </c>
      <c r="AI462" s="21" t="str">
        <f t="shared" si="115"/>
        <v/>
      </c>
      <c r="AJ462" s="21" t="str">
        <f t="shared" si="116"/>
        <v/>
      </c>
      <c r="AK462" s="21" t="str">
        <f t="shared" si="117"/>
        <v/>
      </c>
      <c r="AL462" s="21"/>
      <c r="AM462" s="21"/>
      <c r="AN462" s="21"/>
      <c r="AS462" s="112" t="str">
        <f t="shared" si="118"/>
        <v/>
      </c>
      <c r="AT462" s="112" t="str">
        <f>IF(AS462="","",COUNTIF($AS$13:AS462,AS462))</f>
        <v/>
      </c>
      <c r="AU462" s="147">
        <f t="shared" si="119"/>
        <v>449</v>
      </c>
      <c r="AV462" s="147">
        <f>COUNTIF($AZ$14:AZ462,AZ462)</f>
        <v>3</v>
      </c>
      <c r="AW462" s="147">
        <f>IFERROR(COUNTIF(AX$14:$BL462,AX462),"")</f>
        <v>65</v>
      </c>
      <c r="AX462" s="148" t="str">
        <f t="shared" si="120"/>
        <v>Sun</v>
      </c>
      <c r="AY462" s="149">
        <f>'Raw Data'!A452</f>
        <v>42057</v>
      </c>
      <c r="AZ462" s="150" t="str">
        <f>'Raw Data'!E452</f>
        <v>Tiered Promo</v>
      </c>
      <c r="BA462" s="150">
        <f>'Raw Data'!I452</f>
        <v>816</v>
      </c>
      <c r="BB462" s="112"/>
      <c r="BC462" s="112"/>
      <c r="BD462" s="112">
        <f>'Raw Data'!O452</f>
        <v>1</v>
      </c>
    </row>
    <row r="463" spans="19:56">
      <c r="S463" s="30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114" t="str">
        <f t="shared" si="121"/>
        <v/>
      </c>
      <c r="AG463" s="108" t="str">
        <f t="shared" ref="AG463:AG491" si="123">IF(AF463="","",VLOOKUP(AF463,$AT$14:$BC$1042,6,0))</f>
        <v/>
      </c>
      <c r="AH463" s="21" t="str">
        <f t="shared" ref="AH463:AH491" si="124">IF(AF463="","",VLOOKUP(AF463,$AT$14:$BC$1042,7,0))</f>
        <v/>
      </c>
      <c r="AI463" s="21" t="str">
        <f t="shared" ref="AI463:AI491" si="125">IF(AF463="","",VLOOKUP(AF463,$AT$14:$BC$1042,8,0))</f>
        <v/>
      </c>
      <c r="AJ463" s="21" t="str">
        <f t="shared" ref="AJ463:AJ491" si="126">IF(AF463="","",VLOOKUP(AF463,$AT$14:$BD$1042,11,0))</f>
        <v/>
      </c>
      <c r="AK463" s="21" t="str">
        <f t="shared" ref="AK463:AK491" si="127">IF(AG463="","",VLOOKUP(AG463,$AY$14:$BD$1042,5,0))</f>
        <v/>
      </c>
      <c r="AL463" s="21"/>
      <c r="AM463" s="21"/>
      <c r="AN463" s="21"/>
      <c r="AS463" s="112" t="str">
        <f t="shared" si="118"/>
        <v/>
      </c>
      <c r="AT463" s="112" t="str">
        <f>IF(AS463="","",COUNTIF($AS$13:AS463,AS463))</f>
        <v/>
      </c>
      <c r="AU463" s="147">
        <f t="shared" si="119"/>
        <v>450</v>
      </c>
      <c r="AV463" s="147">
        <f>COUNTIF($AZ$14:AZ463,AZ463)</f>
        <v>4</v>
      </c>
      <c r="AW463" s="147">
        <f>IFERROR(COUNTIF(AX$14:$BL463,AX463),"")</f>
        <v>65</v>
      </c>
      <c r="AX463" s="148" t="str">
        <f t="shared" si="120"/>
        <v>Mon</v>
      </c>
      <c r="AY463" s="149">
        <f>'Raw Data'!A453</f>
        <v>42058</v>
      </c>
      <c r="AZ463" s="150" t="str">
        <f>'Raw Data'!E453</f>
        <v>Tiered Promo</v>
      </c>
      <c r="BA463" s="150">
        <f>'Raw Data'!I453</f>
        <v>1620</v>
      </c>
      <c r="BB463" s="112"/>
      <c r="BC463" s="112"/>
      <c r="BD463" s="112">
        <f>'Raw Data'!O453</f>
        <v>1</v>
      </c>
    </row>
    <row r="464" spans="19:56">
      <c r="S464" s="30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114" t="str">
        <f t="shared" si="121"/>
        <v/>
      </c>
      <c r="AG464" s="108" t="str">
        <f t="shared" si="123"/>
        <v/>
      </c>
      <c r="AH464" s="21" t="str">
        <f t="shared" si="124"/>
        <v/>
      </c>
      <c r="AI464" s="21" t="str">
        <f t="shared" si="125"/>
        <v/>
      </c>
      <c r="AJ464" s="21" t="str">
        <f t="shared" si="126"/>
        <v/>
      </c>
      <c r="AK464" s="21" t="str">
        <f t="shared" si="127"/>
        <v/>
      </c>
      <c r="AL464" s="21"/>
      <c r="AM464" s="21"/>
      <c r="AN464" s="21"/>
      <c r="AS464" s="112" t="str">
        <f t="shared" ref="AS464:AS527" si="128">IFERROR(IF(FIND($AT$12,AZ464)&gt;0,1,0),"")</f>
        <v/>
      </c>
      <c r="AT464" s="112" t="str">
        <f>IF(AS464="","",COUNTIF($AS$13:AS464,AS464))</f>
        <v/>
      </c>
      <c r="AU464" s="147">
        <f t="shared" ref="AU464:AU527" si="129">AU463+1</f>
        <v>451</v>
      </c>
      <c r="AV464" s="147">
        <f>COUNTIF($AZ$14:AZ464,AZ464)</f>
        <v>5</v>
      </c>
      <c r="AW464" s="147">
        <f>IFERROR(COUNTIF(AX$14:$BL464,AX464),"")</f>
        <v>65</v>
      </c>
      <c r="AX464" s="148" t="str">
        <f t="shared" ref="AX464:AX527" si="130">TEXT(AY464,"ddd")</f>
        <v>Tue</v>
      </c>
      <c r="AY464" s="149">
        <f>'Raw Data'!A454</f>
        <v>42059</v>
      </c>
      <c r="AZ464" s="150" t="str">
        <f>'Raw Data'!E454</f>
        <v>Tiered Promo</v>
      </c>
      <c r="BA464" s="150">
        <f>'Raw Data'!I454</f>
        <v>1517</v>
      </c>
      <c r="BB464" s="112"/>
      <c r="BC464" s="112"/>
      <c r="BD464" s="112">
        <f>'Raw Data'!O454</f>
        <v>1</v>
      </c>
    </row>
    <row r="465" spans="1:56">
      <c r="S465" s="30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114" t="str">
        <f t="shared" ref="AF465:AF491" si="131">IFERROR(IF(AF464=1,"",AF464-1),"")</f>
        <v/>
      </c>
      <c r="AG465" s="108" t="str">
        <f t="shared" si="123"/>
        <v/>
      </c>
      <c r="AH465" s="21" t="str">
        <f t="shared" si="124"/>
        <v/>
      </c>
      <c r="AI465" s="21" t="str">
        <f t="shared" si="125"/>
        <v/>
      </c>
      <c r="AJ465" s="21" t="str">
        <f t="shared" si="126"/>
        <v/>
      </c>
      <c r="AK465" s="21" t="str">
        <f t="shared" si="127"/>
        <v/>
      </c>
      <c r="AL465" s="21"/>
      <c r="AM465" s="21"/>
      <c r="AN465" s="21"/>
      <c r="AS465" s="112" t="str">
        <f t="shared" si="128"/>
        <v/>
      </c>
      <c r="AT465" s="112" t="str">
        <f>IF(AS465="","",COUNTIF($AS$13:AS465,AS465))</f>
        <v/>
      </c>
      <c r="AU465" s="147">
        <f t="shared" si="129"/>
        <v>452</v>
      </c>
      <c r="AV465" s="147">
        <f>COUNTIF($AZ$14:AZ465,AZ465)</f>
        <v>6</v>
      </c>
      <c r="AW465" s="147">
        <f>IFERROR(COUNTIF(AX$14:$BL465,AX465),"")</f>
        <v>65</v>
      </c>
      <c r="AX465" s="148" t="str">
        <f t="shared" si="130"/>
        <v>Wed</v>
      </c>
      <c r="AY465" s="149">
        <f>'Raw Data'!A455</f>
        <v>42060</v>
      </c>
      <c r="AZ465" s="150" t="str">
        <f>'Raw Data'!E455</f>
        <v>Tiered Promo</v>
      </c>
      <c r="BA465" s="150">
        <f>'Raw Data'!I455</f>
        <v>1755</v>
      </c>
      <c r="BB465" s="112"/>
      <c r="BC465" s="112"/>
      <c r="BD465" s="112">
        <f>'Raw Data'!O455</f>
        <v>2</v>
      </c>
    </row>
    <row r="466" spans="1:56">
      <c r="S466" s="30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114" t="str">
        <f t="shared" si="131"/>
        <v/>
      </c>
      <c r="AG466" s="108" t="str">
        <f t="shared" si="123"/>
        <v/>
      </c>
      <c r="AH466" s="21" t="str">
        <f t="shared" si="124"/>
        <v/>
      </c>
      <c r="AI466" s="21" t="str">
        <f t="shared" si="125"/>
        <v/>
      </c>
      <c r="AJ466" s="21" t="str">
        <f t="shared" si="126"/>
        <v/>
      </c>
      <c r="AK466" s="21" t="str">
        <f t="shared" si="127"/>
        <v/>
      </c>
      <c r="AL466" s="21"/>
      <c r="AM466" s="21"/>
      <c r="AN466" s="21"/>
      <c r="AS466" s="112" t="str">
        <f t="shared" si="128"/>
        <v/>
      </c>
      <c r="AT466" s="112" t="str">
        <f>IF(AS466="","",COUNTIF($AS$13:AS466,AS466))</f>
        <v/>
      </c>
      <c r="AU466" s="147">
        <f t="shared" si="129"/>
        <v>453</v>
      </c>
      <c r="AV466" s="147">
        <f>COUNTIF($AZ$14:AZ466,AZ466)</f>
        <v>17</v>
      </c>
      <c r="AW466" s="147">
        <f>IFERROR(COUNTIF(AX$14:$BL466,AX466),"")</f>
        <v>65</v>
      </c>
      <c r="AX466" s="148" t="str">
        <f t="shared" si="130"/>
        <v>Thu</v>
      </c>
      <c r="AY466" s="149">
        <f>'Raw Data'!A456</f>
        <v>42061</v>
      </c>
      <c r="AZ466" s="150" t="str">
        <f>'Raw Data'!E456</f>
        <v>Up To 50% Off,FS on $49</v>
      </c>
      <c r="BA466" s="150">
        <f>'Raw Data'!I456</f>
        <v>1331</v>
      </c>
      <c r="BB466" s="112"/>
      <c r="BC466" s="112"/>
      <c r="BD466" s="112">
        <f>'Raw Data'!O456</f>
        <v>1</v>
      </c>
    </row>
    <row r="467" spans="1:56">
      <c r="S467" s="30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114" t="str">
        <f t="shared" si="131"/>
        <v/>
      </c>
      <c r="AG467" s="108" t="str">
        <f t="shared" si="123"/>
        <v/>
      </c>
      <c r="AH467" s="21" t="str">
        <f t="shared" si="124"/>
        <v/>
      </c>
      <c r="AI467" s="21" t="str">
        <f t="shared" si="125"/>
        <v/>
      </c>
      <c r="AJ467" s="21" t="str">
        <f t="shared" si="126"/>
        <v/>
      </c>
      <c r="AK467" s="21" t="str">
        <f t="shared" si="127"/>
        <v/>
      </c>
      <c r="AL467" s="21"/>
      <c r="AM467" s="21"/>
      <c r="AN467" s="21"/>
      <c r="AS467" s="112" t="str">
        <f t="shared" si="128"/>
        <v/>
      </c>
      <c r="AT467" s="112" t="str">
        <f>IF(AS467="","",COUNTIF($AS$13:AS467,AS467))</f>
        <v/>
      </c>
      <c r="AU467" s="147">
        <f t="shared" si="129"/>
        <v>454</v>
      </c>
      <c r="AV467" s="147">
        <f>COUNTIF($AZ$14:AZ467,AZ467)</f>
        <v>90</v>
      </c>
      <c r="AW467" s="147">
        <f>IFERROR(COUNTIF(AX$14:$BL467,AX467),"")</f>
        <v>65</v>
      </c>
      <c r="AX467" s="148" t="str">
        <f t="shared" si="130"/>
        <v>Fri</v>
      </c>
      <c r="AY467" s="149">
        <f>'Raw Data'!A457</f>
        <v>42062</v>
      </c>
      <c r="AZ467" s="150" t="str">
        <f>'Raw Data'!E457</f>
        <v>No Email Drop</v>
      </c>
      <c r="BA467" s="150">
        <f>'Raw Data'!I457</f>
        <v>1173</v>
      </c>
      <c r="BB467" s="112"/>
      <c r="BC467" s="112"/>
      <c r="BD467" s="112">
        <f>'Raw Data'!O457</f>
        <v>0</v>
      </c>
    </row>
    <row r="468" spans="1:56">
      <c r="S468" s="30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114" t="str">
        <f t="shared" si="131"/>
        <v/>
      </c>
      <c r="AG468" s="108" t="str">
        <f t="shared" si="123"/>
        <v/>
      </c>
      <c r="AH468" s="21" t="str">
        <f t="shared" si="124"/>
        <v/>
      </c>
      <c r="AI468" s="21" t="str">
        <f t="shared" si="125"/>
        <v/>
      </c>
      <c r="AJ468" s="21" t="str">
        <f t="shared" si="126"/>
        <v/>
      </c>
      <c r="AK468" s="21" t="str">
        <f t="shared" si="127"/>
        <v/>
      </c>
      <c r="AL468" s="21"/>
      <c r="AM468" s="21"/>
      <c r="AN468" s="21"/>
      <c r="AS468" s="112" t="str">
        <f t="shared" si="128"/>
        <v/>
      </c>
      <c r="AT468" s="112" t="str">
        <f>IF(AS468="","",COUNTIF($AS$13:AS468,AS468))</f>
        <v/>
      </c>
      <c r="AU468" s="147">
        <f t="shared" si="129"/>
        <v>455</v>
      </c>
      <c r="AV468" s="147">
        <f>COUNTIF($AZ$14:AZ468,AZ468)</f>
        <v>13</v>
      </c>
      <c r="AW468" s="147">
        <f>IFERROR(COUNTIF(AX$14:$BL468,AX468),"")</f>
        <v>65</v>
      </c>
      <c r="AX468" s="148" t="str">
        <f t="shared" si="130"/>
        <v>Sat</v>
      </c>
      <c r="AY468" s="149">
        <f>'Raw Data'!A458</f>
        <v>42063</v>
      </c>
      <c r="AZ468" s="150" t="str">
        <f>'Raw Data'!E458</f>
        <v>RD Event</v>
      </c>
      <c r="BA468" s="150">
        <f>'Raw Data'!I458</f>
        <v>1079</v>
      </c>
      <c r="BB468" s="112"/>
      <c r="BC468" s="112"/>
      <c r="BD468" s="112">
        <f>'Raw Data'!O458</f>
        <v>1</v>
      </c>
    </row>
    <row r="469" spans="1:56">
      <c r="S469" s="30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114" t="str">
        <f t="shared" si="131"/>
        <v/>
      </c>
      <c r="AG469" s="108" t="str">
        <f t="shared" si="123"/>
        <v/>
      </c>
      <c r="AH469" s="21" t="str">
        <f t="shared" si="124"/>
        <v/>
      </c>
      <c r="AI469" s="21" t="str">
        <f t="shared" si="125"/>
        <v/>
      </c>
      <c r="AJ469" s="21" t="str">
        <f t="shared" si="126"/>
        <v/>
      </c>
      <c r="AK469" s="21" t="str">
        <f t="shared" si="127"/>
        <v/>
      </c>
      <c r="AL469" s="21"/>
      <c r="AM469" s="21"/>
      <c r="AN469" s="21"/>
      <c r="AS469" s="112" t="str">
        <f t="shared" si="128"/>
        <v/>
      </c>
      <c r="AT469" s="112" t="str">
        <f>IF(AS469="","",COUNTIF($AS$13:AS469,AS469))</f>
        <v/>
      </c>
      <c r="AU469" s="147">
        <f t="shared" si="129"/>
        <v>456</v>
      </c>
      <c r="AV469" s="147">
        <f>COUNTIF($AZ$14:AZ469,AZ469)</f>
        <v>2</v>
      </c>
      <c r="AW469" s="147">
        <f>IFERROR(COUNTIF(AX$14:$BL469,AX469),"")</f>
        <v>66</v>
      </c>
      <c r="AX469" s="148" t="str">
        <f t="shared" si="130"/>
        <v>Sun</v>
      </c>
      <c r="AY469" s="149">
        <f>'Raw Data'!A459</f>
        <v>42064</v>
      </c>
      <c r="AZ469" s="150" t="str">
        <f>'Raw Data'!E459</f>
        <v>30% Off,FS on $100</v>
      </c>
      <c r="BA469" s="150">
        <f>'Raw Data'!I459</f>
        <v>989</v>
      </c>
      <c r="BB469" s="112"/>
      <c r="BC469" s="112"/>
      <c r="BD469" s="112">
        <f>'Raw Data'!O459</f>
        <v>1</v>
      </c>
    </row>
    <row r="470" spans="1:56" ht="15.75" thickBot="1">
      <c r="B470" s="22"/>
      <c r="S470" s="30"/>
      <c r="T470" s="21"/>
      <c r="U470" s="21"/>
      <c r="V470" s="21"/>
      <c r="W470" s="21"/>
      <c r="X470" s="21"/>
      <c r="Y470" s="21"/>
      <c r="Z470" s="21"/>
      <c r="AA470" s="21"/>
      <c r="AB470" s="21"/>
      <c r="AC470" s="22"/>
      <c r="AD470" s="21"/>
      <c r="AE470" s="21"/>
      <c r="AF470" s="114" t="str">
        <f t="shared" si="131"/>
        <v/>
      </c>
      <c r="AG470" s="108" t="str">
        <f t="shared" si="123"/>
        <v/>
      </c>
      <c r="AH470" s="21" t="str">
        <f t="shared" si="124"/>
        <v/>
      </c>
      <c r="AI470" s="21" t="str">
        <f t="shared" si="125"/>
        <v/>
      </c>
      <c r="AJ470" s="21" t="str">
        <f t="shared" si="126"/>
        <v/>
      </c>
      <c r="AK470" s="21" t="str">
        <f t="shared" si="127"/>
        <v/>
      </c>
      <c r="AL470" s="21"/>
      <c r="AM470" s="21"/>
      <c r="AN470" s="21"/>
      <c r="AS470" s="112" t="str">
        <f t="shared" si="128"/>
        <v/>
      </c>
      <c r="AT470" s="112" t="str">
        <f>IF(AS470="","",COUNTIF($AS$13:AS470,AS470))</f>
        <v/>
      </c>
      <c r="AU470" s="147">
        <f t="shared" si="129"/>
        <v>457</v>
      </c>
      <c r="AV470" s="147">
        <f>COUNTIF($AZ$14:AZ470,AZ470)</f>
        <v>3</v>
      </c>
      <c r="AW470" s="147">
        <f>IFERROR(COUNTIF(AX$14:$BL470,AX470),"")</f>
        <v>66</v>
      </c>
      <c r="AX470" s="148" t="str">
        <f t="shared" si="130"/>
        <v>Mon</v>
      </c>
      <c r="AY470" s="149">
        <f>'Raw Data'!A460</f>
        <v>42065</v>
      </c>
      <c r="AZ470" s="150" t="str">
        <f>'Raw Data'!E460</f>
        <v>30% Off,FS on $100</v>
      </c>
      <c r="BA470" s="150">
        <f>'Raw Data'!I460</f>
        <v>1478</v>
      </c>
      <c r="BB470" s="112"/>
      <c r="BC470" s="112"/>
      <c r="BD470" s="112">
        <f>'Raw Data'!O460</f>
        <v>1</v>
      </c>
    </row>
    <row r="471" spans="1:56" ht="16.5" thickTop="1" thickBot="1">
      <c r="A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156"/>
      <c r="S471" s="156"/>
      <c r="T471" s="22"/>
      <c r="U471" s="22"/>
      <c r="V471" s="22"/>
      <c r="W471" s="22"/>
      <c r="X471" s="22"/>
      <c r="Y471" s="22"/>
      <c r="Z471" s="22"/>
      <c r="AA471" s="22"/>
      <c r="AB471" s="22"/>
      <c r="AC471" s="21"/>
      <c r="AD471" s="21"/>
      <c r="AE471" s="21"/>
      <c r="AF471" s="114" t="str">
        <f t="shared" si="131"/>
        <v/>
      </c>
      <c r="AG471" s="108" t="str">
        <f t="shared" si="123"/>
        <v/>
      </c>
      <c r="AH471" s="21" t="str">
        <f t="shared" si="124"/>
        <v/>
      </c>
      <c r="AI471" s="21" t="str">
        <f t="shared" si="125"/>
        <v/>
      </c>
      <c r="AJ471" s="21" t="str">
        <f t="shared" si="126"/>
        <v/>
      </c>
      <c r="AK471" s="21" t="str">
        <f t="shared" si="127"/>
        <v/>
      </c>
      <c r="AL471" s="21"/>
      <c r="AM471" s="21"/>
      <c r="AN471" s="21"/>
      <c r="AS471" s="112" t="str">
        <f t="shared" si="128"/>
        <v/>
      </c>
      <c r="AT471" s="112" t="str">
        <f>IF(AS471="","",COUNTIF($AS$13:AS471,AS471))</f>
        <v/>
      </c>
      <c r="AU471" s="147">
        <f t="shared" si="129"/>
        <v>458</v>
      </c>
      <c r="AV471" s="147">
        <f>COUNTIF($AZ$14:AZ471,AZ471)</f>
        <v>4</v>
      </c>
      <c r="AW471" s="147">
        <f>IFERROR(COUNTIF(AX$14:$BL471,AX471),"")</f>
        <v>66</v>
      </c>
      <c r="AX471" s="148" t="str">
        <f t="shared" si="130"/>
        <v>Tue</v>
      </c>
      <c r="AY471" s="149">
        <f>'Raw Data'!A461</f>
        <v>42066</v>
      </c>
      <c r="AZ471" s="150" t="str">
        <f>'Raw Data'!E461</f>
        <v>30% Off,FS on $100</v>
      </c>
      <c r="BA471" s="150">
        <f>'Raw Data'!I461</f>
        <v>1933</v>
      </c>
      <c r="BB471" s="112"/>
      <c r="BC471" s="112"/>
      <c r="BD471" s="112">
        <f>'Raw Data'!O461</f>
        <v>2</v>
      </c>
    </row>
    <row r="472" spans="1:56" ht="15.75" thickTop="1">
      <c r="W472" s="21"/>
      <c r="AC472" s="21"/>
      <c r="AD472" s="21"/>
      <c r="AE472" s="21"/>
      <c r="AF472" s="114" t="str">
        <f t="shared" si="131"/>
        <v/>
      </c>
      <c r="AG472" s="108" t="str">
        <f t="shared" si="123"/>
        <v/>
      </c>
      <c r="AH472" s="21" t="str">
        <f t="shared" si="124"/>
        <v/>
      </c>
      <c r="AI472" s="21" t="str">
        <f t="shared" si="125"/>
        <v/>
      </c>
      <c r="AJ472" s="21" t="str">
        <f t="shared" si="126"/>
        <v/>
      </c>
      <c r="AK472" s="21" t="str">
        <f t="shared" si="127"/>
        <v/>
      </c>
      <c r="AL472" s="21"/>
      <c r="AM472" s="21"/>
      <c r="AN472" s="21"/>
      <c r="AS472" s="112" t="str">
        <f t="shared" si="128"/>
        <v/>
      </c>
      <c r="AT472" s="112" t="str">
        <f>IF(AS472="","",COUNTIF($AS$13:AS472,AS472))</f>
        <v/>
      </c>
      <c r="AU472" s="147">
        <f t="shared" si="129"/>
        <v>459</v>
      </c>
      <c r="AV472" s="147">
        <f>COUNTIF($AZ$14:AZ472,AZ472)</f>
        <v>91</v>
      </c>
      <c r="AW472" s="147">
        <f>IFERROR(COUNTIF(AX$14:$BL472,AX472),"")</f>
        <v>66</v>
      </c>
      <c r="AX472" s="148" t="str">
        <f t="shared" si="130"/>
        <v>Wed</v>
      </c>
      <c r="AY472" s="149">
        <f>'Raw Data'!A462</f>
        <v>42067</v>
      </c>
      <c r="AZ472" s="150" t="str">
        <f>'Raw Data'!E462</f>
        <v>No Email Drop</v>
      </c>
      <c r="BA472" s="150">
        <f>'Raw Data'!I462</f>
        <v>1621</v>
      </c>
      <c r="BB472" s="112"/>
      <c r="BC472" s="112"/>
      <c r="BD472" s="112">
        <f>'Raw Data'!O462</f>
        <v>0</v>
      </c>
    </row>
    <row r="473" spans="1:56">
      <c r="W473" s="21"/>
      <c r="AC473" s="21"/>
      <c r="AD473" s="21"/>
      <c r="AE473" s="21"/>
      <c r="AF473" s="114" t="str">
        <f t="shared" si="131"/>
        <v/>
      </c>
      <c r="AG473" s="108" t="str">
        <f t="shared" si="123"/>
        <v/>
      </c>
      <c r="AH473" s="21" t="str">
        <f t="shared" si="124"/>
        <v/>
      </c>
      <c r="AI473" s="21" t="str">
        <f t="shared" si="125"/>
        <v/>
      </c>
      <c r="AJ473" s="21" t="str">
        <f t="shared" si="126"/>
        <v/>
      </c>
      <c r="AK473" s="21" t="str">
        <f t="shared" si="127"/>
        <v/>
      </c>
      <c r="AL473" s="21"/>
      <c r="AM473" s="21"/>
      <c r="AN473" s="21"/>
      <c r="AS473" s="112" t="str">
        <f t="shared" si="128"/>
        <v/>
      </c>
      <c r="AT473" s="112" t="str">
        <f>IF(AS473="","",COUNTIF($AS$13:AS473,AS473))</f>
        <v/>
      </c>
      <c r="AU473" s="147">
        <f t="shared" si="129"/>
        <v>460</v>
      </c>
      <c r="AV473" s="147">
        <f>COUNTIF($AZ$14:AZ473,AZ473)</f>
        <v>4</v>
      </c>
      <c r="AW473" s="147">
        <f>IFERROR(COUNTIF(AX$14:$BL473,AX473),"")</f>
        <v>66</v>
      </c>
      <c r="AX473" s="148" t="str">
        <f t="shared" si="130"/>
        <v>Thu</v>
      </c>
      <c r="AY473" s="149">
        <f>'Raw Data'!A463</f>
        <v>42068</v>
      </c>
      <c r="AZ473" s="150" t="str">
        <f>'Raw Data'!E463</f>
        <v>Adverts Only</v>
      </c>
      <c r="BA473" s="150">
        <f>'Raw Data'!I463</f>
        <v>1304</v>
      </c>
      <c r="BB473" s="112"/>
      <c r="BC473" s="112"/>
      <c r="BD473" s="112">
        <f>'Raw Data'!O463</f>
        <v>1</v>
      </c>
    </row>
    <row r="474" spans="1:56">
      <c r="W474" s="21"/>
      <c r="AC474" s="21"/>
      <c r="AD474" s="21"/>
      <c r="AE474" s="21"/>
      <c r="AF474" s="114" t="str">
        <f t="shared" si="131"/>
        <v/>
      </c>
      <c r="AG474" s="108" t="str">
        <f t="shared" si="123"/>
        <v/>
      </c>
      <c r="AH474" s="21" t="str">
        <f t="shared" si="124"/>
        <v/>
      </c>
      <c r="AI474" s="21" t="str">
        <f t="shared" si="125"/>
        <v/>
      </c>
      <c r="AJ474" s="21" t="str">
        <f t="shared" si="126"/>
        <v/>
      </c>
      <c r="AK474" s="21" t="str">
        <f t="shared" si="127"/>
        <v/>
      </c>
      <c r="AL474" s="21"/>
      <c r="AM474" s="21"/>
      <c r="AN474" s="21"/>
      <c r="AS474" s="112" t="str">
        <f t="shared" si="128"/>
        <v/>
      </c>
      <c r="AT474" s="112" t="str">
        <f>IF(AS474="","",COUNTIF($AS$13:AS474,AS474))</f>
        <v/>
      </c>
      <c r="AU474" s="147">
        <f t="shared" si="129"/>
        <v>461</v>
      </c>
      <c r="AV474" s="147">
        <f>COUNTIF($AZ$14:AZ474,AZ474)</f>
        <v>21</v>
      </c>
      <c r="AW474" s="147">
        <f>IFERROR(COUNTIF(AX$14:$BL474,AX474),"")</f>
        <v>66</v>
      </c>
      <c r="AX474" s="148" t="str">
        <f t="shared" si="130"/>
        <v>Fri</v>
      </c>
      <c r="AY474" s="149">
        <f>'Raw Data'!A464</f>
        <v>42069</v>
      </c>
      <c r="AZ474" s="150" t="str">
        <f>'Raw Data'!E464</f>
        <v>Up To 40% Off,FS on $49</v>
      </c>
      <c r="BA474" s="150">
        <f>'Raw Data'!I464</f>
        <v>1295</v>
      </c>
      <c r="BB474" s="112"/>
      <c r="BC474" s="112"/>
      <c r="BD474" s="112">
        <f>'Raw Data'!O464</f>
        <v>1</v>
      </c>
    </row>
    <row r="475" spans="1:56">
      <c r="W475" s="21"/>
      <c r="AC475" s="21"/>
      <c r="AD475" s="21"/>
      <c r="AE475" s="21"/>
      <c r="AF475" s="114" t="str">
        <f t="shared" si="131"/>
        <v/>
      </c>
      <c r="AG475" s="108" t="str">
        <f t="shared" si="123"/>
        <v/>
      </c>
      <c r="AH475" s="21" t="str">
        <f t="shared" si="124"/>
        <v/>
      </c>
      <c r="AI475" s="21" t="str">
        <f t="shared" si="125"/>
        <v/>
      </c>
      <c r="AJ475" s="21" t="str">
        <f t="shared" si="126"/>
        <v/>
      </c>
      <c r="AK475" s="21" t="str">
        <f t="shared" si="127"/>
        <v/>
      </c>
      <c r="AL475" s="21"/>
      <c r="AM475" s="21"/>
      <c r="AN475" s="21"/>
      <c r="AS475" s="112" t="str">
        <f t="shared" si="128"/>
        <v/>
      </c>
      <c r="AT475" s="112" t="str">
        <f>IF(AS475="","",COUNTIF($AS$13:AS475,AS475))</f>
        <v/>
      </c>
      <c r="AU475" s="147">
        <f t="shared" si="129"/>
        <v>462</v>
      </c>
      <c r="AV475" s="147">
        <f>COUNTIF($AZ$14:AZ475,AZ475)</f>
        <v>22</v>
      </c>
      <c r="AW475" s="147">
        <f>IFERROR(COUNTIF(AX$14:$BL475,AX475),"")</f>
        <v>66</v>
      </c>
      <c r="AX475" s="148" t="str">
        <f t="shared" si="130"/>
        <v>Sat</v>
      </c>
      <c r="AY475" s="149">
        <f>'Raw Data'!A465</f>
        <v>42070</v>
      </c>
      <c r="AZ475" s="150" t="str">
        <f>'Raw Data'!E465</f>
        <v>Up To 40% Off,FS on $49</v>
      </c>
      <c r="BA475" s="150">
        <f>'Raw Data'!I465</f>
        <v>964</v>
      </c>
      <c r="BB475" s="112"/>
      <c r="BC475" s="112"/>
      <c r="BD475" s="112">
        <f>'Raw Data'!O465</f>
        <v>1</v>
      </c>
    </row>
    <row r="476" spans="1:56">
      <c r="W476" s="21"/>
      <c r="AC476" s="21"/>
      <c r="AD476" s="21"/>
      <c r="AE476" s="21"/>
      <c r="AF476" s="114" t="str">
        <f t="shared" si="131"/>
        <v/>
      </c>
      <c r="AG476" s="108" t="str">
        <f t="shared" si="123"/>
        <v/>
      </c>
      <c r="AH476" s="21" t="str">
        <f t="shared" si="124"/>
        <v/>
      </c>
      <c r="AI476" s="21" t="str">
        <f t="shared" si="125"/>
        <v/>
      </c>
      <c r="AJ476" s="21" t="str">
        <f t="shared" si="126"/>
        <v/>
      </c>
      <c r="AK476" s="21" t="str">
        <f t="shared" si="127"/>
        <v/>
      </c>
      <c r="AL476" s="21"/>
      <c r="AM476" s="21"/>
      <c r="AN476" s="21"/>
      <c r="AS476" s="112" t="str">
        <f t="shared" si="128"/>
        <v/>
      </c>
      <c r="AT476" s="112" t="str">
        <f>IF(AS476="","",COUNTIF($AS$13:AS476,AS476))</f>
        <v/>
      </c>
      <c r="AU476" s="147">
        <f t="shared" si="129"/>
        <v>463</v>
      </c>
      <c r="AV476" s="147">
        <f>COUNTIF($AZ$14:AZ476,AZ476)</f>
        <v>26</v>
      </c>
      <c r="AW476" s="147">
        <f>IFERROR(COUNTIF(AX$14:$BL476,AX476),"")</f>
        <v>67</v>
      </c>
      <c r="AX476" s="148" t="str">
        <f t="shared" si="130"/>
        <v>Sun</v>
      </c>
      <c r="AY476" s="149">
        <f>'Raw Data'!A466</f>
        <v>42071</v>
      </c>
      <c r="AZ476" s="150" t="str">
        <f>'Raw Data'!E466</f>
        <v>Free Ship No Min</v>
      </c>
      <c r="BA476" s="150">
        <f>'Raw Data'!I466</f>
        <v>938</v>
      </c>
      <c r="BB476" s="112"/>
      <c r="BC476" s="112"/>
      <c r="BD476" s="112">
        <f>'Raw Data'!O466</f>
        <v>1</v>
      </c>
    </row>
    <row r="477" spans="1:56">
      <c r="W477" s="21"/>
      <c r="AC477" s="21"/>
      <c r="AD477" s="21"/>
      <c r="AE477" s="21"/>
      <c r="AF477" s="114" t="str">
        <f t="shared" si="131"/>
        <v/>
      </c>
      <c r="AG477" s="108" t="str">
        <f t="shared" si="123"/>
        <v/>
      </c>
      <c r="AH477" s="21" t="str">
        <f t="shared" si="124"/>
        <v/>
      </c>
      <c r="AI477" s="21" t="str">
        <f t="shared" si="125"/>
        <v/>
      </c>
      <c r="AJ477" s="21" t="str">
        <f t="shared" si="126"/>
        <v/>
      </c>
      <c r="AK477" s="21" t="str">
        <f t="shared" si="127"/>
        <v/>
      </c>
      <c r="AS477" s="112" t="str">
        <f t="shared" si="128"/>
        <v/>
      </c>
      <c r="AT477" s="112" t="str">
        <f>IF(AS477="","",COUNTIF($AS$13:AS477,AS477))</f>
        <v/>
      </c>
      <c r="AU477" s="147">
        <f t="shared" si="129"/>
        <v>464</v>
      </c>
      <c r="AV477" s="147">
        <f>COUNTIF($AZ$14:AZ477,AZ477)</f>
        <v>92</v>
      </c>
      <c r="AW477" s="147">
        <f>IFERROR(COUNTIF(AX$14:$BL477,AX477),"")</f>
        <v>67</v>
      </c>
      <c r="AX477" s="148" t="str">
        <f t="shared" si="130"/>
        <v>Mon</v>
      </c>
      <c r="AY477" s="149">
        <f>'Raw Data'!A467</f>
        <v>42072</v>
      </c>
      <c r="AZ477" s="150" t="str">
        <f>'Raw Data'!E467</f>
        <v>No Email Drop</v>
      </c>
      <c r="BA477" s="150">
        <f>'Raw Data'!I467</f>
        <v>1350</v>
      </c>
      <c r="BB477" s="112"/>
      <c r="BC477" s="112"/>
      <c r="BD477" s="112">
        <f>'Raw Data'!O467</f>
        <v>0</v>
      </c>
    </row>
    <row r="478" spans="1:56">
      <c r="W478" s="21"/>
      <c r="AC478" s="21"/>
      <c r="AD478" s="21"/>
      <c r="AE478" s="21"/>
      <c r="AF478" s="114" t="str">
        <f t="shared" si="131"/>
        <v/>
      </c>
      <c r="AG478" s="108" t="str">
        <f t="shared" si="123"/>
        <v/>
      </c>
      <c r="AH478" s="21" t="str">
        <f t="shared" si="124"/>
        <v/>
      </c>
      <c r="AI478" s="21" t="str">
        <f t="shared" si="125"/>
        <v/>
      </c>
      <c r="AJ478" s="21" t="str">
        <f t="shared" si="126"/>
        <v/>
      </c>
      <c r="AK478" s="21" t="str">
        <f t="shared" si="127"/>
        <v/>
      </c>
      <c r="AS478" s="112" t="str">
        <f t="shared" si="128"/>
        <v/>
      </c>
      <c r="AT478" s="112" t="str">
        <f>IF(AS478="","",COUNTIF($AS$13:AS478,AS478))</f>
        <v/>
      </c>
      <c r="AU478" s="147">
        <f t="shared" si="129"/>
        <v>465</v>
      </c>
      <c r="AV478" s="147">
        <f>COUNTIF($AZ$14:AZ478,AZ478)</f>
        <v>1</v>
      </c>
      <c r="AW478" s="147">
        <f>IFERROR(COUNTIF(AX$14:$BL478,AX478),"")</f>
        <v>67</v>
      </c>
      <c r="AX478" s="148" t="str">
        <f t="shared" si="130"/>
        <v>Tue</v>
      </c>
      <c r="AY478" s="149">
        <f>'Raw Data'!A468</f>
        <v>42073</v>
      </c>
      <c r="AZ478" s="150" t="str">
        <f>'Raw Data'!E468</f>
        <v>$10 Off Promo</v>
      </c>
      <c r="BA478" s="150">
        <f>'Raw Data'!I468</f>
        <v>1499</v>
      </c>
      <c r="BB478" s="112"/>
      <c r="BC478" s="112"/>
      <c r="BD478" s="112">
        <f>'Raw Data'!O468</f>
        <v>2</v>
      </c>
    </row>
    <row r="479" spans="1:56">
      <c r="W479" s="21"/>
      <c r="AC479" s="21"/>
      <c r="AD479" s="21"/>
      <c r="AE479" s="21"/>
      <c r="AF479" s="114" t="str">
        <f t="shared" si="131"/>
        <v/>
      </c>
      <c r="AG479" s="108" t="str">
        <f t="shared" si="123"/>
        <v/>
      </c>
      <c r="AH479" s="21" t="str">
        <f t="shared" si="124"/>
        <v/>
      </c>
      <c r="AI479" s="21" t="str">
        <f t="shared" si="125"/>
        <v/>
      </c>
      <c r="AJ479" s="21" t="str">
        <f t="shared" si="126"/>
        <v/>
      </c>
      <c r="AK479" s="21" t="str">
        <f t="shared" si="127"/>
        <v/>
      </c>
      <c r="AS479" s="112" t="str">
        <f t="shared" si="128"/>
        <v/>
      </c>
      <c r="AT479" s="112" t="str">
        <f>IF(AS479="","",COUNTIF($AS$13:AS479,AS479))</f>
        <v/>
      </c>
      <c r="AU479" s="147">
        <f t="shared" si="129"/>
        <v>466</v>
      </c>
      <c r="AV479" s="147">
        <f>COUNTIF($AZ$14:AZ479,AZ479)</f>
        <v>93</v>
      </c>
      <c r="AW479" s="147">
        <f>IFERROR(COUNTIF(AX$14:$BL479,AX479),"")</f>
        <v>67</v>
      </c>
      <c r="AX479" s="148" t="str">
        <f t="shared" si="130"/>
        <v>Wed</v>
      </c>
      <c r="AY479" s="149">
        <f>'Raw Data'!A469</f>
        <v>42074</v>
      </c>
      <c r="AZ479" s="150" t="str">
        <f>'Raw Data'!E469</f>
        <v>No Email Drop</v>
      </c>
      <c r="BA479" s="150">
        <f>'Raw Data'!I469</f>
        <v>1277</v>
      </c>
      <c r="BB479" s="112"/>
      <c r="BC479" s="112"/>
      <c r="BD479" s="112">
        <f>'Raw Data'!O469</f>
        <v>0</v>
      </c>
    </row>
    <row r="480" spans="1:56">
      <c r="W480" s="21"/>
      <c r="AC480" s="21"/>
      <c r="AD480" s="21"/>
      <c r="AE480" s="21"/>
      <c r="AF480" s="114" t="str">
        <f t="shared" si="131"/>
        <v/>
      </c>
      <c r="AG480" s="108" t="str">
        <f t="shared" si="123"/>
        <v/>
      </c>
      <c r="AH480" s="21" t="str">
        <f t="shared" si="124"/>
        <v/>
      </c>
      <c r="AI480" s="21" t="str">
        <f t="shared" si="125"/>
        <v/>
      </c>
      <c r="AJ480" s="21" t="str">
        <f t="shared" si="126"/>
        <v/>
      </c>
      <c r="AK480" s="21" t="str">
        <f t="shared" si="127"/>
        <v/>
      </c>
      <c r="AS480" s="112" t="str">
        <f t="shared" si="128"/>
        <v/>
      </c>
      <c r="AT480" s="112" t="str">
        <f>IF(AS480="","",COUNTIF($AS$13:AS480,AS480))</f>
        <v/>
      </c>
      <c r="AU480" s="147">
        <f t="shared" si="129"/>
        <v>467</v>
      </c>
      <c r="AV480" s="147">
        <f>COUNTIF($AZ$14:AZ480,AZ480)</f>
        <v>23</v>
      </c>
      <c r="AW480" s="147">
        <f>IFERROR(COUNTIF(AX$14:$BL480,AX480),"")</f>
        <v>67</v>
      </c>
      <c r="AX480" s="148" t="str">
        <f t="shared" si="130"/>
        <v>Thu</v>
      </c>
      <c r="AY480" s="149">
        <f>'Raw Data'!A470</f>
        <v>42075</v>
      </c>
      <c r="AZ480" s="150" t="str">
        <f>'Raw Data'!E470</f>
        <v>Up To 40% Off,FS on $49</v>
      </c>
      <c r="BA480" s="150">
        <f>'Raw Data'!I470</f>
        <v>1194</v>
      </c>
      <c r="BB480" s="112"/>
      <c r="BC480" s="112"/>
      <c r="BD480" s="112">
        <f>'Raw Data'!O470</f>
        <v>1</v>
      </c>
    </row>
    <row r="481" spans="23:56">
      <c r="W481" s="21"/>
      <c r="AC481" s="21"/>
      <c r="AD481" s="21"/>
      <c r="AE481" s="21"/>
      <c r="AF481" s="114" t="str">
        <f t="shared" si="131"/>
        <v/>
      </c>
      <c r="AG481" s="108" t="str">
        <f t="shared" si="123"/>
        <v/>
      </c>
      <c r="AH481" s="21" t="str">
        <f t="shared" si="124"/>
        <v/>
      </c>
      <c r="AI481" s="21" t="str">
        <f t="shared" si="125"/>
        <v/>
      </c>
      <c r="AJ481" s="21" t="str">
        <f t="shared" si="126"/>
        <v/>
      </c>
      <c r="AK481" s="21" t="str">
        <f t="shared" si="127"/>
        <v/>
      </c>
      <c r="AS481" s="112" t="str">
        <f t="shared" si="128"/>
        <v/>
      </c>
      <c r="AT481" s="112" t="str">
        <f>IF(AS481="","",COUNTIF($AS$13:AS481,AS481))</f>
        <v/>
      </c>
      <c r="AU481" s="147">
        <f t="shared" si="129"/>
        <v>468</v>
      </c>
      <c r="AV481" s="147">
        <f>COUNTIF($AZ$14:AZ481,AZ481)</f>
        <v>4</v>
      </c>
      <c r="AW481" s="147">
        <f>IFERROR(COUNTIF(AX$14:$BL481,AX481),"")</f>
        <v>67</v>
      </c>
      <c r="AX481" s="148" t="str">
        <f t="shared" si="130"/>
        <v>Fri</v>
      </c>
      <c r="AY481" s="149">
        <f>'Raw Data'!A471</f>
        <v>42076</v>
      </c>
      <c r="AZ481" s="150" t="str">
        <f>'Raw Data'!E471</f>
        <v>$15 Off,FS on $75</v>
      </c>
      <c r="BA481" s="150">
        <f>'Raw Data'!I471</f>
        <v>1429</v>
      </c>
      <c r="BB481" s="112"/>
      <c r="BC481" s="112"/>
      <c r="BD481" s="112">
        <f>'Raw Data'!O471</f>
        <v>2</v>
      </c>
    </row>
    <row r="482" spans="23:56">
      <c r="W482" s="21"/>
      <c r="AC482" s="21"/>
      <c r="AD482" s="21"/>
      <c r="AE482" s="21"/>
      <c r="AF482" s="114" t="str">
        <f t="shared" si="131"/>
        <v/>
      </c>
      <c r="AG482" s="108" t="str">
        <f t="shared" si="123"/>
        <v/>
      </c>
      <c r="AH482" s="21" t="str">
        <f t="shared" si="124"/>
        <v/>
      </c>
      <c r="AI482" s="21" t="str">
        <f t="shared" si="125"/>
        <v/>
      </c>
      <c r="AJ482" s="21" t="str">
        <f t="shared" si="126"/>
        <v/>
      </c>
      <c r="AK482" s="21" t="str">
        <f t="shared" si="127"/>
        <v/>
      </c>
      <c r="AS482" s="112" t="str">
        <f t="shared" si="128"/>
        <v/>
      </c>
      <c r="AT482" s="112" t="str">
        <f>IF(AS482="","",COUNTIF($AS$13:AS482,AS482))</f>
        <v/>
      </c>
      <c r="AU482" s="147">
        <f t="shared" si="129"/>
        <v>469</v>
      </c>
      <c r="AV482" s="147">
        <f>COUNTIF($AZ$14:AZ482,AZ482)</f>
        <v>5</v>
      </c>
      <c r="AW482" s="147">
        <f>IFERROR(COUNTIF(AX$14:$BL482,AX482),"")</f>
        <v>67</v>
      </c>
      <c r="AX482" s="148" t="str">
        <f t="shared" si="130"/>
        <v>Sat</v>
      </c>
      <c r="AY482" s="149">
        <f>'Raw Data'!A472</f>
        <v>42077</v>
      </c>
      <c r="AZ482" s="150" t="str">
        <f>'Raw Data'!E472</f>
        <v>$15 Off,FS on $75</v>
      </c>
      <c r="BA482" s="150">
        <f>'Raw Data'!I472</f>
        <v>911</v>
      </c>
      <c r="BB482" s="112"/>
      <c r="BC482" s="112"/>
      <c r="BD482" s="112">
        <f>'Raw Data'!O472</f>
        <v>2</v>
      </c>
    </row>
    <row r="483" spans="23:56">
      <c r="W483" s="21"/>
      <c r="AC483" s="21"/>
      <c r="AD483" s="21"/>
      <c r="AE483" s="21"/>
      <c r="AF483" s="114" t="str">
        <f t="shared" si="131"/>
        <v/>
      </c>
      <c r="AG483" s="108" t="str">
        <f t="shared" si="123"/>
        <v/>
      </c>
      <c r="AH483" s="21" t="str">
        <f t="shared" si="124"/>
        <v/>
      </c>
      <c r="AI483" s="21" t="str">
        <f t="shared" si="125"/>
        <v/>
      </c>
      <c r="AJ483" s="21" t="str">
        <f t="shared" si="126"/>
        <v/>
      </c>
      <c r="AK483" s="21" t="str">
        <f t="shared" si="127"/>
        <v/>
      </c>
      <c r="AS483" s="112" t="str">
        <f t="shared" si="128"/>
        <v/>
      </c>
      <c r="AT483" s="112" t="str">
        <f>IF(AS483="","",COUNTIF($AS$13:AS483,AS483))</f>
        <v/>
      </c>
      <c r="AU483" s="147">
        <f t="shared" si="129"/>
        <v>470</v>
      </c>
      <c r="AV483" s="147">
        <f>COUNTIF($AZ$14:AZ483,AZ483)</f>
        <v>3</v>
      </c>
      <c r="AW483" s="147">
        <f>IFERROR(COUNTIF(AX$14:$BL483,AX483),"")</f>
        <v>68</v>
      </c>
      <c r="AX483" s="148" t="str">
        <f t="shared" si="130"/>
        <v>Sun</v>
      </c>
      <c r="AY483" s="149">
        <f>'Raw Data'!A473</f>
        <v>42078</v>
      </c>
      <c r="AZ483" s="150" t="str">
        <f>'Raw Data'!E473</f>
        <v>Reveal Your Deal Promo,15, 20% Off</v>
      </c>
      <c r="BA483" s="150">
        <f>'Raw Data'!I473</f>
        <v>875</v>
      </c>
      <c r="BB483" s="112"/>
      <c r="BC483" s="112"/>
      <c r="BD483" s="112">
        <f>'Raw Data'!O473</f>
        <v>2</v>
      </c>
    </row>
    <row r="484" spans="23:56">
      <c r="W484" s="21"/>
      <c r="AC484" s="21"/>
      <c r="AD484" s="21"/>
      <c r="AE484" s="21"/>
      <c r="AF484" s="114" t="str">
        <f t="shared" si="131"/>
        <v/>
      </c>
      <c r="AG484" s="108" t="str">
        <f t="shared" si="123"/>
        <v/>
      </c>
      <c r="AH484" s="21" t="str">
        <f t="shared" si="124"/>
        <v/>
      </c>
      <c r="AI484" s="21" t="str">
        <f t="shared" si="125"/>
        <v/>
      </c>
      <c r="AJ484" s="21" t="str">
        <f t="shared" si="126"/>
        <v/>
      </c>
      <c r="AK484" s="21" t="str">
        <f t="shared" si="127"/>
        <v/>
      </c>
      <c r="AS484" s="112" t="str">
        <f t="shared" si="128"/>
        <v/>
      </c>
      <c r="AT484" s="112" t="str">
        <f>IF(AS484="","",COUNTIF($AS$13:AS484,AS484))</f>
        <v/>
      </c>
      <c r="AU484" s="147">
        <f t="shared" si="129"/>
        <v>471</v>
      </c>
      <c r="AV484" s="147">
        <f>COUNTIF($AZ$14:AZ484,AZ484)</f>
        <v>94</v>
      </c>
      <c r="AW484" s="147">
        <f>IFERROR(COUNTIF(AX$14:$BL484,AX484),"")</f>
        <v>68</v>
      </c>
      <c r="AX484" s="148" t="str">
        <f t="shared" si="130"/>
        <v>Mon</v>
      </c>
      <c r="AY484" s="149">
        <f>'Raw Data'!A474</f>
        <v>42079</v>
      </c>
      <c r="AZ484" s="150" t="str">
        <f>'Raw Data'!E474</f>
        <v>No Email Drop</v>
      </c>
      <c r="BA484" s="150">
        <f>'Raw Data'!I474</f>
        <v>1231</v>
      </c>
      <c r="BB484" s="112"/>
      <c r="BC484" s="112"/>
      <c r="BD484" s="112">
        <f>'Raw Data'!O474</f>
        <v>0</v>
      </c>
    </row>
    <row r="485" spans="23:56">
      <c r="W485" s="21"/>
      <c r="AC485" s="21"/>
      <c r="AD485" s="21"/>
      <c r="AE485" s="21"/>
      <c r="AF485" s="114" t="str">
        <f t="shared" si="131"/>
        <v/>
      </c>
      <c r="AG485" s="108" t="str">
        <f t="shared" si="123"/>
        <v/>
      </c>
      <c r="AH485" s="21" t="str">
        <f t="shared" si="124"/>
        <v/>
      </c>
      <c r="AI485" s="21" t="str">
        <f t="shared" si="125"/>
        <v/>
      </c>
      <c r="AJ485" s="21" t="str">
        <f t="shared" si="126"/>
        <v/>
      </c>
      <c r="AK485" s="21" t="str">
        <f t="shared" si="127"/>
        <v/>
      </c>
      <c r="AS485" s="112" t="str">
        <f t="shared" si="128"/>
        <v/>
      </c>
      <c r="AT485" s="112" t="str">
        <f>IF(AS485="","",COUNTIF($AS$13:AS485,AS485))</f>
        <v/>
      </c>
      <c r="AU485" s="147">
        <f t="shared" si="129"/>
        <v>472</v>
      </c>
      <c r="AV485" s="147">
        <f>COUNTIF($AZ$14:AZ485,AZ485)</f>
        <v>24</v>
      </c>
      <c r="AW485" s="147">
        <f>IFERROR(COUNTIF(AX$14:$BL485,AX485),"")</f>
        <v>68</v>
      </c>
      <c r="AX485" s="148" t="str">
        <f t="shared" si="130"/>
        <v>Tue</v>
      </c>
      <c r="AY485" s="149">
        <f>'Raw Data'!A475</f>
        <v>42080</v>
      </c>
      <c r="AZ485" s="150" t="str">
        <f>'Raw Data'!E475</f>
        <v>Up To 40% Off,FS on $49</v>
      </c>
      <c r="BA485" s="150">
        <f>'Raw Data'!I475</f>
        <v>1449</v>
      </c>
      <c r="BB485" s="112"/>
      <c r="BC485" s="112"/>
      <c r="BD485" s="112">
        <f>'Raw Data'!O475</f>
        <v>2</v>
      </c>
    </row>
    <row r="486" spans="23:56">
      <c r="W486" s="21"/>
      <c r="AC486" s="21"/>
      <c r="AD486" s="21"/>
      <c r="AE486" s="21"/>
      <c r="AF486" s="114" t="str">
        <f t="shared" si="131"/>
        <v/>
      </c>
      <c r="AG486" s="108" t="str">
        <f t="shared" si="123"/>
        <v/>
      </c>
      <c r="AH486" s="21" t="str">
        <f t="shared" si="124"/>
        <v/>
      </c>
      <c r="AI486" s="21" t="str">
        <f t="shared" si="125"/>
        <v/>
      </c>
      <c r="AJ486" s="21" t="str">
        <f t="shared" si="126"/>
        <v/>
      </c>
      <c r="AK486" s="21" t="str">
        <f t="shared" si="127"/>
        <v/>
      </c>
      <c r="AS486" s="112" t="str">
        <f t="shared" si="128"/>
        <v/>
      </c>
      <c r="AT486" s="112" t="str">
        <f>IF(AS486="","",COUNTIF($AS$13:AS486,AS486))</f>
        <v/>
      </c>
      <c r="AU486" s="147">
        <f t="shared" si="129"/>
        <v>473</v>
      </c>
      <c r="AV486" s="147">
        <f>COUNTIF($AZ$14:AZ486,AZ486)</f>
        <v>25</v>
      </c>
      <c r="AW486" s="147">
        <f>IFERROR(COUNTIF(AX$14:$BL486,AX486),"")</f>
        <v>68</v>
      </c>
      <c r="AX486" s="148" t="str">
        <f t="shared" si="130"/>
        <v>Wed</v>
      </c>
      <c r="AY486" s="149">
        <f>'Raw Data'!A476</f>
        <v>42081</v>
      </c>
      <c r="AZ486" s="150" t="str">
        <f>'Raw Data'!E476</f>
        <v>Up To 40% Off,FS on $49</v>
      </c>
      <c r="BA486" s="150">
        <f>'Raw Data'!I476</f>
        <v>1320</v>
      </c>
      <c r="BB486" s="112"/>
      <c r="BC486" s="112"/>
      <c r="BD486" s="112">
        <f>'Raw Data'!O476</f>
        <v>1</v>
      </c>
    </row>
    <row r="487" spans="23:56">
      <c r="W487" s="21"/>
      <c r="AC487" s="21"/>
      <c r="AD487" s="21"/>
      <c r="AE487" s="21"/>
      <c r="AF487" s="114" t="str">
        <f t="shared" si="131"/>
        <v/>
      </c>
      <c r="AG487" s="108" t="str">
        <f t="shared" si="123"/>
        <v/>
      </c>
      <c r="AH487" s="21" t="str">
        <f t="shared" si="124"/>
        <v/>
      </c>
      <c r="AI487" s="21" t="str">
        <f t="shared" si="125"/>
        <v/>
      </c>
      <c r="AJ487" s="21" t="str">
        <f t="shared" si="126"/>
        <v/>
      </c>
      <c r="AK487" s="21" t="str">
        <f t="shared" si="127"/>
        <v/>
      </c>
      <c r="AS487" s="112" t="str">
        <f t="shared" si="128"/>
        <v/>
      </c>
      <c r="AT487" s="112" t="str">
        <f>IF(AS487="","",COUNTIF($AS$13:AS487,AS487))</f>
        <v/>
      </c>
      <c r="AU487" s="147">
        <f t="shared" si="129"/>
        <v>474</v>
      </c>
      <c r="AV487" s="147">
        <f>COUNTIF($AZ$14:AZ487,AZ487)</f>
        <v>26</v>
      </c>
      <c r="AW487" s="147">
        <f>IFERROR(COUNTIF(AX$14:$BL487,AX487),"")</f>
        <v>68</v>
      </c>
      <c r="AX487" s="148" t="str">
        <f t="shared" si="130"/>
        <v>Thu</v>
      </c>
      <c r="AY487" s="149">
        <f>'Raw Data'!A477</f>
        <v>42082</v>
      </c>
      <c r="AZ487" s="150" t="str">
        <f>'Raw Data'!E477</f>
        <v>Up To 40% Off,FS on $49</v>
      </c>
      <c r="BA487" s="150">
        <f>'Raw Data'!I477</f>
        <v>1143</v>
      </c>
      <c r="BB487" s="112"/>
      <c r="BC487" s="112"/>
      <c r="BD487" s="112">
        <f>'Raw Data'!O477</f>
        <v>1</v>
      </c>
    </row>
    <row r="488" spans="23:56">
      <c r="W488" s="21"/>
      <c r="AC488" s="21"/>
      <c r="AD488" s="21"/>
      <c r="AE488" s="21"/>
      <c r="AF488" s="114" t="str">
        <f t="shared" si="131"/>
        <v/>
      </c>
      <c r="AG488" s="108" t="str">
        <f t="shared" si="123"/>
        <v/>
      </c>
      <c r="AH488" s="21" t="str">
        <f t="shared" si="124"/>
        <v/>
      </c>
      <c r="AI488" s="21" t="str">
        <f t="shared" si="125"/>
        <v/>
      </c>
      <c r="AJ488" s="21" t="str">
        <f t="shared" si="126"/>
        <v/>
      </c>
      <c r="AK488" s="21" t="str">
        <f t="shared" si="127"/>
        <v/>
      </c>
      <c r="AS488" s="112" t="str">
        <f t="shared" si="128"/>
        <v/>
      </c>
      <c r="AT488" s="112" t="str">
        <f>IF(AS488="","",COUNTIF($AS$13:AS488,AS488))</f>
        <v/>
      </c>
      <c r="AU488" s="147">
        <f t="shared" si="129"/>
        <v>475</v>
      </c>
      <c r="AV488" s="147">
        <f>COUNTIF($AZ$14:AZ488,AZ488)</f>
        <v>27</v>
      </c>
      <c r="AW488" s="147">
        <f>IFERROR(COUNTIF(AX$14:$BL488,AX488),"")</f>
        <v>68</v>
      </c>
      <c r="AX488" s="148" t="str">
        <f t="shared" si="130"/>
        <v>Fri</v>
      </c>
      <c r="AY488" s="149">
        <f>'Raw Data'!A478</f>
        <v>42083</v>
      </c>
      <c r="AZ488" s="150" t="str">
        <f>'Raw Data'!E478</f>
        <v>Free Ship No Min</v>
      </c>
      <c r="BA488" s="150">
        <f>'Raw Data'!I478</f>
        <v>1234</v>
      </c>
      <c r="BB488" s="112"/>
      <c r="BC488" s="112"/>
      <c r="BD488" s="112">
        <f>'Raw Data'!O478</f>
        <v>1</v>
      </c>
    </row>
    <row r="489" spans="23:56">
      <c r="W489" s="21"/>
      <c r="AC489" s="21"/>
      <c r="AD489" s="21"/>
      <c r="AE489" s="21"/>
      <c r="AF489" s="114" t="str">
        <f t="shared" si="131"/>
        <v/>
      </c>
      <c r="AG489" s="108" t="str">
        <f t="shared" si="123"/>
        <v/>
      </c>
      <c r="AH489" s="21" t="str">
        <f t="shared" si="124"/>
        <v/>
      </c>
      <c r="AI489" s="21" t="str">
        <f t="shared" si="125"/>
        <v/>
      </c>
      <c r="AJ489" s="21" t="str">
        <f t="shared" si="126"/>
        <v/>
      </c>
      <c r="AK489" s="21" t="str">
        <f t="shared" si="127"/>
        <v/>
      </c>
      <c r="AS489" s="112" t="str">
        <f t="shared" si="128"/>
        <v/>
      </c>
      <c r="AT489" s="112" t="str">
        <f>IF(AS489="","",COUNTIF($AS$13:AS489,AS489))</f>
        <v/>
      </c>
      <c r="AU489" s="147">
        <f t="shared" si="129"/>
        <v>476</v>
      </c>
      <c r="AV489" s="147">
        <f>COUNTIF($AZ$14:AZ489,AZ489)</f>
        <v>28</v>
      </c>
      <c r="AW489" s="147">
        <f>IFERROR(COUNTIF(AX$14:$BL489,AX489),"")</f>
        <v>68</v>
      </c>
      <c r="AX489" s="148" t="str">
        <f t="shared" si="130"/>
        <v>Sat</v>
      </c>
      <c r="AY489" s="149">
        <f>'Raw Data'!A479</f>
        <v>42084</v>
      </c>
      <c r="AZ489" s="150" t="str">
        <f>'Raw Data'!E479</f>
        <v>Free Ship No Min</v>
      </c>
      <c r="BA489" s="150">
        <f>'Raw Data'!I479</f>
        <v>943</v>
      </c>
      <c r="BB489" s="112"/>
      <c r="BC489" s="112"/>
      <c r="BD489" s="112">
        <f>'Raw Data'!O479</f>
        <v>1</v>
      </c>
    </row>
    <row r="490" spans="23:56">
      <c r="W490" s="21"/>
      <c r="AC490" s="21"/>
      <c r="AD490" s="21"/>
      <c r="AE490" s="21"/>
      <c r="AF490" s="114" t="str">
        <f t="shared" si="131"/>
        <v/>
      </c>
      <c r="AG490" s="108" t="str">
        <f t="shared" si="123"/>
        <v/>
      </c>
      <c r="AH490" s="21" t="str">
        <f t="shared" si="124"/>
        <v/>
      </c>
      <c r="AI490" s="21" t="str">
        <f t="shared" si="125"/>
        <v/>
      </c>
      <c r="AJ490" s="21" t="str">
        <f t="shared" si="126"/>
        <v/>
      </c>
      <c r="AK490" s="21" t="str">
        <f t="shared" si="127"/>
        <v/>
      </c>
      <c r="AS490" s="112" t="str">
        <f t="shared" si="128"/>
        <v/>
      </c>
      <c r="AT490" s="112" t="str">
        <f>IF(AS490="","",COUNTIF($AS$13:AS490,AS490))</f>
        <v/>
      </c>
      <c r="AU490" s="147">
        <f t="shared" si="129"/>
        <v>477</v>
      </c>
      <c r="AV490" s="147">
        <f>COUNTIF($AZ$14:AZ490,AZ490)</f>
        <v>7</v>
      </c>
      <c r="AW490" s="147">
        <f>IFERROR(COUNTIF(AX$14:$BL490,AX490),"")</f>
        <v>69</v>
      </c>
      <c r="AX490" s="148" t="str">
        <f t="shared" si="130"/>
        <v>Sun</v>
      </c>
      <c r="AY490" s="149">
        <f>'Raw Data'!A480</f>
        <v>42085</v>
      </c>
      <c r="AZ490" s="150" t="str">
        <f>'Raw Data'!E480</f>
        <v>Tiered Promo</v>
      </c>
      <c r="BA490" s="150">
        <f>'Raw Data'!I480</f>
        <v>755</v>
      </c>
      <c r="BB490" s="112"/>
      <c r="BC490" s="112"/>
      <c r="BD490" s="112">
        <f>'Raw Data'!O480</f>
        <v>1</v>
      </c>
    </row>
    <row r="491" spans="23:56">
      <c r="W491" s="21"/>
      <c r="AC491" s="21"/>
      <c r="AD491" s="21"/>
      <c r="AE491" s="21"/>
      <c r="AF491" s="114" t="str">
        <f t="shared" si="131"/>
        <v/>
      </c>
      <c r="AG491" s="108" t="str">
        <f t="shared" si="123"/>
        <v/>
      </c>
      <c r="AH491" s="21" t="str">
        <f t="shared" si="124"/>
        <v/>
      </c>
      <c r="AI491" s="21" t="str">
        <f t="shared" si="125"/>
        <v/>
      </c>
      <c r="AJ491" s="21" t="str">
        <f t="shared" si="126"/>
        <v/>
      </c>
      <c r="AK491" s="21" t="str">
        <f t="shared" si="127"/>
        <v/>
      </c>
      <c r="AS491" s="112" t="str">
        <f t="shared" si="128"/>
        <v/>
      </c>
      <c r="AT491" s="112" t="str">
        <f>IF(AS491="","",COUNTIF($AS$13:AS491,AS491))</f>
        <v/>
      </c>
      <c r="AU491" s="147">
        <f t="shared" si="129"/>
        <v>478</v>
      </c>
      <c r="AV491" s="147">
        <f>COUNTIF($AZ$14:AZ491,AZ491)</f>
        <v>8</v>
      </c>
      <c r="AW491" s="147">
        <f>IFERROR(COUNTIF(AX$14:$BL491,AX491),"")</f>
        <v>69</v>
      </c>
      <c r="AX491" s="148" t="str">
        <f t="shared" si="130"/>
        <v>Mon</v>
      </c>
      <c r="AY491" s="149">
        <f>'Raw Data'!A481</f>
        <v>42086</v>
      </c>
      <c r="AZ491" s="150" t="str">
        <f>'Raw Data'!E481</f>
        <v>Tiered Promo</v>
      </c>
      <c r="BA491" s="150">
        <f>'Raw Data'!I481</f>
        <v>1269</v>
      </c>
      <c r="BB491" s="112"/>
      <c r="BC491" s="112"/>
      <c r="BD491" s="112">
        <f>'Raw Data'!O481</f>
        <v>2</v>
      </c>
    </row>
    <row r="492" spans="23:56">
      <c r="W492" s="21"/>
      <c r="AC492" s="21"/>
      <c r="AD492" s="21"/>
      <c r="AE492" s="21"/>
      <c r="AS492" s="112" t="str">
        <f t="shared" si="128"/>
        <v/>
      </c>
      <c r="AT492" s="112" t="str">
        <f>IF(AS492="","",COUNTIF($AS$13:AS492,AS492))</f>
        <v/>
      </c>
      <c r="AU492" s="147">
        <f t="shared" si="129"/>
        <v>479</v>
      </c>
      <c r="AV492" s="147">
        <f>COUNTIF($AZ$14:AZ492,AZ492)</f>
        <v>95</v>
      </c>
      <c r="AW492" s="147">
        <f>IFERROR(COUNTIF(AX$14:$BL492,AX492),"")</f>
        <v>69</v>
      </c>
      <c r="AX492" s="148" t="str">
        <f t="shared" si="130"/>
        <v>Tue</v>
      </c>
      <c r="AY492" s="149">
        <f>'Raw Data'!A482</f>
        <v>42087</v>
      </c>
      <c r="AZ492" s="150" t="str">
        <f>'Raw Data'!E482</f>
        <v>No Email Drop</v>
      </c>
      <c r="BA492" s="150">
        <f>'Raw Data'!I482</f>
        <v>1163</v>
      </c>
      <c r="BB492" s="112"/>
      <c r="BC492" s="112"/>
      <c r="BD492" s="112">
        <f>'Raw Data'!O482</f>
        <v>0</v>
      </c>
    </row>
    <row r="493" spans="23:56">
      <c r="W493" s="21"/>
      <c r="AC493" s="21"/>
      <c r="AD493" s="21"/>
      <c r="AE493" s="21"/>
      <c r="AS493" s="112" t="str">
        <f t="shared" si="128"/>
        <v/>
      </c>
      <c r="AT493" s="112" t="str">
        <f>IF(AS493="","",COUNTIF($AS$13:AS493,AS493))</f>
        <v/>
      </c>
      <c r="AU493" s="147">
        <f t="shared" si="129"/>
        <v>480</v>
      </c>
      <c r="AV493" s="147">
        <f>COUNTIF($AZ$14:AZ493,AZ493)</f>
        <v>2</v>
      </c>
      <c r="AW493" s="147">
        <f>IFERROR(COUNTIF(AX$14:$BL493,AX493),"")</f>
        <v>69</v>
      </c>
      <c r="AX493" s="148" t="str">
        <f t="shared" si="130"/>
        <v>Wed</v>
      </c>
      <c r="AY493" s="149">
        <f>'Raw Data'!A483</f>
        <v>42088</v>
      </c>
      <c r="AZ493" s="150" t="str">
        <f>'Raw Data'!E483</f>
        <v>$10 Off Promo</v>
      </c>
      <c r="BA493" s="150">
        <f>'Raw Data'!I483</f>
        <v>1258</v>
      </c>
      <c r="BB493" s="112"/>
      <c r="BC493" s="112"/>
      <c r="BD493" s="112">
        <f>'Raw Data'!O483</f>
        <v>2</v>
      </c>
    </row>
    <row r="494" spans="23:56">
      <c r="W494" s="21"/>
      <c r="AC494" s="21"/>
      <c r="AD494" s="21"/>
      <c r="AE494" s="21"/>
      <c r="AS494" s="112" t="str">
        <f t="shared" si="128"/>
        <v/>
      </c>
      <c r="AT494" s="112" t="str">
        <f>IF(AS494="","",COUNTIF($AS$13:AS494,AS494))</f>
        <v/>
      </c>
      <c r="AU494" s="147">
        <f t="shared" si="129"/>
        <v>481</v>
      </c>
      <c r="AV494" s="147">
        <f>COUNTIF($AZ$14:AZ494,AZ494)</f>
        <v>3</v>
      </c>
      <c r="AW494" s="147">
        <f>IFERROR(COUNTIF(AX$14:$BL494,AX494),"")</f>
        <v>69</v>
      </c>
      <c r="AX494" s="148" t="str">
        <f t="shared" si="130"/>
        <v>Thu</v>
      </c>
      <c r="AY494" s="149">
        <f>'Raw Data'!A484</f>
        <v>42089</v>
      </c>
      <c r="AZ494" s="150" t="str">
        <f>'Raw Data'!E484</f>
        <v>$10 Off Promo</v>
      </c>
      <c r="BA494" s="150">
        <f>'Raw Data'!I484</f>
        <v>1085</v>
      </c>
      <c r="BB494" s="112"/>
      <c r="BC494" s="112"/>
      <c r="BD494" s="112">
        <f>'Raw Data'!O484</f>
        <v>1</v>
      </c>
    </row>
    <row r="495" spans="23:56">
      <c r="W495" s="21"/>
      <c r="AC495" s="21"/>
      <c r="AD495" s="21"/>
      <c r="AE495" s="21"/>
      <c r="AS495" s="112" t="str">
        <f t="shared" si="128"/>
        <v/>
      </c>
      <c r="AT495" s="112" t="str">
        <f>IF(AS495="","",COUNTIF($AS$13:AS495,AS495))</f>
        <v/>
      </c>
      <c r="AU495" s="147">
        <f t="shared" si="129"/>
        <v>482</v>
      </c>
      <c r="AV495" s="147">
        <f>COUNTIF($AZ$14:AZ495,AZ495)</f>
        <v>96</v>
      </c>
      <c r="AW495" s="147">
        <f>IFERROR(COUNTIF(AX$14:$BL495,AX495),"")</f>
        <v>69</v>
      </c>
      <c r="AX495" s="148" t="str">
        <f t="shared" si="130"/>
        <v>Fri</v>
      </c>
      <c r="AY495" s="149">
        <f>'Raw Data'!A485</f>
        <v>42090</v>
      </c>
      <c r="AZ495" s="150" t="str">
        <f>'Raw Data'!E485</f>
        <v>No Email Drop</v>
      </c>
      <c r="BA495" s="150">
        <f>'Raw Data'!I485</f>
        <v>970</v>
      </c>
      <c r="BB495" s="112"/>
      <c r="BC495" s="112"/>
      <c r="BD495" s="112">
        <f>'Raw Data'!O485</f>
        <v>0</v>
      </c>
    </row>
    <row r="496" spans="23:56">
      <c r="W496" s="21"/>
      <c r="AC496" s="21"/>
      <c r="AD496" s="21"/>
      <c r="AE496" s="21"/>
      <c r="AS496" s="112" t="str">
        <f t="shared" si="128"/>
        <v/>
      </c>
      <c r="AT496" s="112" t="str">
        <f>IF(AS496="","",COUNTIF($AS$13:AS496,AS496))</f>
        <v/>
      </c>
      <c r="AU496" s="147">
        <f t="shared" si="129"/>
        <v>483</v>
      </c>
      <c r="AV496" s="147">
        <f>COUNTIF($AZ$14:AZ496,AZ496)</f>
        <v>27</v>
      </c>
      <c r="AW496" s="147">
        <f>IFERROR(COUNTIF(AX$14:$BL496,AX496),"")</f>
        <v>69</v>
      </c>
      <c r="AX496" s="148" t="str">
        <f t="shared" si="130"/>
        <v>Sat</v>
      </c>
      <c r="AY496" s="149">
        <f>'Raw Data'!A486</f>
        <v>42091</v>
      </c>
      <c r="AZ496" s="150" t="str">
        <f>'Raw Data'!E486</f>
        <v>Up To 40% Off,FS on $49</v>
      </c>
      <c r="BA496" s="150">
        <f>'Raw Data'!I486</f>
        <v>834</v>
      </c>
      <c r="BB496" s="112"/>
      <c r="BC496" s="112"/>
      <c r="BD496" s="112">
        <f>'Raw Data'!O486</f>
        <v>1</v>
      </c>
    </row>
    <row r="497" spans="23:56">
      <c r="W497" s="21"/>
      <c r="AC497" s="21"/>
      <c r="AD497" s="21"/>
      <c r="AE497" s="21"/>
      <c r="AS497" s="112" t="str">
        <f t="shared" si="128"/>
        <v/>
      </c>
      <c r="AT497" s="112" t="str">
        <f>IF(AS497="","",COUNTIF($AS$13:AS497,AS497))</f>
        <v/>
      </c>
      <c r="AU497" s="147">
        <f t="shared" si="129"/>
        <v>484</v>
      </c>
      <c r="AV497" s="147">
        <f>COUNTIF($AZ$14:AZ497,AZ497)</f>
        <v>5</v>
      </c>
      <c r="AW497" s="147">
        <f>IFERROR(COUNTIF(AX$14:$BL497,AX497),"")</f>
        <v>70</v>
      </c>
      <c r="AX497" s="148" t="str">
        <f t="shared" si="130"/>
        <v>Sun</v>
      </c>
      <c r="AY497" s="149">
        <f>'Raw Data'!A487</f>
        <v>42092</v>
      </c>
      <c r="AZ497" s="150" t="str">
        <f>'Raw Data'!E487</f>
        <v>Adverts Only</v>
      </c>
      <c r="BA497" s="150">
        <f>'Raw Data'!I487</f>
        <v>641</v>
      </c>
      <c r="BB497" s="112"/>
      <c r="BC497" s="112"/>
      <c r="BD497" s="112">
        <f>'Raw Data'!O487</f>
        <v>1</v>
      </c>
    </row>
    <row r="498" spans="23:56">
      <c r="W498" s="21"/>
      <c r="AC498" s="21"/>
      <c r="AD498" s="21"/>
      <c r="AE498" s="21"/>
      <c r="AS498" s="112" t="str">
        <f t="shared" si="128"/>
        <v/>
      </c>
      <c r="AT498" s="112" t="str">
        <f>IF(AS498="","",COUNTIF($AS$13:AS498,AS498))</f>
        <v/>
      </c>
      <c r="AU498" s="147">
        <f t="shared" si="129"/>
        <v>485</v>
      </c>
      <c r="AV498" s="147">
        <f>COUNTIF($AZ$14:AZ498,AZ498)</f>
        <v>97</v>
      </c>
      <c r="AW498" s="147">
        <f>IFERROR(COUNTIF(AX$14:$BL498,AX498),"")</f>
        <v>70</v>
      </c>
      <c r="AX498" s="148" t="str">
        <f t="shared" si="130"/>
        <v>Mon</v>
      </c>
      <c r="AY498" s="149">
        <f>'Raw Data'!A488</f>
        <v>42093</v>
      </c>
      <c r="AZ498" s="150" t="str">
        <f>'Raw Data'!E488</f>
        <v>No Email Drop</v>
      </c>
      <c r="BA498" s="150">
        <f>'Raw Data'!I488</f>
        <v>1082</v>
      </c>
      <c r="BB498" s="112"/>
      <c r="BC498" s="112"/>
      <c r="BD498" s="112">
        <f>'Raw Data'!O488</f>
        <v>0</v>
      </c>
    </row>
    <row r="499" spans="23:56">
      <c r="W499" s="21"/>
      <c r="AC499" s="21"/>
      <c r="AD499" s="21"/>
      <c r="AE499" s="21"/>
      <c r="AS499" s="112" t="str">
        <f t="shared" si="128"/>
        <v/>
      </c>
      <c r="AT499" s="112" t="str">
        <f>IF(AS499="","",COUNTIF($AS$13:AS499,AS499))</f>
        <v/>
      </c>
      <c r="AU499" s="147">
        <f t="shared" si="129"/>
        <v>486</v>
      </c>
      <c r="AV499" s="147">
        <f>COUNTIF($AZ$14:AZ499,AZ499)</f>
        <v>29</v>
      </c>
      <c r="AW499" s="147">
        <f>IFERROR(COUNTIF(AX$14:$BL499,AX499),"")</f>
        <v>70</v>
      </c>
      <c r="AX499" s="148" t="str">
        <f t="shared" si="130"/>
        <v>Tue</v>
      </c>
      <c r="AY499" s="149">
        <f>'Raw Data'!A489</f>
        <v>42094</v>
      </c>
      <c r="AZ499" s="150" t="str">
        <f>'Raw Data'!E489</f>
        <v>Free Ship No Min</v>
      </c>
      <c r="BA499" s="150">
        <f>'Raw Data'!I489</f>
        <v>1286</v>
      </c>
      <c r="BB499" s="112"/>
      <c r="BC499" s="112"/>
      <c r="BD499" s="112">
        <f>'Raw Data'!O489</f>
        <v>2</v>
      </c>
    </row>
    <row r="500" spans="23:56">
      <c r="W500" s="21"/>
      <c r="AC500" s="21"/>
      <c r="AD500" s="21"/>
      <c r="AE500" s="21"/>
      <c r="AS500" s="112" t="str">
        <f t="shared" si="128"/>
        <v/>
      </c>
      <c r="AT500" s="112" t="str">
        <f>IF(AS500="","",COUNTIF($AS$13:AS500,AS500))</f>
        <v/>
      </c>
      <c r="AU500" s="147">
        <f t="shared" si="129"/>
        <v>487</v>
      </c>
      <c r="AV500" s="147">
        <f>COUNTIF($AZ$14:AZ500,AZ500)</f>
        <v>30</v>
      </c>
      <c r="AW500" s="147">
        <f>IFERROR(COUNTIF(AX$14:$BL500,AX500),"")</f>
        <v>70</v>
      </c>
      <c r="AX500" s="148" t="str">
        <f t="shared" si="130"/>
        <v>Wed</v>
      </c>
      <c r="AY500" s="149">
        <f>'Raw Data'!A490</f>
        <v>42095</v>
      </c>
      <c r="AZ500" s="150" t="str">
        <f>'Raw Data'!E490</f>
        <v>Free Ship No Min</v>
      </c>
      <c r="BA500" s="150">
        <f>'Raw Data'!I490</f>
        <v>1286</v>
      </c>
      <c r="BB500" s="112"/>
      <c r="BC500" s="112"/>
      <c r="BD500" s="112">
        <f>'Raw Data'!O490</f>
        <v>2</v>
      </c>
    </row>
    <row r="501" spans="23:56">
      <c r="W501" s="21"/>
      <c r="AC501" s="21"/>
      <c r="AD501" s="21"/>
      <c r="AE501" s="21"/>
      <c r="AS501" s="112" t="str">
        <f t="shared" si="128"/>
        <v/>
      </c>
      <c r="AT501" s="112" t="str">
        <f>IF(AS501="","",COUNTIF($AS$13:AS501,AS501))</f>
        <v/>
      </c>
      <c r="AU501" s="147">
        <f t="shared" si="129"/>
        <v>488</v>
      </c>
      <c r="AV501" s="147">
        <f>COUNTIF($AZ$14:AZ501,AZ501)</f>
        <v>4</v>
      </c>
      <c r="AW501" s="147">
        <f>IFERROR(COUNTIF(AX$14:$BL501,AX501),"")</f>
        <v>70</v>
      </c>
      <c r="AX501" s="148" t="str">
        <f t="shared" si="130"/>
        <v>Thu</v>
      </c>
      <c r="AY501" s="149">
        <f>'Raw Data'!A491</f>
        <v>42096</v>
      </c>
      <c r="AZ501" s="150" t="str">
        <f>'Raw Data'!E491</f>
        <v>$10 Off Promo</v>
      </c>
      <c r="BA501" s="150">
        <f>'Raw Data'!I491</f>
        <v>1426</v>
      </c>
      <c r="BB501" s="112"/>
      <c r="BC501" s="112"/>
      <c r="BD501" s="112">
        <f>'Raw Data'!O491</f>
        <v>1</v>
      </c>
    </row>
    <row r="502" spans="23:56">
      <c r="W502" s="21"/>
      <c r="AC502" s="21"/>
      <c r="AD502" s="21"/>
      <c r="AE502" s="21"/>
      <c r="AS502" s="112" t="str">
        <f t="shared" si="128"/>
        <v/>
      </c>
      <c r="AT502" s="112" t="str">
        <f>IF(AS502="","",COUNTIF($AS$13:AS502,AS502))</f>
        <v/>
      </c>
      <c r="AU502" s="147">
        <f t="shared" si="129"/>
        <v>489</v>
      </c>
      <c r="AV502" s="147">
        <f>COUNTIF($AZ$14:AZ502,AZ502)</f>
        <v>5</v>
      </c>
      <c r="AW502" s="147">
        <f>IFERROR(COUNTIF(AX$14:$BL502,AX502),"")</f>
        <v>70</v>
      </c>
      <c r="AX502" s="148" t="str">
        <f t="shared" si="130"/>
        <v>Fri</v>
      </c>
      <c r="AY502" s="149">
        <f>'Raw Data'!A492</f>
        <v>42097</v>
      </c>
      <c r="AZ502" s="150" t="str">
        <f>'Raw Data'!E492</f>
        <v>$10 Off Promo</v>
      </c>
      <c r="BA502" s="150">
        <f>'Raw Data'!I492</f>
        <v>1191</v>
      </c>
      <c r="BB502" s="112"/>
      <c r="BC502" s="112"/>
      <c r="BD502" s="112">
        <f>'Raw Data'!O492</f>
        <v>1</v>
      </c>
    </row>
    <row r="503" spans="23:56">
      <c r="W503" s="21"/>
      <c r="AC503" s="21"/>
      <c r="AD503" s="21"/>
      <c r="AE503" s="21"/>
      <c r="AS503" s="112" t="str">
        <f t="shared" si="128"/>
        <v/>
      </c>
      <c r="AT503" s="112" t="str">
        <f>IF(AS503="","",COUNTIF($AS$13:AS503,AS503))</f>
        <v/>
      </c>
      <c r="AU503" s="147">
        <f t="shared" si="129"/>
        <v>490</v>
      </c>
      <c r="AV503" s="147">
        <f>COUNTIF($AZ$14:AZ503,AZ503)</f>
        <v>6</v>
      </c>
      <c r="AW503" s="147">
        <f>IFERROR(COUNTIF(AX$14:$BL503,AX503),"")</f>
        <v>70</v>
      </c>
      <c r="AX503" s="148" t="str">
        <f t="shared" si="130"/>
        <v>Sat</v>
      </c>
      <c r="AY503" s="149">
        <f>'Raw Data'!A493</f>
        <v>42098</v>
      </c>
      <c r="AZ503" s="150" t="str">
        <f>'Raw Data'!E493</f>
        <v>$10 Off Promo</v>
      </c>
      <c r="BA503" s="150">
        <f>'Raw Data'!I493</f>
        <v>907</v>
      </c>
      <c r="BB503" s="112"/>
      <c r="BC503" s="112"/>
      <c r="BD503" s="112">
        <f>'Raw Data'!O493</f>
        <v>1</v>
      </c>
    </row>
    <row r="504" spans="23:56">
      <c r="W504" s="21"/>
      <c r="AC504" s="21"/>
      <c r="AD504" s="21"/>
      <c r="AE504" s="21"/>
      <c r="AS504" s="112" t="str">
        <f t="shared" si="128"/>
        <v/>
      </c>
      <c r="AT504" s="112" t="str">
        <f>IF(AS504="","",COUNTIF($AS$13:AS504,AS504))</f>
        <v/>
      </c>
      <c r="AU504" s="147">
        <f t="shared" si="129"/>
        <v>491</v>
      </c>
      <c r="AV504" s="147">
        <f>COUNTIF($AZ$14:AZ504,AZ504)</f>
        <v>9</v>
      </c>
      <c r="AW504" s="147">
        <f>IFERROR(COUNTIF(AX$14:$BL504,AX504),"")</f>
        <v>71</v>
      </c>
      <c r="AX504" s="148" t="str">
        <f t="shared" si="130"/>
        <v>Sun</v>
      </c>
      <c r="AY504" s="149">
        <f>'Raw Data'!A494</f>
        <v>42099</v>
      </c>
      <c r="AZ504" s="150" t="str">
        <f>'Raw Data'!E494</f>
        <v>$5 Off, FS on $50</v>
      </c>
      <c r="BA504" s="150">
        <f>'Raw Data'!I494</f>
        <v>423</v>
      </c>
      <c r="BB504" s="112"/>
      <c r="BC504" s="112"/>
      <c r="BD504" s="112">
        <f>'Raw Data'!O494</f>
        <v>1</v>
      </c>
    </row>
    <row r="505" spans="23:56">
      <c r="W505" s="21"/>
      <c r="AC505" s="21"/>
      <c r="AD505" s="21"/>
      <c r="AE505" s="21"/>
      <c r="AS505" s="112" t="str">
        <f t="shared" si="128"/>
        <v/>
      </c>
      <c r="AT505" s="112" t="str">
        <f>IF(AS505="","",COUNTIF($AS$13:AS505,AS505))</f>
        <v/>
      </c>
      <c r="AU505" s="147">
        <f t="shared" si="129"/>
        <v>492</v>
      </c>
      <c r="AV505" s="147">
        <f>COUNTIF($AZ$14:AZ505,AZ505)</f>
        <v>98</v>
      </c>
      <c r="AW505" s="147">
        <f>IFERROR(COUNTIF(AX$14:$BL505,AX505),"")</f>
        <v>71</v>
      </c>
      <c r="AX505" s="148" t="str">
        <f t="shared" si="130"/>
        <v>Mon</v>
      </c>
      <c r="AY505" s="149">
        <f>'Raw Data'!A495</f>
        <v>42100</v>
      </c>
      <c r="AZ505" s="150" t="str">
        <f>'Raw Data'!E495</f>
        <v>No Email Drop</v>
      </c>
      <c r="BA505" s="150">
        <f>'Raw Data'!I495</f>
        <v>1085</v>
      </c>
      <c r="BB505" s="112"/>
      <c r="BC505" s="112"/>
      <c r="BD505" s="112">
        <f>'Raw Data'!O495</f>
        <v>0</v>
      </c>
    </row>
    <row r="506" spans="23:56">
      <c r="W506" s="21"/>
      <c r="AC506" s="21"/>
      <c r="AD506" s="21"/>
      <c r="AE506" s="21"/>
      <c r="AS506" s="112" t="str">
        <f t="shared" si="128"/>
        <v/>
      </c>
      <c r="AT506" s="112" t="str">
        <f>IF(AS506="","",COUNTIF($AS$13:AS506,AS506))</f>
        <v/>
      </c>
      <c r="AU506" s="147">
        <f t="shared" si="129"/>
        <v>493</v>
      </c>
      <c r="AV506" s="147">
        <f>COUNTIF($AZ$14:AZ506,AZ506)</f>
        <v>6</v>
      </c>
      <c r="AW506" s="147">
        <f>IFERROR(COUNTIF(AX$14:$BL506,AX506),"")</f>
        <v>71</v>
      </c>
      <c r="AX506" s="148" t="str">
        <f t="shared" si="130"/>
        <v>Tue</v>
      </c>
      <c r="AY506" s="149">
        <f>'Raw Data'!A496</f>
        <v>42101</v>
      </c>
      <c r="AZ506" s="150" t="str">
        <f>'Raw Data'!E496</f>
        <v>Adverts Only</v>
      </c>
      <c r="BA506" s="150">
        <f>'Raw Data'!I496</f>
        <v>1131</v>
      </c>
      <c r="BB506" s="112"/>
      <c r="BC506" s="112"/>
      <c r="BD506" s="112">
        <f>'Raw Data'!O496</f>
        <v>1</v>
      </c>
    </row>
    <row r="507" spans="23:56">
      <c r="W507" s="21"/>
      <c r="AC507" s="21"/>
      <c r="AD507" s="21"/>
      <c r="AE507" s="21"/>
      <c r="AS507" s="112" t="str">
        <f t="shared" si="128"/>
        <v/>
      </c>
      <c r="AT507" s="112" t="str">
        <f>IF(AS507="","",COUNTIF($AS$13:AS507,AS507))</f>
        <v/>
      </c>
      <c r="AU507" s="147">
        <f t="shared" si="129"/>
        <v>494</v>
      </c>
      <c r="AV507" s="147">
        <f>COUNTIF($AZ$14:AZ507,AZ507)</f>
        <v>7</v>
      </c>
      <c r="AW507" s="147">
        <f>IFERROR(COUNTIF(AX$14:$BL507,AX507),"")</f>
        <v>71</v>
      </c>
      <c r="AX507" s="148" t="str">
        <f t="shared" si="130"/>
        <v>Wed</v>
      </c>
      <c r="AY507" s="149">
        <f>'Raw Data'!A497</f>
        <v>42102</v>
      </c>
      <c r="AZ507" s="150" t="str">
        <f>'Raw Data'!E497</f>
        <v>Adverts Only</v>
      </c>
      <c r="BA507" s="150">
        <f>'Raw Data'!I497</f>
        <v>1154</v>
      </c>
      <c r="BB507" s="112"/>
      <c r="BC507" s="112"/>
      <c r="BD507" s="112">
        <f>'Raw Data'!O497</f>
        <v>1</v>
      </c>
    </row>
    <row r="508" spans="23:56">
      <c r="W508" s="21"/>
      <c r="AC508" s="21"/>
      <c r="AD508" s="21"/>
      <c r="AE508" s="21"/>
      <c r="AS508" s="112" t="str">
        <f t="shared" si="128"/>
        <v/>
      </c>
      <c r="AT508" s="112" t="str">
        <f>IF(AS508="","",COUNTIF($AS$13:AS508,AS508))</f>
        <v/>
      </c>
      <c r="AU508" s="147">
        <f t="shared" si="129"/>
        <v>495</v>
      </c>
      <c r="AV508" s="147">
        <f>COUNTIF($AZ$14:AZ508,AZ508)</f>
        <v>5</v>
      </c>
      <c r="AW508" s="147">
        <f>IFERROR(COUNTIF(AX$14:$BL508,AX508),"")</f>
        <v>71</v>
      </c>
      <c r="AX508" s="148" t="str">
        <f t="shared" si="130"/>
        <v>Thu</v>
      </c>
      <c r="AY508" s="149">
        <f>'Raw Data'!A498</f>
        <v>42103</v>
      </c>
      <c r="AZ508" s="150" t="str">
        <f>'Raw Data'!E498</f>
        <v>30% Off,FS on $100</v>
      </c>
      <c r="BA508" s="150">
        <f>'Raw Data'!I498</f>
        <v>1376</v>
      </c>
      <c r="BB508" s="112"/>
      <c r="BC508" s="112"/>
      <c r="BD508" s="112">
        <f>'Raw Data'!O498</f>
        <v>1</v>
      </c>
    </row>
    <row r="509" spans="23:56">
      <c r="W509" s="21"/>
      <c r="AC509" s="21"/>
      <c r="AD509" s="21"/>
      <c r="AE509" s="21"/>
      <c r="AS509" s="112" t="str">
        <f t="shared" si="128"/>
        <v/>
      </c>
      <c r="AT509" s="112" t="str">
        <f>IF(AS509="","",COUNTIF($AS$13:AS509,AS509))</f>
        <v/>
      </c>
      <c r="AU509" s="147">
        <f t="shared" si="129"/>
        <v>496</v>
      </c>
      <c r="AV509" s="147">
        <f>COUNTIF($AZ$14:AZ509,AZ509)</f>
        <v>6</v>
      </c>
      <c r="AW509" s="147">
        <f>IFERROR(COUNTIF(AX$14:$BL509,AX509),"")</f>
        <v>71</v>
      </c>
      <c r="AX509" s="148" t="str">
        <f t="shared" si="130"/>
        <v>Fri</v>
      </c>
      <c r="AY509" s="149">
        <f>'Raw Data'!A499</f>
        <v>42104</v>
      </c>
      <c r="AZ509" s="150" t="str">
        <f>'Raw Data'!E499</f>
        <v>30% Off,FS on $100</v>
      </c>
      <c r="BA509" s="150">
        <f>'Raw Data'!I499</f>
        <v>1317</v>
      </c>
      <c r="BB509" s="112"/>
      <c r="BC509" s="112"/>
      <c r="BD509" s="112">
        <f>'Raw Data'!O499</f>
        <v>2</v>
      </c>
    </row>
    <row r="510" spans="23:56">
      <c r="W510" s="21"/>
      <c r="AC510" s="21"/>
      <c r="AD510" s="21"/>
      <c r="AE510" s="21"/>
      <c r="AS510" s="112" t="str">
        <f t="shared" si="128"/>
        <v/>
      </c>
      <c r="AT510" s="112" t="str">
        <f>IF(AS510="","",COUNTIF($AS$13:AS510,AS510))</f>
        <v/>
      </c>
      <c r="AU510" s="147">
        <f t="shared" si="129"/>
        <v>497</v>
      </c>
      <c r="AV510" s="147">
        <f>COUNTIF($AZ$14:AZ510,AZ510)</f>
        <v>99</v>
      </c>
      <c r="AW510" s="147">
        <f>IFERROR(COUNTIF(AX$14:$BL510,AX510),"")</f>
        <v>71</v>
      </c>
      <c r="AX510" s="148" t="str">
        <f t="shared" si="130"/>
        <v>Sat</v>
      </c>
      <c r="AY510" s="149">
        <f>'Raw Data'!A500</f>
        <v>42105</v>
      </c>
      <c r="AZ510" s="150" t="str">
        <f>'Raw Data'!E500</f>
        <v>No Email Drop</v>
      </c>
      <c r="BA510" s="150">
        <f>'Raw Data'!I500</f>
        <v>701</v>
      </c>
      <c r="BB510" s="112"/>
      <c r="BC510" s="112"/>
      <c r="BD510" s="112">
        <f>'Raw Data'!O500</f>
        <v>0</v>
      </c>
    </row>
    <row r="511" spans="23:56">
      <c r="W511" s="21"/>
      <c r="AC511" s="21"/>
      <c r="AD511" s="21"/>
      <c r="AE511" s="21"/>
      <c r="AS511" s="112">
        <f t="shared" si="128"/>
        <v>1</v>
      </c>
      <c r="AT511" s="112">
        <f>IF(AS511="","",COUNTIF($AS$13:AS511,AS511))</f>
        <v>16</v>
      </c>
      <c r="AU511" s="147">
        <f t="shared" si="129"/>
        <v>498</v>
      </c>
      <c r="AV511" s="147">
        <f>COUNTIF($AZ$14:AZ511,AZ511)</f>
        <v>4</v>
      </c>
      <c r="AW511" s="147">
        <f>IFERROR(COUNTIF(AX$14:$BL511,AX511),"")</f>
        <v>72</v>
      </c>
      <c r="AX511" s="148" t="str">
        <f t="shared" si="130"/>
        <v>Sun</v>
      </c>
      <c r="AY511" s="149">
        <f>'Raw Data'!A501</f>
        <v>42106</v>
      </c>
      <c r="AZ511" s="150" t="str">
        <f>'Raw Data'!E501</f>
        <v>Flash Sale,25% Off,FS on $49</v>
      </c>
      <c r="BA511" s="150">
        <f>'Raw Data'!I501</f>
        <v>798</v>
      </c>
      <c r="BB511" s="112"/>
      <c r="BC511" s="112"/>
      <c r="BD511" s="112">
        <f>'Raw Data'!O501</f>
        <v>1</v>
      </c>
    </row>
    <row r="512" spans="23:56">
      <c r="W512" s="21"/>
      <c r="AC512" s="21"/>
      <c r="AD512" s="21"/>
      <c r="AE512" s="21"/>
      <c r="AS512" s="112">
        <f t="shared" si="128"/>
        <v>1</v>
      </c>
      <c r="AT512" s="112">
        <f>IF(AS512="","",COUNTIF($AS$13:AS512,AS512))</f>
        <v>17</v>
      </c>
      <c r="AU512" s="147">
        <f t="shared" si="129"/>
        <v>499</v>
      </c>
      <c r="AV512" s="147">
        <f>COUNTIF($AZ$14:AZ512,AZ512)</f>
        <v>5</v>
      </c>
      <c r="AW512" s="147">
        <f>IFERROR(COUNTIF(AX$14:$BL512,AX512),"")</f>
        <v>72</v>
      </c>
      <c r="AX512" s="148" t="str">
        <f t="shared" si="130"/>
        <v>Mon</v>
      </c>
      <c r="AY512" s="149">
        <f>'Raw Data'!A502</f>
        <v>42107</v>
      </c>
      <c r="AZ512" s="150" t="str">
        <f>'Raw Data'!E502</f>
        <v>Flash Sale,25% Off,FS on $49</v>
      </c>
      <c r="BA512" s="150">
        <f>'Raw Data'!I502</f>
        <v>1139</v>
      </c>
      <c r="BB512" s="112"/>
      <c r="BC512" s="112"/>
      <c r="BD512" s="112">
        <f>'Raw Data'!O502</f>
        <v>1</v>
      </c>
    </row>
    <row r="513" spans="23:56">
      <c r="W513" s="21"/>
      <c r="AC513" s="21"/>
      <c r="AD513" s="21"/>
      <c r="AE513" s="21"/>
      <c r="AS513" s="112" t="str">
        <f t="shared" si="128"/>
        <v/>
      </c>
      <c r="AT513" s="112" t="str">
        <f>IF(AS513="","",COUNTIF($AS$13:AS513,AS513))</f>
        <v/>
      </c>
      <c r="AU513" s="147">
        <f t="shared" si="129"/>
        <v>500</v>
      </c>
      <c r="AV513" s="147">
        <f>COUNTIF($AZ$14:AZ513,AZ513)</f>
        <v>28</v>
      </c>
      <c r="AW513" s="147">
        <f>IFERROR(COUNTIF(AX$14:$BL513,AX513),"")</f>
        <v>72</v>
      </c>
      <c r="AX513" s="148" t="str">
        <f t="shared" si="130"/>
        <v>Tue</v>
      </c>
      <c r="AY513" s="149">
        <f>'Raw Data'!A503</f>
        <v>42108</v>
      </c>
      <c r="AZ513" s="150" t="str">
        <f>'Raw Data'!E503</f>
        <v>Up To 40% Off,FS on $49</v>
      </c>
      <c r="BA513" s="150">
        <f>'Raw Data'!I503</f>
        <v>1202</v>
      </c>
      <c r="BB513" s="112"/>
      <c r="BC513" s="112"/>
      <c r="BD513" s="112">
        <f>'Raw Data'!O503</f>
        <v>1</v>
      </c>
    </row>
    <row r="514" spans="23:56">
      <c r="W514" s="21"/>
      <c r="AC514" s="21"/>
      <c r="AD514" s="21"/>
      <c r="AE514" s="21"/>
      <c r="AS514" s="112" t="str">
        <f t="shared" si="128"/>
        <v/>
      </c>
      <c r="AT514" s="112" t="str">
        <f>IF(AS514="","",COUNTIF($AS$13:AS514,AS514))</f>
        <v/>
      </c>
      <c r="AU514" s="147">
        <f t="shared" si="129"/>
        <v>501</v>
      </c>
      <c r="AV514" s="147">
        <f>COUNTIF($AZ$14:AZ514,AZ514)</f>
        <v>9</v>
      </c>
      <c r="AW514" s="147">
        <f>IFERROR(COUNTIF(AX$14:$BL514,AX514),"")</f>
        <v>72</v>
      </c>
      <c r="AX514" s="148" t="str">
        <f t="shared" si="130"/>
        <v>Wed</v>
      </c>
      <c r="AY514" s="149">
        <f>'Raw Data'!A504</f>
        <v>42109</v>
      </c>
      <c r="AZ514" s="150" t="str">
        <f>'Raw Data'!E504</f>
        <v>$15 Off,FS on $49</v>
      </c>
      <c r="BA514" s="150">
        <f>'Raw Data'!I504</f>
        <v>1317</v>
      </c>
      <c r="BB514" s="112"/>
      <c r="BC514" s="112"/>
      <c r="BD514" s="112">
        <f>'Raw Data'!O504</f>
        <v>2</v>
      </c>
    </row>
    <row r="515" spans="23:56">
      <c r="W515" s="21"/>
      <c r="AC515" s="21"/>
      <c r="AD515" s="21"/>
      <c r="AE515" s="21"/>
      <c r="AS515" s="112" t="str">
        <f t="shared" si="128"/>
        <v/>
      </c>
      <c r="AT515" s="112" t="str">
        <f>IF(AS515="","",COUNTIF($AS$13:AS515,AS515))</f>
        <v/>
      </c>
      <c r="AU515" s="147">
        <f t="shared" si="129"/>
        <v>502</v>
      </c>
      <c r="AV515" s="147">
        <f>COUNTIF($AZ$14:AZ515,AZ515)</f>
        <v>100</v>
      </c>
      <c r="AW515" s="147">
        <f>IFERROR(COUNTIF(AX$14:$BL515,AX515),"")</f>
        <v>72</v>
      </c>
      <c r="AX515" s="148" t="str">
        <f t="shared" si="130"/>
        <v>Thu</v>
      </c>
      <c r="AY515" s="149">
        <f>'Raw Data'!A505</f>
        <v>42110</v>
      </c>
      <c r="AZ515" s="150" t="str">
        <f>'Raw Data'!E505</f>
        <v>No Email Drop</v>
      </c>
      <c r="BA515" s="150">
        <f>'Raw Data'!I505</f>
        <v>984</v>
      </c>
      <c r="BB515" s="112"/>
      <c r="BC515" s="112"/>
      <c r="BD515" s="112">
        <f>'Raw Data'!O505</f>
        <v>0</v>
      </c>
    </row>
    <row r="516" spans="23:56">
      <c r="W516" s="21"/>
      <c r="AC516" s="21"/>
      <c r="AD516" s="21"/>
      <c r="AE516" s="21"/>
      <c r="AS516" s="112" t="str">
        <f t="shared" si="128"/>
        <v/>
      </c>
      <c r="AT516" s="112" t="str">
        <f>IF(AS516="","",COUNTIF($AS$13:AS516,AS516))</f>
        <v/>
      </c>
      <c r="AU516" s="147">
        <f t="shared" si="129"/>
        <v>503</v>
      </c>
      <c r="AV516" s="147">
        <f>COUNTIF($AZ$14:AZ516,AZ516)</f>
        <v>1</v>
      </c>
      <c r="AW516" s="147">
        <f>IFERROR(COUNTIF(AX$14:$BL516,AX516),"")</f>
        <v>72</v>
      </c>
      <c r="AX516" s="148" t="str">
        <f t="shared" si="130"/>
        <v>Fri</v>
      </c>
      <c r="AY516" s="149">
        <f>'Raw Data'!A506</f>
        <v>42111</v>
      </c>
      <c r="AZ516" s="150" t="str">
        <f>'Raw Data'!E506</f>
        <v>10% Off Promo</v>
      </c>
      <c r="BA516" s="150">
        <f>'Raw Data'!I506</f>
        <v>1084</v>
      </c>
      <c r="BB516" s="112"/>
      <c r="BC516" s="112"/>
      <c r="BD516" s="112">
        <f>'Raw Data'!O506</f>
        <v>1</v>
      </c>
    </row>
    <row r="517" spans="23:56">
      <c r="W517" s="21"/>
      <c r="AC517" s="21"/>
      <c r="AD517" s="21"/>
      <c r="AE517" s="21"/>
      <c r="AS517" s="112" t="str">
        <f t="shared" si="128"/>
        <v/>
      </c>
      <c r="AT517" s="112" t="str">
        <f>IF(AS517="","",COUNTIF($AS$13:AS517,AS517))</f>
        <v/>
      </c>
      <c r="AU517" s="147">
        <f t="shared" si="129"/>
        <v>504</v>
      </c>
      <c r="AV517" s="147">
        <f>COUNTIF($AZ$14:AZ517,AZ517)</f>
        <v>3</v>
      </c>
      <c r="AW517" s="147">
        <f>IFERROR(COUNTIF(AX$14:$BL517,AX517),"")</f>
        <v>72</v>
      </c>
      <c r="AX517" s="148" t="str">
        <f t="shared" si="130"/>
        <v>Sat</v>
      </c>
      <c r="AY517" s="149">
        <f>'Raw Data'!A507</f>
        <v>42112</v>
      </c>
      <c r="AZ517" s="150" t="str">
        <f>'Raw Data'!E507</f>
        <v>15% Off,FS on $60</v>
      </c>
      <c r="BA517" s="150">
        <f>'Raw Data'!I507</f>
        <v>876</v>
      </c>
      <c r="BB517" s="112"/>
      <c r="BC517" s="112"/>
      <c r="BD517" s="112">
        <f>'Raw Data'!O507</f>
        <v>1</v>
      </c>
    </row>
    <row r="518" spans="23:56">
      <c r="W518" s="21"/>
      <c r="AC518" s="21"/>
      <c r="AD518" s="21"/>
      <c r="AE518" s="21"/>
      <c r="AS518" s="112" t="str">
        <f t="shared" si="128"/>
        <v/>
      </c>
      <c r="AT518" s="112" t="str">
        <f>IF(AS518="","",COUNTIF($AS$13:AS518,AS518))</f>
        <v/>
      </c>
      <c r="AU518" s="147">
        <f t="shared" si="129"/>
        <v>505</v>
      </c>
      <c r="AV518" s="147">
        <f>COUNTIF($AZ$14:AZ518,AZ518)</f>
        <v>4</v>
      </c>
      <c r="AW518" s="147">
        <f>IFERROR(COUNTIF(AX$14:$BL518,AX518),"")</f>
        <v>73</v>
      </c>
      <c r="AX518" s="148" t="str">
        <f t="shared" si="130"/>
        <v>Sun</v>
      </c>
      <c r="AY518" s="149">
        <f>'Raw Data'!A508</f>
        <v>42113</v>
      </c>
      <c r="AZ518" s="150" t="str">
        <f>'Raw Data'!E508</f>
        <v>15% Off,FS on $60</v>
      </c>
      <c r="BA518" s="150">
        <f>'Raw Data'!I508</f>
        <v>681</v>
      </c>
      <c r="BB518" s="112"/>
      <c r="BC518" s="112"/>
      <c r="BD518" s="112">
        <f>'Raw Data'!O508</f>
        <v>2</v>
      </c>
    </row>
    <row r="519" spans="23:56">
      <c r="W519" s="21"/>
      <c r="AC519" s="21"/>
      <c r="AD519" s="21"/>
      <c r="AE519" s="21"/>
      <c r="AS519" s="112" t="str">
        <f t="shared" si="128"/>
        <v/>
      </c>
      <c r="AT519" s="112" t="str">
        <f>IF(AS519="","",COUNTIF($AS$13:AS519,AS519))</f>
        <v/>
      </c>
      <c r="AU519" s="147">
        <f t="shared" si="129"/>
        <v>506</v>
      </c>
      <c r="AV519" s="147">
        <f>COUNTIF($AZ$14:AZ519,AZ519)</f>
        <v>101</v>
      </c>
      <c r="AW519" s="147">
        <f>IFERROR(COUNTIF(AX$14:$BL519,AX519),"")</f>
        <v>73</v>
      </c>
      <c r="AX519" s="148" t="str">
        <f t="shared" si="130"/>
        <v>Mon</v>
      </c>
      <c r="AY519" s="149">
        <f>'Raw Data'!A509</f>
        <v>42114</v>
      </c>
      <c r="AZ519" s="150" t="str">
        <f>'Raw Data'!E509</f>
        <v>No Email Drop</v>
      </c>
      <c r="BA519" s="150">
        <f>'Raw Data'!I509</f>
        <v>1059</v>
      </c>
      <c r="BB519" s="112"/>
      <c r="BC519" s="112"/>
      <c r="BD519" s="112">
        <f>'Raw Data'!O509</f>
        <v>0</v>
      </c>
    </row>
    <row r="520" spans="23:56">
      <c r="W520" s="21"/>
      <c r="AC520" s="21"/>
      <c r="AD520" s="21"/>
      <c r="AE520" s="21"/>
      <c r="AS520" s="112" t="str">
        <f t="shared" si="128"/>
        <v/>
      </c>
      <c r="AT520" s="112" t="str">
        <f>IF(AS520="","",COUNTIF($AS$13:AS520,AS520))</f>
        <v/>
      </c>
      <c r="AU520" s="147">
        <f t="shared" si="129"/>
        <v>507</v>
      </c>
      <c r="AV520" s="147">
        <f>COUNTIF($AZ$14:AZ520,AZ520)</f>
        <v>8</v>
      </c>
      <c r="AW520" s="147">
        <f>IFERROR(COUNTIF(AX$14:$BL520,AX520),"")</f>
        <v>73</v>
      </c>
      <c r="AX520" s="148" t="str">
        <f t="shared" si="130"/>
        <v>Tue</v>
      </c>
      <c r="AY520" s="149">
        <f>'Raw Data'!A510</f>
        <v>42115</v>
      </c>
      <c r="AZ520" s="150" t="str">
        <f>'Raw Data'!E510</f>
        <v>Adverts Only</v>
      </c>
      <c r="BA520" s="150">
        <f>'Raw Data'!I510</f>
        <v>1083</v>
      </c>
      <c r="BB520" s="112"/>
      <c r="BC520" s="112"/>
      <c r="BD520" s="112">
        <f>'Raw Data'!O510</f>
        <v>1</v>
      </c>
    </row>
    <row r="521" spans="23:56">
      <c r="W521" s="21"/>
      <c r="AC521" s="21"/>
      <c r="AD521" s="21"/>
      <c r="AE521" s="21"/>
      <c r="AS521" s="112" t="str">
        <f t="shared" si="128"/>
        <v/>
      </c>
      <c r="AT521" s="112" t="str">
        <f>IF(AS521="","",COUNTIF($AS$13:AS521,AS521))</f>
        <v/>
      </c>
      <c r="AU521" s="147">
        <f t="shared" si="129"/>
        <v>508</v>
      </c>
      <c r="AV521" s="147">
        <f>COUNTIF($AZ$14:AZ521,AZ521)</f>
        <v>31</v>
      </c>
      <c r="AW521" s="147">
        <f>IFERROR(COUNTIF(AX$14:$BL521,AX521),"")</f>
        <v>73</v>
      </c>
      <c r="AX521" s="148" t="str">
        <f t="shared" si="130"/>
        <v>Wed</v>
      </c>
      <c r="AY521" s="149">
        <f>'Raw Data'!A511</f>
        <v>42116</v>
      </c>
      <c r="AZ521" s="150" t="str">
        <f>'Raw Data'!E511</f>
        <v>Free Ship No Min</v>
      </c>
      <c r="BA521" s="150">
        <f>'Raw Data'!I511</f>
        <v>1389</v>
      </c>
      <c r="BB521" s="112"/>
      <c r="BC521" s="112"/>
      <c r="BD521" s="112">
        <f>'Raw Data'!O511</f>
        <v>2</v>
      </c>
    </row>
    <row r="522" spans="23:56">
      <c r="W522" s="21"/>
      <c r="AC522" s="21"/>
      <c r="AD522" s="21"/>
      <c r="AE522" s="21"/>
      <c r="AS522" s="112" t="str">
        <f t="shared" si="128"/>
        <v/>
      </c>
      <c r="AT522" s="112" t="str">
        <f>IF(AS522="","",COUNTIF($AS$13:AS522,AS522))</f>
        <v/>
      </c>
      <c r="AU522" s="147">
        <f t="shared" si="129"/>
        <v>509</v>
      </c>
      <c r="AV522" s="147">
        <f>COUNTIF($AZ$14:AZ522,AZ522)</f>
        <v>9</v>
      </c>
      <c r="AW522" s="147">
        <f>IFERROR(COUNTIF(AX$14:$BL522,AX522),"")</f>
        <v>73</v>
      </c>
      <c r="AX522" s="148" t="str">
        <f t="shared" si="130"/>
        <v>Thu</v>
      </c>
      <c r="AY522" s="149">
        <f>'Raw Data'!A512</f>
        <v>42117</v>
      </c>
      <c r="AZ522" s="150" t="str">
        <f>'Raw Data'!E512</f>
        <v>Adverts Only</v>
      </c>
      <c r="BA522" s="150">
        <f>'Raw Data'!I512</f>
        <v>1094</v>
      </c>
      <c r="BB522" s="112"/>
      <c r="BC522" s="112"/>
      <c r="BD522" s="112">
        <f>'Raw Data'!O512</f>
        <v>1</v>
      </c>
    </row>
    <row r="523" spans="23:56">
      <c r="W523" s="21"/>
      <c r="AC523" s="21"/>
      <c r="AD523" s="21"/>
      <c r="AE523" s="21"/>
      <c r="AS523" s="112" t="str">
        <f t="shared" si="128"/>
        <v/>
      </c>
      <c r="AT523" s="112" t="str">
        <f>IF(AS523="","",COUNTIF($AS$13:AS523,AS523))</f>
        <v/>
      </c>
      <c r="AU523" s="147">
        <f t="shared" si="129"/>
        <v>510</v>
      </c>
      <c r="AV523" s="147">
        <f>COUNTIF($AZ$14:AZ523,AZ523)</f>
        <v>5</v>
      </c>
      <c r="AW523" s="147">
        <f>IFERROR(COUNTIF(AX$14:$BL523,AX523),"")</f>
        <v>73</v>
      </c>
      <c r="AX523" s="148" t="str">
        <f t="shared" si="130"/>
        <v>Fri</v>
      </c>
      <c r="AY523" s="149">
        <f>'Raw Data'!A513</f>
        <v>42118</v>
      </c>
      <c r="AZ523" s="150" t="str">
        <f>'Raw Data'!E513</f>
        <v>15% Off,FS on $60</v>
      </c>
      <c r="BA523" s="150">
        <f>'Raw Data'!I513</f>
        <v>1072</v>
      </c>
      <c r="BB523" s="112"/>
      <c r="BC523" s="112"/>
      <c r="BD523" s="112">
        <f>'Raw Data'!O513</f>
        <v>1</v>
      </c>
    </row>
    <row r="524" spans="23:56">
      <c r="W524" s="21"/>
      <c r="AC524" s="21"/>
      <c r="AD524" s="21"/>
      <c r="AE524" s="21"/>
      <c r="AS524" s="112" t="str">
        <f t="shared" si="128"/>
        <v/>
      </c>
      <c r="AT524" s="112" t="str">
        <f>IF(AS524="","",COUNTIF($AS$13:AS524,AS524))</f>
        <v/>
      </c>
      <c r="AU524" s="147">
        <f t="shared" si="129"/>
        <v>511</v>
      </c>
      <c r="AV524" s="147">
        <f>COUNTIF($AZ$14:AZ524,AZ524)</f>
        <v>6</v>
      </c>
      <c r="AW524" s="147">
        <f>IFERROR(COUNTIF(AX$14:$BL524,AX524),"")</f>
        <v>73</v>
      </c>
      <c r="AX524" s="148" t="str">
        <f t="shared" si="130"/>
        <v>Sat</v>
      </c>
      <c r="AY524" s="149">
        <f>'Raw Data'!A514</f>
        <v>42119</v>
      </c>
      <c r="AZ524" s="150" t="str">
        <f>'Raw Data'!E514</f>
        <v>15% Off,FS on $60</v>
      </c>
      <c r="BA524" s="150">
        <f>'Raw Data'!I514</f>
        <v>812</v>
      </c>
      <c r="BB524" s="112"/>
      <c r="BC524" s="112"/>
      <c r="BD524" s="112">
        <f>'Raw Data'!O514</f>
        <v>1</v>
      </c>
    </row>
    <row r="525" spans="23:56">
      <c r="W525" s="21"/>
      <c r="AC525" s="21"/>
      <c r="AD525" s="21"/>
      <c r="AE525" s="21"/>
      <c r="AS525" s="112" t="str">
        <f t="shared" si="128"/>
        <v/>
      </c>
      <c r="AT525" s="112" t="str">
        <f>IF(AS525="","",COUNTIF($AS$13:AS525,AS525))</f>
        <v/>
      </c>
      <c r="AU525" s="147">
        <f t="shared" si="129"/>
        <v>512</v>
      </c>
      <c r="AV525" s="147">
        <f>COUNTIF($AZ$14:AZ525,AZ525)</f>
        <v>7</v>
      </c>
      <c r="AW525" s="147">
        <f>IFERROR(COUNTIF(AX$14:$BL525,AX525),"")</f>
        <v>74</v>
      </c>
      <c r="AX525" s="148" t="str">
        <f t="shared" si="130"/>
        <v>Sun</v>
      </c>
      <c r="AY525" s="149">
        <f>'Raw Data'!A515</f>
        <v>42120</v>
      </c>
      <c r="AZ525" s="150" t="str">
        <f>'Raw Data'!E515</f>
        <v>15% Off,FS on $60</v>
      </c>
      <c r="BA525" s="150">
        <f>'Raw Data'!I515</f>
        <v>661</v>
      </c>
      <c r="BB525" s="112"/>
      <c r="BC525" s="112"/>
      <c r="BD525" s="112">
        <f>'Raw Data'!O515</f>
        <v>1</v>
      </c>
    </row>
    <row r="526" spans="23:56">
      <c r="W526" s="21"/>
      <c r="AC526" s="21"/>
      <c r="AD526" s="21"/>
      <c r="AE526" s="21"/>
      <c r="AS526" s="112" t="str">
        <f t="shared" si="128"/>
        <v/>
      </c>
      <c r="AT526" s="112" t="str">
        <f>IF(AS526="","",COUNTIF($AS$13:AS526,AS526))</f>
        <v/>
      </c>
      <c r="AU526" s="147">
        <f t="shared" si="129"/>
        <v>513</v>
      </c>
      <c r="AV526" s="147">
        <f>COUNTIF($AZ$14:AZ526,AZ526)</f>
        <v>25</v>
      </c>
      <c r="AW526" s="147">
        <f>IFERROR(COUNTIF(AX$14:$BL526,AX526),"")</f>
        <v>74</v>
      </c>
      <c r="AX526" s="148" t="str">
        <f t="shared" si="130"/>
        <v>Mon</v>
      </c>
      <c r="AY526" s="149">
        <f>'Raw Data'!A516</f>
        <v>42121</v>
      </c>
      <c r="AZ526" s="150" t="str">
        <f>'Raw Data'!E516</f>
        <v>20% Off,FS on $49</v>
      </c>
      <c r="BA526" s="150">
        <f>'Raw Data'!I516</f>
        <v>1117</v>
      </c>
      <c r="BB526" s="112"/>
      <c r="BC526" s="112"/>
      <c r="BD526" s="112">
        <f>'Raw Data'!O516</f>
        <v>1</v>
      </c>
    </row>
    <row r="527" spans="23:56">
      <c r="W527" s="21"/>
      <c r="AC527" s="21"/>
      <c r="AD527" s="21"/>
      <c r="AE527" s="21"/>
      <c r="AS527" s="112" t="str">
        <f t="shared" si="128"/>
        <v/>
      </c>
      <c r="AT527" s="112" t="str">
        <f>IF(AS527="","",COUNTIF($AS$13:AS527,AS527))</f>
        <v/>
      </c>
      <c r="AU527" s="147">
        <f t="shared" si="129"/>
        <v>514</v>
      </c>
      <c r="AV527" s="147">
        <f>COUNTIF($AZ$14:AZ527,AZ527)</f>
        <v>26</v>
      </c>
      <c r="AW527" s="147">
        <f>IFERROR(COUNTIF(AX$14:$BL527,AX527),"")</f>
        <v>74</v>
      </c>
      <c r="AX527" s="148" t="str">
        <f t="shared" si="130"/>
        <v>Tue</v>
      </c>
      <c r="AY527" s="149">
        <f>'Raw Data'!A517</f>
        <v>42122</v>
      </c>
      <c r="AZ527" s="150" t="str">
        <f>'Raw Data'!E517</f>
        <v>20% Off,FS on $49</v>
      </c>
      <c r="BA527" s="150">
        <f>'Raw Data'!I517</f>
        <v>1039</v>
      </c>
      <c r="BB527" s="112"/>
      <c r="BC527" s="112"/>
      <c r="BD527" s="112">
        <f>'Raw Data'!O517</f>
        <v>1</v>
      </c>
    </row>
    <row r="528" spans="23:56">
      <c r="W528" s="21"/>
      <c r="AC528" s="21"/>
      <c r="AD528" s="21"/>
      <c r="AE528" s="21"/>
      <c r="AS528" s="112" t="str">
        <f t="shared" ref="AS528:AS591" si="132">IFERROR(IF(FIND($AT$12,AZ528)&gt;0,1,0),"")</f>
        <v/>
      </c>
      <c r="AT528" s="112" t="str">
        <f>IF(AS528="","",COUNTIF($AS$13:AS528,AS528))</f>
        <v/>
      </c>
      <c r="AU528" s="147">
        <f t="shared" ref="AU528:AU591" si="133">AU527+1</f>
        <v>515</v>
      </c>
      <c r="AV528" s="147">
        <f>COUNTIF($AZ$14:AZ528,AZ528)</f>
        <v>102</v>
      </c>
      <c r="AW528" s="147">
        <f>IFERROR(COUNTIF(AX$14:$BL528,AX528),"")</f>
        <v>74</v>
      </c>
      <c r="AX528" s="148" t="str">
        <f t="shared" ref="AX528:AX591" si="134">TEXT(AY528,"ddd")</f>
        <v>Wed</v>
      </c>
      <c r="AY528" s="149">
        <f>'Raw Data'!A518</f>
        <v>42123</v>
      </c>
      <c r="AZ528" s="150" t="str">
        <f>'Raw Data'!E518</f>
        <v>No Email Drop</v>
      </c>
      <c r="BA528" s="150">
        <f>'Raw Data'!I518</f>
        <v>978</v>
      </c>
      <c r="BB528" s="112"/>
      <c r="BC528" s="112"/>
      <c r="BD528" s="112">
        <f>'Raw Data'!O518</f>
        <v>0</v>
      </c>
    </row>
    <row r="529" spans="23:56">
      <c r="W529" s="21"/>
      <c r="AC529" s="21"/>
      <c r="AD529" s="21"/>
      <c r="AE529" s="21"/>
      <c r="AS529" s="112" t="str">
        <f t="shared" si="132"/>
        <v/>
      </c>
      <c r="AT529" s="112" t="str">
        <f>IF(AS529="","",COUNTIF($AS$13:AS529,AS529))</f>
        <v/>
      </c>
      <c r="AU529" s="147">
        <f t="shared" si="133"/>
        <v>516</v>
      </c>
      <c r="AV529" s="147">
        <f>COUNTIF($AZ$14:AZ529,AZ529)</f>
        <v>27</v>
      </c>
      <c r="AW529" s="147">
        <f>IFERROR(COUNTIF(AX$14:$BL529,AX529),"")</f>
        <v>74</v>
      </c>
      <c r="AX529" s="148" t="str">
        <f t="shared" si="134"/>
        <v>Thu</v>
      </c>
      <c r="AY529" s="149">
        <f>'Raw Data'!A519</f>
        <v>42124</v>
      </c>
      <c r="AZ529" s="150" t="str">
        <f>'Raw Data'!E519</f>
        <v>20% Off,FS on $49</v>
      </c>
      <c r="BA529" s="150">
        <f>'Raw Data'!I519</f>
        <v>1005</v>
      </c>
      <c r="BB529" s="112"/>
      <c r="BC529" s="112"/>
      <c r="BD529" s="112">
        <f>'Raw Data'!O519</f>
        <v>2</v>
      </c>
    </row>
    <row r="530" spans="23:56">
      <c r="W530" s="21"/>
      <c r="AC530" s="21"/>
      <c r="AD530" s="21"/>
      <c r="AE530" s="21"/>
      <c r="AS530" s="112" t="str">
        <f t="shared" si="132"/>
        <v/>
      </c>
      <c r="AT530" s="112" t="str">
        <f>IF(AS530="","",COUNTIF($AS$13:AS530,AS530))</f>
        <v/>
      </c>
      <c r="AU530" s="147">
        <f t="shared" si="133"/>
        <v>517</v>
      </c>
      <c r="AV530" s="147">
        <f>COUNTIF($AZ$14:AZ530,AZ530)</f>
        <v>7</v>
      </c>
      <c r="AW530" s="147">
        <f>IFERROR(COUNTIF(AX$14:$BL530,AX530),"")</f>
        <v>74</v>
      </c>
      <c r="AX530" s="148" t="str">
        <f t="shared" si="134"/>
        <v>Fri</v>
      </c>
      <c r="AY530" s="149">
        <f>'Raw Data'!A520</f>
        <v>42125</v>
      </c>
      <c r="AZ530" s="150" t="str">
        <f>'Raw Data'!E520</f>
        <v>$10 Off Promo</v>
      </c>
      <c r="BA530" s="150">
        <f>'Raw Data'!I520</f>
        <v>1017</v>
      </c>
      <c r="BB530" s="112"/>
      <c r="BC530" s="112"/>
      <c r="BD530" s="112">
        <f>'Raw Data'!O520</f>
        <v>1</v>
      </c>
    </row>
    <row r="531" spans="23:56">
      <c r="W531" s="21"/>
      <c r="AC531" s="21"/>
      <c r="AD531" s="21"/>
      <c r="AE531" s="21"/>
      <c r="AS531" s="112" t="str">
        <f t="shared" si="132"/>
        <v/>
      </c>
      <c r="AT531" s="112" t="str">
        <f>IF(AS531="","",COUNTIF($AS$13:AS531,AS531))</f>
        <v/>
      </c>
      <c r="AU531" s="147">
        <f t="shared" si="133"/>
        <v>518</v>
      </c>
      <c r="AV531" s="147">
        <f>COUNTIF($AZ$14:AZ531,AZ531)</f>
        <v>8</v>
      </c>
      <c r="AW531" s="147">
        <f>IFERROR(COUNTIF(AX$14:$BL531,AX531),"")</f>
        <v>74</v>
      </c>
      <c r="AX531" s="148" t="str">
        <f t="shared" si="134"/>
        <v>Sat</v>
      </c>
      <c r="AY531" s="149">
        <f>'Raw Data'!A521</f>
        <v>42126</v>
      </c>
      <c r="AZ531" s="150" t="str">
        <f>'Raw Data'!E521</f>
        <v>$10 Off Promo</v>
      </c>
      <c r="BA531" s="150">
        <f>'Raw Data'!I521</f>
        <v>858</v>
      </c>
      <c r="BB531" s="112"/>
      <c r="BC531" s="112"/>
      <c r="BD531" s="112">
        <f>'Raw Data'!O521</f>
        <v>2</v>
      </c>
    </row>
    <row r="532" spans="23:56">
      <c r="W532" s="21"/>
      <c r="AC532" s="21"/>
      <c r="AD532" s="21"/>
      <c r="AE532" s="21"/>
      <c r="AS532" s="112" t="str">
        <f t="shared" si="132"/>
        <v/>
      </c>
      <c r="AT532" s="112" t="str">
        <f>IF(AS532="","",COUNTIF($AS$13:AS532,AS532))</f>
        <v/>
      </c>
      <c r="AU532" s="147">
        <f t="shared" si="133"/>
        <v>519</v>
      </c>
      <c r="AV532" s="147">
        <f>COUNTIF($AZ$14:AZ532,AZ532)</f>
        <v>103</v>
      </c>
      <c r="AW532" s="147">
        <f>IFERROR(COUNTIF(AX$14:$BL532,AX532),"")</f>
        <v>75</v>
      </c>
      <c r="AX532" s="148" t="str">
        <f t="shared" si="134"/>
        <v>Sun</v>
      </c>
      <c r="AY532" s="149">
        <f>'Raw Data'!A522</f>
        <v>42127</v>
      </c>
      <c r="AZ532" s="150" t="str">
        <f>'Raw Data'!E522</f>
        <v>No Email Drop</v>
      </c>
      <c r="BA532" s="150">
        <f>'Raw Data'!I522</f>
        <v>560</v>
      </c>
      <c r="BB532" s="112"/>
      <c r="BC532" s="112"/>
      <c r="BD532" s="112">
        <f>'Raw Data'!O522</f>
        <v>0</v>
      </c>
    </row>
    <row r="533" spans="23:56">
      <c r="W533" s="21"/>
      <c r="AC533" s="21"/>
      <c r="AD533" s="21"/>
      <c r="AE533" s="21"/>
      <c r="AS533" s="112" t="str">
        <f t="shared" si="132"/>
        <v/>
      </c>
      <c r="AT533" s="112" t="str">
        <f>IF(AS533="","",COUNTIF($AS$13:AS533,AS533))</f>
        <v/>
      </c>
      <c r="AU533" s="147">
        <f t="shared" si="133"/>
        <v>520</v>
      </c>
      <c r="AV533" s="147">
        <f>COUNTIF($AZ$14:AZ533,AZ533)</f>
        <v>10</v>
      </c>
      <c r="AW533" s="147">
        <f>IFERROR(COUNTIF(AX$14:$BL533,AX533),"")</f>
        <v>75</v>
      </c>
      <c r="AX533" s="148" t="str">
        <f t="shared" si="134"/>
        <v>Mon</v>
      </c>
      <c r="AY533" s="149">
        <f>'Raw Data'!A523</f>
        <v>42128</v>
      </c>
      <c r="AZ533" s="150" t="str">
        <f>'Raw Data'!E523</f>
        <v>Adverts Only</v>
      </c>
      <c r="BA533" s="150">
        <f>'Raw Data'!I523</f>
        <v>1049</v>
      </c>
      <c r="BB533" s="112"/>
      <c r="BC533" s="112"/>
      <c r="BD533" s="112">
        <f>'Raw Data'!O523</f>
        <v>1</v>
      </c>
    </row>
    <row r="534" spans="23:56">
      <c r="W534" s="21"/>
      <c r="AC534" s="21"/>
      <c r="AD534" s="21"/>
      <c r="AE534" s="21"/>
      <c r="AS534" s="112">
        <f t="shared" si="132"/>
        <v>1</v>
      </c>
      <c r="AT534" s="112">
        <f>IF(AS534="","",COUNTIF($AS$13:AS534,AS534))</f>
        <v>18</v>
      </c>
      <c r="AU534" s="147">
        <f t="shared" si="133"/>
        <v>521</v>
      </c>
      <c r="AV534" s="147">
        <f>COUNTIF($AZ$14:AZ534,AZ534)</f>
        <v>6</v>
      </c>
      <c r="AW534" s="147">
        <f>IFERROR(COUNTIF(AX$14:$BL534,AX534),"")</f>
        <v>75</v>
      </c>
      <c r="AX534" s="148" t="str">
        <f t="shared" si="134"/>
        <v>Tue</v>
      </c>
      <c r="AY534" s="149">
        <f>'Raw Data'!A524</f>
        <v>42129</v>
      </c>
      <c r="AZ534" s="150" t="str">
        <f>'Raw Data'!E524</f>
        <v>Flash Sale,25% Off,FS on $49</v>
      </c>
      <c r="BA534" s="150">
        <f>'Raw Data'!I524</f>
        <v>1405</v>
      </c>
      <c r="BB534" s="112"/>
      <c r="BC534" s="112"/>
      <c r="BD534" s="112">
        <f>'Raw Data'!O524</f>
        <v>2</v>
      </c>
    </row>
    <row r="535" spans="23:56">
      <c r="W535" s="21"/>
      <c r="AC535" s="21"/>
      <c r="AD535" s="21"/>
      <c r="AE535" s="21"/>
      <c r="AS535" s="112">
        <f t="shared" si="132"/>
        <v>1</v>
      </c>
      <c r="AT535" s="112">
        <f>IF(AS535="","",COUNTIF($AS$13:AS535,AS535))</f>
        <v>19</v>
      </c>
      <c r="AU535" s="147">
        <f t="shared" si="133"/>
        <v>522</v>
      </c>
      <c r="AV535" s="147">
        <f>COUNTIF($AZ$14:AZ535,AZ535)</f>
        <v>7</v>
      </c>
      <c r="AW535" s="147">
        <f>IFERROR(COUNTIF(AX$14:$BL535,AX535),"")</f>
        <v>75</v>
      </c>
      <c r="AX535" s="148" t="str">
        <f t="shared" si="134"/>
        <v>Wed</v>
      </c>
      <c r="AY535" s="149">
        <f>'Raw Data'!A525</f>
        <v>42130</v>
      </c>
      <c r="AZ535" s="150" t="str">
        <f>'Raw Data'!E525</f>
        <v>Flash Sale,25% Off,FS on $49</v>
      </c>
      <c r="BA535" s="150">
        <f>'Raw Data'!I525</f>
        <v>1224</v>
      </c>
      <c r="BB535" s="112"/>
      <c r="BC535" s="112"/>
      <c r="BD535" s="112">
        <f>'Raw Data'!O525</f>
        <v>1</v>
      </c>
    </row>
    <row r="536" spans="23:56">
      <c r="W536" s="21"/>
      <c r="AC536" s="21"/>
      <c r="AD536" s="21"/>
      <c r="AE536" s="21"/>
      <c r="AS536" s="112" t="str">
        <f t="shared" si="132"/>
        <v/>
      </c>
      <c r="AT536" s="112" t="str">
        <f>IF(AS536="","",COUNTIF($AS$13:AS536,AS536))</f>
        <v/>
      </c>
      <c r="AU536" s="147">
        <f t="shared" si="133"/>
        <v>523</v>
      </c>
      <c r="AV536" s="147">
        <f>COUNTIF($AZ$14:AZ536,AZ536)</f>
        <v>11</v>
      </c>
      <c r="AW536" s="147">
        <f>IFERROR(COUNTIF(AX$14:$BL536,AX536),"")</f>
        <v>75</v>
      </c>
      <c r="AX536" s="148" t="str">
        <f t="shared" si="134"/>
        <v>Thu</v>
      </c>
      <c r="AY536" s="149">
        <f>'Raw Data'!A526</f>
        <v>42131</v>
      </c>
      <c r="AZ536" s="150" t="str">
        <f>'Raw Data'!E526</f>
        <v>Adverts Only</v>
      </c>
      <c r="BA536" s="150">
        <f>'Raw Data'!I526</f>
        <v>991</v>
      </c>
      <c r="BB536" s="112"/>
      <c r="BC536" s="112"/>
      <c r="BD536" s="112">
        <f>'Raw Data'!O526</f>
        <v>1</v>
      </c>
    </row>
    <row r="537" spans="23:56">
      <c r="W537" s="21"/>
      <c r="AC537" s="21"/>
      <c r="AD537" s="21"/>
      <c r="AE537" s="21"/>
      <c r="AS537" s="112" t="str">
        <f t="shared" si="132"/>
        <v/>
      </c>
      <c r="AT537" s="112" t="str">
        <f>IF(AS537="","",COUNTIF($AS$13:AS537,AS537))</f>
        <v/>
      </c>
      <c r="AU537" s="147">
        <f t="shared" si="133"/>
        <v>524</v>
      </c>
      <c r="AV537" s="147">
        <f>COUNTIF($AZ$14:AZ537,AZ537)</f>
        <v>9</v>
      </c>
      <c r="AW537" s="147">
        <f>IFERROR(COUNTIF(AX$14:$BL537,AX537),"")</f>
        <v>75</v>
      </c>
      <c r="AX537" s="148" t="str">
        <f t="shared" si="134"/>
        <v>Fri</v>
      </c>
      <c r="AY537" s="149">
        <f>'Raw Data'!A527</f>
        <v>42132</v>
      </c>
      <c r="AZ537" s="150" t="str">
        <f>'Raw Data'!E527</f>
        <v>$30 Off,FS on $100</v>
      </c>
      <c r="BA537" s="150">
        <f>'Raw Data'!I527</f>
        <v>1230</v>
      </c>
      <c r="BB537" s="112"/>
      <c r="BC537" s="112"/>
      <c r="BD537" s="112">
        <f>'Raw Data'!O527</f>
        <v>2</v>
      </c>
    </row>
    <row r="538" spans="23:56">
      <c r="W538" s="21"/>
      <c r="AC538" s="21"/>
      <c r="AD538" s="21"/>
      <c r="AE538" s="21"/>
      <c r="AS538" s="112" t="str">
        <f t="shared" si="132"/>
        <v/>
      </c>
      <c r="AT538" s="112" t="str">
        <f>IF(AS538="","",COUNTIF($AS$13:AS538,AS538))</f>
        <v/>
      </c>
      <c r="AU538" s="147">
        <f t="shared" si="133"/>
        <v>525</v>
      </c>
      <c r="AV538" s="147">
        <f>COUNTIF($AZ$14:AZ538,AZ538)</f>
        <v>10</v>
      </c>
      <c r="AW538" s="147">
        <f>IFERROR(COUNTIF(AX$14:$BL538,AX538),"")</f>
        <v>75</v>
      </c>
      <c r="AX538" s="148" t="str">
        <f t="shared" si="134"/>
        <v>Sat</v>
      </c>
      <c r="AY538" s="149">
        <f>'Raw Data'!A528</f>
        <v>42133</v>
      </c>
      <c r="AZ538" s="150" t="str">
        <f>'Raw Data'!E528</f>
        <v>$30 Off,FS on $100</v>
      </c>
      <c r="BA538" s="150">
        <f>'Raw Data'!I528</f>
        <v>829</v>
      </c>
      <c r="BB538" s="112"/>
      <c r="BC538" s="112"/>
      <c r="BD538" s="112">
        <f>'Raw Data'!O528</f>
        <v>1</v>
      </c>
    </row>
    <row r="539" spans="23:56">
      <c r="W539" s="21"/>
      <c r="AC539" s="21"/>
      <c r="AD539" s="21"/>
      <c r="AE539" s="21"/>
      <c r="AS539" s="112" t="str">
        <f t="shared" si="132"/>
        <v/>
      </c>
      <c r="AT539" s="112" t="str">
        <f>IF(AS539="","",COUNTIF($AS$13:AS539,AS539))</f>
        <v/>
      </c>
      <c r="AU539" s="147">
        <f t="shared" si="133"/>
        <v>526</v>
      </c>
      <c r="AV539" s="147">
        <f>COUNTIF($AZ$14:AZ539,AZ539)</f>
        <v>32</v>
      </c>
      <c r="AW539" s="147">
        <f>IFERROR(COUNTIF(AX$14:$BL539,AX539),"")</f>
        <v>76</v>
      </c>
      <c r="AX539" s="148" t="str">
        <f t="shared" si="134"/>
        <v>Sun</v>
      </c>
      <c r="AY539" s="149">
        <f>'Raw Data'!A529</f>
        <v>42134</v>
      </c>
      <c r="AZ539" s="150" t="str">
        <f>'Raw Data'!E529</f>
        <v>Free Ship No Min</v>
      </c>
      <c r="BA539" s="150">
        <f>'Raw Data'!I529</f>
        <v>609</v>
      </c>
      <c r="BB539" s="112"/>
      <c r="BC539" s="112"/>
      <c r="BD539" s="112">
        <f>'Raw Data'!O529</f>
        <v>1</v>
      </c>
    </row>
    <row r="540" spans="23:56">
      <c r="W540" s="21"/>
      <c r="AC540" s="21"/>
      <c r="AD540" s="21"/>
      <c r="AE540" s="21"/>
      <c r="AS540" s="112" t="str">
        <f t="shared" si="132"/>
        <v/>
      </c>
      <c r="AT540" s="112" t="str">
        <f>IF(AS540="","",COUNTIF($AS$13:AS540,AS540))</f>
        <v/>
      </c>
      <c r="AU540" s="147">
        <f t="shared" si="133"/>
        <v>527</v>
      </c>
      <c r="AV540" s="147">
        <f>COUNTIF($AZ$14:AZ540,AZ540)</f>
        <v>33</v>
      </c>
      <c r="AW540" s="147">
        <f>IFERROR(COUNTIF(AX$14:$BL540,AX540),"")</f>
        <v>76</v>
      </c>
      <c r="AX540" s="148" t="str">
        <f t="shared" si="134"/>
        <v>Mon</v>
      </c>
      <c r="AY540" s="149">
        <f>'Raw Data'!A530</f>
        <v>42135</v>
      </c>
      <c r="AZ540" s="150" t="str">
        <f>'Raw Data'!E530</f>
        <v>Free Ship No Min</v>
      </c>
      <c r="BA540" s="150">
        <f>'Raw Data'!I530</f>
        <v>1198</v>
      </c>
      <c r="BB540" s="112"/>
      <c r="BC540" s="112"/>
      <c r="BD540" s="112">
        <f>'Raw Data'!O530</f>
        <v>2</v>
      </c>
    </row>
    <row r="541" spans="23:56">
      <c r="W541" s="21"/>
      <c r="AC541" s="21"/>
      <c r="AD541" s="21"/>
      <c r="AE541" s="21"/>
      <c r="AS541" s="112" t="str">
        <f t="shared" si="132"/>
        <v/>
      </c>
      <c r="AT541" s="112" t="str">
        <f>IF(AS541="","",COUNTIF($AS$13:AS541,AS541))</f>
        <v/>
      </c>
      <c r="AU541" s="147">
        <f t="shared" si="133"/>
        <v>528</v>
      </c>
      <c r="AV541" s="147">
        <f>COUNTIF($AZ$14:AZ541,AZ541)</f>
        <v>104</v>
      </c>
      <c r="AW541" s="147">
        <f>IFERROR(COUNTIF(AX$14:$BL541,AX541),"")</f>
        <v>76</v>
      </c>
      <c r="AX541" s="148" t="str">
        <f t="shared" si="134"/>
        <v>Tue</v>
      </c>
      <c r="AY541" s="149">
        <f>'Raw Data'!A531</f>
        <v>42136</v>
      </c>
      <c r="AZ541" s="150" t="str">
        <f>'Raw Data'!E531</f>
        <v>No Email Drop</v>
      </c>
      <c r="BA541" s="150">
        <f>'Raw Data'!I531</f>
        <v>1053</v>
      </c>
      <c r="BB541" s="112"/>
      <c r="BC541" s="112"/>
      <c r="BD541" s="112">
        <f>'Raw Data'!O531</f>
        <v>0</v>
      </c>
    </row>
    <row r="542" spans="23:56">
      <c r="W542" s="21"/>
      <c r="AC542" s="21"/>
      <c r="AD542" s="21"/>
      <c r="AE542" s="21"/>
      <c r="AS542" s="112" t="str">
        <f t="shared" si="132"/>
        <v/>
      </c>
      <c r="AT542" s="112" t="str">
        <f>IF(AS542="","",COUNTIF($AS$13:AS542,AS542))</f>
        <v/>
      </c>
      <c r="AU542" s="147">
        <f t="shared" si="133"/>
        <v>529</v>
      </c>
      <c r="AV542" s="147">
        <f>COUNTIF($AZ$14:AZ542,AZ542)</f>
        <v>28</v>
      </c>
      <c r="AW542" s="147">
        <f>IFERROR(COUNTIF(AX$14:$BL542,AX542),"")</f>
        <v>76</v>
      </c>
      <c r="AX542" s="148" t="str">
        <f t="shared" si="134"/>
        <v>Wed</v>
      </c>
      <c r="AY542" s="149">
        <f>'Raw Data'!A532</f>
        <v>42137</v>
      </c>
      <c r="AZ542" s="150" t="str">
        <f>'Raw Data'!E532</f>
        <v>20% Off,FS on $49</v>
      </c>
      <c r="BA542" s="150">
        <f>'Raw Data'!I532</f>
        <v>1260</v>
      </c>
      <c r="BB542" s="112"/>
      <c r="BC542" s="112"/>
      <c r="BD542" s="112">
        <f>'Raw Data'!O532</f>
        <v>1</v>
      </c>
    </row>
    <row r="543" spans="23:56">
      <c r="W543" s="21"/>
      <c r="AC543" s="21"/>
      <c r="AD543" s="21"/>
      <c r="AE543" s="21"/>
      <c r="AS543" s="112" t="str">
        <f t="shared" si="132"/>
        <v/>
      </c>
      <c r="AT543" s="112" t="str">
        <f>IF(AS543="","",COUNTIF($AS$13:AS543,AS543))</f>
        <v/>
      </c>
      <c r="AU543" s="147">
        <f t="shared" si="133"/>
        <v>530</v>
      </c>
      <c r="AV543" s="147">
        <f>COUNTIF($AZ$14:AZ543,AZ543)</f>
        <v>18</v>
      </c>
      <c r="AW543" s="147">
        <f>IFERROR(COUNTIF(AX$14:$BL543,AX543),"")</f>
        <v>76</v>
      </c>
      <c r="AX543" s="148" t="str">
        <f t="shared" si="134"/>
        <v>Thu</v>
      </c>
      <c r="AY543" s="149">
        <f>'Raw Data'!A533</f>
        <v>42138</v>
      </c>
      <c r="AZ543" s="150" t="str">
        <f>'Raw Data'!E533</f>
        <v>Up To 50% Off,FS on $49</v>
      </c>
      <c r="BA543" s="150">
        <f>'Raw Data'!I533</f>
        <v>1018</v>
      </c>
      <c r="BB543" s="112"/>
      <c r="BC543" s="112"/>
      <c r="BD543" s="112">
        <f>'Raw Data'!O533</f>
        <v>1</v>
      </c>
    </row>
    <row r="544" spans="23:56">
      <c r="W544" s="21"/>
      <c r="AC544" s="21"/>
      <c r="AD544" s="21"/>
      <c r="AE544" s="21"/>
      <c r="AS544" s="112" t="str">
        <f t="shared" si="132"/>
        <v/>
      </c>
      <c r="AT544" s="112" t="str">
        <f>IF(AS544="","",COUNTIF($AS$13:AS544,AS544))</f>
        <v/>
      </c>
      <c r="AU544" s="147">
        <f t="shared" si="133"/>
        <v>531</v>
      </c>
      <c r="AV544" s="147">
        <f>COUNTIF($AZ$14:AZ544,AZ544)</f>
        <v>19</v>
      </c>
      <c r="AW544" s="147">
        <f>IFERROR(COUNTIF(AX$14:$BL544,AX544),"")</f>
        <v>76</v>
      </c>
      <c r="AX544" s="148" t="str">
        <f t="shared" si="134"/>
        <v>Fri</v>
      </c>
      <c r="AY544" s="149">
        <f>'Raw Data'!A534</f>
        <v>42139</v>
      </c>
      <c r="AZ544" s="150" t="str">
        <f>'Raw Data'!E534</f>
        <v>Up To 50% Off,FS on $49</v>
      </c>
      <c r="BA544" s="150">
        <f>'Raw Data'!I534</f>
        <v>1097</v>
      </c>
      <c r="BB544" s="112"/>
      <c r="BC544" s="112"/>
      <c r="BD544" s="112">
        <f>'Raw Data'!O534</f>
        <v>1</v>
      </c>
    </row>
    <row r="545" spans="23:56">
      <c r="W545" s="21"/>
      <c r="AC545" s="21"/>
      <c r="AD545" s="21"/>
      <c r="AE545" s="21"/>
      <c r="AS545" s="112" t="str">
        <f t="shared" si="132"/>
        <v/>
      </c>
      <c r="AT545" s="112" t="str">
        <f>IF(AS545="","",COUNTIF($AS$13:AS545,AS545))</f>
        <v/>
      </c>
      <c r="AU545" s="147">
        <f t="shared" si="133"/>
        <v>532</v>
      </c>
      <c r="AV545" s="147">
        <f>COUNTIF($AZ$14:AZ545,AZ545)</f>
        <v>20</v>
      </c>
      <c r="AW545" s="147">
        <f>IFERROR(COUNTIF(AX$14:$BL545,AX545),"")</f>
        <v>76</v>
      </c>
      <c r="AX545" s="148" t="str">
        <f t="shared" si="134"/>
        <v>Sat</v>
      </c>
      <c r="AY545" s="149">
        <f>'Raw Data'!A535</f>
        <v>42140</v>
      </c>
      <c r="AZ545" s="150" t="str">
        <f>'Raw Data'!E535</f>
        <v>Up To 50% Off,FS on $49</v>
      </c>
      <c r="BA545" s="150">
        <f>'Raw Data'!I535</f>
        <v>882</v>
      </c>
      <c r="BB545" s="112"/>
      <c r="BC545" s="112"/>
      <c r="BD545" s="112">
        <f>'Raw Data'!O535</f>
        <v>2</v>
      </c>
    </row>
    <row r="546" spans="23:56">
      <c r="W546" s="21"/>
      <c r="AC546" s="21"/>
      <c r="AD546" s="21"/>
      <c r="AE546" s="21"/>
      <c r="AS546" s="112" t="str">
        <f t="shared" si="132"/>
        <v/>
      </c>
      <c r="AT546" s="112" t="str">
        <f>IF(AS546="","",COUNTIF($AS$13:AS546,AS546))</f>
        <v/>
      </c>
      <c r="AU546" s="147">
        <f t="shared" si="133"/>
        <v>533</v>
      </c>
      <c r="AV546" s="147">
        <f>COUNTIF($AZ$14:AZ546,AZ546)</f>
        <v>21</v>
      </c>
      <c r="AW546" s="147">
        <f>IFERROR(COUNTIF(AX$14:$BL546,AX546),"")</f>
        <v>77</v>
      </c>
      <c r="AX546" s="148" t="str">
        <f t="shared" si="134"/>
        <v>Sun</v>
      </c>
      <c r="AY546" s="149">
        <f>'Raw Data'!A536</f>
        <v>42141</v>
      </c>
      <c r="AZ546" s="150" t="str">
        <f>'Raw Data'!E536</f>
        <v>Up To 50% Off,FS on $49</v>
      </c>
      <c r="BA546" s="150">
        <f>'Raw Data'!I536</f>
        <v>762</v>
      </c>
      <c r="BB546" s="112"/>
      <c r="BC546" s="112"/>
      <c r="BD546" s="112">
        <f>'Raw Data'!O536</f>
        <v>2</v>
      </c>
    </row>
    <row r="547" spans="23:56">
      <c r="W547" s="21"/>
      <c r="AC547" s="21"/>
      <c r="AD547" s="21"/>
      <c r="AE547" s="21"/>
      <c r="AS547" s="112" t="str">
        <f t="shared" si="132"/>
        <v/>
      </c>
      <c r="AT547" s="112" t="str">
        <f>IF(AS547="","",COUNTIF($AS$13:AS547,AS547))</f>
        <v/>
      </c>
      <c r="AU547" s="147">
        <f t="shared" si="133"/>
        <v>534</v>
      </c>
      <c r="AV547" s="147">
        <f>COUNTIF($AZ$14:AZ547,AZ547)</f>
        <v>4</v>
      </c>
      <c r="AW547" s="147">
        <f>IFERROR(COUNTIF(AX$14:$BL547,AX547),"")</f>
        <v>77</v>
      </c>
      <c r="AX547" s="148" t="str">
        <f t="shared" si="134"/>
        <v>Mon</v>
      </c>
      <c r="AY547" s="149">
        <f>'Raw Data'!A537</f>
        <v>42142</v>
      </c>
      <c r="AZ547" s="150" t="str">
        <f>'Raw Data'!E537</f>
        <v>$10 Off,FS on $49 Mobile</v>
      </c>
      <c r="BA547" s="150">
        <f>'Raw Data'!I537</f>
        <v>1319</v>
      </c>
      <c r="BB547" s="112"/>
      <c r="BC547" s="112"/>
      <c r="BD547" s="112">
        <f>'Raw Data'!O537</f>
        <v>2</v>
      </c>
    </row>
    <row r="548" spans="23:56">
      <c r="W548" s="21"/>
      <c r="AC548" s="21"/>
      <c r="AD548" s="21"/>
      <c r="AE548" s="21"/>
      <c r="AS548" s="112" t="str">
        <f t="shared" si="132"/>
        <v/>
      </c>
      <c r="AT548" s="112" t="str">
        <f>IF(AS548="","",COUNTIF($AS$13:AS548,AS548))</f>
        <v/>
      </c>
      <c r="AU548" s="147">
        <f t="shared" si="133"/>
        <v>535</v>
      </c>
      <c r="AV548" s="147">
        <f>COUNTIF($AZ$14:AZ548,AZ548)</f>
        <v>22</v>
      </c>
      <c r="AW548" s="147">
        <f>IFERROR(COUNTIF(AX$14:$BL548,AX548),"")</f>
        <v>77</v>
      </c>
      <c r="AX548" s="148" t="str">
        <f t="shared" si="134"/>
        <v>Tue</v>
      </c>
      <c r="AY548" s="149">
        <f>'Raw Data'!A538</f>
        <v>42143</v>
      </c>
      <c r="AZ548" s="150" t="str">
        <f>'Raw Data'!E538</f>
        <v>Up To 50% Off,FS on $49</v>
      </c>
      <c r="BA548" s="150">
        <f>'Raw Data'!I538</f>
        <v>1080</v>
      </c>
      <c r="BB548" s="112"/>
      <c r="BC548" s="112"/>
      <c r="BD548" s="112">
        <f>'Raw Data'!O538</f>
        <v>1</v>
      </c>
    </row>
    <row r="549" spans="23:56">
      <c r="W549" s="21"/>
      <c r="AC549" s="21"/>
      <c r="AD549" s="21"/>
      <c r="AE549" s="21"/>
      <c r="AS549" s="112" t="str">
        <f t="shared" si="132"/>
        <v/>
      </c>
      <c r="AT549" s="112" t="str">
        <f>IF(AS549="","",COUNTIF($AS$13:AS549,AS549))</f>
        <v/>
      </c>
      <c r="AU549" s="147">
        <f t="shared" si="133"/>
        <v>536</v>
      </c>
      <c r="AV549" s="147">
        <f>COUNTIF($AZ$14:AZ549,AZ549)</f>
        <v>3</v>
      </c>
      <c r="AW549" s="147">
        <f>IFERROR(COUNTIF(AX$14:$BL549,AX549),"")</f>
        <v>77</v>
      </c>
      <c r="AX549" s="148" t="str">
        <f t="shared" si="134"/>
        <v>Wed</v>
      </c>
      <c r="AY549" s="149">
        <f>'Raw Data'!A539</f>
        <v>42144</v>
      </c>
      <c r="AZ549" s="150" t="str">
        <f>'Raw Data'!E539</f>
        <v>$5 Off,FS on $25</v>
      </c>
      <c r="BA549" s="150">
        <f>'Raw Data'!I539</f>
        <v>1196</v>
      </c>
      <c r="BB549" s="112"/>
      <c r="BC549" s="112"/>
      <c r="BD549" s="112">
        <f>'Raw Data'!O539</f>
        <v>1</v>
      </c>
    </row>
    <row r="550" spans="23:56">
      <c r="W550" s="21"/>
      <c r="AC550" s="21"/>
      <c r="AD550" s="21"/>
      <c r="AE550" s="21"/>
      <c r="AS550" s="112" t="str">
        <f t="shared" si="132"/>
        <v/>
      </c>
      <c r="AT550" s="112" t="str">
        <f>IF(AS550="","",COUNTIF($AS$13:AS550,AS550))</f>
        <v/>
      </c>
      <c r="AU550" s="147">
        <f t="shared" si="133"/>
        <v>537</v>
      </c>
      <c r="AV550" s="147">
        <f>COUNTIF($AZ$14:AZ550,AZ550)</f>
        <v>29</v>
      </c>
      <c r="AW550" s="147">
        <f>IFERROR(COUNTIF(AX$14:$BL550,AX550),"")</f>
        <v>77</v>
      </c>
      <c r="AX550" s="148" t="str">
        <f t="shared" si="134"/>
        <v>Thu</v>
      </c>
      <c r="AY550" s="149">
        <f>'Raw Data'!A540</f>
        <v>42145</v>
      </c>
      <c r="AZ550" s="150" t="str">
        <f>'Raw Data'!E540</f>
        <v>Up To 40% Off,FS on $49</v>
      </c>
      <c r="BA550" s="150">
        <f>'Raw Data'!I540</f>
        <v>1093</v>
      </c>
      <c r="BB550" s="112"/>
      <c r="BC550" s="112"/>
      <c r="BD550" s="112">
        <f>'Raw Data'!O540</f>
        <v>1</v>
      </c>
    </row>
    <row r="551" spans="23:56">
      <c r="W551" s="21"/>
      <c r="AC551" s="21"/>
      <c r="AD551" s="21"/>
      <c r="AE551" s="21"/>
      <c r="AS551" s="112" t="str">
        <f t="shared" si="132"/>
        <v/>
      </c>
      <c r="AT551" s="112" t="str">
        <f>IF(AS551="","",COUNTIF($AS$13:AS551,AS551))</f>
        <v/>
      </c>
      <c r="AU551" s="147">
        <f t="shared" si="133"/>
        <v>538</v>
      </c>
      <c r="AV551" s="147">
        <f>COUNTIF($AZ$14:AZ551,AZ551)</f>
        <v>30</v>
      </c>
      <c r="AW551" s="147">
        <f>IFERROR(COUNTIF(AX$14:$BL551,AX551),"")</f>
        <v>77</v>
      </c>
      <c r="AX551" s="148" t="str">
        <f t="shared" si="134"/>
        <v>Fri</v>
      </c>
      <c r="AY551" s="149">
        <f>'Raw Data'!A541</f>
        <v>42146</v>
      </c>
      <c r="AZ551" s="150" t="str">
        <f>'Raw Data'!E541</f>
        <v>Up To 40% Off,FS on $49</v>
      </c>
      <c r="BA551" s="150">
        <f>'Raw Data'!I541</f>
        <v>1051</v>
      </c>
      <c r="BB551" s="112"/>
      <c r="BC551" s="112"/>
      <c r="BD551" s="112">
        <f>'Raw Data'!O541</f>
        <v>1</v>
      </c>
    </row>
    <row r="552" spans="23:56">
      <c r="W552" s="21"/>
      <c r="AC552" s="21"/>
      <c r="AD552" s="21"/>
      <c r="AE552" s="21"/>
      <c r="AS552" s="112" t="str">
        <f t="shared" si="132"/>
        <v/>
      </c>
      <c r="AT552" s="112" t="str">
        <f>IF(AS552="","",COUNTIF($AS$13:AS552,AS552))</f>
        <v/>
      </c>
      <c r="AU552" s="147">
        <f t="shared" si="133"/>
        <v>539</v>
      </c>
      <c r="AV552" s="147">
        <f>COUNTIF($AZ$14:AZ552,AZ552)</f>
        <v>5</v>
      </c>
      <c r="AW552" s="147">
        <f>IFERROR(COUNTIF(AX$14:$BL552,AX552),"")</f>
        <v>77</v>
      </c>
      <c r="AX552" s="148" t="str">
        <f t="shared" si="134"/>
        <v>Sat</v>
      </c>
      <c r="AY552" s="149">
        <f>'Raw Data'!A542</f>
        <v>42147</v>
      </c>
      <c r="AZ552" s="150" t="str">
        <f>'Raw Data'!E542</f>
        <v>$10 Off,FS on $49 Mobile</v>
      </c>
      <c r="BA552" s="150">
        <f>'Raw Data'!I542</f>
        <v>746</v>
      </c>
      <c r="BB552" s="112"/>
      <c r="BC552" s="112"/>
      <c r="BD552" s="112">
        <f>'Raw Data'!O542</f>
        <v>1</v>
      </c>
    </row>
    <row r="553" spans="23:56">
      <c r="W553" s="21"/>
      <c r="AC553" s="21"/>
      <c r="AD553" s="21"/>
      <c r="AE553" s="21"/>
      <c r="AS553" s="112" t="str">
        <f t="shared" si="132"/>
        <v/>
      </c>
      <c r="AT553" s="112" t="str">
        <f>IF(AS553="","",COUNTIF($AS$13:AS553,AS553))</f>
        <v/>
      </c>
      <c r="AU553" s="147">
        <f t="shared" si="133"/>
        <v>540</v>
      </c>
      <c r="AV553" s="147">
        <f>COUNTIF($AZ$14:AZ553,AZ553)</f>
        <v>6</v>
      </c>
      <c r="AW553" s="147">
        <f>IFERROR(COUNTIF(AX$14:$BL553,AX553),"")</f>
        <v>78</v>
      </c>
      <c r="AX553" s="148" t="str">
        <f t="shared" si="134"/>
        <v>Sun</v>
      </c>
      <c r="AY553" s="149">
        <f>'Raw Data'!A543</f>
        <v>42148</v>
      </c>
      <c r="AZ553" s="150" t="str">
        <f>'Raw Data'!E543</f>
        <v>$10 Off,FS on $49 Mobile</v>
      </c>
      <c r="BA553" s="150">
        <f>'Raw Data'!I543</f>
        <v>614</v>
      </c>
      <c r="BB553" s="112"/>
      <c r="BC553" s="112"/>
      <c r="BD553" s="112">
        <f>'Raw Data'!O543</f>
        <v>1</v>
      </c>
    </row>
    <row r="554" spans="23:56">
      <c r="W554" s="21"/>
      <c r="AC554" s="21"/>
      <c r="AD554" s="21"/>
      <c r="AE554" s="21"/>
      <c r="AS554" s="112" t="str">
        <f t="shared" si="132"/>
        <v/>
      </c>
      <c r="AT554" s="112" t="str">
        <f>IF(AS554="","",COUNTIF($AS$13:AS554,AS554))</f>
        <v/>
      </c>
      <c r="AU554" s="147">
        <f t="shared" si="133"/>
        <v>541</v>
      </c>
      <c r="AV554" s="147">
        <f>COUNTIF($AZ$14:AZ554,AZ554)</f>
        <v>7</v>
      </c>
      <c r="AW554" s="147">
        <f>IFERROR(COUNTIF(AX$14:$BL554,AX554),"")</f>
        <v>78</v>
      </c>
      <c r="AX554" s="148" t="str">
        <f t="shared" si="134"/>
        <v>Mon</v>
      </c>
      <c r="AY554" s="149">
        <f>'Raw Data'!A544</f>
        <v>42149</v>
      </c>
      <c r="AZ554" s="150" t="str">
        <f>'Raw Data'!E544</f>
        <v>$10 Off,FS on $49 Mobile</v>
      </c>
      <c r="BA554" s="150">
        <f>'Raw Data'!I544</f>
        <v>848</v>
      </c>
      <c r="BB554" s="112"/>
      <c r="BC554" s="112"/>
      <c r="BD554" s="112">
        <f>'Raw Data'!O544</f>
        <v>2</v>
      </c>
    </row>
    <row r="555" spans="23:56">
      <c r="W555" s="21"/>
      <c r="AC555" s="21"/>
      <c r="AD555" s="21"/>
      <c r="AE555" s="21"/>
      <c r="AS555" s="112" t="str">
        <f t="shared" si="132"/>
        <v/>
      </c>
      <c r="AT555" s="112" t="str">
        <f>IF(AS555="","",COUNTIF($AS$13:AS555,AS555))</f>
        <v/>
      </c>
      <c r="AU555" s="147">
        <f t="shared" si="133"/>
        <v>542</v>
      </c>
      <c r="AV555" s="147">
        <f>COUNTIF($AZ$14:AZ555,AZ555)</f>
        <v>31</v>
      </c>
      <c r="AW555" s="147">
        <f>IFERROR(COUNTIF(AX$14:$BL555,AX555),"")</f>
        <v>78</v>
      </c>
      <c r="AX555" s="148" t="str">
        <f t="shared" si="134"/>
        <v>Tue</v>
      </c>
      <c r="AY555" s="149">
        <f>'Raw Data'!A545</f>
        <v>42150</v>
      </c>
      <c r="AZ555" s="150" t="str">
        <f>'Raw Data'!E545</f>
        <v>Up To 40% Off,FS on $49</v>
      </c>
      <c r="BA555" s="150">
        <f>'Raw Data'!I545</f>
        <v>1201</v>
      </c>
      <c r="BB555" s="112"/>
      <c r="BC555" s="112"/>
      <c r="BD555" s="112">
        <f>'Raw Data'!O545</f>
        <v>2</v>
      </c>
    </row>
    <row r="556" spans="23:56">
      <c r="W556" s="21"/>
      <c r="AC556" s="21"/>
      <c r="AD556" s="21"/>
      <c r="AE556" s="21"/>
      <c r="AS556" s="112" t="str">
        <f t="shared" si="132"/>
        <v/>
      </c>
      <c r="AT556" s="112" t="str">
        <f>IF(AS556="","",COUNTIF($AS$13:AS556,AS556))</f>
        <v/>
      </c>
      <c r="AU556" s="147">
        <f t="shared" si="133"/>
        <v>543</v>
      </c>
      <c r="AV556" s="147">
        <f>COUNTIF($AZ$14:AZ556,AZ556)</f>
        <v>105</v>
      </c>
      <c r="AW556" s="147">
        <f>IFERROR(COUNTIF(AX$14:$BL556,AX556),"")</f>
        <v>78</v>
      </c>
      <c r="AX556" s="148" t="str">
        <f t="shared" si="134"/>
        <v>Wed</v>
      </c>
      <c r="AY556" s="149">
        <f>'Raw Data'!A546</f>
        <v>42151</v>
      </c>
      <c r="AZ556" s="150" t="str">
        <f>'Raw Data'!E546</f>
        <v>No Email Drop</v>
      </c>
      <c r="BA556" s="150">
        <f>'Raw Data'!I546</f>
        <v>1079</v>
      </c>
      <c r="BB556" s="112"/>
      <c r="BC556" s="112"/>
      <c r="BD556" s="112">
        <f>'Raw Data'!O546</f>
        <v>0</v>
      </c>
    </row>
    <row r="557" spans="23:56">
      <c r="W557" s="21"/>
      <c r="AC557" s="21"/>
      <c r="AD557" s="21"/>
      <c r="AE557" s="21"/>
      <c r="AS557" s="112" t="str">
        <f t="shared" si="132"/>
        <v/>
      </c>
      <c r="AT557" s="112" t="str">
        <f>IF(AS557="","",COUNTIF($AS$13:AS557,AS557))</f>
        <v/>
      </c>
      <c r="AU557" s="147">
        <f t="shared" si="133"/>
        <v>544</v>
      </c>
      <c r="AV557" s="147">
        <f>COUNTIF($AZ$14:AZ557,AZ557)</f>
        <v>6</v>
      </c>
      <c r="AW557" s="147">
        <f>IFERROR(COUNTIF(AX$14:$BL557,AX557),"")</f>
        <v>78</v>
      </c>
      <c r="AX557" s="148" t="str">
        <f t="shared" si="134"/>
        <v>Thu</v>
      </c>
      <c r="AY557" s="149">
        <f>'Raw Data'!A547</f>
        <v>42152</v>
      </c>
      <c r="AZ557" s="150" t="str">
        <f>'Raw Data'!E547</f>
        <v>$15 Off,FS on $75</v>
      </c>
      <c r="BA557" s="150">
        <f>'Raw Data'!I547</f>
        <v>1052</v>
      </c>
      <c r="BB557" s="112"/>
      <c r="BC557" s="112"/>
      <c r="BD557" s="112">
        <f>'Raw Data'!O547</f>
        <v>1</v>
      </c>
    </row>
    <row r="558" spans="23:56">
      <c r="W558" s="21"/>
      <c r="AC558" s="21"/>
      <c r="AD558" s="21"/>
      <c r="AE558" s="21"/>
      <c r="AS558" s="112" t="str">
        <f t="shared" si="132"/>
        <v/>
      </c>
      <c r="AT558" s="112" t="str">
        <f>IF(AS558="","",COUNTIF($AS$13:AS558,AS558))</f>
        <v/>
      </c>
      <c r="AU558" s="147">
        <f t="shared" si="133"/>
        <v>545</v>
      </c>
      <c r="AV558" s="147">
        <f>COUNTIF($AZ$14:AZ558,AZ558)</f>
        <v>7</v>
      </c>
      <c r="AW558" s="147">
        <f>IFERROR(COUNTIF(AX$14:$BL558,AX558),"")</f>
        <v>78</v>
      </c>
      <c r="AX558" s="148" t="str">
        <f t="shared" si="134"/>
        <v>Fri</v>
      </c>
      <c r="AY558" s="149">
        <f>'Raw Data'!A548</f>
        <v>42153</v>
      </c>
      <c r="AZ558" s="150" t="str">
        <f>'Raw Data'!E548</f>
        <v>$15 Off,FS on $75</v>
      </c>
      <c r="BA558" s="150">
        <f>'Raw Data'!I548</f>
        <v>1037</v>
      </c>
      <c r="BB558" s="112"/>
      <c r="BC558" s="112"/>
      <c r="BD558" s="112">
        <f>'Raw Data'!O548</f>
        <v>1</v>
      </c>
    </row>
    <row r="559" spans="23:56">
      <c r="W559" s="21"/>
      <c r="AC559" s="21"/>
      <c r="AD559" s="21"/>
      <c r="AE559" s="21"/>
      <c r="AS559" s="112" t="str">
        <f t="shared" si="132"/>
        <v/>
      </c>
      <c r="AT559" s="112" t="str">
        <f>IF(AS559="","",COUNTIF($AS$13:AS559,AS559))</f>
        <v/>
      </c>
      <c r="AU559" s="147">
        <f t="shared" si="133"/>
        <v>546</v>
      </c>
      <c r="AV559" s="147">
        <f>COUNTIF($AZ$14:AZ559,AZ559)</f>
        <v>8</v>
      </c>
      <c r="AW559" s="147">
        <f>IFERROR(COUNTIF(AX$14:$BL559,AX559),"")</f>
        <v>78</v>
      </c>
      <c r="AX559" s="148" t="str">
        <f t="shared" si="134"/>
        <v>Sat</v>
      </c>
      <c r="AY559" s="149">
        <f>'Raw Data'!A549</f>
        <v>42154</v>
      </c>
      <c r="AZ559" s="150" t="str">
        <f>'Raw Data'!E549</f>
        <v>$15 Off,FS on $75</v>
      </c>
      <c r="BA559" s="150">
        <f>'Raw Data'!I549</f>
        <v>868</v>
      </c>
      <c r="BB559" s="112"/>
      <c r="BC559" s="112"/>
      <c r="BD559" s="112">
        <f>'Raw Data'!O549</f>
        <v>2</v>
      </c>
    </row>
    <row r="560" spans="23:56">
      <c r="W560" s="21"/>
      <c r="AC560" s="21"/>
      <c r="AD560" s="21"/>
      <c r="AE560" s="21"/>
      <c r="AS560" s="112" t="str">
        <f t="shared" si="132"/>
        <v/>
      </c>
      <c r="AT560" s="112" t="str">
        <f>IF(AS560="","",COUNTIF($AS$13:AS560,AS560))</f>
        <v/>
      </c>
      <c r="AU560" s="147">
        <f t="shared" si="133"/>
        <v>547</v>
      </c>
      <c r="AV560" s="147">
        <f>COUNTIF($AZ$14:AZ560,AZ560)</f>
        <v>29</v>
      </c>
      <c r="AW560" s="147">
        <f>IFERROR(COUNTIF(AX$14:$BL560,AX560),"")</f>
        <v>79</v>
      </c>
      <c r="AX560" s="148" t="str">
        <f t="shared" si="134"/>
        <v>Sun</v>
      </c>
      <c r="AY560" s="149">
        <f>'Raw Data'!A550</f>
        <v>42155</v>
      </c>
      <c r="AZ560" s="150" t="str">
        <f>'Raw Data'!E550</f>
        <v>20% Off,FS on $49</v>
      </c>
      <c r="BA560" s="150">
        <f>'Raw Data'!I550</f>
        <v>788</v>
      </c>
      <c r="BB560" s="112"/>
      <c r="BC560" s="112"/>
      <c r="BD560" s="112">
        <f>'Raw Data'!O550</f>
        <v>2</v>
      </c>
    </row>
    <row r="561" spans="23:56">
      <c r="W561" s="21"/>
      <c r="AC561" s="21"/>
      <c r="AD561" s="21"/>
      <c r="AE561" s="21"/>
      <c r="AS561" s="112" t="str">
        <f t="shared" si="132"/>
        <v/>
      </c>
      <c r="AT561" s="112" t="str">
        <f>IF(AS561="","",COUNTIF($AS$13:AS561,AS561))</f>
        <v/>
      </c>
      <c r="AU561" s="147">
        <f t="shared" si="133"/>
        <v>548</v>
      </c>
      <c r="AV561" s="147">
        <f>COUNTIF($AZ$14:AZ561,AZ561)</f>
        <v>30</v>
      </c>
      <c r="AW561" s="147">
        <f>IFERROR(COUNTIF(AX$14:$BL561,AX561),"")</f>
        <v>79</v>
      </c>
      <c r="AX561" s="148" t="str">
        <f t="shared" si="134"/>
        <v>Mon</v>
      </c>
      <c r="AY561" s="149">
        <f>'Raw Data'!A551</f>
        <v>42156</v>
      </c>
      <c r="AZ561" s="150" t="str">
        <f>'Raw Data'!E551</f>
        <v>20% Off,FS on $49</v>
      </c>
      <c r="BA561" s="150">
        <f>'Raw Data'!I551</f>
        <v>1300</v>
      </c>
      <c r="BB561" s="112"/>
      <c r="BC561" s="112"/>
      <c r="BD561" s="112">
        <f>'Raw Data'!O551</f>
        <v>1</v>
      </c>
    </row>
    <row r="562" spans="23:56">
      <c r="W562" s="21"/>
      <c r="AC562" s="21"/>
      <c r="AD562" s="21"/>
      <c r="AE562" s="21"/>
      <c r="AS562" s="112" t="str">
        <f t="shared" si="132"/>
        <v/>
      </c>
      <c r="AT562" s="112" t="str">
        <f>IF(AS562="","",COUNTIF($AS$13:AS562,AS562))</f>
        <v/>
      </c>
      <c r="AU562" s="147">
        <f t="shared" si="133"/>
        <v>549</v>
      </c>
      <c r="AV562" s="147">
        <f>COUNTIF($AZ$14:AZ562,AZ562)</f>
        <v>31</v>
      </c>
      <c r="AW562" s="147">
        <f>IFERROR(COUNTIF(AX$14:$BL562,AX562),"")</f>
        <v>79</v>
      </c>
      <c r="AX562" s="148" t="str">
        <f t="shared" si="134"/>
        <v>Tue</v>
      </c>
      <c r="AY562" s="149">
        <f>'Raw Data'!A552</f>
        <v>42157</v>
      </c>
      <c r="AZ562" s="150" t="str">
        <f>'Raw Data'!E552</f>
        <v>20% Off,FS on $49</v>
      </c>
      <c r="BA562" s="150">
        <f>'Raw Data'!I552</f>
        <v>1262</v>
      </c>
      <c r="BB562" s="112"/>
      <c r="BC562" s="112"/>
      <c r="BD562" s="112">
        <f>'Raw Data'!O552</f>
        <v>1</v>
      </c>
    </row>
    <row r="563" spans="23:56">
      <c r="W563" s="21"/>
      <c r="AC563" s="21"/>
      <c r="AD563" s="21"/>
      <c r="AE563" s="21"/>
      <c r="AS563" s="112" t="str">
        <f t="shared" si="132"/>
        <v/>
      </c>
      <c r="AT563" s="112" t="str">
        <f>IF(AS563="","",COUNTIF($AS$13:AS563,AS563))</f>
        <v/>
      </c>
      <c r="AU563" s="147">
        <f t="shared" si="133"/>
        <v>550</v>
      </c>
      <c r="AV563" s="147">
        <f>COUNTIF($AZ$14:AZ563,AZ563)</f>
        <v>106</v>
      </c>
      <c r="AW563" s="147">
        <f>IFERROR(COUNTIF(AX$14:$BL563,AX563),"")</f>
        <v>79</v>
      </c>
      <c r="AX563" s="148" t="str">
        <f t="shared" si="134"/>
        <v>Wed</v>
      </c>
      <c r="AY563" s="149">
        <f>'Raw Data'!A553</f>
        <v>42158</v>
      </c>
      <c r="AZ563" s="150" t="str">
        <f>'Raw Data'!E553</f>
        <v>No Email Drop</v>
      </c>
      <c r="BA563" s="150">
        <f>'Raw Data'!I553</f>
        <v>1052</v>
      </c>
      <c r="BB563" s="112"/>
      <c r="BC563" s="112"/>
      <c r="BD563" s="112">
        <f>'Raw Data'!O553</f>
        <v>0</v>
      </c>
    </row>
    <row r="564" spans="23:56">
      <c r="W564" s="21"/>
      <c r="AC564" s="21"/>
      <c r="AD564" s="21"/>
      <c r="AE564" s="21"/>
      <c r="AS564" s="112" t="str">
        <f t="shared" si="132"/>
        <v/>
      </c>
      <c r="AT564" s="112" t="str">
        <f>IF(AS564="","",COUNTIF($AS$13:AS564,AS564))</f>
        <v/>
      </c>
      <c r="AU564" s="147">
        <f t="shared" si="133"/>
        <v>551</v>
      </c>
      <c r="AV564" s="147">
        <f>COUNTIF($AZ$14:AZ564,AZ564)</f>
        <v>34</v>
      </c>
      <c r="AW564" s="147">
        <f>IFERROR(COUNTIF(AX$14:$BL564,AX564),"")</f>
        <v>79</v>
      </c>
      <c r="AX564" s="148" t="str">
        <f t="shared" si="134"/>
        <v>Thu</v>
      </c>
      <c r="AY564" s="149">
        <f>'Raw Data'!A554</f>
        <v>42159</v>
      </c>
      <c r="AZ564" s="150" t="str">
        <f>'Raw Data'!E554</f>
        <v>Free Ship No Min</v>
      </c>
      <c r="BA564" s="150">
        <f>'Raw Data'!I554</f>
        <v>1266</v>
      </c>
      <c r="BB564" s="112"/>
      <c r="BC564" s="112"/>
      <c r="BD564" s="112">
        <f>'Raw Data'!O554</f>
        <v>1</v>
      </c>
    </row>
    <row r="565" spans="23:56">
      <c r="W565" s="21"/>
      <c r="AC565" s="21"/>
      <c r="AD565" s="21"/>
      <c r="AE565" s="21"/>
      <c r="AS565" s="112" t="str">
        <f t="shared" si="132"/>
        <v/>
      </c>
      <c r="AT565" s="112" t="str">
        <f>IF(AS565="","",COUNTIF($AS$13:AS565,AS565))</f>
        <v/>
      </c>
      <c r="AU565" s="147">
        <f t="shared" si="133"/>
        <v>552</v>
      </c>
      <c r="AV565" s="147">
        <f>COUNTIF($AZ$14:AZ565,AZ565)</f>
        <v>35</v>
      </c>
      <c r="AW565" s="147">
        <f>IFERROR(COUNTIF(AX$14:$BL565,AX565),"")</f>
        <v>79</v>
      </c>
      <c r="AX565" s="148" t="str">
        <f t="shared" si="134"/>
        <v>Fri</v>
      </c>
      <c r="AY565" s="149">
        <f>'Raw Data'!A555</f>
        <v>42160</v>
      </c>
      <c r="AZ565" s="150" t="str">
        <f>'Raw Data'!E555</f>
        <v>Free Ship No Min</v>
      </c>
      <c r="BA565" s="150">
        <f>'Raw Data'!I555</f>
        <v>1251</v>
      </c>
      <c r="BB565" s="112"/>
      <c r="BC565" s="112"/>
      <c r="BD565" s="112">
        <f>'Raw Data'!O555</f>
        <v>2</v>
      </c>
    </row>
    <row r="566" spans="23:56">
      <c r="W566" s="21"/>
      <c r="AC566" s="21"/>
      <c r="AD566" s="21"/>
      <c r="AE566" s="21"/>
      <c r="AS566" s="112" t="str">
        <f t="shared" si="132"/>
        <v/>
      </c>
      <c r="AT566" s="112" t="str">
        <f>IF(AS566="","",COUNTIF($AS$13:AS566,AS566))</f>
        <v/>
      </c>
      <c r="AU566" s="147">
        <f t="shared" si="133"/>
        <v>553</v>
      </c>
      <c r="AV566" s="147">
        <f>COUNTIF($AZ$14:AZ566,AZ566)</f>
        <v>107</v>
      </c>
      <c r="AW566" s="147">
        <f>IFERROR(COUNTIF(AX$14:$BL566,AX566),"")</f>
        <v>79</v>
      </c>
      <c r="AX566" s="148" t="str">
        <f t="shared" si="134"/>
        <v>Sat</v>
      </c>
      <c r="AY566" s="149">
        <f>'Raw Data'!A556</f>
        <v>42161</v>
      </c>
      <c r="AZ566" s="150" t="str">
        <f>'Raw Data'!E556</f>
        <v>No Email Drop</v>
      </c>
      <c r="BA566" s="150">
        <f>'Raw Data'!I556</f>
        <v>805</v>
      </c>
      <c r="BB566" s="112"/>
      <c r="BC566" s="112"/>
      <c r="BD566" s="112">
        <f>'Raw Data'!O556</f>
        <v>0</v>
      </c>
    </row>
    <row r="567" spans="23:56">
      <c r="W567" s="21"/>
      <c r="AC567" s="21"/>
      <c r="AD567" s="21"/>
      <c r="AE567" s="21"/>
      <c r="AS567" s="112" t="str">
        <f t="shared" si="132"/>
        <v/>
      </c>
      <c r="AT567" s="112" t="str">
        <f>IF(AS567="","",COUNTIF($AS$13:AS567,AS567))</f>
        <v/>
      </c>
      <c r="AU567" s="147">
        <f t="shared" si="133"/>
        <v>554</v>
      </c>
      <c r="AV567" s="147">
        <f>COUNTIF($AZ$14:AZ567,AZ567)</f>
        <v>32</v>
      </c>
      <c r="AW567" s="147">
        <f>IFERROR(COUNTIF(AX$14:$BL567,AX567),"")</f>
        <v>80</v>
      </c>
      <c r="AX567" s="148" t="str">
        <f t="shared" si="134"/>
        <v>Sun</v>
      </c>
      <c r="AY567" s="149">
        <f>'Raw Data'!A557</f>
        <v>42162</v>
      </c>
      <c r="AZ567" s="150" t="str">
        <f>'Raw Data'!E557</f>
        <v>Up To 40% Off,FS on $49</v>
      </c>
      <c r="BA567" s="150">
        <f>'Raw Data'!I557</f>
        <v>717</v>
      </c>
      <c r="BB567" s="112"/>
      <c r="BC567" s="112"/>
      <c r="BD567" s="112">
        <f>'Raw Data'!O557</f>
        <v>2</v>
      </c>
    </row>
    <row r="568" spans="23:56">
      <c r="W568" s="21"/>
      <c r="AC568" s="21"/>
      <c r="AD568" s="21"/>
      <c r="AE568" s="21"/>
      <c r="AS568" s="112" t="str">
        <f t="shared" si="132"/>
        <v/>
      </c>
      <c r="AT568" s="112" t="str">
        <f>IF(AS568="","",COUNTIF($AS$13:AS568,AS568))</f>
        <v/>
      </c>
      <c r="AU568" s="147">
        <f t="shared" si="133"/>
        <v>555</v>
      </c>
      <c r="AV568" s="147">
        <f>COUNTIF($AZ$14:AZ568,AZ568)</f>
        <v>9</v>
      </c>
      <c r="AW568" s="147">
        <f>IFERROR(COUNTIF(AX$14:$BL568,AX568),"")</f>
        <v>80</v>
      </c>
      <c r="AX568" s="148" t="str">
        <f t="shared" si="134"/>
        <v>Mon</v>
      </c>
      <c r="AY568" s="149">
        <f>'Raw Data'!A558</f>
        <v>42163</v>
      </c>
      <c r="AZ568" s="150" t="str">
        <f>'Raw Data'!E558</f>
        <v>$10 Off Promo</v>
      </c>
      <c r="BA568" s="150">
        <f>'Raw Data'!I558</f>
        <v>1540</v>
      </c>
      <c r="BB568" s="112"/>
      <c r="BC568" s="112"/>
      <c r="BD568" s="112">
        <f>'Raw Data'!O558</f>
        <v>2</v>
      </c>
    </row>
    <row r="569" spans="23:56">
      <c r="W569" s="21"/>
      <c r="AC569" s="21"/>
      <c r="AD569" s="21"/>
      <c r="AE569" s="21"/>
      <c r="AS569" s="112" t="str">
        <f t="shared" si="132"/>
        <v/>
      </c>
      <c r="AT569" s="112" t="str">
        <f>IF(AS569="","",COUNTIF($AS$13:AS569,AS569))</f>
        <v/>
      </c>
      <c r="AU569" s="147">
        <f t="shared" si="133"/>
        <v>556</v>
      </c>
      <c r="AV569" s="147">
        <f>COUNTIF($AZ$14:AZ569,AZ569)</f>
        <v>10</v>
      </c>
      <c r="AW569" s="147">
        <f>IFERROR(COUNTIF(AX$14:$BL569,AX569),"")</f>
        <v>80</v>
      </c>
      <c r="AX569" s="148" t="str">
        <f t="shared" si="134"/>
        <v>Tue</v>
      </c>
      <c r="AY569" s="149">
        <f>'Raw Data'!A559</f>
        <v>42164</v>
      </c>
      <c r="AZ569" s="150" t="str">
        <f>'Raw Data'!E559</f>
        <v>$10 Off Promo</v>
      </c>
      <c r="BA569" s="150">
        <f>'Raw Data'!I559</f>
        <v>1259</v>
      </c>
      <c r="BB569" s="112"/>
      <c r="BC569" s="112"/>
      <c r="BD569" s="112">
        <f>'Raw Data'!O559</f>
        <v>1</v>
      </c>
    </row>
    <row r="570" spans="23:56">
      <c r="W570" s="21"/>
      <c r="AC570" s="21"/>
      <c r="AD570" s="21"/>
      <c r="AE570" s="21"/>
      <c r="AS570" s="112" t="str">
        <f t="shared" si="132"/>
        <v/>
      </c>
      <c r="AT570" s="112" t="str">
        <f>IF(AS570="","",COUNTIF($AS$13:AS570,AS570))</f>
        <v/>
      </c>
      <c r="AU570" s="147">
        <f t="shared" si="133"/>
        <v>557</v>
      </c>
      <c r="AV570" s="147">
        <f>COUNTIF($AZ$14:AZ570,AZ570)</f>
        <v>108</v>
      </c>
      <c r="AW570" s="147">
        <f>IFERROR(COUNTIF(AX$14:$BL570,AX570),"")</f>
        <v>80</v>
      </c>
      <c r="AX570" s="148" t="str">
        <f t="shared" si="134"/>
        <v>Wed</v>
      </c>
      <c r="AY570" s="149">
        <f>'Raw Data'!A560</f>
        <v>42165</v>
      </c>
      <c r="AZ570" s="150" t="str">
        <f>'Raw Data'!E560</f>
        <v>No Email Drop</v>
      </c>
      <c r="BA570" s="150">
        <f>'Raw Data'!I560</f>
        <v>1073</v>
      </c>
      <c r="BB570" s="112"/>
      <c r="BC570" s="112"/>
      <c r="BD570" s="112">
        <f>'Raw Data'!O560</f>
        <v>0</v>
      </c>
    </row>
    <row r="571" spans="23:56">
      <c r="W571" s="21"/>
      <c r="AC571" s="21"/>
      <c r="AD571" s="21"/>
      <c r="AE571" s="21"/>
      <c r="AS571" s="112" t="str">
        <f t="shared" si="132"/>
        <v/>
      </c>
      <c r="AT571" s="112" t="str">
        <f>IF(AS571="","",COUNTIF($AS$13:AS571,AS571))</f>
        <v/>
      </c>
      <c r="AU571" s="147">
        <f t="shared" si="133"/>
        <v>558</v>
      </c>
      <c r="AV571" s="147">
        <f>COUNTIF($AZ$14:AZ571,AZ571)</f>
        <v>3</v>
      </c>
      <c r="AW571" s="147">
        <f>IFERROR(COUNTIF(AX$14:$BL571,AX571),"")</f>
        <v>80</v>
      </c>
      <c r="AX571" s="148" t="str">
        <f t="shared" si="134"/>
        <v>Thu</v>
      </c>
      <c r="AY571" s="149">
        <f>'Raw Data'!A561</f>
        <v>42166</v>
      </c>
      <c r="AZ571" s="150" t="str">
        <f>'Raw Data'!E561</f>
        <v>$20 Off,FS on $80</v>
      </c>
      <c r="BA571" s="150">
        <f>'Raw Data'!I561</f>
        <v>1105</v>
      </c>
      <c r="BB571" s="112"/>
      <c r="BC571" s="112"/>
      <c r="BD571" s="112">
        <f>'Raw Data'!O561</f>
        <v>1</v>
      </c>
    </row>
    <row r="572" spans="23:56">
      <c r="W572" s="21"/>
      <c r="AC572" s="21"/>
      <c r="AD572" s="21"/>
      <c r="AE572" s="21"/>
      <c r="AS572" s="112" t="str">
        <f t="shared" si="132"/>
        <v/>
      </c>
      <c r="AT572" s="112" t="str">
        <f>IF(AS572="","",COUNTIF($AS$13:AS572,AS572))</f>
        <v/>
      </c>
      <c r="AU572" s="147">
        <f t="shared" si="133"/>
        <v>559</v>
      </c>
      <c r="AV572" s="147">
        <f>COUNTIF($AZ$14:AZ572,AZ572)</f>
        <v>4</v>
      </c>
      <c r="AW572" s="147">
        <f>IFERROR(COUNTIF(AX$14:$BL572,AX572),"")</f>
        <v>80</v>
      </c>
      <c r="AX572" s="148" t="str">
        <f t="shared" si="134"/>
        <v>Fri</v>
      </c>
      <c r="AY572" s="149">
        <f>'Raw Data'!A562</f>
        <v>42167</v>
      </c>
      <c r="AZ572" s="150" t="str">
        <f>'Raw Data'!E562</f>
        <v>$20 Off,FS on $80</v>
      </c>
      <c r="BA572" s="150">
        <f>'Raw Data'!I562</f>
        <v>1162</v>
      </c>
      <c r="BB572" s="112"/>
      <c r="BC572" s="112"/>
      <c r="BD572" s="112">
        <f>'Raw Data'!O562</f>
        <v>1</v>
      </c>
    </row>
    <row r="573" spans="23:56">
      <c r="W573" s="21"/>
      <c r="AC573" s="21"/>
      <c r="AD573" s="21"/>
      <c r="AE573" s="21"/>
      <c r="AS573" s="112" t="str">
        <f t="shared" si="132"/>
        <v/>
      </c>
      <c r="AT573" s="112" t="str">
        <f>IF(AS573="","",COUNTIF($AS$13:AS573,AS573))</f>
        <v/>
      </c>
      <c r="AU573" s="147">
        <f t="shared" si="133"/>
        <v>560</v>
      </c>
      <c r="AV573" s="147">
        <f>COUNTIF($AZ$14:AZ573,AZ573)</f>
        <v>109</v>
      </c>
      <c r="AW573" s="147">
        <f>IFERROR(COUNTIF(AX$14:$BL573,AX573),"")</f>
        <v>80</v>
      </c>
      <c r="AX573" s="148" t="str">
        <f t="shared" si="134"/>
        <v>Sat</v>
      </c>
      <c r="AY573" s="149">
        <f>'Raw Data'!A563</f>
        <v>42168</v>
      </c>
      <c r="AZ573" s="150" t="str">
        <f>'Raw Data'!E563</f>
        <v>No Email Drop</v>
      </c>
      <c r="BA573" s="150">
        <f>'Raw Data'!I563</f>
        <v>724</v>
      </c>
      <c r="BB573" s="112"/>
      <c r="BC573" s="112"/>
      <c r="BD573" s="112">
        <f>'Raw Data'!O563</f>
        <v>0</v>
      </c>
    </row>
    <row r="574" spans="23:56">
      <c r="W574" s="21"/>
      <c r="AC574" s="21"/>
      <c r="AD574" s="21"/>
      <c r="AE574" s="21"/>
      <c r="AS574" s="112" t="str">
        <f t="shared" si="132"/>
        <v/>
      </c>
      <c r="AT574" s="112" t="str">
        <f>IF(AS574="","",COUNTIF($AS$13:AS574,AS574))</f>
        <v/>
      </c>
      <c r="AU574" s="147">
        <f t="shared" si="133"/>
        <v>561</v>
      </c>
      <c r="AV574" s="147">
        <f>COUNTIF($AZ$14:AZ574,AZ574)</f>
        <v>33</v>
      </c>
      <c r="AW574" s="147">
        <f>IFERROR(COUNTIF(AX$14:$BL574,AX574),"")</f>
        <v>81</v>
      </c>
      <c r="AX574" s="148" t="str">
        <f t="shared" si="134"/>
        <v>Sun</v>
      </c>
      <c r="AY574" s="149">
        <f>'Raw Data'!A564</f>
        <v>42169</v>
      </c>
      <c r="AZ574" s="150" t="str">
        <f>'Raw Data'!E564</f>
        <v>Up To 40% Off,FS on $49</v>
      </c>
      <c r="BA574" s="150">
        <f>'Raw Data'!I564</f>
        <v>679</v>
      </c>
      <c r="BB574" s="112"/>
      <c r="BC574" s="112"/>
      <c r="BD574" s="112">
        <f>'Raw Data'!O564</f>
        <v>1</v>
      </c>
    </row>
    <row r="575" spans="23:56">
      <c r="W575" s="21"/>
      <c r="AC575" s="21"/>
      <c r="AD575" s="21"/>
      <c r="AE575" s="21"/>
      <c r="AS575" s="112" t="str">
        <f t="shared" si="132"/>
        <v/>
      </c>
      <c r="AT575" s="112" t="str">
        <f>IF(AS575="","",COUNTIF($AS$13:AS575,AS575))</f>
        <v/>
      </c>
      <c r="AU575" s="147">
        <f t="shared" si="133"/>
        <v>562</v>
      </c>
      <c r="AV575" s="147">
        <f>COUNTIF($AZ$14:AZ575,AZ575)</f>
        <v>1</v>
      </c>
      <c r="AW575" s="147">
        <f>IFERROR(COUNTIF(AX$14:$BL575,AX575),"")</f>
        <v>81</v>
      </c>
      <c r="AX575" s="148" t="str">
        <f t="shared" si="134"/>
        <v>Mon</v>
      </c>
      <c r="AY575" s="149">
        <f>'Raw Data'!A565</f>
        <v>42170</v>
      </c>
      <c r="AZ575" s="150" t="str">
        <f>'Raw Data'!E565</f>
        <v>Reveal Your Deal, $10, $15, $20 Off</v>
      </c>
      <c r="BA575" s="150">
        <f>'Raw Data'!I565</f>
        <v>1315</v>
      </c>
      <c r="BB575" s="112"/>
      <c r="BC575" s="112"/>
      <c r="BD575" s="112">
        <f>'Raw Data'!O565</f>
        <v>2</v>
      </c>
    </row>
    <row r="576" spans="23:56">
      <c r="W576" s="21"/>
      <c r="AC576" s="21"/>
      <c r="AD576" s="21"/>
      <c r="AE576" s="21"/>
      <c r="AS576" s="112" t="str">
        <f t="shared" si="132"/>
        <v/>
      </c>
      <c r="AT576" s="112" t="str">
        <f>IF(AS576="","",COUNTIF($AS$13:AS576,AS576))</f>
        <v/>
      </c>
      <c r="AU576" s="147">
        <f t="shared" si="133"/>
        <v>563</v>
      </c>
      <c r="AV576" s="147">
        <f>COUNTIF($AZ$14:AZ576,AZ576)</f>
        <v>2</v>
      </c>
      <c r="AW576" s="147">
        <f>IFERROR(COUNTIF(AX$14:$BL576,AX576),"")</f>
        <v>81</v>
      </c>
      <c r="AX576" s="148" t="str">
        <f t="shared" si="134"/>
        <v>Tue</v>
      </c>
      <c r="AY576" s="149">
        <f>'Raw Data'!A566</f>
        <v>42171</v>
      </c>
      <c r="AZ576" s="150" t="str">
        <f>'Raw Data'!E566</f>
        <v>Reveal Your Deal, $10, $15, $20 Off</v>
      </c>
      <c r="BA576" s="150">
        <f>'Raw Data'!I566</f>
        <v>1122</v>
      </c>
      <c r="BB576" s="112"/>
      <c r="BC576" s="112"/>
      <c r="BD576" s="112">
        <f>'Raw Data'!O566</f>
        <v>1</v>
      </c>
    </row>
    <row r="577" spans="23:56">
      <c r="W577" s="21"/>
      <c r="AC577" s="21"/>
      <c r="AD577" s="21"/>
      <c r="AE577" s="21"/>
      <c r="AS577" s="112" t="str">
        <f t="shared" si="132"/>
        <v/>
      </c>
      <c r="AT577" s="112" t="str">
        <f>IF(AS577="","",COUNTIF($AS$13:AS577,AS577))</f>
        <v/>
      </c>
      <c r="AU577" s="147">
        <f t="shared" si="133"/>
        <v>564</v>
      </c>
      <c r="AV577" s="147">
        <f>COUNTIF($AZ$14:AZ577,AZ577)</f>
        <v>6</v>
      </c>
      <c r="AW577" s="147">
        <f>IFERROR(COUNTIF(AX$14:$BL577,AX577),"")</f>
        <v>81</v>
      </c>
      <c r="AX577" s="148" t="str">
        <f t="shared" si="134"/>
        <v>Wed</v>
      </c>
      <c r="AY577" s="149">
        <f>'Raw Data'!A567</f>
        <v>42172</v>
      </c>
      <c r="AZ577" s="150" t="str">
        <f>'Raw Data'!E567</f>
        <v>Up To 35% Off,FS on $49</v>
      </c>
      <c r="BA577" s="150">
        <f>'Raw Data'!I567</f>
        <v>1052</v>
      </c>
      <c r="BB577" s="112"/>
      <c r="BC577" s="112"/>
      <c r="BD577" s="112">
        <f>'Raw Data'!O567</f>
        <v>1</v>
      </c>
    </row>
    <row r="578" spans="23:56">
      <c r="W578" s="21"/>
      <c r="AC578" s="21"/>
      <c r="AD578" s="21"/>
      <c r="AE578" s="21"/>
      <c r="AS578" s="112" t="str">
        <f t="shared" si="132"/>
        <v/>
      </c>
      <c r="AT578" s="112" t="str">
        <f>IF(AS578="","",COUNTIF($AS$13:AS578,AS578))</f>
        <v/>
      </c>
      <c r="AU578" s="147">
        <f t="shared" si="133"/>
        <v>565</v>
      </c>
      <c r="AV578" s="147">
        <f>COUNTIF($AZ$14:AZ578,AZ578)</f>
        <v>7</v>
      </c>
      <c r="AW578" s="147">
        <f>IFERROR(COUNTIF(AX$14:$BL578,AX578),"")</f>
        <v>81</v>
      </c>
      <c r="AX578" s="148" t="str">
        <f t="shared" si="134"/>
        <v>Thu</v>
      </c>
      <c r="AY578" s="149">
        <f>'Raw Data'!A568</f>
        <v>42173</v>
      </c>
      <c r="AZ578" s="150" t="str">
        <f>'Raw Data'!E568</f>
        <v>Up To 35% Off,FS on $49</v>
      </c>
      <c r="BA578" s="150">
        <f>'Raw Data'!I568</f>
        <v>1026</v>
      </c>
      <c r="BB578" s="112"/>
      <c r="BC578" s="112"/>
      <c r="BD578" s="112">
        <f>'Raw Data'!O568</f>
        <v>1</v>
      </c>
    </row>
    <row r="579" spans="23:56">
      <c r="W579" s="21"/>
      <c r="AC579" s="21"/>
      <c r="AD579" s="21"/>
      <c r="AE579" s="21"/>
      <c r="AS579" s="112" t="str">
        <f t="shared" si="132"/>
        <v/>
      </c>
      <c r="AT579" s="112" t="str">
        <f>IF(AS579="","",COUNTIF($AS$13:AS579,AS579))</f>
        <v/>
      </c>
      <c r="AU579" s="147">
        <f t="shared" si="133"/>
        <v>566</v>
      </c>
      <c r="AV579" s="147">
        <f>COUNTIF($AZ$14:AZ579,AZ579)</f>
        <v>8</v>
      </c>
      <c r="AW579" s="147">
        <f>IFERROR(COUNTIF(AX$14:$BL579,AX579),"")</f>
        <v>81</v>
      </c>
      <c r="AX579" s="148" t="str">
        <f t="shared" si="134"/>
        <v>Fri</v>
      </c>
      <c r="AY579" s="149">
        <f>'Raw Data'!A569</f>
        <v>42174</v>
      </c>
      <c r="AZ579" s="150" t="str">
        <f>'Raw Data'!E569</f>
        <v>Up To 35% Off,FS on $49</v>
      </c>
      <c r="BA579" s="150">
        <f>'Raw Data'!I569</f>
        <v>1056</v>
      </c>
      <c r="BB579" s="112"/>
      <c r="BC579" s="112"/>
      <c r="BD579" s="112">
        <f>'Raw Data'!O569</f>
        <v>2</v>
      </c>
    </row>
    <row r="580" spans="23:56">
      <c r="W580" s="21"/>
      <c r="AC580" s="21"/>
      <c r="AD580" s="21"/>
      <c r="AE580" s="21"/>
      <c r="AS580" s="112" t="str">
        <f t="shared" si="132"/>
        <v/>
      </c>
      <c r="AT580" s="112" t="str">
        <f>IF(AS580="","",COUNTIF($AS$13:AS580,AS580))</f>
        <v/>
      </c>
      <c r="AU580" s="147">
        <f t="shared" si="133"/>
        <v>567</v>
      </c>
      <c r="AV580" s="147">
        <f>COUNTIF($AZ$14:AZ580,AZ580)</f>
        <v>9</v>
      </c>
      <c r="AW580" s="147">
        <f>IFERROR(COUNTIF(AX$14:$BL580,AX580),"")</f>
        <v>81</v>
      </c>
      <c r="AX580" s="148" t="str">
        <f t="shared" si="134"/>
        <v>Sat</v>
      </c>
      <c r="AY580" s="149">
        <f>'Raw Data'!A570</f>
        <v>42175</v>
      </c>
      <c r="AZ580" s="150" t="str">
        <f>'Raw Data'!E570</f>
        <v>Up To 35% Off,FS on $49</v>
      </c>
      <c r="BA580" s="150">
        <f>'Raw Data'!I570</f>
        <v>841</v>
      </c>
      <c r="BB580" s="112"/>
      <c r="BC580" s="112"/>
      <c r="BD580" s="112">
        <f>'Raw Data'!O570</f>
        <v>2</v>
      </c>
    </row>
    <row r="581" spans="23:56">
      <c r="W581" s="21"/>
      <c r="AC581" s="21"/>
      <c r="AD581" s="21"/>
      <c r="AE581" s="21"/>
      <c r="AS581" s="112" t="str">
        <f t="shared" si="132"/>
        <v/>
      </c>
      <c r="AT581" s="112" t="str">
        <f>IF(AS581="","",COUNTIF($AS$13:AS581,AS581))</f>
        <v/>
      </c>
      <c r="AU581" s="147">
        <f t="shared" si="133"/>
        <v>568</v>
      </c>
      <c r="AV581" s="147">
        <f>COUNTIF($AZ$14:AZ581,AZ581)</f>
        <v>10</v>
      </c>
      <c r="AW581" s="147">
        <f>IFERROR(COUNTIF(AX$14:$BL581,AX581),"")</f>
        <v>82</v>
      </c>
      <c r="AX581" s="148" t="str">
        <f t="shared" si="134"/>
        <v>Sun</v>
      </c>
      <c r="AY581" s="149">
        <f>'Raw Data'!A571</f>
        <v>42176</v>
      </c>
      <c r="AZ581" s="150" t="str">
        <f>'Raw Data'!E571</f>
        <v>Up To 35% Off,FS on $49</v>
      </c>
      <c r="BA581" s="150">
        <f>'Raw Data'!I571</f>
        <v>644</v>
      </c>
      <c r="BB581" s="112"/>
      <c r="BC581" s="112"/>
      <c r="BD581" s="112">
        <f>'Raw Data'!O571</f>
        <v>2</v>
      </c>
    </row>
    <row r="582" spans="23:56">
      <c r="W582" s="21"/>
      <c r="AC582" s="21"/>
      <c r="AD582" s="21"/>
      <c r="AE582" s="21"/>
      <c r="AS582" s="112" t="str">
        <f t="shared" si="132"/>
        <v/>
      </c>
      <c r="AT582" s="112" t="str">
        <f>IF(AS582="","",COUNTIF($AS$13:AS582,AS582))</f>
        <v/>
      </c>
      <c r="AU582" s="147">
        <f t="shared" si="133"/>
        <v>569</v>
      </c>
      <c r="AV582" s="147">
        <f>COUNTIF($AZ$14:AZ582,AZ582)</f>
        <v>110</v>
      </c>
      <c r="AW582" s="147">
        <f>IFERROR(COUNTIF(AX$14:$BL582,AX582),"")</f>
        <v>82</v>
      </c>
      <c r="AX582" s="148" t="str">
        <f t="shared" si="134"/>
        <v>Mon</v>
      </c>
      <c r="AY582" s="149">
        <f>'Raw Data'!A572</f>
        <v>42177</v>
      </c>
      <c r="AZ582" s="150" t="str">
        <f>'Raw Data'!E572</f>
        <v>No Email Drop</v>
      </c>
      <c r="BA582" s="150">
        <f>'Raw Data'!I572</f>
        <v>1163</v>
      </c>
      <c r="BB582" s="112"/>
      <c r="BC582" s="112"/>
      <c r="BD582" s="112">
        <f>'Raw Data'!O572</f>
        <v>0</v>
      </c>
    </row>
    <row r="583" spans="23:56">
      <c r="W583" s="21"/>
      <c r="AC583" s="21"/>
      <c r="AD583" s="21"/>
      <c r="AE583" s="21"/>
      <c r="AS583" s="112" t="str">
        <f t="shared" si="132"/>
        <v/>
      </c>
      <c r="AT583" s="112" t="str">
        <f>IF(AS583="","",COUNTIF($AS$13:AS583,AS583))</f>
        <v/>
      </c>
      <c r="AU583" s="147">
        <f t="shared" si="133"/>
        <v>570</v>
      </c>
      <c r="AV583" s="147">
        <f>COUNTIF($AZ$14:AZ583,AZ583)</f>
        <v>1</v>
      </c>
      <c r="AW583" s="147">
        <f>IFERROR(COUNTIF(AX$14:$BL583,AX583),"")</f>
        <v>82</v>
      </c>
      <c r="AX583" s="148" t="str">
        <f t="shared" si="134"/>
        <v>Tue</v>
      </c>
      <c r="AY583" s="149">
        <f>'Raw Data'!A573</f>
        <v>42178</v>
      </c>
      <c r="AZ583" s="150" t="str">
        <f>'Raw Data'!E573</f>
        <v>Friends &amp; Family Event- 20% Off</v>
      </c>
      <c r="BA583" s="150">
        <f>'Raw Data'!I573</f>
        <v>1104</v>
      </c>
      <c r="BB583" s="112"/>
      <c r="BC583" s="112"/>
      <c r="BD583" s="112">
        <f>'Raw Data'!O573</f>
        <v>1</v>
      </c>
    </row>
    <row r="584" spans="23:56">
      <c r="W584" s="21"/>
      <c r="AC584" s="21"/>
      <c r="AD584" s="21"/>
      <c r="AE584" s="21"/>
      <c r="AS584" s="112" t="str">
        <f t="shared" si="132"/>
        <v/>
      </c>
      <c r="AT584" s="112" t="str">
        <f>IF(AS584="","",COUNTIF($AS$13:AS584,AS584))</f>
        <v/>
      </c>
      <c r="AU584" s="147">
        <f t="shared" si="133"/>
        <v>571</v>
      </c>
      <c r="AV584" s="147">
        <f>COUNTIF($AZ$14:AZ584,AZ584)</f>
        <v>2</v>
      </c>
      <c r="AW584" s="147">
        <f>IFERROR(COUNTIF(AX$14:$BL584,AX584),"")</f>
        <v>82</v>
      </c>
      <c r="AX584" s="148" t="str">
        <f t="shared" si="134"/>
        <v>Wed</v>
      </c>
      <c r="AY584" s="149">
        <f>'Raw Data'!A574</f>
        <v>42179</v>
      </c>
      <c r="AZ584" s="150" t="str">
        <f>'Raw Data'!E574</f>
        <v>Friends &amp; Family Event- 20% Off</v>
      </c>
      <c r="BA584" s="150">
        <f>'Raw Data'!I574</f>
        <v>1201</v>
      </c>
      <c r="BB584" s="112"/>
      <c r="BC584" s="112"/>
      <c r="BD584" s="112">
        <f>'Raw Data'!O574</f>
        <v>1</v>
      </c>
    </row>
    <row r="585" spans="23:56">
      <c r="W585" s="21"/>
      <c r="AC585" s="21"/>
      <c r="AD585" s="21"/>
      <c r="AE585" s="21"/>
      <c r="AS585" s="112" t="str">
        <f t="shared" si="132"/>
        <v/>
      </c>
      <c r="AT585" s="112" t="str">
        <f>IF(AS585="","",COUNTIF($AS$13:AS585,AS585))</f>
        <v/>
      </c>
      <c r="AU585" s="147">
        <f t="shared" si="133"/>
        <v>572</v>
      </c>
      <c r="AV585" s="147">
        <f>COUNTIF($AZ$14:AZ585,AZ585)</f>
        <v>3</v>
      </c>
      <c r="AW585" s="147">
        <f>IFERROR(COUNTIF(AX$14:$BL585,AX585),"")</f>
        <v>82</v>
      </c>
      <c r="AX585" s="148" t="str">
        <f t="shared" si="134"/>
        <v>Thu</v>
      </c>
      <c r="AY585" s="149">
        <f>'Raw Data'!A575</f>
        <v>42180</v>
      </c>
      <c r="AZ585" s="150" t="str">
        <f>'Raw Data'!E575</f>
        <v>Friends &amp; Family Event- 20% Off</v>
      </c>
      <c r="BA585" s="150">
        <f>'Raw Data'!I575</f>
        <v>1144</v>
      </c>
      <c r="BB585" s="112"/>
      <c r="BC585" s="112"/>
      <c r="BD585" s="112">
        <f>'Raw Data'!O575</f>
        <v>1</v>
      </c>
    </row>
    <row r="586" spans="23:56">
      <c r="W586" s="21"/>
      <c r="AC586" s="21"/>
      <c r="AD586" s="21"/>
      <c r="AE586" s="21"/>
      <c r="AS586" s="112" t="str">
        <f t="shared" si="132"/>
        <v/>
      </c>
      <c r="AT586" s="112" t="str">
        <f>IF(AS586="","",COUNTIF($AS$13:AS586,AS586))</f>
        <v/>
      </c>
      <c r="AU586" s="147">
        <f t="shared" si="133"/>
        <v>573</v>
      </c>
      <c r="AV586" s="147">
        <f>COUNTIF($AZ$14:AZ586,AZ586)</f>
        <v>4</v>
      </c>
      <c r="AW586" s="147">
        <f>IFERROR(COUNTIF(AX$14:$BL586,AX586),"")</f>
        <v>82</v>
      </c>
      <c r="AX586" s="148" t="str">
        <f t="shared" si="134"/>
        <v>Fri</v>
      </c>
      <c r="AY586" s="149">
        <f>'Raw Data'!A576</f>
        <v>42181</v>
      </c>
      <c r="AZ586" s="150" t="str">
        <f>'Raw Data'!E576</f>
        <v>Friends &amp; Family Event- 20% Off</v>
      </c>
      <c r="BA586" s="150">
        <f>'Raw Data'!I576</f>
        <v>1095</v>
      </c>
      <c r="BB586" s="112"/>
      <c r="BC586" s="112"/>
      <c r="BD586" s="112">
        <f>'Raw Data'!O576</f>
        <v>1</v>
      </c>
    </row>
    <row r="587" spans="23:56">
      <c r="W587" s="21"/>
      <c r="AC587" s="21"/>
      <c r="AD587" s="21"/>
      <c r="AE587" s="21"/>
      <c r="AS587" s="112" t="str">
        <f t="shared" si="132"/>
        <v/>
      </c>
      <c r="AT587" s="112" t="str">
        <f>IF(AS587="","",COUNTIF($AS$13:AS587,AS587))</f>
        <v/>
      </c>
      <c r="AU587" s="147">
        <f t="shared" si="133"/>
        <v>574</v>
      </c>
      <c r="AV587" s="147">
        <f>COUNTIF($AZ$14:AZ587,AZ587)</f>
        <v>111</v>
      </c>
      <c r="AW587" s="147">
        <f>IFERROR(COUNTIF(AX$14:$BL587,AX587),"")</f>
        <v>82</v>
      </c>
      <c r="AX587" s="148" t="str">
        <f t="shared" si="134"/>
        <v>Sat</v>
      </c>
      <c r="AY587" s="149">
        <f>'Raw Data'!A577</f>
        <v>42182</v>
      </c>
      <c r="AZ587" s="150" t="str">
        <f>'Raw Data'!E577</f>
        <v>No Email Drop</v>
      </c>
      <c r="BA587" s="150">
        <f>'Raw Data'!I577</f>
        <v>941</v>
      </c>
      <c r="BB587" s="112"/>
      <c r="BC587" s="112"/>
      <c r="BD587" s="112">
        <f>'Raw Data'!O577</f>
        <v>0</v>
      </c>
    </row>
    <row r="588" spans="23:56">
      <c r="W588" s="21"/>
      <c r="AC588" s="21"/>
      <c r="AD588" s="21"/>
      <c r="AE588" s="21"/>
      <c r="AS588" s="112" t="str">
        <f t="shared" si="132"/>
        <v/>
      </c>
      <c r="AT588" s="112" t="str">
        <f>IF(AS588="","",COUNTIF($AS$13:AS588,AS588))</f>
        <v/>
      </c>
      <c r="AU588" s="147">
        <f t="shared" si="133"/>
        <v>575</v>
      </c>
      <c r="AV588" s="147">
        <f>COUNTIF($AZ$14:AZ588,AZ588)</f>
        <v>34</v>
      </c>
      <c r="AW588" s="147">
        <f>IFERROR(COUNTIF(AX$14:$BL588,AX588),"")</f>
        <v>83</v>
      </c>
      <c r="AX588" s="148" t="str">
        <f t="shared" si="134"/>
        <v>Sun</v>
      </c>
      <c r="AY588" s="149">
        <f>'Raw Data'!A578</f>
        <v>42183</v>
      </c>
      <c r="AZ588" s="150" t="str">
        <f>'Raw Data'!E578</f>
        <v>Up To 40% Off,FS on $49</v>
      </c>
      <c r="BA588" s="150">
        <f>'Raw Data'!I578</f>
        <v>638</v>
      </c>
      <c r="BB588" s="112"/>
      <c r="BC588" s="112"/>
      <c r="BD588" s="112">
        <f>'Raw Data'!O578</f>
        <v>1</v>
      </c>
    </row>
    <row r="589" spans="23:56">
      <c r="W589" s="21"/>
      <c r="AC589" s="21"/>
      <c r="AD589" s="21"/>
      <c r="AE589" s="21"/>
      <c r="AS589" s="112" t="str">
        <f t="shared" si="132"/>
        <v/>
      </c>
      <c r="AT589" s="112" t="str">
        <f>IF(AS589="","",COUNTIF($AS$13:AS589,AS589))</f>
        <v/>
      </c>
      <c r="AU589" s="147">
        <f t="shared" si="133"/>
        <v>576</v>
      </c>
      <c r="AV589" s="147">
        <f>COUNTIF($AZ$14:AZ589,AZ589)</f>
        <v>10</v>
      </c>
      <c r="AW589" s="147">
        <f>IFERROR(COUNTIF(AX$14:$BL589,AX589),"")</f>
        <v>83</v>
      </c>
      <c r="AX589" s="148" t="str">
        <f t="shared" si="134"/>
        <v>Mon</v>
      </c>
      <c r="AY589" s="149">
        <f>'Raw Data'!A579</f>
        <v>42184</v>
      </c>
      <c r="AZ589" s="150" t="str">
        <f>'Raw Data'!E579</f>
        <v>$15 Off,FS on $49</v>
      </c>
      <c r="BA589" s="150">
        <f>'Raw Data'!I579</f>
        <v>1459</v>
      </c>
      <c r="BB589" s="112"/>
      <c r="BC589" s="112"/>
      <c r="BD589" s="112">
        <f>'Raw Data'!O579</f>
        <v>1</v>
      </c>
    </row>
    <row r="590" spans="23:56">
      <c r="W590" s="21"/>
      <c r="AC590" s="21"/>
      <c r="AD590" s="21"/>
      <c r="AE590" s="21"/>
      <c r="AS590" s="112" t="str">
        <f t="shared" si="132"/>
        <v/>
      </c>
      <c r="AT590" s="112" t="str">
        <f>IF(AS590="","",COUNTIF($AS$13:AS590,AS590))</f>
        <v/>
      </c>
      <c r="AU590" s="147">
        <f t="shared" si="133"/>
        <v>577</v>
      </c>
      <c r="AV590" s="147">
        <f>COUNTIF($AZ$14:AZ590,AZ590)</f>
        <v>11</v>
      </c>
      <c r="AW590" s="147">
        <f>IFERROR(COUNTIF(AX$14:$BL590,AX590),"")</f>
        <v>83</v>
      </c>
      <c r="AX590" s="148" t="str">
        <f t="shared" si="134"/>
        <v>Tue</v>
      </c>
      <c r="AY590" s="149">
        <f>'Raw Data'!A580</f>
        <v>42185</v>
      </c>
      <c r="AZ590" s="150" t="str">
        <f>'Raw Data'!E580</f>
        <v>$15 Off,FS on $49</v>
      </c>
      <c r="BA590" s="150">
        <f>'Raw Data'!I580</f>
        <v>1476</v>
      </c>
      <c r="BB590" s="112"/>
      <c r="BC590" s="112"/>
      <c r="BD590" s="112">
        <f>'Raw Data'!O580</f>
        <v>1</v>
      </c>
    </row>
    <row r="591" spans="23:56">
      <c r="W591" s="21"/>
      <c r="AC591" s="21"/>
      <c r="AD591" s="21"/>
      <c r="AE591" s="21"/>
      <c r="AS591" s="112" t="str">
        <f t="shared" si="132"/>
        <v/>
      </c>
      <c r="AT591" s="112" t="str">
        <f>IF(AS591="","",COUNTIF($AS$13:AS591,AS591))</f>
        <v/>
      </c>
      <c r="AU591" s="147">
        <f t="shared" si="133"/>
        <v>578</v>
      </c>
      <c r="AV591" s="147">
        <f>COUNTIF($AZ$14:AZ591,AZ591)</f>
        <v>112</v>
      </c>
      <c r="AW591" s="147">
        <f>IFERROR(COUNTIF(AX$14:$BL591,AX591),"")</f>
        <v>83</v>
      </c>
      <c r="AX591" s="148" t="str">
        <f t="shared" si="134"/>
        <v>Wed</v>
      </c>
      <c r="AY591" s="149">
        <f>'Raw Data'!A581</f>
        <v>42186</v>
      </c>
      <c r="AZ591" s="150" t="str">
        <f>'Raw Data'!E581</f>
        <v>No Email Drop</v>
      </c>
      <c r="BA591" s="150">
        <f>'Raw Data'!I581</f>
        <v>1400</v>
      </c>
      <c r="BB591" s="112"/>
      <c r="BC591" s="112"/>
      <c r="BD591" s="112">
        <f>'Raw Data'!O581</f>
        <v>0</v>
      </c>
    </row>
    <row r="592" spans="23:56">
      <c r="W592" s="21"/>
      <c r="AC592" s="21"/>
      <c r="AD592" s="21"/>
      <c r="AE592" s="21"/>
      <c r="AS592" s="112" t="str">
        <f t="shared" ref="AS592:AS655" si="135">IFERROR(IF(FIND($AT$12,AZ592)&gt;0,1,0),"")</f>
        <v/>
      </c>
      <c r="AT592" s="112" t="str">
        <f>IF(AS592="","",COUNTIF($AS$13:AS592,AS592))</f>
        <v/>
      </c>
      <c r="AU592" s="147">
        <f t="shared" ref="AU592:AU655" si="136">AU591+1</f>
        <v>579</v>
      </c>
      <c r="AV592" s="147">
        <f>COUNTIF($AZ$14:AZ592,AZ592)</f>
        <v>12</v>
      </c>
      <c r="AW592" s="147">
        <f>IFERROR(COUNTIF(AX$14:$BL592,AX592),"")</f>
        <v>83</v>
      </c>
      <c r="AX592" s="148" t="str">
        <f t="shared" ref="AX592:AX655" si="137">TEXT(AY592,"ddd")</f>
        <v>Thu</v>
      </c>
      <c r="AY592" s="149">
        <f>'Raw Data'!A582</f>
        <v>42187</v>
      </c>
      <c r="AZ592" s="150" t="str">
        <f>'Raw Data'!E582</f>
        <v>$15 Off,FS on $49</v>
      </c>
      <c r="BA592" s="150">
        <f>'Raw Data'!I582</f>
        <v>1618</v>
      </c>
      <c r="BB592" s="112"/>
      <c r="BC592" s="112"/>
      <c r="BD592" s="112">
        <f>'Raw Data'!O582</f>
        <v>2</v>
      </c>
    </row>
    <row r="593" spans="23:56">
      <c r="W593" s="21"/>
      <c r="AC593" s="21"/>
      <c r="AD593" s="21"/>
      <c r="AE593" s="21"/>
      <c r="AS593" s="112" t="str">
        <f t="shared" si="135"/>
        <v/>
      </c>
      <c r="AT593" s="112" t="str">
        <f>IF(AS593="","",COUNTIF($AS$13:AS593,AS593))</f>
        <v/>
      </c>
      <c r="AU593" s="147">
        <f t="shared" si="136"/>
        <v>580</v>
      </c>
      <c r="AV593" s="147">
        <f>COUNTIF($AZ$14:AZ593,AZ593)</f>
        <v>11</v>
      </c>
      <c r="AW593" s="147">
        <f>IFERROR(COUNTIF(AX$14:$BL593,AX593),"")</f>
        <v>83</v>
      </c>
      <c r="AX593" s="148" t="str">
        <f t="shared" si="137"/>
        <v>Fri</v>
      </c>
      <c r="AY593" s="149">
        <f>'Raw Data'!A583</f>
        <v>42188</v>
      </c>
      <c r="AZ593" s="150" t="str">
        <f>'Raw Data'!E583</f>
        <v>$10 Off Promo</v>
      </c>
      <c r="BA593" s="150">
        <f>'Raw Data'!I583</f>
        <v>1087</v>
      </c>
      <c r="BB593" s="112"/>
      <c r="BC593" s="112"/>
      <c r="BD593" s="112">
        <f>'Raw Data'!O583</f>
        <v>1</v>
      </c>
    </row>
    <row r="594" spans="23:56">
      <c r="W594" s="21"/>
      <c r="AC594" s="21"/>
      <c r="AD594" s="21"/>
      <c r="AE594" s="21"/>
      <c r="AS594" s="112" t="str">
        <f t="shared" si="135"/>
        <v/>
      </c>
      <c r="AT594" s="112" t="str">
        <f>IF(AS594="","",COUNTIF($AS$13:AS594,AS594))</f>
        <v/>
      </c>
      <c r="AU594" s="147">
        <f t="shared" si="136"/>
        <v>581</v>
      </c>
      <c r="AV594" s="147">
        <f>COUNTIF($AZ$14:AZ594,AZ594)</f>
        <v>12</v>
      </c>
      <c r="AW594" s="147">
        <f>IFERROR(COUNTIF(AX$14:$BL594,AX594),"")</f>
        <v>83</v>
      </c>
      <c r="AX594" s="148" t="str">
        <f t="shared" si="137"/>
        <v>Sat</v>
      </c>
      <c r="AY594" s="149">
        <f>'Raw Data'!A584</f>
        <v>42189</v>
      </c>
      <c r="AZ594" s="150" t="str">
        <f>'Raw Data'!E584</f>
        <v>$10 Off Promo</v>
      </c>
      <c r="BA594" s="150">
        <f>'Raw Data'!I584</f>
        <v>591</v>
      </c>
      <c r="BB594" s="112"/>
      <c r="BC594" s="112"/>
      <c r="BD594" s="112">
        <f>'Raw Data'!O584</f>
        <v>1</v>
      </c>
    </row>
    <row r="595" spans="23:56">
      <c r="W595" s="21"/>
      <c r="AC595" s="21"/>
      <c r="AD595" s="21"/>
      <c r="AE595" s="21"/>
      <c r="AS595" s="112" t="str">
        <f t="shared" si="135"/>
        <v/>
      </c>
      <c r="AT595" s="112" t="str">
        <f>IF(AS595="","",COUNTIF($AS$13:AS595,AS595))</f>
        <v/>
      </c>
      <c r="AU595" s="147">
        <f t="shared" si="136"/>
        <v>582</v>
      </c>
      <c r="AV595" s="147">
        <f>COUNTIF($AZ$14:AZ595,AZ595)</f>
        <v>13</v>
      </c>
      <c r="AW595" s="147">
        <f>IFERROR(COUNTIF(AX$14:$BL595,AX595),"")</f>
        <v>84</v>
      </c>
      <c r="AX595" s="148" t="str">
        <f t="shared" si="137"/>
        <v>Sun</v>
      </c>
      <c r="AY595" s="149">
        <f>'Raw Data'!A585</f>
        <v>42190</v>
      </c>
      <c r="AZ595" s="150" t="str">
        <f>'Raw Data'!E585</f>
        <v>$10 Off Promo</v>
      </c>
      <c r="BA595" s="150">
        <f>'Raw Data'!I585</f>
        <v>670</v>
      </c>
      <c r="BB595" s="112"/>
      <c r="BC595" s="112"/>
      <c r="BD595" s="112">
        <f>'Raw Data'!O585</f>
        <v>2</v>
      </c>
    </row>
    <row r="596" spans="23:56">
      <c r="W596" s="21"/>
      <c r="AC596" s="21"/>
      <c r="AD596" s="21"/>
      <c r="AE596" s="21"/>
      <c r="AS596" s="112" t="str">
        <f t="shared" si="135"/>
        <v/>
      </c>
      <c r="AT596" s="112" t="str">
        <f>IF(AS596="","",COUNTIF($AS$13:AS596,AS596))</f>
        <v/>
      </c>
      <c r="AU596" s="147">
        <f t="shared" si="136"/>
        <v>583</v>
      </c>
      <c r="AV596" s="147">
        <f>COUNTIF($AZ$14:AZ596,AZ596)</f>
        <v>14</v>
      </c>
      <c r="AW596" s="147">
        <f>IFERROR(COUNTIF(AX$14:$BL596,AX596),"")</f>
        <v>84</v>
      </c>
      <c r="AX596" s="148" t="str">
        <f t="shared" si="137"/>
        <v>Mon</v>
      </c>
      <c r="AY596" s="149">
        <f>'Raw Data'!A586</f>
        <v>42191</v>
      </c>
      <c r="AZ596" s="150" t="str">
        <f>'Raw Data'!E586</f>
        <v>$10 Off Promo</v>
      </c>
      <c r="BA596" s="150">
        <f>'Raw Data'!I586</f>
        <v>1428</v>
      </c>
      <c r="BB596" s="112"/>
      <c r="BC596" s="112"/>
      <c r="BD596" s="112">
        <f>'Raw Data'!O586</f>
        <v>2</v>
      </c>
    </row>
    <row r="597" spans="23:56">
      <c r="W597" s="21"/>
      <c r="AC597" s="21"/>
      <c r="AD597" s="21"/>
      <c r="AE597" s="21"/>
      <c r="AS597" s="112" t="str">
        <f t="shared" si="135"/>
        <v/>
      </c>
      <c r="AT597" s="112" t="str">
        <f>IF(AS597="","",COUNTIF($AS$13:AS597,AS597))</f>
        <v/>
      </c>
      <c r="AU597" s="147">
        <f t="shared" si="136"/>
        <v>584</v>
      </c>
      <c r="AV597" s="147">
        <f>COUNTIF($AZ$14:AZ597,AZ597)</f>
        <v>113</v>
      </c>
      <c r="AW597" s="147">
        <f>IFERROR(COUNTIF(AX$14:$BL597,AX597),"")</f>
        <v>84</v>
      </c>
      <c r="AX597" s="148" t="str">
        <f t="shared" si="137"/>
        <v>Tue</v>
      </c>
      <c r="AY597" s="149">
        <f>'Raw Data'!A587</f>
        <v>42192</v>
      </c>
      <c r="AZ597" s="150" t="str">
        <f>'Raw Data'!E587</f>
        <v>No Email Drop</v>
      </c>
      <c r="BA597" s="150">
        <f>'Raw Data'!I587</f>
        <v>1300</v>
      </c>
      <c r="BB597" s="112"/>
      <c r="BC597" s="112"/>
      <c r="BD597" s="112">
        <f>'Raw Data'!O587</f>
        <v>0</v>
      </c>
    </row>
    <row r="598" spans="23:56">
      <c r="W598" s="21"/>
      <c r="AC598" s="21"/>
      <c r="AD598" s="21"/>
      <c r="AE598" s="21"/>
      <c r="AS598" s="112" t="str">
        <f t="shared" si="135"/>
        <v/>
      </c>
      <c r="AT598" s="112" t="str">
        <f>IF(AS598="","",COUNTIF($AS$13:AS598,AS598))</f>
        <v/>
      </c>
      <c r="AU598" s="147">
        <f t="shared" si="136"/>
        <v>585</v>
      </c>
      <c r="AV598" s="147">
        <f>COUNTIF($AZ$14:AZ598,AZ598)</f>
        <v>4</v>
      </c>
      <c r="AW598" s="147">
        <f>IFERROR(COUNTIF(AX$14:$BL598,AX598),"")</f>
        <v>84</v>
      </c>
      <c r="AX598" s="148" t="str">
        <f t="shared" si="137"/>
        <v>Wed</v>
      </c>
      <c r="AY598" s="149">
        <f>'Raw Data'!A588</f>
        <v>42193</v>
      </c>
      <c r="AZ598" s="150" t="str">
        <f>'Raw Data'!E588</f>
        <v>$5 Off,FS on $25</v>
      </c>
      <c r="BA598" s="150">
        <f>'Raw Data'!I588</f>
        <v>1363</v>
      </c>
      <c r="BB598" s="112"/>
      <c r="BC598" s="112"/>
      <c r="BD598" s="112">
        <f>'Raw Data'!O588</f>
        <v>1</v>
      </c>
    </row>
    <row r="599" spans="23:56">
      <c r="W599" s="21"/>
      <c r="AC599" s="21"/>
      <c r="AD599" s="21"/>
      <c r="AE599" s="21"/>
      <c r="AS599" s="112" t="str">
        <f t="shared" si="135"/>
        <v/>
      </c>
      <c r="AT599" s="112" t="str">
        <f>IF(AS599="","",COUNTIF($AS$13:AS599,AS599))</f>
        <v/>
      </c>
      <c r="AU599" s="147">
        <f t="shared" si="136"/>
        <v>586</v>
      </c>
      <c r="AV599" s="147">
        <f>COUNTIF($AZ$14:AZ599,AZ599)</f>
        <v>5</v>
      </c>
      <c r="AW599" s="147">
        <f>IFERROR(COUNTIF(AX$14:$BL599,AX599),"")</f>
        <v>84</v>
      </c>
      <c r="AX599" s="148" t="str">
        <f t="shared" si="137"/>
        <v>Thu</v>
      </c>
      <c r="AY599" s="149">
        <f>'Raw Data'!A589</f>
        <v>42194</v>
      </c>
      <c r="AZ599" s="150" t="str">
        <f>'Raw Data'!E589</f>
        <v>$5 Off,FS on $25</v>
      </c>
      <c r="BA599" s="150">
        <f>'Raw Data'!I589</f>
        <v>1246</v>
      </c>
      <c r="BB599" s="112"/>
      <c r="BC599" s="112"/>
      <c r="BD599" s="112">
        <f>'Raw Data'!O589</f>
        <v>1</v>
      </c>
    </row>
    <row r="600" spans="23:56">
      <c r="W600" s="21"/>
      <c r="AC600" s="21"/>
      <c r="AD600" s="21"/>
      <c r="AE600" s="21"/>
      <c r="AS600" s="112" t="str">
        <f t="shared" si="135"/>
        <v/>
      </c>
      <c r="AT600" s="112" t="str">
        <f>IF(AS600="","",COUNTIF($AS$13:AS600,AS600))</f>
        <v/>
      </c>
      <c r="AU600" s="147">
        <f t="shared" si="136"/>
        <v>587</v>
      </c>
      <c r="AV600" s="147">
        <f>COUNTIF($AZ$14:AZ600,AZ600)</f>
        <v>6</v>
      </c>
      <c r="AW600" s="147">
        <f>IFERROR(COUNTIF(AX$14:$BL600,AX600),"")</f>
        <v>84</v>
      </c>
      <c r="AX600" s="148" t="str">
        <f t="shared" si="137"/>
        <v>Fri</v>
      </c>
      <c r="AY600" s="149">
        <f>'Raw Data'!A590</f>
        <v>42195</v>
      </c>
      <c r="AZ600" s="150" t="str">
        <f>'Raw Data'!E590</f>
        <v>$5 Off,FS on $25</v>
      </c>
      <c r="BA600" s="150">
        <f>'Raw Data'!I590</f>
        <v>1067</v>
      </c>
      <c r="BB600" s="112"/>
      <c r="BC600" s="112"/>
      <c r="BD600" s="112">
        <f>'Raw Data'!O590</f>
        <v>2</v>
      </c>
    </row>
    <row r="601" spans="23:56">
      <c r="W601" s="21"/>
      <c r="AC601" s="21"/>
      <c r="AD601" s="21"/>
      <c r="AE601" s="21"/>
      <c r="AS601" s="112" t="str">
        <f t="shared" si="135"/>
        <v/>
      </c>
      <c r="AT601" s="112" t="str">
        <f>IF(AS601="","",COUNTIF($AS$13:AS601,AS601))</f>
        <v/>
      </c>
      <c r="AU601" s="147">
        <f t="shared" si="136"/>
        <v>588</v>
      </c>
      <c r="AV601" s="147">
        <f>COUNTIF($AZ$14:AZ601,AZ601)</f>
        <v>114</v>
      </c>
      <c r="AW601" s="147">
        <f>IFERROR(COUNTIF(AX$14:$BL601,AX601),"")</f>
        <v>84</v>
      </c>
      <c r="AX601" s="148" t="str">
        <f t="shared" si="137"/>
        <v>Sat</v>
      </c>
      <c r="AY601" s="149">
        <f>'Raw Data'!A591</f>
        <v>42196</v>
      </c>
      <c r="AZ601" s="150" t="str">
        <f>'Raw Data'!E591</f>
        <v>No Email Drop</v>
      </c>
      <c r="BA601" s="150">
        <f>'Raw Data'!I591</f>
        <v>757</v>
      </c>
      <c r="BB601" s="112"/>
      <c r="BC601" s="112"/>
      <c r="BD601" s="112">
        <f>'Raw Data'!O591</f>
        <v>0</v>
      </c>
    </row>
    <row r="602" spans="23:56">
      <c r="W602" s="21"/>
      <c r="AC602" s="21"/>
      <c r="AD602" s="21"/>
      <c r="AE602" s="21"/>
      <c r="AS602" s="112" t="str">
        <f t="shared" si="135"/>
        <v/>
      </c>
      <c r="AT602" s="112" t="str">
        <f>IF(AS602="","",COUNTIF($AS$13:AS602,AS602))</f>
        <v/>
      </c>
      <c r="AU602" s="147">
        <f t="shared" si="136"/>
        <v>589</v>
      </c>
      <c r="AV602" s="147">
        <f>COUNTIF($AZ$14:AZ602,AZ602)</f>
        <v>35</v>
      </c>
      <c r="AW602" s="147">
        <f>IFERROR(COUNTIF(AX$14:$BL602,AX602),"")</f>
        <v>85</v>
      </c>
      <c r="AX602" s="148" t="str">
        <f t="shared" si="137"/>
        <v>Sun</v>
      </c>
      <c r="AY602" s="149">
        <f>'Raw Data'!A592</f>
        <v>42197</v>
      </c>
      <c r="AZ602" s="150" t="str">
        <f>'Raw Data'!E592</f>
        <v>Up To 40% Off,FS on $49</v>
      </c>
      <c r="BA602" s="150">
        <f>'Raw Data'!I592</f>
        <v>741</v>
      </c>
      <c r="BB602" s="112"/>
      <c r="BC602" s="112"/>
      <c r="BD602" s="112">
        <f>'Raw Data'!O592</f>
        <v>1</v>
      </c>
    </row>
    <row r="603" spans="23:56">
      <c r="W603" s="21"/>
      <c r="AC603" s="21"/>
      <c r="AD603" s="21"/>
      <c r="AE603" s="21"/>
      <c r="AS603" s="112">
        <f t="shared" si="135"/>
        <v>1</v>
      </c>
      <c r="AT603" s="112">
        <f>IF(AS603="","",COUNTIF($AS$13:AS603,AS603))</f>
        <v>20</v>
      </c>
      <c r="AU603" s="147">
        <f t="shared" si="136"/>
        <v>590</v>
      </c>
      <c r="AV603" s="147">
        <f>COUNTIF($AZ$14:AZ603,AZ603)</f>
        <v>7</v>
      </c>
      <c r="AW603" s="147">
        <f>IFERROR(COUNTIF(AX$14:$BL603,AX603),"")</f>
        <v>85</v>
      </c>
      <c r="AX603" s="148" t="str">
        <f t="shared" si="137"/>
        <v>Mon</v>
      </c>
      <c r="AY603" s="149">
        <f>'Raw Data'!A593</f>
        <v>42198</v>
      </c>
      <c r="AZ603" s="150" t="str">
        <f>'Raw Data'!E593</f>
        <v>Flash Sale,30% Off,FS on $49</v>
      </c>
      <c r="BA603" s="150">
        <f>'Raw Data'!I593</f>
        <v>1546</v>
      </c>
      <c r="BB603" s="112"/>
      <c r="BC603" s="112"/>
      <c r="BD603" s="112">
        <f>'Raw Data'!O593</f>
        <v>1</v>
      </c>
    </row>
    <row r="604" spans="23:56">
      <c r="W604" s="21"/>
      <c r="AC604" s="21"/>
      <c r="AD604" s="21"/>
      <c r="AE604" s="21"/>
      <c r="AS604" s="112">
        <f t="shared" si="135"/>
        <v>1</v>
      </c>
      <c r="AT604" s="112">
        <f>IF(AS604="","",COUNTIF($AS$13:AS604,AS604))</f>
        <v>21</v>
      </c>
      <c r="AU604" s="147">
        <f t="shared" si="136"/>
        <v>591</v>
      </c>
      <c r="AV604" s="147">
        <f>COUNTIF($AZ$14:AZ604,AZ604)</f>
        <v>8</v>
      </c>
      <c r="AW604" s="147">
        <f>IFERROR(COUNTIF(AX$14:$BL604,AX604),"")</f>
        <v>85</v>
      </c>
      <c r="AX604" s="148" t="str">
        <f t="shared" si="137"/>
        <v>Tue</v>
      </c>
      <c r="AY604" s="149">
        <f>'Raw Data'!A594</f>
        <v>42199</v>
      </c>
      <c r="AZ604" s="150" t="str">
        <f>'Raw Data'!E594</f>
        <v>Flash Sale,30% Off,FS on $49</v>
      </c>
      <c r="BA604" s="150">
        <f>'Raw Data'!I594</f>
        <v>1271</v>
      </c>
      <c r="BB604" s="112"/>
      <c r="BC604" s="112"/>
      <c r="BD604" s="112">
        <f>'Raw Data'!O594</f>
        <v>2</v>
      </c>
    </row>
    <row r="605" spans="23:56">
      <c r="W605" s="21"/>
      <c r="AC605" s="21"/>
      <c r="AD605" s="21"/>
      <c r="AE605" s="21"/>
      <c r="AS605" s="112" t="str">
        <f t="shared" si="135"/>
        <v/>
      </c>
      <c r="AT605" s="112" t="str">
        <f>IF(AS605="","",COUNTIF($AS$13:AS605,AS605))</f>
        <v/>
      </c>
      <c r="AU605" s="147">
        <f t="shared" si="136"/>
        <v>592</v>
      </c>
      <c r="AV605" s="147">
        <f>COUNTIF($AZ$14:AZ605,AZ605)</f>
        <v>115</v>
      </c>
      <c r="AW605" s="147">
        <f>IFERROR(COUNTIF(AX$14:$BL605,AX605),"")</f>
        <v>85</v>
      </c>
      <c r="AX605" s="148" t="str">
        <f t="shared" si="137"/>
        <v>Wed</v>
      </c>
      <c r="AY605" s="149">
        <f>'Raw Data'!A595</f>
        <v>42200</v>
      </c>
      <c r="AZ605" s="150" t="str">
        <f>'Raw Data'!E595</f>
        <v>No Email Drop</v>
      </c>
      <c r="BA605" s="150">
        <f>'Raw Data'!I595</f>
        <v>1308</v>
      </c>
      <c r="BB605" s="112"/>
      <c r="BC605" s="112"/>
      <c r="BD605" s="112">
        <f>'Raw Data'!O595</f>
        <v>0</v>
      </c>
    </row>
    <row r="606" spans="23:56">
      <c r="W606" s="21"/>
      <c r="AC606" s="21"/>
      <c r="AD606" s="21"/>
      <c r="AE606" s="21"/>
      <c r="AS606" s="112" t="str">
        <f t="shared" si="135"/>
        <v/>
      </c>
      <c r="AT606" s="112" t="str">
        <f>IF(AS606="","",COUNTIF($AS$13:AS606,AS606))</f>
        <v/>
      </c>
      <c r="AU606" s="147">
        <f t="shared" si="136"/>
        <v>593</v>
      </c>
      <c r="AV606" s="147">
        <f>COUNTIF($AZ$14:AZ606,AZ606)</f>
        <v>36</v>
      </c>
      <c r="AW606" s="147">
        <f>IFERROR(COUNTIF(AX$14:$BL606,AX606),"")</f>
        <v>85</v>
      </c>
      <c r="AX606" s="148" t="str">
        <f t="shared" si="137"/>
        <v>Thu</v>
      </c>
      <c r="AY606" s="149">
        <f>'Raw Data'!A596</f>
        <v>42201</v>
      </c>
      <c r="AZ606" s="150" t="str">
        <f>'Raw Data'!E596</f>
        <v>Up To 40% Off,FS on $49</v>
      </c>
      <c r="BA606" s="150">
        <f>'Raw Data'!I596</f>
        <v>1098</v>
      </c>
      <c r="BB606" s="112"/>
      <c r="BC606" s="112"/>
      <c r="BD606" s="112">
        <f>'Raw Data'!O596</f>
        <v>1</v>
      </c>
    </row>
    <row r="607" spans="23:56">
      <c r="W607" s="21"/>
      <c r="AC607" s="21"/>
      <c r="AD607" s="21"/>
      <c r="AE607" s="21"/>
      <c r="AS607" s="112" t="str">
        <f t="shared" si="135"/>
        <v/>
      </c>
      <c r="AT607" s="112" t="str">
        <f>IF(AS607="","",COUNTIF($AS$13:AS607,AS607))</f>
        <v/>
      </c>
      <c r="AU607" s="147">
        <f t="shared" si="136"/>
        <v>594</v>
      </c>
      <c r="AV607" s="147">
        <f>COUNTIF($AZ$14:AZ607,AZ607)</f>
        <v>36</v>
      </c>
      <c r="AW607" s="147">
        <f>IFERROR(COUNTIF(AX$14:$BL607,AX607),"")</f>
        <v>85</v>
      </c>
      <c r="AX607" s="148" t="str">
        <f t="shared" si="137"/>
        <v>Fri</v>
      </c>
      <c r="AY607" s="149">
        <f>'Raw Data'!A597</f>
        <v>42202</v>
      </c>
      <c r="AZ607" s="150" t="str">
        <f>'Raw Data'!E597</f>
        <v>Free Ship No Min</v>
      </c>
      <c r="BA607" s="150">
        <f>'Raw Data'!I597</f>
        <v>1466</v>
      </c>
      <c r="BB607" s="112"/>
      <c r="BC607" s="112"/>
      <c r="BD607" s="112">
        <f>'Raw Data'!O597</f>
        <v>1</v>
      </c>
    </row>
    <row r="608" spans="23:56">
      <c r="W608" s="21"/>
      <c r="AC608" s="21"/>
      <c r="AD608" s="21"/>
      <c r="AE608" s="21"/>
      <c r="AS608" s="112" t="str">
        <f t="shared" si="135"/>
        <v/>
      </c>
      <c r="AT608" s="112" t="str">
        <f>IF(AS608="","",COUNTIF($AS$13:AS608,AS608))</f>
        <v/>
      </c>
      <c r="AU608" s="147">
        <f t="shared" si="136"/>
        <v>595</v>
      </c>
      <c r="AV608" s="147">
        <f>COUNTIF($AZ$14:AZ608,AZ608)</f>
        <v>5</v>
      </c>
      <c r="AW608" s="147">
        <f>IFERROR(COUNTIF(AX$14:$BL608,AX608),"")</f>
        <v>85</v>
      </c>
      <c r="AX608" s="148" t="str">
        <f t="shared" si="137"/>
        <v>Sat</v>
      </c>
      <c r="AY608" s="149">
        <f>'Raw Data'!A598</f>
        <v>42203</v>
      </c>
      <c r="AZ608" s="150" t="str">
        <f>'Raw Data'!E598</f>
        <v>Bonus Week</v>
      </c>
      <c r="BA608" s="150">
        <f>'Raw Data'!I598</f>
        <v>647</v>
      </c>
      <c r="BB608" s="112"/>
      <c r="BC608" s="112"/>
      <c r="BD608" s="112">
        <f>'Raw Data'!O598</f>
        <v>1</v>
      </c>
    </row>
    <row r="609" spans="23:56">
      <c r="W609" s="21"/>
      <c r="AC609" s="21"/>
      <c r="AD609" s="21"/>
      <c r="AE609" s="21"/>
      <c r="AS609" s="112" t="str">
        <f t="shared" si="135"/>
        <v/>
      </c>
      <c r="AT609" s="112" t="str">
        <f>IF(AS609="","",COUNTIF($AS$13:AS609,AS609))</f>
        <v/>
      </c>
      <c r="AU609" s="147">
        <f t="shared" si="136"/>
        <v>596</v>
      </c>
      <c r="AV609" s="147">
        <f>COUNTIF($AZ$14:AZ609,AZ609)</f>
        <v>6</v>
      </c>
      <c r="AW609" s="147">
        <f>IFERROR(COUNTIF(AX$14:$BL609,AX609),"")</f>
        <v>86</v>
      </c>
      <c r="AX609" s="148" t="str">
        <f t="shared" si="137"/>
        <v>Sun</v>
      </c>
      <c r="AY609" s="149">
        <f>'Raw Data'!A599</f>
        <v>42204</v>
      </c>
      <c r="AZ609" s="150" t="str">
        <f>'Raw Data'!E599</f>
        <v>Bonus Week</v>
      </c>
      <c r="BA609" s="150">
        <f>'Raw Data'!I599</f>
        <v>885</v>
      </c>
      <c r="BB609" s="112"/>
      <c r="BC609" s="112"/>
      <c r="BD609" s="112">
        <f>'Raw Data'!O599</f>
        <v>1</v>
      </c>
    </row>
    <row r="610" spans="23:56">
      <c r="W610" s="21"/>
      <c r="AC610" s="21"/>
      <c r="AD610" s="21"/>
      <c r="AE610" s="21"/>
      <c r="AS610" s="112" t="str">
        <f t="shared" si="135"/>
        <v/>
      </c>
      <c r="AT610" s="112" t="str">
        <f>IF(AS610="","",COUNTIF($AS$13:AS610,AS610))</f>
        <v/>
      </c>
      <c r="AU610" s="147">
        <f t="shared" si="136"/>
        <v>597</v>
      </c>
      <c r="AV610" s="147">
        <f>COUNTIF($AZ$14:AZ610,AZ610)</f>
        <v>116</v>
      </c>
      <c r="AW610" s="147">
        <f>IFERROR(COUNTIF(AX$14:$BL610,AX610),"")</f>
        <v>86</v>
      </c>
      <c r="AX610" s="148" t="str">
        <f t="shared" si="137"/>
        <v>Mon</v>
      </c>
      <c r="AY610" s="149">
        <f>'Raw Data'!A600</f>
        <v>42205</v>
      </c>
      <c r="AZ610" s="150" t="str">
        <f>'Raw Data'!E600</f>
        <v>No Email Drop</v>
      </c>
      <c r="BA610" s="150">
        <f>'Raw Data'!I600</f>
        <v>1279</v>
      </c>
      <c r="BB610" s="112"/>
      <c r="BC610" s="112"/>
      <c r="BD610" s="112">
        <f>'Raw Data'!O600</f>
        <v>0</v>
      </c>
    </row>
    <row r="611" spans="23:56">
      <c r="W611" s="21"/>
      <c r="AC611" s="21"/>
      <c r="AD611" s="21"/>
      <c r="AE611" s="21"/>
      <c r="AS611" s="112" t="str">
        <f t="shared" si="135"/>
        <v/>
      </c>
      <c r="AT611" s="112" t="str">
        <f>IF(AS611="","",COUNTIF($AS$13:AS611,AS611))</f>
        <v/>
      </c>
      <c r="AU611" s="147">
        <f t="shared" si="136"/>
        <v>598</v>
      </c>
      <c r="AV611" s="147">
        <f>COUNTIF($AZ$14:AZ611,AZ611)</f>
        <v>9</v>
      </c>
      <c r="AW611" s="147">
        <f>IFERROR(COUNTIF(AX$14:$BL611,AX611),"")</f>
        <v>86</v>
      </c>
      <c r="AX611" s="148" t="str">
        <f t="shared" si="137"/>
        <v>Tue</v>
      </c>
      <c r="AY611" s="149">
        <f>'Raw Data'!A601</f>
        <v>42206</v>
      </c>
      <c r="AZ611" s="150" t="str">
        <f>'Raw Data'!E601</f>
        <v>$15 Off,FS on $75</v>
      </c>
      <c r="BA611" s="150">
        <f>'Raw Data'!I601</f>
        <v>1289</v>
      </c>
      <c r="BB611" s="112"/>
      <c r="BC611" s="112"/>
      <c r="BD611" s="112">
        <f>'Raw Data'!O601</f>
        <v>1</v>
      </c>
    </row>
    <row r="612" spans="23:56">
      <c r="W612" s="21"/>
      <c r="AC612" s="21"/>
      <c r="AD612" s="21"/>
      <c r="AE612" s="21"/>
      <c r="AS612" s="112" t="str">
        <f t="shared" si="135"/>
        <v/>
      </c>
      <c r="AT612" s="112" t="str">
        <f>IF(AS612="","",COUNTIF($AS$13:AS612,AS612))</f>
        <v/>
      </c>
      <c r="AU612" s="147">
        <f t="shared" si="136"/>
        <v>599</v>
      </c>
      <c r="AV612" s="147">
        <f>COUNTIF($AZ$14:AZ612,AZ612)</f>
        <v>10</v>
      </c>
      <c r="AW612" s="147">
        <f>IFERROR(COUNTIF(AX$14:$BL612,AX612),"")</f>
        <v>86</v>
      </c>
      <c r="AX612" s="148" t="str">
        <f t="shared" si="137"/>
        <v>Wed</v>
      </c>
      <c r="AY612" s="149">
        <f>'Raw Data'!A602</f>
        <v>42207</v>
      </c>
      <c r="AZ612" s="150" t="str">
        <f>'Raw Data'!E602</f>
        <v>$15 Off,FS on $75</v>
      </c>
      <c r="BA612" s="150">
        <f>'Raw Data'!I602</f>
        <v>1329</v>
      </c>
      <c r="BB612" s="112"/>
      <c r="BC612" s="112"/>
      <c r="BD612" s="112">
        <f>'Raw Data'!O602</f>
        <v>1</v>
      </c>
    </row>
    <row r="613" spans="23:56">
      <c r="W613" s="21"/>
      <c r="AC613" s="21"/>
      <c r="AD613" s="21"/>
      <c r="AE613" s="21"/>
      <c r="AS613" s="112" t="str">
        <f t="shared" si="135"/>
        <v/>
      </c>
      <c r="AT613" s="112" t="str">
        <f>IF(AS613="","",COUNTIF($AS$13:AS613,AS613))</f>
        <v/>
      </c>
      <c r="AU613" s="147">
        <f t="shared" si="136"/>
        <v>600</v>
      </c>
      <c r="AV613" s="147">
        <f>COUNTIF($AZ$14:AZ613,AZ613)</f>
        <v>1</v>
      </c>
      <c r="AW613" s="147">
        <f>IFERROR(COUNTIF(AX$14:$BL613,AX613),"")</f>
        <v>86</v>
      </c>
      <c r="AX613" s="148" t="str">
        <f t="shared" si="137"/>
        <v>Thu</v>
      </c>
      <c r="AY613" s="149">
        <f>'Raw Data'!A603</f>
        <v>42208</v>
      </c>
      <c r="AZ613" s="150" t="str">
        <f>'Raw Data'!E603</f>
        <v>Up To 25% Off,FS on $49</v>
      </c>
      <c r="BA613" s="150">
        <f>'Raw Data'!I603</f>
        <v>1196</v>
      </c>
      <c r="BB613" s="112"/>
      <c r="BC613" s="112"/>
      <c r="BD613" s="112">
        <f>'Raw Data'!O603</f>
        <v>1</v>
      </c>
    </row>
    <row r="614" spans="23:56">
      <c r="W614" s="21"/>
      <c r="AC614" s="21"/>
      <c r="AD614" s="21"/>
      <c r="AE614" s="21"/>
      <c r="AS614" s="112" t="str">
        <f t="shared" si="135"/>
        <v/>
      </c>
      <c r="AT614" s="112" t="str">
        <f>IF(AS614="","",COUNTIF($AS$13:AS614,AS614))</f>
        <v/>
      </c>
      <c r="AU614" s="147">
        <f t="shared" si="136"/>
        <v>601</v>
      </c>
      <c r="AV614" s="147">
        <f>COUNTIF($AZ$14:AZ614,AZ614)</f>
        <v>1</v>
      </c>
      <c r="AW614" s="147">
        <f>IFERROR(COUNTIF(AX$14:$BL614,AX614),"")</f>
        <v>86</v>
      </c>
      <c r="AX614" s="148" t="str">
        <f t="shared" si="137"/>
        <v>Fri</v>
      </c>
      <c r="AY614" s="149">
        <f>'Raw Data'!A604</f>
        <v>42209</v>
      </c>
      <c r="AZ614" s="150" t="str">
        <f>'Raw Data'!E604</f>
        <v>Black Friday in July</v>
      </c>
      <c r="BA614" s="150">
        <f>'Raw Data'!I604</f>
        <v>1449</v>
      </c>
      <c r="BB614" s="112"/>
      <c r="BC614" s="112"/>
      <c r="BD614" s="112">
        <f>'Raw Data'!O604</f>
        <v>2</v>
      </c>
    </row>
    <row r="615" spans="23:56">
      <c r="W615" s="21"/>
      <c r="AC615" s="21"/>
      <c r="AD615" s="21"/>
      <c r="AE615" s="21"/>
      <c r="AS615" s="112" t="str">
        <f t="shared" si="135"/>
        <v/>
      </c>
      <c r="AT615" s="112" t="str">
        <f>IF(AS615="","",COUNTIF($AS$13:AS615,AS615))</f>
        <v/>
      </c>
      <c r="AU615" s="147">
        <f t="shared" si="136"/>
        <v>602</v>
      </c>
      <c r="AV615" s="147">
        <f>COUNTIF($AZ$14:AZ615,AZ615)</f>
        <v>117</v>
      </c>
      <c r="AW615" s="147">
        <f>IFERROR(COUNTIF(AX$14:$BL615,AX615),"")</f>
        <v>86</v>
      </c>
      <c r="AX615" s="148" t="str">
        <f t="shared" si="137"/>
        <v>Sat</v>
      </c>
      <c r="AY615" s="149">
        <f>'Raw Data'!A605</f>
        <v>42210</v>
      </c>
      <c r="AZ615" s="150" t="str">
        <f>'Raw Data'!E605</f>
        <v>No Email Drop</v>
      </c>
      <c r="BA615" s="150">
        <f>'Raw Data'!I605</f>
        <v>871</v>
      </c>
      <c r="BB615" s="112"/>
      <c r="BC615" s="112"/>
      <c r="BD615" s="112">
        <f>'Raw Data'!O605</f>
        <v>0</v>
      </c>
    </row>
    <row r="616" spans="23:56">
      <c r="W616" s="21"/>
      <c r="AC616" s="21"/>
      <c r="AD616" s="21"/>
      <c r="AE616" s="21"/>
      <c r="AS616" s="112" t="str">
        <f t="shared" si="135"/>
        <v/>
      </c>
      <c r="AT616" s="112" t="str">
        <f>IF(AS616="","",COUNTIF($AS$13:AS616,AS616))</f>
        <v/>
      </c>
      <c r="AU616" s="147">
        <f t="shared" si="136"/>
        <v>603</v>
      </c>
      <c r="AV616" s="147">
        <f>COUNTIF($AZ$14:AZ616,AZ616)</f>
        <v>11</v>
      </c>
      <c r="AW616" s="147">
        <f>IFERROR(COUNTIF(AX$14:$BL616,AX616),"")</f>
        <v>87</v>
      </c>
      <c r="AX616" s="148" t="str">
        <f t="shared" si="137"/>
        <v>Sun</v>
      </c>
      <c r="AY616" s="149">
        <f>'Raw Data'!A606</f>
        <v>42211</v>
      </c>
      <c r="AZ616" s="150" t="str">
        <f>'Raw Data'!E606</f>
        <v>$30 Off,FS on $100</v>
      </c>
      <c r="BA616" s="150">
        <f>'Raw Data'!I606</f>
        <v>968</v>
      </c>
      <c r="BB616" s="112"/>
      <c r="BC616" s="112"/>
      <c r="BD616" s="112">
        <f>'Raw Data'!O606</f>
        <v>1</v>
      </c>
    </row>
    <row r="617" spans="23:56">
      <c r="W617" s="21"/>
      <c r="AC617" s="21"/>
      <c r="AD617" s="21"/>
      <c r="AE617" s="21"/>
      <c r="AS617" s="112" t="str">
        <f t="shared" si="135"/>
        <v/>
      </c>
      <c r="AT617" s="112" t="str">
        <f>IF(AS617="","",COUNTIF($AS$13:AS617,AS617))</f>
        <v/>
      </c>
      <c r="AU617" s="147">
        <f t="shared" si="136"/>
        <v>604</v>
      </c>
      <c r="AV617" s="147">
        <f>COUNTIF($AZ$14:AZ617,AZ617)</f>
        <v>12</v>
      </c>
      <c r="AW617" s="147">
        <f>IFERROR(COUNTIF(AX$14:$BL617,AX617),"")</f>
        <v>87</v>
      </c>
      <c r="AX617" s="148" t="str">
        <f t="shared" si="137"/>
        <v>Mon</v>
      </c>
      <c r="AY617" s="149">
        <f>'Raw Data'!A607</f>
        <v>42212</v>
      </c>
      <c r="AZ617" s="150" t="str">
        <f>'Raw Data'!E607</f>
        <v>$30 Off,FS on $100</v>
      </c>
      <c r="BA617" s="150">
        <f>'Raw Data'!I607</f>
        <v>1526</v>
      </c>
      <c r="BB617" s="112"/>
      <c r="BC617" s="112"/>
      <c r="BD617" s="112">
        <f>'Raw Data'!O607</f>
        <v>1</v>
      </c>
    </row>
    <row r="618" spans="23:56">
      <c r="W618" s="21"/>
      <c r="AC618" s="21"/>
      <c r="AD618" s="21"/>
      <c r="AE618" s="21"/>
      <c r="AS618" s="112" t="str">
        <f t="shared" si="135"/>
        <v/>
      </c>
      <c r="AT618" s="112" t="str">
        <f>IF(AS618="","",COUNTIF($AS$13:AS618,AS618))</f>
        <v/>
      </c>
      <c r="AU618" s="147">
        <f t="shared" si="136"/>
        <v>605</v>
      </c>
      <c r="AV618" s="147">
        <f>COUNTIF($AZ$14:AZ618,AZ618)</f>
        <v>13</v>
      </c>
      <c r="AW618" s="147">
        <f>IFERROR(COUNTIF(AX$14:$BL618,AX618),"")</f>
        <v>87</v>
      </c>
      <c r="AX618" s="148" t="str">
        <f t="shared" si="137"/>
        <v>Tue</v>
      </c>
      <c r="AY618" s="149">
        <f>'Raw Data'!A608</f>
        <v>42213</v>
      </c>
      <c r="AZ618" s="150" t="str">
        <f>'Raw Data'!E608</f>
        <v>$30 Off,FS on $100</v>
      </c>
      <c r="BA618" s="150">
        <f>'Raw Data'!I608</f>
        <v>1425</v>
      </c>
      <c r="BB618" s="112"/>
      <c r="BC618" s="112"/>
      <c r="BD618" s="112">
        <f>'Raw Data'!O608</f>
        <v>1</v>
      </c>
    </row>
    <row r="619" spans="23:56">
      <c r="W619" s="21"/>
      <c r="AC619" s="21"/>
      <c r="AD619" s="21"/>
      <c r="AE619" s="21"/>
      <c r="AS619" s="112" t="str">
        <f t="shared" si="135"/>
        <v/>
      </c>
      <c r="AT619" s="112" t="str">
        <f>IF(AS619="","",COUNTIF($AS$13:AS619,AS619))</f>
        <v/>
      </c>
      <c r="AU619" s="147">
        <f t="shared" si="136"/>
        <v>606</v>
      </c>
      <c r="AV619" s="147">
        <f>COUNTIF($AZ$14:AZ619,AZ619)</f>
        <v>118</v>
      </c>
      <c r="AW619" s="147">
        <f>IFERROR(COUNTIF(AX$14:$BL619,AX619),"")</f>
        <v>87</v>
      </c>
      <c r="AX619" s="148" t="str">
        <f t="shared" si="137"/>
        <v>Wed</v>
      </c>
      <c r="AY619" s="149">
        <f>'Raw Data'!A609</f>
        <v>42214</v>
      </c>
      <c r="AZ619" s="150" t="str">
        <f>'Raw Data'!E609</f>
        <v>No Email Drop</v>
      </c>
      <c r="BA619" s="150">
        <f>'Raw Data'!I609</f>
        <v>1228</v>
      </c>
      <c r="BB619" s="112"/>
      <c r="BC619" s="112"/>
      <c r="BD619" s="112">
        <f>'Raw Data'!O609</f>
        <v>0</v>
      </c>
    </row>
    <row r="620" spans="23:56">
      <c r="W620" s="21"/>
      <c r="AC620" s="21"/>
      <c r="AD620" s="21"/>
      <c r="AE620" s="21"/>
      <c r="AS620" s="112" t="str">
        <f t="shared" si="135"/>
        <v/>
      </c>
      <c r="AT620" s="112" t="str">
        <f>IF(AS620="","",COUNTIF($AS$13:AS620,AS620))</f>
        <v/>
      </c>
      <c r="AU620" s="147">
        <f t="shared" si="136"/>
        <v>607</v>
      </c>
      <c r="AV620" s="147">
        <f>COUNTIF($AZ$14:AZ620,AZ620)</f>
        <v>37</v>
      </c>
      <c r="AW620" s="147">
        <f>IFERROR(COUNTIF(AX$14:$BL620,AX620),"")</f>
        <v>87</v>
      </c>
      <c r="AX620" s="148" t="str">
        <f t="shared" si="137"/>
        <v>Thu</v>
      </c>
      <c r="AY620" s="149">
        <f>'Raw Data'!A610</f>
        <v>42215</v>
      </c>
      <c r="AZ620" s="150" t="str">
        <f>'Raw Data'!E610</f>
        <v>Up To 40% Off,FS on $49</v>
      </c>
      <c r="BA620" s="150">
        <f>'Raw Data'!I610</f>
        <v>1295</v>
      </c>
      <c r="BB620" s="112"/>
      <c r="BC620" s="112"/>
      <c r="BD620" s="112">
        <f>'Raw Data'!O610</f>
        <v>1</v>
      </c>
    </row>
    <row r="621" spans="23:56">
      <c r="W621" s="21"/>
      <c r="AC621" s="21"/>
      <c r="AD621" s="21"/>
      <c r="AE621" s="21"/>
      <c r="AS621" s="112" t="str">
        <f t="shared" si="135"/>
        <v/>
      </c>
      <c r="AT621" s="112" t="str">
        <f>IF(AS621="","",COUNTIF($AS$13:AS621,AS621))</f>
        <v/>
      </c>
      <c r="AU621" s="147">
        <f t="shared" si="136"/>
        <v>608</v>
      </c>
      <c r="AV621" s="147">
        <f>COUNTIF($AZ$14:AZ621,AZ621)</f>
        <v>7</v>
      </c>
      <c r="AW621" s="147">
        <f>IFERROR(COUNTIF(AX$14:$BL621,AX621),"")</f>
        <v>87</v>
      </c>
      <c r="AX621" s="148" t="str">
        <f t="shared" si="137"/>
        <v>Fri</v>
      </c>
      <c r="AY621" s="149">
        <f>'Raw Data'!A611</f>
        <v>42216</v>
      </c>
      <c r="AZ621" s="150" t="str">
        <f>'Raw Data'!E611</f>
        <v>Bonus Week</v>
      </c>
      <c r="BA621" s="150">
        <f>'Raw Data'!I611</f>
        <v>1420</v>
      </c>
      <c r="BB621" s="112"/>
      <c r="BC621" s="112"/>
      <c r="BD621" s="112">
        <f>'Raw Data'!O611</f>
        <v>1</v>
      </c>
    </row>
    <row r="622" spans="23:56">
      <c r="W622" s="21"/>
      <c r="AC622" s="21"/>
      <c r="AD622" s="21"/>
      <c r="AE622" s="21"/>
      <c r="AS622" s="112" t="str">
        <f t="shared" si="135"/>
        <v/>
      </c>
      <c r="AT622" s="112" t="str">
        <f>IF(AS622="","",COUNTIF($AS$13:AS622,AS622))</f>
        <v/>
      </c>
      <c r="AU622" s="147">
        <f t="shared" si="136"/>
        <v>609</v>
      </c>
      <c r="AV622" s="147">
        <f>COUNTIF($AZ$14:AZ622,AZ622)</f>
        <v>8</v>
      </c>
      <c r="AW622" s="147">
        <f>IFERROR(COUNTIF(AX$14:$BL622,AX622),"")</f>
        <v>87</v>
      </c>
      <c r="AX622" s="148" t="str">
        <f t="shared" si="137"/>
        <v>Sat</v>
      </c>
      <c r="AY622" s="149">
        <f>'Raw Data'!A612</f>
        <v>42217</v>
      </c>
      <c r="AZ622" s="150" t="str">
        <f>'Raw Data'!E612</f>
        <v>Bonus Week</v>
      </c>
      <c r="BA622" s="150">
        <f>'Raw Data'!I612</f>
        <v>889</v>
      </c>
      <c r="BB622" s="112"/>
      <c r="BC622" s="112"/>
      <c r="BD622" s="112">
        <f>'Raw Data'!O612</f>
        <v>1</v>
      </c>
    </row>
    <row r="623" spans="23:56">
      <c r="W623" s="21"/>
      <c r="AC623" s="21"/>
      <c r="AD623" s="21"/>
      <c r="AE623" s="21"/>
      <c r="AS623" s="112" t="str">
        <f t="shared" si="135"/>
        <v/>
      </c>
      <c r="AT623" s="112" t="str">
        <f>IF(AS623="","",COUNTIF($AS$13:AS623,AS623))</f>
        <v/>
      </c>
      <c r="AU623" s="147">
        <f t="shared" si="136"/>
        <v>610</v>
      </c>
      <c r="AV623" s="147">
        <f>COUNTIF($AZ$14:AZ623,AZ623)</f>
        <v>1</v>
      </c>
      <c r="AW623" s="147">
        <f>IFERROR(COUNTIF(AX$14:$BL623,AX623),"")</f>
        <v>88</v>
      </c>
      <c r="AX623" s="148" t="str">
        <f t="shared" si="137"/>
        <v>Sun</v>
      </c>
      <c r="AY623" s="149">
        <f>'Raw Data'!A613</f>
        <v>42218</v>
      </c>
      <c r="AZ623" s="150" t="str">
        <f>'Raw Data'!E613</f>
        <v>Upto 75% offer</v>
      </c>
      <c r="BA623" s="150">
        <f>'Raw Data'!I613</f>
        <v>746</v>
      </c>
      <c r="BB623" s="112"/>
      <c r="BC623" s="112"/>
      <c r="BD623" s="112">
        <f>'Raw Data'!O613</f>
        <v>1</v>
      </c>
    </row>
    <row r="624" spans="23:56">
      <c r="W624" s="21"/>
      <c r="AC624" s="21"/>
      <c r="AD624" s="21"/>
      <c r="AE624" s="21"/>
      <c r="AS624" s="112" t="str">
        <f t="shared" si="135"/>
        <v/>
      </c>
      <c r="AT624" s="112" t="str">
        <f>IF(AS624="","",COUNTIF($AS$13:AS624,AS624))</f>
        <v/>
      </c>
      <c r="AU624" s="147">
        <f t="shared" si="136"/>
        <v>611</v>
      </c>
      <c r="AV624" s="147">
        <f>COUNTIF($AZ$14:AZ624,AZ624)</f>
        <v>119</v>
      </c>
      <c r="AW624" s="147">
        <f>IFERROR(COUNTIF(AX$14:$BL624,AX624),"")</f>
        <v>88</v>
      </c>
      <c r="AX624" s="148" t="str">
        <f t="shared" si="137"/>
        <v>Mon</v>
      </c>
      <c r="AY624" s="149">
        <f>'Raw Data'!A614</f>
        <v>42219</v>
      </c>
      <c r="AZ624" s="150" t="str">
        <f>'Raw Data'!E614</f>
        <v>No Email Drop</v>
      </c>
      <c r="BA624" s="150">
        <f>'Raw Data'!I614</f>
        <v>1252</v>
      </c>
      <c r="BB624" s="112"/>
      <c r="BC624" s="112"/>
      <c r="BD624" s="112">
        <f>'Raw Data'!O614</f>
        <v>0</v>
      </c>
    </row>
    <row r="625" spans="23:56">
      <c r="W625" s="21"/>
      <c r="AC625" s="21"/>
      <c r="AD625" s="21"/>
      <c r="AE625" s="21"/>
      <c r="AS625" s="112" t="str">
        <f t="shared" si="135"/>
        <v/>
      </c>
      <c r="AT625" s="112" t="str">
        <f>IF(AS625="","",COUNTIF($AS$13:AS625,AS625))</f>
        <v/>
      </c>
      <c r="AU625" s="147">
        <f t="shared" si="136"/>
        <v>612</v>
      </c>
      <c r="AV625" s="147">
        <f>COUNTIF($AZ$14:AZ625,AZ625)</f>
        <v>2</v>
      </c>
      <c r="AW625" s="147">
        <f>IFERROR(COUNTIF(AX$14:$BL625,AX625),"")</f>
        <v>88</v>
      </c>
      <c r="AX625" s="148" t="str">
        <f t="shared" si="137"/>
        <v>Tue</v>
      </c>
      <c r="AY625" s="149">
        <f>'Raw Data'!A615</f>
        <v>42220</v>
      </c>
      <c r="AZ625" s="150" t="str">
        <f>'Raw Data'!E615</f>
        <v>Upto 75% offer</v>
      </c>
      <c r="BA625" s="150">
        <f>'Raw Data'!I615</f>
        <v>1323</v>
      </c>
      <c r="BB625" s="112"/>
      <c r="BC625" s="112"/>
      <c r="BD625" s="112">
        <f>'Raw Data'!O615</f>
        <v>1</v>
      </c>
    </row>
    <row r="626" spans="23:56">
      <c r="W626" s="21"/>
      <c r="AC626" s="21"/>
      <c r="AD626" s="21"/>
      <c r="AE626" s="21"/>
      <c r="AS626" s="112" t="str">
        <f t="shared" si="135"/>
        <v/>
      </c>
      <c r="AT626" s="112" t="str">
        <f>IF(AS626="","",COUNTIF($AS$13:AS626,AS626))</f>
        <v/>
      </c>
      <c r="AU626" s="147">
        <f t="shared" si="136"/>
        <v>613</v>
      </c>
      <c r="AV626" s="147">
        <f>COUNTIF($AZ$14:AZ626,AZ626)</f>
        <v>32</v>
      </c>
      <c r="AW626" s="147">
        <f>IFERROR(COUNTIF(AX$14:$BL626,AX626),"")</f>
        <v>88</v>
      </c>
      <c r="AX626" s="148" t="str">
        <f t="shared" si="137"/>
        <v>Wed</v>
      </c>
      <c r="AY626" s="149">
        <f>'Raw Data'!A616</f>
        <v>42221</v>
      </c>
      <c r="AZ626" s="150" t="str">
        <f>'Raw Data'!E616</f>
        <v>20% Off,FS on $49</v>
      </c>
      <c r="BA626" s="150">
        <f>'Raw Data'!I616</f>
        <v>1183</v>
      </c>
      <c r="BB626" s="112"/>
      <c r="BC626" s="112"/>
      <c r="BD626" s="112">
        <f>'Raw Data'!O616</f>
        <v>2</v>
      </c>
    </row>
    <row r="627" spans="23:56">
      <c r="W627" s="21"/>
      <c r="AC627" s="21"/>
      <c r="AD627" s="21"/>
      <c r="AE627" s="21"/>
      <c r="AS627" s="112" t="str">
        <f t="shared" si="135"/>
        <v/>
      </c>
      <c r="AT627" s="112" t="str">
        <f>IF(AS627="","",COUNTIF($AS$13:AS627,AS627))</f>
        <v/>
      </c>
      <c r="AU627" s="147">
        <f t="shared" si="136"/>
        <v>614</v>
      </c>
      <c r="AV627" s="147">
        <f>COUNTIF($AZ$14:AZ627,AZ627)</f>
        <v>3</v>
      </c>
      <c r="AW627" s="147">
        <f>IFERROR(COUNTIF(AX$14:$BL627,AX627),"")</f>
        <v>88</v>
      </c>
      <c r="AX627" s="148" t="str">
        <f t="shared" si="137"/>
        <v>Thu</v>
      </c>
      <c r="AY627" s="149">
        <f>'Raw Data'!A617</f>
        <v>42222</v>
      </c>
      <c r="AZ627" s="150" t="str">
        <f>'Raw Data'!E617</f>
        <v>Upto 75% offer</v>
      </c>
      <c r="BA627" s="150">
        <f>'Raw Data'!I617</f>
        <v>1055</v>
      </c>
      <c r="BB627" s="112"/>
      <c r="BC627" s="112"/>
      <c r="BD627" s="112">
        <f>'Raw Data'!O617</f>
        <v>1</v>
      </c>
    </row>
    <row r="628" spans="23:56">
      <c r="W628" s="21"/>
      <c r="AC628" s="21"/>
      <c r="AD628" s="21"/>
      <c r="AE628" s="21"/>
      <c r="AS628" s="112" t="str">
        <f t="shared" si="135"/>
        <v/>
      </c>
      <c r="AT628" s="112" t="str">
        <f>IF(AS628="","",COUNTIF($AS$13:AS628,AS628))</f>
        <v/>
      </c>
      <c r="AU628" s="147">
        <f t="shared" si="136"/>
        <v>615</v>
      </c>
      <c r="AV628" s="147">
        <f>COUNTIF($AZ$14:AZ628,AZ628)</f>
        <v>5</v>
      </c>
      <c r="AW628" s="147">
        <f>IFERROR(COUNTIF(AX$14:$BL628,AX628),"")</f>
        <v>88</v>
      </c>
      <c r="AX628" s="148" t="str">
        <f t="shared" si="137"/>
        <v>Fri</v>
      </c>
      <c r="AY628" s="149">
        <f>'Raw Data'!A618</f>
        <v>42223</v>
      </c>
      <c r="AZ628" s="150" t="str">
        <f>'Raw Data'!E618</f>
        <v>$20 Off,FS on $80</v>
      </c>
      <c r="BA628" s="150">
        <f>'Raw Data'!I618</f>
        <v>1196</v>
      </c>
      <c r="BB628" s="112"/>
      <c r="BC628" s="112"/>
      <c r="BD628" s="112">
        <f>'Raw Data'!O618</f>
        <v>2</v>
      </c>
    </row>
    <row r="629" spans="23:56">
      <c r="W629" s="21"/>
      <c r="AC629" s="21"/>
      <c r="AD629" s="21"/>
      <c r="AE629" s="21"/>
      <c r="AS629" s="112" t="str">
        <f t="shared" si="135"/>
        <v/>
      </c>
      <c r="AT629" s="112" t="str">
        <f>IF(AS629="","",COUNTIF($AS$13:AS629,AS629))</f>
        <v/>
      </c>
      <c r="AU629" s="147">
        <f t="shared" si="136"/>
        <v>616</v>
      </c>
      <c r="AV629" s="147">
        <f>COUNTIF($AZ$14:AZ629,AZ629)</f>
        <v>120</v>
      </c>
      <c r="AW629" s="147">
        <f>IFERROR(COUNTIF(AX$14:$BL629,AX629),"")</f>
        <v>88</v>
      </c>
      <c r="AX629" s="148" t="str">
        <f t="shared" si="137"/>
        <v>Sat</v>
      </c>
      <c r="AY629" s="149">
        <f>'Raw Data'!A619</f>
        <v>42224</v>
      </c>
      <c r="AZ629" s="150" t="str">
        <f>'Raw Data'!E619</f>
        <v>No Email Drop</v>
      </c>
      <c r="BA629" s="150">
        <f>'Raw Data'!I619</f>
        <v>915</v>
      </c>
      <c r="BB629" s="112"/>
      <c r="BC629" s="112"/>
      <c r="BD629" s="112">
        <f>'Raw Data'!O619</f>
        <v>0</v>
      </c>
    </row>
    <row r="630" spans="23:56">
      <c r="W630" s="21"/>
      <c r="AC630" s="21"/>
      <c r="AD630" s="21"/>
      <c r="AE630" s="21"/>
      <c r="AS630" s="112" t="str">
        <f t="shared" si="135"/>
        <v/>
      </c>
      <c r="AT630" s="112" t="str">
        <f>IF(AS630="","",COUNTIF($AS$13:AS630,AS630))</f>
        <v/>
      </c>
      <c r="AU630" s="147">
        <f t="shared" si="136"/>
        <v>617</v>
      </c>
      <c r="AV630" s="147">
        <f>COUNTIF($AZ$14:AZ630,AZ630)</f>
        <v>2</v>
      </c>
      <c r="AW630" s="147">
        <f>IFERROR(COUNTIF(AX$14:$BL630,AX630),"")</f>
        <v>89</v>
      </c>
      <c r="AX630" s="148" t="str">
        <f t="shared" si="137"/>
        <v>Sun</v>
      </c>
      <c r="AY630" s="149">
        <f>'Raw Data'!A620</f>
        <v>42225</v>
      </c>
      <c r="AZ630" s="150" t="str">
        <f>'Raw Data'!E620</f>
        <v>7 DOD, Up to 30% Dog</v>
      </c>
      <c r="BA630" s="150">
        <f>'Raw Data'!I620</f>
        <v>796</v>
      </c>
      <c r="BB630" s="112"/>
      <c r="BC630" s="112"/>
      <c r="BD630" s="112">
        <f>'Raw Data'!O620</f>
        <v>2</v>
      </c>
    </row>
    <row r="631" spans="23:56">
      <c r="W631" s="21"/>
      <c r="AC631" s="21"/>
      <c r="AD631" s="21"/>
      <c r="AE631" s="21"/>
      <c r="AS631" s="112" t="str">
        <f t="shared" si="135"/>
        <v/>
      </c>
      <c r="AT631" s="112" t="str">
        <f>IF(AS631="","",COUNTIF($AS$13:AS631,AS631))</f>
        <v/>
      </c>
      <c r="AU631" s="147">
        <f t="shared" si="136"/>
        <v>618</v>
      </c>
      <c r="AV631" s="147">
        <f>COUNTIF($AZ$14:AZ631,AZ631)</f>
        <v>2</v>
      </c>
      <c r="AW631" s="147">
        <f>IFERROR(COUNTIF(AX$14:$BL631,AX631),"")</f>
        <v>89</v>
      </c>
      <c r="AX631" s="148" t="str">
        <f t="shared" si="137"/>
        <v>Mon</v>
      </c>
      <c r="AY631" s="149">
        <f>'Raw Data'!A621</f>
        <v>42226</v>
      </c>
      <c r="AZ631" s="150" t="str">
        <f>'Raw Data'!E621</f>
        <v>7 DOD, 50% Dog</v>
      </c>
      <c r="BA631" s="150">
        <f>'Raw Data'!I621</f>
        <v>1307</v>
      </c>
      <c r="BB631" s="112"/>
      <c r="BC631" s="112"/>
      <c r="BD631" s="112">
        <f>'Raw Data'!O621</f>
        <v>1</v>
      </c>
    </row>
    <row r="632" spans="23:56">
      <c r="W632" s="21"/>
      <c r="AC632" s="21"/>
      <c r="AD632" s="21"/>
      <c r="AE632" s="21"/>
      <c r="AS632" s="112" t="str">
        <f t="shared" si="135"/>
        <v/>
      </c>
      <c r="AT632" s="112" t="str">
        <f>IF(AS632="","",COUNTIF($AS$13:AS632,AS632))</f>
        <v/>
      </c>
      <c r="AU632" s="147">
        <f t="shared" si="136"/>
        <v>619</v>
      </c>
      <c r="AV632" s="147">
        <f>COUNTIF($AZ$14:AZ632,AZ632)</f>
        <v>121</v>
      </c>
      <c r="AW632" s="147">
        <f>IFERROR(COUNTIF(AX$14:$BL632,AX632),"")</f>
        <v>89</v>
      </c>
      <c r="AX632" s="148" t="str">
        <f t="shared" si="137"/>
        <v>Tue</v>
      </c>
      <c r="AY632" s="149">
        <f>'Raw Data'!A622</f>
        <v>42227</v>
      </c>
      <c r="AZ632" s="150" t="str">
        <f>'Raw Data'!E622</f>
        <v>No Email Drop</v>
      </c>
      <c r="BA632" s="150">
        <f>'Raw Data'!I622</f>
        <v>1182</v>
      </c>
      <c r="BB632" s="112"/>
      <c r="BC632" s="112"/>
      <c r="BD632" s="112">
        <f>'Raw Data'!O622</f>
        <v>0</v>
      </c>
    </row>
    <row r="633" spans="23:56">
      <c r="W633" s="21"/>
      <c r="AC633" s="21"/>
      <c r="AD633" s="21"/>
      <c r="AE633" s="21"/>
      <c r="AS633" s="112" t="str">
        <f t="shared" si="135"/>
        <v/>
      </c>
      <c r="AT633" s="112" t="str">
        <f>IF(AS633="","",COUNTIF($AS$13:AS633,AS633))</f>
        <v/>
      </c>
      <c r="AU633" s="147">
        <f t="shared" si="136"/>
        <v>620</v>
      </c>
      <c r="AV633" s="147">
        <f>COUNTIF($AZ$14:AZ633,AZ633)</f>
        <v>3</v>
      </c>
      <c r="AW633" s="147">
        <f>IFERROR(COUNTIF(AX$14:$BL633,AX633),"")</f>
        <v>89</v>
      </c>
      <c r="AX633" s="148" t="str">
        <f t="shared" si="137"/>
        <v>Wed</v>
      </c>
      <c r="AY633" s="149">
        <f>'Raw Data'!A623</f>
        <v>42228</v>
      </c>
      <c r="AZ633" s="150" t="str">
        <f>'Raw Data'!E623</f>
        <v>7 DOD, 50% Dog</v>
      </c>
      <c r="BA633" s="150">
        <f>'Raw Data'!I623</f>
        <v>1293</v>
      </c>
      <c r="BB633" s="112"/>
      <c r="BC633" s="112"/>
      <c r="BD633" s="112">
        <f>'Raw Data'!O623</f>
        <v>1</v>
      </c>
    </row>
    <row r="634" spans="23:56">
      <c r="W634" s="21"/>
      <c r="AC634" s="21"/>
      <c r="AD634" s="21"/>
      <c r="AE634" s="21"/>
      <c r="AS634" s="112" t="str">
        <f t="shared" si="135"/>
        <v/>
      </c>
      <c r="AT634" s="112" t="str">
        <f>IF(AS634="","",COUNTIF($AS$13:AS634,AS634))</f>
        <v/>
      </c>
      <c r="AU634" s="147">
        <f t="shared" si="136"/>
        <v>621</v>
      </c>
      <c r="AV634" s="147">
        <f>COUNTIF($AZ$14:AZ634,AZ634)</f>
        <v>122</v>
      </c>
      <c r="AW634" s="147">
        <f>IFERROR(COUNTIF(AX$14:$BL634,AX634),"")</f>
        <v>89</v>
      </c>
      <c r="AX634" s="148" t="str">
        <f t="shared" si="137"/>
        <v>Thu</v>
      </c>
      <c r="AY634" s="149">
        <f>'Raw Data'!A624</f>
        <v>42229</v>
      </c>
      <c r="AZ634" s="150" t="str">
        <f>'Raw Data'!E624</f>
        <v>No Email Drop</v>
      </c>
      <c r="BA634" s="150">
        <f>'Raw Data'!I624</f>
        <v>1085</v>
      </c>
      <c r="BB634" s="112"/>
      <c r="BC634" s="112"/>
      <c r="BD634" s="112">
        <f>'Raw Data'!O624</f>
        <v>0</v>
      </c>
    </row>
    <row r="635" spans="23:56">
      <c r="W635" s="21"/>
      <c r="AC635" s="21"/>
      <c r="AD635" s="21"/>
      <c r="AE635" s="21"/>
      <c r="AS635" s="112" t="str">
        <f t="shared" si="135"/>
        <v/>
      </c>
      <c r="AT635" s="112" t="str">
        <f>IF(AS635="","",COUNTIF($AS$13:AS635,AS635))</f>
        <v/>
      </c>
      <c r="AU635" s="147">
        <f t="shared" si="136"/>
        <v>622</v>
      </c>
      <c r="AV635" s="147">
        <f>COUNTIF($AZ$14:AZ635,AZ635)</f>
        <v>37</v>
      </c>
      <c r="AW635" s="147">
        <f>IFERROR(COUNTIF(AX$14:$BL635,AX635),"")</f>
        <v>89</v>
      </c>
      <c r="AX635" s="148" t="str">
        <f t="shared" si="137"/>
        <v>Fri</v>
      </c>
      <c r="AY635" s="149">
        <f>'Raw Data'!A625</f>
        <v>42230</v>
      </c>
      <c r="AZ635" s="150" t="str">
        <f>'Raw Data'!E625</f>
        <v>Free Ship No Min</v>
      </c>
      <c r="BA635" s="150">
        <f>'Raw Data'!I625</f>
        <v>1437</v>
      </c>
      <c r="BB635" s="112"/>
      <c r="BC635" s="112"/>
      <c r="BD635" s="112">
        <f>'Raw Data'!O625</f>
        <v>2</v>
      </c>
    </row>
    <row r="636" spans="23:56">
      <c r="W636" s="21"/>
      <c r="AC636" s="21"/>
      <c r="AD636" s="21"/>
      <c r="AE636" s="21"/>
      <c r="AS636" s="112" t="str">
        <f t="shared" si="135"/>
        <v/>
      </c>
      <c r="AT636" s="112" t="str">
        <f>IF(AS636="","",COUNTIF($AS$13:AS636,AS636))</f>
        <v/>
      </c>
      <c r="AU636" s="147">
        <f t="shared" si="136"/>
        <v>623</v>
      </c>
      <c r="AV636" s="147">
        <f>COUNTIF($AZ$14:AZ636,AZ636)</f>
        <v>3</v>
      </c>
      <c r="AW636" s="147">
        <f>IFERROR(COUNTIF(AX$14:$BL636,AX636),"")</f>
        <v>89</v>
      </c>
      <c r="AX636" s="148" t="str">
        <f t="shared" si="137"/>
        <v>Sat</v>
      </c>
      <c r="AY636" s="149">
        <f>'Raw Data'!A626</f>
        <v>42231</v>
      </c>
      <c r="AZ636" s="150" t="str">
        <f>'Raw Data'!E626</f>
        <v>7 DOD, Up to 30% Dog</v>
      </c>
      <c r="BA636" s="150">
        <f>'Raw Data'!I626</f>
        <v>1128</v>
      </c>
      <c r="BB636" s="112"/>
      <c r="BC636" s="112"/>
      <c r="BD636" s="112">
        <f>'Raw Data'!O626</f>
        <v>2</v>
      </c>
    </row>
    <row r="637" spans="23:56">
      <c r="W637" s="21"/>
      <c r="AC637" s="21"/>
      <c r="AD637" s="21"/>
      <c r="AE637" s="21"/>
      <c r="AS637" s="112" t="str">
        <f t="shared" si="135"/>
        <v/>
      </c>
      <c r="AT637" s="112" t="str">
        <f>IF(AS637="","",COUNTIF($AS$13:AS637,AS637))</f>
        <v/>
      </c>
      <c r="AU637" s="147">
        <f t="shared" si="136"/>
        <v>624</v>
      </c>
      <c r="AV637" s="147">
        <f>COUNTIF($AZ$14:AZ637,AZ637)</f>
        <v>123</v>
      </c>
      <c r="AW637" s="147">
        <f>IFERROR(COUNTIF(AX$14:$BL637,AX637),"")</f>
        <v>90</v>
      </c>
      <c r="AX637" s="148" t="str">
        <f t="shared" si="137"/>
        <v>Sun</v>
      </c>
      <c r="AY637" s="149">
        <f>'Raw Data'!A627</f>
        <v>42232</v>
      </c>
      <c r="AZ637" s="150" t="str">
        <f>'Raw Data'!E627</f>
        <v>No Email Drop</v>
      </c>
      <c r="BA637" s="150">
        <f>'Raw Data'!I627</f>
        <v>742</v>
      </c>
      <c r="BB637" s="112"/>
      <c r="BC637" s="112"/>
      <c r="BD637" s="112">
        <f>'Raw Data'!O627</f>
        <v>0</v>
      </c>
    </row>
    <row r="638" spans="23:56">
      <c r="W638" s="21"/>
      <c r="AC638" s="21"/>
      <c r="AD638" s="21"/>
      <c r="AE638" s="21"/>
      <c r="AS638" s="112" t="str">
        <f t="shared" si="135"/>
        <v/>
      </c>
      <c r="AT638" s="112" t="str">
        <f>IF(AS638="","",COUNTIF($AS$13:AS638,AS638))</f>
        <v/>
      </c>
      <c r="AU638" s="147">
        <f t="shared" si="136"/>
        <v>625</v>
      </c>
      <c r="AV638" s="147">
        <f>COUNTIF($AZ$14:AZ638,AZ638)</f>
        <v>38</v>
      </c>
      <c r="AW638" s="147">
        <f>IFERROR(COUNTIF(AX$14:$BL638,AX638),"")</f>
        <v>90</v>
      </c>
      <c r="AX638" s="148" t="str">
        <f t="shared" si="137"/>
        <v>Mon</v>
      </c>
      <c r="AY638" s="149">
        <f>'Raw Data'!A628</f>
        <v>42233</v>
      </c>
      <c r="AZ638" s="150" t="str">
        <f>'Raw Data'!E628</f>
        <v>Up To 40% Off,FS on $49</v>
      </c>
      <c r="BA638" s="150">
        <f>'Raw Data'!I628</f>
        <v>1249</v>
      </c>
      <c r="BB638" s="112"/>
      <c r="BC638" s="112"/>
      <c r="BD638" s="112">
        <f>'Raw Data'!O628</f>
        <v>1</v>
      </c>
    </row>
    <row r="639" spans="23:56">
      <c r="W639" s="21"/>
      <c r="AC639" s="21"/>
      <c r="AD639" s="21"/>
      <c r="AE639" s="21"/>
      <c r="AS639" s="112" t="str">
        <f t="shared" si="135"/>
        <v/>
      </c>
      <c r="AT639" s="112" t="str">
        <f>IF(AS639="","",COUNTIF($AS$13:AS639,AS639))</f>
        <v/>
      </c>
      <c r="AU639" s="147">
        <f t="shared" si="136"/>
        <v>626</v>
      </c>
      <c r="AV639" s="147">
        <f>COUNTIF($AZ$14:AZ639,AZ639)</f>
        <v>14</v>
      </c>
      <c r="AW639" s="147">
        <f>IFERROR(COUNTIF(AX$14:$BL639,AX639),"")</f>
        <v>90</v>
      </c>
      <c r="AX639" s="148" t="str">
        <f t="shared" si="137"/>
        <v>Tue</v>
      </c>
      <c r="AY639" s="149">
        <f>'Raw Data'!A629</f>
        <v>42234</v>
      </c>
      <c r="AZ639" s="150" t="str">
        <f>'Raw Data'!E629</f>
        <v>$30 Off,FS on $100</v>
      </c>
      <c r="BA639" s="150">
        <f>'Raw Data'!I629</f>
        <v>1522</v>
      </c>
      <c r="BB639" s="112"/>
      <c r="BC639" s="112"/>
      <c r="BD639" s="112">
        <f>'Raw Data'!O629</f>
        <v>2</v>
      </c>
    </row>
    <row r="640" spans="23:56">
      <c r="W640" s="21"/>
      <c r="AC640" s="21"/>
      <c r="AD640" s="21"/>
      <c r="AE640" s="21"/>
      <c r="AS640" s="112" t="str">
        <f t="shared" si="135"/>
        <v/>
      </c>
      <c r="AT640" s="112" t="str">
        <f>IF(AS640="","",COUNTIF($AS$13:AS640,AS640))</f>
        <v/>
      </c>
      <c r="AU640" s="147">
        <f t="shared" si="136"/>
        <v>627</v>
      </c>
      <c r="AV640" s="147">
        <f>COUNTIF($AZ$14:AZ640,AZ640)</f>
        <v>15</v>
      </c>
      <c r="AW640" s="147">
        <f>IFERROR(COUNTIF(AX$14:$BL640,AX640),"")</f>
        <v>90</v>
      </c>
      <c r="AX640" s="148" t="str">
        <f t="shared" si="137"/>
        <v>Wed</v>
      </c>
      <c r="AY640" s="149">
        <f>'Raw Data'!A630</f>
        <v>42235</v>
      </c>
      <c r="AZ640" s="150" t="str">
        <f>'Raw Data'!E630</f>
        <v>$30 Off,FS on $100</v>
      </c>
      <c r="BA640" s="150">
        <f>'Raw Data'!I630</f>
        <v>1399</v>
      </c>
      <c r="BB640" s="112"/>
      <c r="BC640" s="112"/>
      <c r="BD640" s="112">
        <f>'Raw Data'!O630</f>
        <v>1</v>
      </c>
    </row>
    <row r="641" spans="23:56">
      <c r="W641" s="21"/>
      <c r="AC641" s="21"/>
      <c r="AD641" s="21"/>
      <c r="AE641" s="21"/>
      <c r="AS641" s="112" t="str">
        <f t="shared" si="135"/>
        <v/>
      </c>
      <c r="AT641" s="112" t="str">
        <f>IF(AS641="","",COUNTIF($AS$13:AS641,AS641))</f>
        <v/>
      </c>
      <c r="AU641" s="147">
        <f t="shared" si="136"/>
        <v>628</v>
      </c>
      <c r="AV641" s="147">
        <f>COUNTIF($AZ$14:AZ641,AZ641)</f>
        <v>124</v>
      </c>
      <c r="AW641" s="147">
        <f>IFERROR(COUNTIF(AX$14:$BL641,AX641),"")</f>
        <v>90</v>
      </c>
      <c r="AX641" s="148" t="str">
        <f t="shared" si="137"/>
        <v>Thu</v>
      </c>
      <c r="AY641" s="149">
        <f>'Raw Data'!A631</f>
        <v>42236</v>
      </c>
      <c r="AZ641" s="150" t="str">
        <f>'Raw Data'!E631</f>
        <v>No Email Drop</v>
      </c>
      <c r="BA641" s="150">
        <f>'Raw Data'!I631</f>
        <v>1142</v>
      </c>
      <c r="BB641" s="112"/>
      <c r="BC641" s="112"/>
      <c r="BD641" s="112">
        <f>'Raw Data'!O631</f>
        <v>0</v>
      </c>
    </row>
    <row r="642" spans="23:56">
      <c r="W642" s="21"/>
      <c r="AC642" s="21"/>
      <c r="AD642" s="21"/>
      <c r="AE642" s="21"/>
      <c r="AS642" s="112" t="str">
        <f t="shared" si="135"/>
        <v/>
      </c>
      <c r="AT642" s="112" t="str">
        <f>IF(AS642="","",COUNTIF($AS$13:AS642,AS642))</f>
        <v/>
      </c>
      <c r="AU642" s="147">
        <f t="shared" si="136"/>
        <v>629</v>
      </c>
      <c r="AV642" s="147">
        <f>COUNTIF($AZ$14:AZ642,AZ642)</f>
        <v>38</v>
      </c>
      <c r="AW642" s="147">
        <f>IFERROR(COUNTIF(AX$14:$BL642,AX642),"")</f>
        <v>90</v>
      </c>
      <c r="AX642" s="148" t="str">
        <f t="shared" si="137"/>
        <v>Fri</v>
      </c>
      <c r="AY642" s="149">
        <f>'Raw Data'!A632</f>
        <v>42237</v>
      </c>
      <c r="AZ642" s="150" t="str">
        <f>'Raw Data'!E632</f>
        <v>Free Ship No Min</v>
      </c>
      <c r="BA642" s="150">
        <f>'Raw Data'!I632</f>
        <v>1243</v>
      </c>
      <c r="BB642" s="112"/>
      <c r="BC642" s="112"/>
      <c r="BD642" s="112">
        <f>'Raw Data'!O632</f>
        <v>1</v>
      </c>
    </row>
    <row r="643" spans="23:56">
      <c r="W643" s="21"/>
      <c r="AC643" s="21"/>
      <c r="AD643" s="21"/>
      <c r="AE643" s="21"/>
      <c r="AS643" s="112" t="str">
        <f t="shared" si="135"/>
        <v/>
      </c>
      <c r="AT643" s="112" t="str">
        <f>IF(AS643="","",COUNTIF($AS$13:AS643,AS643))</f>
        <v/>
      </c>
      <c r="AU643" s="147">
        <f t="shared" si="136"/>
        <v>630</v>
      </c>
      <c r="AV643" s="147">
        <f>COUNTIF($AZ$14:AZ643,AZ643)</f>
        <v>39</v>
      </c>
      <c r="AW643" s="147">
        <f>IFERROR(COUNTIF(AX$14:$BL643,AX643),"")</f>
        <v>90</v>
      </c>
      <c r="AX643" s="148" t="str">
        <f t="shared" si="137"/>
        <v>Sat</v>
      </c>
      <c r="AY643" s="149">
        <f>'Raw Data'!A633</f>
        <v>42238</v>
      </c>
      <c r="AZ643" s="150" t="str">
        <f>'Raw Data'!E633</f>
        <v>Free Ship No Min</v>
      </c>
      <c r="BA643" s="150">
        <f>'Raw Data'!I633</f>
        <v>1018</v>
      </c>
      <c r="BB643" s="112"/>
      <c r="BC643" s="112"/>
      <c r="BD643" s="112">
        <f>'Raw Data'!O633</f>
        <v>2</v>
      </c>
    </row>
    <row r="644" spans="23:56">
      <c r="W644" s="21"/>
      <c r="AC644" s="21"/>
      <c r="AD644" s="21"/>
      <c r="AE644" s="21"/>
      <c r="AS644" s="112" t="str">
        <f t="shared" si="135"/>
        <v/>
      </c>
      <c r="AT644" s="112" t="str">
        <f>IF(AS644="","",COUNTIF($AS$13:AS644,AS644))</f>
        <v/>
      </c>
      <c r="AU644" s="147">
        <f t="shared" si="136"/>
        <v>631</v>
      </c>
      <c r="AV644" s="147">
        <f>COUNTIF($AZ$14:AZ644,AZ644)</f>
        <v>6</v>
      </c>
      <c r="AW644" s="147">
        <f>IFERROR(COUNTIF(AX$14:$BL644,AX644),"")</f>
        <v>91</v>
      </c>
      <c r="AX644" s="148" t="str">
        <f t="shared" si="137"/>
        <v>Sun</v>
      </c>
      <c r="AY644" s="149">
        <f>'Raw Data'!A634</f>
        <v>42239</v>
      </c>
      <c r="AZ644" s="150" t="str">
        <f>'Raw Data'!E634</f>
        <v>20-40% Off,FS on $49</v>
      </c>
      <c r="BA644" s="150">
        <f>'Raw Data'!I634</f>
        <v>778</v>
      </c>
      <c r="BB644" s="112"/>
      <c r="BC644" s="112"/>
      <c r="BD644" s="112">
        <f>'Raw Data'!O634</f>
        <v>2</v>
      </c>
    </row>
    <row r="645" spans="23:56">
      <c r="W645" s="21"/>
      <c r="AC645" s="21"/>
      <c r="AD645" s="21"/>
      <c r="AE645" s="21"/>
      <c r="AS645" s="112" t="str">
        <f t="shared" si="135"/>
        <v/>
      </c>
      <c r="AT645" s="112" t="str">
        <f>IF(AS645="","",COUNTIF($AS$13:AS645,AS645))</f>
        <v/>
      </c>
      <c r="AU645" s="147">
        <f t="shared" si="136"/>
        <v>632</v>
      </c>
      <c r="AV645" s="147">
        <f>COUNTIF($AZ$14:AZ645,AZ645)</f>
        <v>7</v>
      </c>
      <c r="AW645" s="147">
        <f>IFERROR(COUNTIF(AX$14:$BL645,AX645),"")</f>
        <v>91</v>
      </c>
      <c r="AX645" s="148" t="str">
        <f t="shared" si="137"/>
        <v>Mon</v>
      </c>
      <c r="AY645" s="149">
        <f>'Raw Data'!A635</f>
        <v>42240</v>
      </c>
      <c r="AZ645" s="150" t="str">
        <f>'Raw Data'!E635</f>
        <v>20-40% Off,FS on $49</v>
      </c>
      <c r="BA645" s="150">
        <f>'Raw Data'!I635</f>
        <v>1279</v>
      </c>
      <c r="BB645" s="112"/>
      <c r="BC645" s="112"/>
      <c r="BD645" s="112">
        <f>'Raw Data'!O635</f>
        <v>1</v>
      </c>
    </row>
    <row r="646" spans="23:56">
      <c r="W646" s="21"/>
      <c r="AC646" s="21"/>
      <c r="AD646" s="21"/>
      <c r="AE646" s="21"/>
      <c r="AS646" s="112" t="str">
        <f t="shared" si="135"/>
        <v/>
      </c>
      <c r="AT646" s="112" t="str">
        <f>IF(AS646="","",COUNTIF($AS$13:AS646,AS646))</f>
        <v/>
      </c>
      <c r="AU646" s="147">
        <f t="shared" si="136"/>
        <v>633</v>
      </c>
      <c r="AV646" s="147">
        <f>COUNTIF($AZ$14:AZ646,AZ646)</f>
        <v>8</v>
      </c>
      <c r="AW646" s="147">
        <f>IFERROR(COUNTIF(AX$14:$BL646,AX646),"")</f>
        <v>91</v>
      </c>
      <c r="AX646" s="148" t="str">
        <f t="shared" si="137"/>
        <v>Tue</v>
      </c>
      <c r="AY646" s="149">
        <f>'Raw Data'!A636</f>
        <v>42241</v>
      </c>
      <c r="AZ646" s="150" t="str">
        <f>'Raw Data'!E636</f>
        <v>20-40% Off,FS on $49</v>
      </c>
      <c r="BA646" s="150">
        <f>'Raw Data'!I636</f>
        <v>920</v>
      </c>
      <c r="BB646" s="112"/>
      <c r="BC646" s="112"/>
      <c r="BD646" s="112">
        <f>'Raw Data'!O636</f>
        <v>1</v>
      </c>
    </row>
    <row r="647" spans="23:56">
      <c r="W647" s="21"/>
      <c r="AC647" s="21"/>
      <c r="AD647" s="21"/>
      <c r="AE647" s="21"/>
      <c r="AS647" s="112" t="str">
        <f t="shared" si="135"/>
        <v/>
      </c>
      <c r="AT647" s="112" t="str">
        <f>IF(AS647="","",COUNTIF($AS$13:AS647,AS647))</f>
        <v/>
      </c>
      <c r="AU647" s="147">
        <f t="shared" si="136"/>
        <v>634</v>
      </c>
      <c r="AV647" s="147">
        <f>COUNTIF($AZ$14:AZ647,AZ647)</f>
        <v>9</v>
      </c>
      <c r="AW647" s="147">
        <f>IFERROR(COUNTIF(AX$14:$BL647,AX647),"")</f>
        <v>91</v>
      </c>
      <c r="AX647" s="148" t="str">
        <f t="shared" si="137"/>
        <v>Wed</v>
      </c>
      <c r="AY647" s="149">
        <f>'Raw Data'!A637</f>
        <v>42242</v>
      </c>
      <c r="AZ647" s="150" t="str">
        <f>'Raw Data'!E637</f>
        <v>20-40% Off,FS on $49</v>
      </c>
      <c r="BA647" s="150">
        <f>'Raw Data'!I637</f>
        <v>1288</v>
      </c>
      <c r="BB647" s="112"/>
      <c r="BC647" s="112"/>
      <c r="BD647" s="112">
        <f>'Raw Data'!O637</f>
        <v>2</v>
      </c>
    </row>
    <row r="648" spans="23:56">
      <c r="W648" s="21"/>
      <c r="AC648" s="21"/>
      <c r="AD648" s="21"/>
      <c r="AE648" s="21"/>
      <c r="AS648" s="112" t="str">
        <f t="shared" si="135"/>
        <v/>
      </c>
      <c r="AT648" s="112" t="str">
        <f>IF(AS648="","",COUNTIF($AS$13:AS648,AS648))</f>
        <v/>
      </c>
      <c r="AU648" s="147">
        <f t="shared" si="136"/>
        <v>635</v>
      </c>
      <c r="AV648" s="147">
        <f>COUNTIF($AZ$14:AZ648,AZ648)</f>
        <v>10</v>
      </c>
      <c r="AW648" s="147">
        <f>IFERROR(COUNTIF(AX$14:$BL648,AX648),"")</f>
        <v>91</v>
      </c>
      <c r="AX648" s="148" t="str">
        <f t="shared" si="137"/>
        <v>Thu</v>
      </c>
      <c r="AY648" s="149">
        <f>'Raw Data'!A638</f>
        <v>42243</v>
      </c>
      <c r="AZ648" s="150" t="str">
        <f>'Raw Data'!E638</f>
        <v>20-40% Off,FS on $49</v>
      </c>
      <c r="BA648" s="150">
        <f>'Raw Data'!I638</f>
        <v>991</v>
      </c>
      <c r="BB648" s="112"/>
      <c r="BC648" s="112"/>
      <c r="BD648" s="112">
        <f>'Raw Data'!O638</f>
        <v>1</v>
      </c>
    </row>
    <row r="649" spans="23:56">
      <c r="W649" s="21"/>
      <c r="AC649" s="21"/>
      <c r="AD649" s="21"/>
      <c r="AE649" s="21"/>
      <c r="AS649" s="112" t="str">
        <f t="shared" si="135"/>
        <v/>
      </c>
      <c r="AT649" s="112" t="str">
        <f>IF(AS649="","",COUNTIF($AS$13:AS649,AS649))</f>
        <v/>
      </c>
      <c r="AU649" s="147">
        <f t="shared" si="136"/>
        <v>636</v>
      </c>
      <c r="AV649" s="147">
        <f>COUNTIF($AZ$14:AZ649,AZ649)</f>
        <v>11</v>
      </c>
      <c r="AW649" s="147">
        <f>IFERROR(COUNTIF(AX$14:$BL649,AX649),"")</f>
        <v>91</v>
      </c>
      <c r="AX649" s="148" t="str">
        <f t="shared" si="137"/>
        <v>Fri</v>
      </c>
      <c r="AY649" s="149">
        <f>'Raw Data'!A639</f>
        <v>42244</v>
      </c>
      <c r="AZ649" s="150" t="str">
        <f>'Raw Data'!E639</f>
        <v>20-40% Off,FS on $49</v>
      </c>
      <c r="BA649" s="150">
        <f>'Raw Data'!I639</f>
        <v>1049</v>
      </c>
      <c r="BB649" s="112"/>
      <c r="BC649" s="112"/>
      <c r="BD649" s="112">
        <f>'Raw Data'!O639</f>
        <v>1</v>
      </c>
    </row>
    <row r="650" spans="23:56">
      <c r="W650" s="21"/>
      <c r="AC650" s="21"/>
      <c r="AD650" s="21"/>
      <c r="AE650" s="21"/>
      <c r="AS650" s="112" t="str">
        <f t="shared" si="135"/>
        <v/>
      </c>
      <c r="AT650" s="112" t="str">
        <f>IF(AS650="","",COUNTIF($AS$13:AS650,AS650))</f>
        <v/>
      </c>
      <c r="AU650" s="147">
        <f t="shared" si="136"/>
        <v>637</v>
      </c>
      <c r="AV650" s="147">
        <f>COUNTIF($AZ$14:AZ650,AZ650)</f>
        <v>14</v>
      </c>
      <c r="AW650" s="147">
        <f>IFERROR(COUNTIF(AX$14:$BL650,AX650),"")</f>
        <v>91</v>
      </c>
      <c r="AX650" s="148" t="str">
        <f t="shared" si="137"/>
        <v>Sat</v>
      </c>
      <c r="AY650" s="149">
        <f>'Raw Data'!A640</f>
        <v>42245</v>
      </c>
      <c r="AZ650" s="150" t="str">
        <f>'Raw Data'!E640</f>
        <v>RD Event</v>
      </c>
      <c r="BA650" s="150">
        <f>'Raw Data'!I640</f>
        <v>825</v>
      </c>
      <c r="BB650" s="112"/>
      <c r="BC650" s="112"/>
      <c r="BD650" s="112">
        <f>'Raw Data'!O640</f>
        <v>1</v>
      </c>
    </row>
    <row r="651" spans="23:56">
      <c r="W651" s="21"/>
      <c r="AC651" s="21"/>
      <c r="AD651" s="21"/>
      <c r="AE651" s="21"/>
      <c r="AS651" s="112" t="str">
        <f t="shared" si="135"/>
        <v/>
      </c>
      <c r="AT651" s="112" t="str">
        <f>IF(AS651="","",COUNTIF($AS$13:AS651,AS651))</f>
        <v/>
      </c>
      <c r="AU651" s="147">
        <f t="shared" si="136"/>
        <v>638</v>
      </c>
      <c r="AV651" s="147">
        <f>COUNTIF($AZ$14:AZ651,AZ651)</f>
        <v>39</v>
      </c>
      <c r="AW651" s="147">
        <f>IFERROR(COUNTIF(AX$14:$BL651,AX651),"")</f>
        <v>92</v>
      </c>
      <c r="AX651" s="148" t="str">
        <f t="shared" si="137"/>
        <v>Sun</v>
      </c>
      <c r="AY651" s="149">
        <f>'Raw Data'!A641</f>
        <v>42246</v>
      </c>
      <c r="AZ651" s="150" t="str">
        <f>'Raw Data'!E641</f>
        <v>Up To 40% Off,FS on $49</v>
      </c>
      <c r="BA651" s="150">
        <f>'Raw Data'!I641</f>
        <v>615</v>
      </c>
      <c r="BB651" s="112"/>
      <c r="BC651" s="112"/>
      <c r="BD651" s="112">
        <f>'Raw Data'!O641</f>
        <v>1</v>
      </c>
    </row>
    <row r="652" spans="23:56">
      <c r="W652" s="21"/>
      <c r="AC652" s="21"/>
      <c r="AD652" s="21"/>
      <c r="AE652" s="21"/>
      <c r="AS652" s="112">
        <f t="shared" si="135"/>
        <v>1</v>
      </c>
      <c r="AT652" s="112">
        <f>IF(AS652="","",COUNTIF($AS$13:AS652,AS652))</f>
        <v>22</v>
      </c>
      <c r="AU652" s="147">
        <f t="shared" si="136"/>
        <v>639</v>
      </c>
      <c r="AV652" s="147">
        <f>COUNTIF($AZ$14:AZ652,AZ652)</f>
        <v>8</v>
      </c>
      <c r="AW652" s="147">
        <f>IFERROR(COUNTIF(AX$14:$BL652,AX652),"")</f>
        <v>92</v>
      </c>
      <c r="AX652" s="148" t="str">
        <f t="shared" si="137"/>
        <v>Mon</v>
      </c>
      <c r="AY652" s="149">
        <f>'Raw Data'!A642</f>
        <v>42247</v>
      </c>
      <c r="AZ652" s="150" t="str">
        <f>'Raw Data'!E642</f>
        <v>Flash Sale,25% Off,FS on $49</v>
      </c>
      <c r="BA652" s="150">
        <f>'Raw Data'!I642</f>
        <v>1345</v>
      </c>
      <c r="BB652" s="112"/>
      <c r="BC652" s="112"/>
      <c r="BD652" s="112">
        <f>'Raw Data'!O642</f>
        <v>2</v>
      </c>
    </row>
    <row r="653" spans="23:56">
      <c r="W653" s="21"/>
      <c r="AC653" s="21"/>
      <c r="AD653" s="21"/>
      <c r="AE653" s="21"/>
      <c r="AS653" s="112" t="str">
        <f t="shared" si="135"/>
        <v/>
      </c>
      <c r="AT653" s="112" t="str">
        <f>IF(AS653="","",COUNTIF($AS$13:AS653,AS653))</f>
        <v/>
      </c>
      <c r="AU653" s="147">
        <f t="shared" si="136"/>
        <v>640</v>
      </c>
      <c r="AV653" s="147">
        <f>COUNTIF($AZ$14:AZ653,AZ653)</f>
        <v>125</v>
      </c>
      <c r="AW653" s="147">
        <f>IFERROR(COUNTIF(AX$14:$BL653,AX653),"")</f>
        <v>92</v>
      </c>
      <c r="AX653" s="148" t="str">
        <f t="shared" si="137"/>
        <v>Tue</v>
      </c>
      <c r="AY653" s="149">
        <f>'Raw Data'!A643</f>
        <v>42248</v>
      </c>
      <c r="AZ653" s="150" t="str">
        <f>'Raw Data'!E643</f>
        <v>No Email Drop</v>
      </c>
      <c r="BA653" s="150">
        <f>'Raw Data'!I643</f>
        <v>964</v>
      </c>
      <c r="BB653" s="112"/>
      <c r="BC653" s="112"/>
      <c r="BD653" s="112">
        <f>'Raw Data'!O643</f>
        <v>0</v>
      </c>
    </row>
    <row r="654" spans="23:56">
      <c r="W654" s="21"/>
      <c r="AC654" s="21"/>
      <c r="AD654" s="21"/>
      <c r="AE654" s="21"/>
      <c r="AS654" s="112" t="str">
        <f t="shared" si="135"/>
        <v/>
      </c>
      <c r="AT654" s="112" t="str">
        <f>IF(AS654="","",COUNTIF($AS$13:AS654,AS654))</f>
        <v/>
      </c>
      <c r="AU654" s="147">
        <f t="shared" si="136"/>
        <v>641</v>
      </c>
      <c r="AV654" s="147">
        <f>COUNTIF($AZ$14:AZ654,AZ654)</f>
        <v>1</v>
      </c>
      <c r="AW654" s="147">
        <f>IFERROR(COUNTIF(AX$14:$BL654,AX654),"")</f>
        <v>92</v>
      </c>
      <c r="AX654" s="148" t="str">
        <f t="shared" si="137"/>
        <v>Wed</v>
      </c>
      <c r="AY654" s="149">
        <f>'Raw Data'!A644</f>
        <v>42249</v>
      </c>
      <c r="AZ654" s="150" t="str">
        <f>'Raw Data'!E644</f>
        <v>$10 Off,FS on $75</v>
      </c>
      <c r="BA654" s="150">
        <f>'Raw Data'!I644</f>
        <v>943</v>
      </c>
      <c r="BB654" s="112"/>
      <c r="BC654" s="112"/>
      <c r="BD654" s="112">
        <f>'Raw Data'!O644</f>
        <v>1</v>
      </c>
    </row>
    <row r="655" spans="23:56">
      <c r="W655" s="21"/>
      <c r="AC655" s="21"/>
      <c r="AD655" s="21"/>
      <c r="AE655" s="21"/>
      <c r="AS655" s="112" t="str">
        <f t="shared" si="135"/>
        <v/>
      </c>
      <c r="AT655" s="112" t="str">
        <f>IF(AS655="","",COUNTIF($AS$13:AS655,AS655))</f>
        <v/>
      </c>
      <c r="AU655" s="147">
        <f t="shared" si="136"/>
        <v>642</v>
      </c>
      <c r="AV655" s="147">
        <f>COUNTIF($AZ$14:AZ655,AZ655)</f>
        <v>1</v>
      </c>
      <c r="AW655" s="147">
        <f>IFERROR(COUNTIF(AX$14:$BL655,AX655),"")</f>
        <v>92</v>
      </c>
      <c r="AX655" s="148" t="str">
        <f t="shared" si="137"/>
        <v>Thu</v>
      </c>
      <c r="AY655" s="149">
        <f>'Raw Data'!A645</f>
        <v>42250</v>
      </c>
      <c r="AZ655" s="150" t="str">
        <f>'Raw Data'!E645</f>
        <v>$30 Off,FS on $49</v>
      </c>
      <c r="BA655" s="150">
        <f>'Raw Data'!I645</f>
        <v>943</v>
      </c>
      <c r="BB655" s="112"/>
      <c r="BC655" s="112"/>
      <c r="BD655" s="112">
        <f>'Raw Data'!O645</f>
        <v>1</v>
      </c>
    </row>
    <row r="656" spans="23:56">
      <c r="W656" s="21"/>
      <c r="AC656" s="21"/>
      <c r="AD656" s="21"/>
      <c r="AE656" s="21"/>
      <c r="AS656" s="112" t="str">
        <f t="shared" ref="AS656:AS678" si="138">IFERROR(IF(FIND($AT$12,AZ656)&gt;0,1,0),"")</f>
        <v/>
      </c>
      <c r="AT656" s="112" t="str">
        <f>IF(AS656="","",COUNTIF($AS$13:AS656,AS656))</f>
        <v/>
      </c>
      <c r="AU656" s="147">
        <f t="shared" ref="AU656:AU678" si="139">AU655+1</f>
        <v>643</v>
      </c>
      <c r="AV656" s="147">
        <f>COUNTIF($AZ$14:AZ656,AZ656)</f>
        <v>1</v>
      </c>
      <c r="AW656" s="147">
        <f>IFERROR(COUNTIF(AX$14:$BL656,AX656),"")</f>
        <v>92</v>
      </c>
      <c r="AX656" s="148" t="str">
        <f t="shared" ref="AX656:AX678" si="140">TEXT(AY656,"ddd")</f>
        <v>Fri</v>
      </c>
      <c r="AY656" s="149">
        <f>'Raw Data'!A646</f>
        <v>42251</v>
      </c>
      <c r="AZ656" s="150" t="str">
        <f>'Raw Data'!E646</f>
        <v>20% Off,FS on $50</v>
      </c>
      <c r="BA656" s="150">
        <f>'Raw Data'!I646</f>
        <v>943</v>
      </c>
      <c r="BB656" s="112"/>
      <c r="BC656" s="112"/>
      <c r="BD656" s="112">
        <f>'Raw Data'!O646</f>
        <v>2</v>
      </c>
    </row>
    <row r="657" spans="23:56">
      <c r="W657" s="21"/>
      <c r="AC657" s="21"/>
      <c r="AD657" s="21"/>
      <c r="AE657" s="21"/>
      <c r="AS657" s="112" t="str">
        <f t="shared" si="138"/>
        <v/>
      </c>
      <c r="AT657" s="112" t="str">
        <f>IF(AS657="","",COUNTIF($AS$13:AS657,AS657))</f>
        <v/>
      </c>
      <c r="AU657" s="147">
        <f t="shared" si="139"/>
        <v>644</v>
      </c>
      <c r="AV657" s="147">
        <f>COUNTIF($AZ$14:AZ657,AZ657)</f>
        <v>2</v>
      </c>
      <c r="AW657" s="147">
        <f>IFERROR(COUNTIF(AX$14:$BL657,AX657),"")</f>
        <v>92</v>
      </c>
      <c r="AX657" s="148" t="str">
        <f t="shared" si="140"/>
        <v>Sat</v>
      </c>
      <c r="AY657" s="149">
        <f>'Raw Data'!A647</f>
        <v>42252</v>
      </c>
      <c r="AZ657" s="150" t="str">
        <f>'Raw Data'!E647</f>
        <v>20% Off,FS on $50</v>
      </c>
      <c r="BA657" s="150">
        <f>'Raw Data'!I647</f>
        <v>771</v>
      </c>
      <c r="BB657" s="112"/>
      <c r="BC657" s="112"/>
      <c r="BD657" s="112">
        <f>'Raw Data'!O647</f>
        <v>1</v>
      </c>
    </row>
    <row r="658" spans="23:56">
      <c r="W658" s="21"/>
      <c r="AC658" s="21"/>
      <c r="AD658" s="21"/>
      <c r="AE658" s="21"/>
      <c r="AS658" s="112" t="str">
        <f t="shared" si="138"/>
        <v/>
      </c>
      <c r="AT658" s="112" t="str">
        <f>IF(AS658="","",COUNTIF($AS$13:AS658,AS658))</f>
        <v/>
      </c>
      <c r="AU658" s="147">
        <f t="shared" si="139"/>
        <v>645</v>
      </c>
      <c r="AV658" s="147">
        <f>COUNTIF($AZ$14:AZ658,AZ658)</f>
        <v>3</v>
      </c>
      <c r="AW658" s="147">
        <f>IFERROR(COUNTIF(AX$14:$BL658,AX658),"")</f>
        <v>93</v>
      </c>
      <c r="AX658" s="148" t="str">
        <f t="shared" si="140"/>
        <v>Sun</v>
      </c>
      <c r="AY658" s="149">
        <f>'Raw Data'!A648</f>
        <v>42253</v>
      </c>
      <c r="AZ658" s="150" t="str">
        <f>'Raw Data'!E648</f>
        <v>20% Off,FS on $50</v>
      </c>
      <c r="BA658" s="150">
        <f>'Raw Data'!I648</f>
        <v>574</v>
      </c>
      <c r="BB658" s="112"/>
      <c r="BC658" s="112"/>
      <c r="BD658" s="112">
        <f>'Raw Data'!O648</f>
        <v>1</v>
      </c>
    </row>
    <row r="659" spans="23:56">
      <c r="W659" s="21"/>
      <c r="AC659" s="21"/>
      <c r="AD659" s="21"/>
      <c r="AE659" s="21"/>
      <c r="AS659" s="112" t="str">
        <f t="shared" si="138"/>
        <v/>
      </c>
      <c r="AT659" s="112" t="str">
        <f>IF(AS659="","",COUNTIF($AS$13:AS659,AS659))</f>
        <v/>
      </c>
      <c r="AU659" s="147">
        <f t="shared" si="139"/>
        <v>646</v>
      </c>
      <c r="AV659" s="147">
        <f>COUNTIF($AZ$14:AZ659,AZ659)</f>
        <v>1</v>
      </c>
      <c r="AW659" s="147">
        <f>IFERROR(COUNTIF(AX$14:$BL659,AX659),"")</f>
        <v>93</v>
      </c>
      <c r="AX659" s="148" t="str">
        <f t="shared" si="140"/>
        <v>Mon</v>
      </c>
      <c r="AY659" s="149">
        <f>'Raw Data'!A649</f>
        <v>42254</v>
      </c>
      <c r="AZ659" s="150" t="str">
        <f>'Raw Data'!E649</f>
        <v>$20 Off,FS on $75</v>
      </c>
      <c r="BA659" s="150">
        <f>'Raw Data'!I649</f>
        <v>899</v>
      </c>
      <c r="BB659" s="112"/>
      <c r="BC659" s="112"/>
      <c r="BD659" s="112">
        <f>'Raw Data'!O649</f>
        <v>1</v>
      </c>
    </row>
    <row r="660" spans="23:56">
      <c r="W660" s="21"/>
      <c r="AC660" s="21"/>
      <c r="AD660" s="21"/>
      <c r="AE660" s="21"/>
      <c r="AS660" s="112" t="str">
        <f t="shared" si="138"/>
        <v/>
      </c>
      <c r="AT660" s="112" t="str">
        <f>IF(AS660="","",COUNTIF($AS$13:AS660,AS660))</f>
        <v/>
      </c>
      <c r="AU660" s="147">
        <f t="shared" si="139"/>
        <v>647</v>
      </c>
      <c r="AV660" s="147">
        <f>COUNTIF($AZ$14:AZ660,AZ660)</f>
        <v>40</v>
      </c>
      <c r="AW660" s="147">
        <f>IFERROR(COUNTIF(AX$14:$BL660,AX660),"")</f>
        <v>93</v>
      </c>
      <c r="AX660" s="148" t="str">
        <f t="shared" si="140"/>
        <v>Tue</v>
      </c>
      <c r="AY660" s="149">
        <f>'Raw Data'!A650</f>
        <v>42255</v>
      </c>
      <c r="AZ660" s="150" t="str">
        <f>'Raw Data'!E650</f>
        <v>Up To 40% Off,FS on $49</v>
      </c>
      <c r="BA660" s="150">
        <f>'Raw Data'!I650</f>
        <v>1136</v>
      </c>
      <c r="BB660" s="112"/>
      <c r="BC660" s="112"/>
      <c r="BD660" s="112">
        <f>'Raw Data'!O650</f>
        <v>1</v>
      </c>
    </row>
    <row r="661" spans="23:56">
      <c r="W661" s="21"/>
      <c r="AC661" s="21"/>
      <c r="AD661" s="21"/>
      <c r="AE661" s="21"/>
      <c r="AS661" s="112" t="str">
        <f t="shared" si="138"/>
        <v/>
      </c>
      <c r="AT661" s="112" t="str">
        <f>IF(AS661="","",COUNTIF($AS$13:AS661,AS661))</f>
        <v/>
      </c>
      <c r="AU661" s="147">
        <f t="shared" si="139"/>
        <v>648</v>
      </c>
      <c r="AV661" s="147">
        <f>COUNTIF($AZ$14:AZ661,AZ661)</f>
        <v>41</v>
      </c>
      <c r="AW661" s="147">
        <f>IFERROR(COUNTIF(AX$14:$BL661,AX661),"")</f>
        <v>93</v>
      </c>
      <c r="AX661" s="148" t="str">
        <f t="shared" si="140"/>
        <v>Wed</v>
      </c>
      <c r="AY661" s="149">
        <f>'Raw Data'!A651</f>
        <v>42256</v>
      </c>
      <c r="AZ661" s="150" t="str">
        <f>'Raw Data'!E651</f>
        <v>Up To 40% Off,FS on $49</v>
      </c>
      <c r="BA661" s="150">
        <f>'Raw Data'!I651</f>
        <v>1199</v>
      </c>
      <c r="BB661" s="112"/>
      <c r="BC661" s="112"/>
      <c r="BD661" s="112">
        <f>'Raw Data'!O651</f>
        <v>1</v>
      </c>
    </row>
    <row r="662" spans="23:56">
      <c r="W662" s="21"/>
      <c r="AC662" s="21"/>
      <c r="AD662" s="21"/>
      <c r="AE662" s="21"/>
      <c r="AS662" s="112" t="str">
        <f t="shared" si="138"/>
        <v/>
      </c>
      <c r="AT662" s="112" t="str">
        <f>IF(AS662="","",COUNTIF($AS$13:AS662,AS662))</f>
        <v/>
      </c>
      <c r="AU662" s="147">
        <f t="shared" si="139"/>
        <v>649</v>
      </c>
      <c r="AV662" s="147">
        <f>COUNTIF($AZ$14:AZ662,AZ662)</f>
        <v>40</v>
      </c>
      <c r="AW662" s="147">
        <f>IFERROR(COUNTIF(AX$14:$BL662,AX662),"")</f>
        <v>93</v>
      </c>
      <c r="AX662" s="148" t="str">
        <f t="shared" si="140"/>
        <v>Thu</v>
      </c>
      <c r="AY662" s="149">
        <f>'Raw Data'!A652</f>
        <v>42257</v>
      </c>
      <c r="AZ662" s="150" t="str">
        <f>'Raw Data'!E652</f>
        <v>Free Ship No Min</v>
      </c>
      <c r="BA662" s="150">
        <f>'Raw Data'!I652</f>
        <v>1135</v>
      </c>
      <c r="BB662" s="112"/>
      <c r="BC662" s="112"/>
      <c r="BD662" s="112">
        <f>'Raw Data'!O652</f>
        <v>2</v>
      </c>
    </row>
    <row r="663" spans="23:56">
      <c r="W663" s="21"/>
      <c r="AC663" s="21"/>
      <c r="AD663" s="21"/>
      <c r="AE663" s="21"/>
      <c r="AS663" s="112" t="str">
        <f t="shared" si="138"/>
        <v/>
      </c>
      <c r="AT663" s="112" t="str">
        <f>IF(AS663="","",COUNTIF($AS$13:AS663,AS663))</f>
        <v/>
      </c>
      <c r="AU663" s="147">
        <f t="shared" si="139"/>
        <v>650</v>
      </c>
      <c r="AV663" s="147">
        <f>COUNTIF($AZ$14:AZ663,AZ663)</f>
        <v>41</v>
      </c>
      <c r="AW663" s="147">
        <f>IFERROR(COUNTIF(AX$14:$BL663,AX663),"")</f>
        <v>93</v>
      </c>
      <c r="AX663" s="148" t="str">
        <f t="shared" si="140"/>
        <v>Fri</v>
      </c>
      <c r="AY663" s="149">
        <f>'Raw Data'!A653</f>
        <v>42258</v>
      </c>
      <c r="AZ663" s="150" t="str">
        <f>'Raw Data'!E653</f>
        <v>Free Ship No Min</v>
      </c>
      <c r="BA663" s="150">
        <f>'Raw Data'!I653</f>
        <v>1186</v>
      </c>
      <c r="BB663" s="112"/>
      <c r="BC663" s="112"/>
      <c r="BD663" s="112">
        <f>'Raw Data'!O653</f>
        <v>1</v>
      </c>
    </row>
    <row r="664" spans="23:56">
      <c r="W664" s="21"/>
      <c r="AC664" s="21"/>
      <c r="AD664" s="21"/>
      <c r="AE664" s="21"/>
      <c r="AS664" s="112" t="str">
        <f t="shared" si="138"/>
        <v/>
      </c>
      <c r="AT664" s="112" t="str">
        <f>IF(AS664="","",COUNTIF($AS$13:AS664,AS664))</f>
        <v/>
      </c>
      <c r="AU664" s="147">
        <f t="shared" si="139"/>
        <v>651</v>
      </c>
      <c r="AV664" s="147">
        <f>COUNTIF($AZ$14:AZ664,AZ664)</f>
        <v>126</v>
      </c>
      <c r="AW664" s="147">
        <f>IFERROR(COUNTIF(AX$14:$BL664,AX664),"")</f>
        <v>93</v>
      </c>
      <c r="AX664" s="148" t="str">
        <f t="shared" si="140"/>
        <v>Sat</v>
      </c>
      <c r="AY664" s="149">
        <f>'Raw Data'!A654</f>
        <v>42259</v>
      </c>
      <c r="AZ664" s="150" t="str">
        <f>'Raw Data'!E654</f>
        <v>No Email Drop</v>
      </c>
      <c r="BA664" s="150">
        <f>'Raw Data'!I654</f>
        <v>759</v>
      </c>
      <c r="BB664" s="112"/>
      <c r="BC664" s="112"/>
      <c r="BD664" s="112">
        <f>'Raw Data'!O654</f>
        <v>0</v>
      </c>
    </row>
    <row r="665" spans="23:56">
      <c r="W665" s="21"/>
      <c r="AC665" s="21"/>
      <c r="AD665" s="21"/>
      <c r="AE665" s="21"/>
      <c r="AS665" s="112" t="str">
        <f t="shared" si="138"/>
        <v/>
      </c>
      <c r="AT665" s="112" t="str">
        <f>IF(AS665="","",COUNTIF($AS$13:AS665,AS665))</f>
        <v/>
      </c>
      <c r="AU665" s="147">
        <f t="shared" si="139"/>
        <v>652</v>
      </c>
      <c r="AV665" s="147">
        <f>COUNTIF($AZ$14:AZ665,AZ665)</f>
        <v>127</v>
      </c>
      <c r="AW665" s="147">
        <f>IFERROR(COUNTIF(AX$14:$BL665,AX665),"")</f>
        <v>94</v>
      </c>
      <c r="AX665" s="148" t="str">
        <f t="shared" si="140"/>
        <v>Sun</v>
      </c>
      <c r="AY665" s="149">
        <f>'Raw Data'!A655</f>
        <v>42260</v>
      </c>
      <c r="AZ665" s="150" t="str">
        <f>'Raw Data'!E655</f>
        <v>No Email Drop</v>
      </c>
      <c r="BA665" s="150">
        <f>'Raw Data'!I655</f>
        <v>636</v>
      </c>
      <c r="BB665" s="112"/>
      <c r="BC665" s="112"/>
      <c r="BD665" s="112">
        <f>'Raw Data'!O655</f>
        <v>0</v>
      </c>
    </row>
    <row r="666" spans="23:56">
      <c r="W666" s="21"/>
      <c r="AC666" s="21"/>
      <c r="AD666" s="21"/>
      <c r="AE666" s="21"/>
      <c r="AS666" s="112" t="str">
        <f t="shared" si="138"/>
        <v/>
      </c>
      <c r="AT666" s="112" t="str">
        <f>IF(AS666="","",COUNTIF($AS$13:AS666,AS666))</f>
        <v/>
      </c>
      <c r="AU666" s="147">
        <f t="shared" si="139"/>
        <v>653</v>
      </c>
      <c r="AV666" s="147">
        <f>COUNTIF($AZ$14:AZ666,AZ666)</f>
        <v>13</v>
      </c>
      <c r="AW666" s="147">
        <f>IFERROR(COUNTIF(AX$14:$BL666,AX666),"")</f>
        <v>94</v>
      </c>
      <c r="AX666" s="148" t="str">
        <f t="shared" si="140"/>
        <v>Mon</v>
      </c>
      <c r="AY666" s="149">
        <f>'Raw Data'!A656</f>
        <v>42261</v>
      </c>
      <c r="AZ666" s="150" t="str">
        <f>'Raw Data'!E656</f>
        <v>$15 Off,FS on $49</v>
      </c>
      <c r="BA666" s="150">
        <f>'Raw Data'!I656</f>
        <v>1235</v>
      </c>
      <c r="BB666" s="112"/>
      <c r="BC666" s="112"/>
      <c r="BD666" s="112">
        <f>'Raw Data'!O656</f>
        <v>1</v>
      </c>
    </row>
    <row r="667" spans="23:56">
      <c r="W667" s="21"/>
      <c r="AC667" s="21"/>
      <c r="AD667" s="21"/>
      <c r="AE667" s="21"/>
      <c r="AS667" s="112" t="str">
        <f t="shared" si="138"/>
        <v/>
      </c>
      <c r="AT667" s="112" t="str">
        <f>IF(AS667="","",COUNTIF($AS$13:AS667,AS667))</f>
        <v/>
      </c>
      <c r="AU667" s="147">
        <f t="shared" si="139"/>
        <v>654</v>
      </c>
      <c r="AV667" s="147">
        <f>COUNTIF($AZ$14:AZ667,AZ667)</f>
        <v>42</v>
      </c>
      <c r="AW667" s="147">
        <f>IFERROR(COUNTIF(AX$14:$BL667,AX667),"")</f>
        <v>94</v>
      </c>
      <c r="AX667" s="148" t="str">
        <f t="shared" si="140"/>
        <v>Tue</v>
      </c>
      <c r="AY667" s="149">
        <f>'Raw Data'!A657</f>
        <v>42262</v>
      </c>
      <c r="AZ667" s="150" t="str">
        <f>'Raw Data'!E657</f>
        <v>Up To 40% Off,FS on $49</v>
      </c>
      <c r="BA667" s="150">
        <f>'Raw Data'!I657</f>
        <v>1244</v>
      </c>
      <c r="BB667" s="112"/>
      <c r="BC667" s="112"/>
      <c r="BD667" s="112">
        <f>'Raw Data'!O657</f>
        <v>1</v>
      </c>
    </row>
    <row r="668" spans="23:56">
      <c r="W668" s="21"/>
      <c r="AC668" s="21"/>
      <c r="AD668" s="21"/>
      <c r="AE668" s="21"/>
      <c r="AS668" s="112" t="str">
        <f t="shared" si="138"/>
        <v/>
      </c>
      <c r="AT668" s="112" t="str">
        <f>IF(AS668="","",COUNTIF($AS$13:AS668,AS668))</f>
        <v/>
      </c>
      <c r="AU668" s="147">
        <f t="shared" si="139"/>
        <v>655</v>
      </c>
      <c r="AV668" s="147">
        <f>COUNTIF($AZ$14:AZ668,AZ668)</f>
        <v>23</v>
      </c>
      <c r="AW668" s="147">
        <f>IFERROR(COUNTIF(AX$14:$BL668,AX668),"")</f>
        <v>94</v>
      </c>
      <c r="AX668" s="148" t="str">
        <f t="shared" si="140"/>
        <v>Wed</v>
      </c>
      <c r="AY668" s="149">
        <f>'Raw Data'!A658</f>
        <v>42263</v>
      </c>
      <c r="AZ668" s="150" t="str">
        <f>'Raw Data'!E658</f>
        <v>25% Off,FS on $49</v>
      </c>
      <c r="BA668" s="150">
        <f>'Raw Data'!I658</f>
        <v>1241</v>
      </c>
      <c r="BB668" s="112"/>
      <c r="BC668" s="112"/>
      <c r="BD668" s="112">
        <f>'Raw Data'!O658</f>
        <v>2</v>
      </c>
    </row>
    <row r="669" spans="23:56">
      <c r="W669" s="21"/>
      <c r="AC669" s="21"/>
      <c r="AD669" s="21"/>
      <c r="AE669" s="21"/>
      <c r="AS669" s="112" t="str">
        <f t="shared" si="138"/>
        <v/>
      </c>
      <c r="AT669" s="112" t="str">
        <f>IF(AS669="","",COUNTIF($AS$13:AS669,AS669))</f>
        <v/>
      </c>
      <c r="AU669" s="147">
        <f t="shared" si="139"/>
        <v>656</v>
      </c>
      <c r="AV669" s="147">
        <f>COUNTIF($AZ$14:AZ669,AZ669)</f>
        <v>15</v>
      </c>
      <c r="AW669" s="147">
        <f>IFERROR(COUNTIF(AX$14:$BL669,AX669),"")</f>
        <v>94</v>
      </c>
      <c r="AX669" s="148" t="str">
        <f t="shared" si="140"/>
        <v>Thu</v>
      </c>
      <c r="AY669" s="149">
        <f>'Raw Data'!A659</f>
        <v>42264</v>
      </c>
      <c r="AZ669" s="150" t="str">
        <f>'Raw Data'!E659</f>
        <v>RD Event</v>
      </c>
      <c r="BA669" s="150">
        <f>'Raw Data'!I659</f>
        <v>1051</v>
      </c>
      <c r="BB669" s="112"/>
      <c r="BC669" s="112"/>
      <c r="BD669" s="112">
        <f>'Raw Data'!O659</f>
        <v>1</v>
      </c>
    </row>
    <row r="670" spans="23:56">
      <c r="W670" s="21"/>
      <c r="AC670" s="21"/>
      <c r="AD670" s="21"/>
      <c r="AE670" s="21"/>
      <c r="AS670" s="112" t="str">
        <f t="shared" si="138"/>
        <v/>
      </c>
      <c r="AT670" s="112" t="str">
        <f>IF(AS670="","",COUNTIF($AS$13:AS670,AS670))</f>
        <v/>
      </c>
      <c r="AU670" s="147">
        <f t="shared" si="139"/>
        <v>657</v>
      </c>
      <c r="AV670" s="147">
        <f>COUNTIF($AZ$14:AZ670,AZ670)</f>
        <v>42</v>
      </c>
      <c r="AW670" s="147">
        <f>IFERROR(COUNTIF(AX$14:$BL670,AX670),"")</f>
        <v>94</v>
      </c>
      <c r="AX670" s="148" t="str">
        <f t="shared" si="140"/>
        <v>Fri</v>
      </c>
      <c r="AY670" s="149">
        <f>'Raw Data'!A660</f>
        <v>42265</v>
      </c>
      <c r="AZ670" s="150" t="str">
        <f>'Raw Data'!E660</f>
        <v>Free Ship No Min</v>
      </c>
      <c r="BA670" s="150">
        <f>'Raw Data'!I660</f>
        <v>1089</v>
      </c>
      <c r="BB670" s="112"/>
      <c r="BC670" s="112"/>
      <c r="BD670" s="112">
        <f>'Raw Data'!O660</f>
        <v>1</v>
      </c>
    </row>
    <row r="671" spans="23:56">
      <c r="W671" s="21"/>
      <c r="AC671" s="21"/>
      <c r="AD671" s="21"/>
      <c r="AE671" s="21"/>
      <c r="AS671" s="112" t="str">
        <f t="shared" si="138"/>
        <v/>
      </c>
      <c r="AT671" s="112" t="str">
        <f>IF(AS671="","",COUNTIF($AS$13:AS671,AS671))</f>
        <v/>
      </c>
      <c r="AU671" s="147">
        <f t="shared" si="139"/>
        <v>658</v>
      </c>
      <c r="AV671" s="147">
        <f>COUNTIF($AZ$14:AZ671,AZ671)</f>
        <v>43</v>
      </c>
      <c r="AW671" s="147">
        <f>IFERROR(COUNTIF(AX$14:$BL671,AX671),"")</f>
        <v>94</v>
      </c>
      <c r="AX671" s="148" t="str">
        <f t="shared" si="140"/>
        <v>Sat</v>
      </c>
      <c r="AY671" s="149">
        <f>'Raw Data'!A661</f>
        <v>42266</v>
      </c>
      <c r="AZ671" s="150" t="str">
        <f>'Raw Data'!E661</f>
        <v>Free Ship No Min</v>
      </c>
      <c r="BA671" s="150">
        <f>'Raw Data'!I661</f>
        <v>842</v>
      </c>
      <c r="BB671" s="112"/>
      <c r="BC671" s="112"/>
      <c r="BD671" s="112">
        <f>'Raw Data'!O661</f>
        <v>1</v>
      </c>
    </row>
    <row r="672" spans="23:56">
      <c r="W672" s="21"/>
      <c r="AC672" s="21"/>
      <c r="AD672" s="21"/>
      <c r="AE672" s="21"/>
      <c r="AS672" s="112" t="str">
        <f t="shared" si="138"/>
        <v/>
      </c>
      <c r="AT672" s="112" t="str">
        <f>IF(AS672="","",COUNTIF($AS$13:AS672,AS672))</f>
        <v/>
      </c>
      <c r="AU672" s="147">
        <f t="shared" si="139"/>
        <v>659</v>
      </c>
      <c r="AV672" s="147">
        <f>COUNTIF($AZ$14:AZ672,AZ672)</f>
        <v>43</v>
      </c>
      <c r="AW672" s="147">
        <f>IFERROR(COUNTIF(AX$14:$BL672,AX672),"")</f>
        <v>95</v>
      </c>
      <c r="AX672" s="148" t="str">
        <f t="shared" si="140"/>
        <v>Sun</v>
      </c>
      <c r="AY672" s="149">
        <f>'Raw Data'!A662</f>
        <v>42267</v>
      </c>
      <c r="AZ672" s="150" t="str">
        <f>'Raw Data'!E662</f>
        <v>Up To 40% Off,FS on $49</v>
      </c>
      <c r="BA672" s="150">
        <f>'Raw Data'!I662</f>
        <v>654</v>
      </c>
      <c r="BB672" s="112"/>
      <c r="BC672" s="112"/>
      <c r="BD672" s="112">
        <f>'Raw Data'!O662</f>
        <v>1</v>
      </c>
    </row>
    <row r="673" spans="23:56">
      <c r="W673" s="21"/>
      <c r="AC673" s="21"/>
      <c r="AD673" s="21"/>
      <c r="AE673" s="21"/>
      <c r="AS673" s="112" t="str">
        <f t="shared" si="138"/>
        <v/>
      </c>
      <c r="AT673" s="112" t="str">
        <f>IF(AS673="","",COUNTIF($AS$13:AS673,AS673))</f>
        <v/>
      </c>
      <c r="AU673" s="147">
        <f t="shared" si="139"/>
        <v>660</v>
      </c>
      <c r="AV673" s="147">
        <f>COUNTIF($AZ$14:AZ673,AZ673)</f>
        <v>4</v>
      </c>
      <c r="AW673" s="147">
        <f>IFERROR(COUNTIF(AX$14:$BL673,AX673),"")</f>
        <v>95</v>
      </c>
      <c r="AX673" s="148" t="str">
        <f t="shared" si="140"/>
        <v>Mon</v>
      </c>
      <c r="AY673" s="149">
        <f>'Raw Data'!A663</f>
        <v>42268</v>
      </c>
      <c r="AZ673" s="150" t="str">
        <f>'Raw Data'!E663</f>
        <v>Reveal Your Deal Promo,15, 20% Off</v>
      </c>
      <c r="BA673" s="150">
        <f>'Raw Data'!I663</f>
        <v>1283</v>
      </c>
      <c r="BB673" s="112"/>
      <c r="BC673" s="112"/>
      <c r="BD673" s="112">
        <f>'Raw Data'!O663</f>
        <v>2</v>
      </c>
    </row>
    <row r="674" spans="23:56">
      <c r="W674" s="21"/>
      <c r="AC674" s="21"/>
      <c r="AD674" s="21"/>
      <c r="AE674" s="21"/>
      <c r="AS674" s="112" t="str">
        <f t="shared" si="138"/>
        <v/>
      </c>
      <c r="AT674" s="112" t="str">
        <f>IF(AS674="","",COUNTIF($AS$13:AS674,AS674))</f>
        <v/>
      </c>
      <c r="AU674" s="147">
        <f t="shared" si="139"/>
        <v>661</v>
      </c>
      <c r="AV674" s="147">
        <f>COUNTIF($AZ$14:AZ674,AZ674)</f>
        <v>1</v>
      </c>
      <c r="AW674" s="147">
        <f>IFERROR(COUNTIF(AX$14:$BL674,AX674),"")</f>
        <v>95</v>
      </c>
      <c r="AX674" s="148" t="str">
        <f t="shared" si="140"/>
        <v>Tue</v>
      </c>
      <c r="AY674" s="149">
        <f>'Raw Data'!A664</f>
        <v>42269</v>
      </c>
      <c r="AZ674" s="150" t="str">
        <f>'Raw Data'!E664</f>
        <v>20% Off, FS on $49</v>
      </c>
      <c r="BA674" s="150">
        <f>'Raw Data'!I664</f>
        <v>1049</v>
      </c>
      <c r="BB674" s="112"/>
      <c r="BC674" s="112"/>
      <c r="BD674" s="112">
        <f>'Raw Data'!O664</f>
        <v>1</v>
      </c>
    </row>
    <row r="675" spans="23:56">
      <c r="W675" s="21"/>
      <c r="AC675" s="21"/>
      <c r="AD675" s="21"/>
      <c r="AE675" s="21"/>
      <c r="AS675" s="112" t="str">
        <f t="shared" si="138"/>
        <v/>
      </c>
      <c r="AT675" s="112" t="str">
        <f>IF(AS675="","",COUNTIF($AS$13:AS675,AS675))</f>
        <v/>
      </c>
      <c r="AU675" s="147">
        <f t="shared" si="139"/>
        <v>662</v>
      </c>
      <c r="AV675" s="147">
        <f>COUNTIF($AZ$14:AZ675,AZ675)</f>
        <v>2</v>
      </c>
      <c r="AW675" s="147">
        <f>IFERROR(COUNTIF(AX$14:$BL675,AX675),"")</f>
        <v>95</v>
      </c>
      <c r="AX675" s="148" t="str">
        <f t="shared" si="140"/>
        <v>Wed</v>
      </c>
      <c r="AY675" s="149">
        <f>'Raw Data'!A665</f>
        <v>42270</v>
      </c>
      <c r="AZ675" s="150" t="str">
        <f>'Raw Data'!E665</f>
        <v>20% Off, FS on $49</v>
      </c>
      <c r="BA675" s="150">
        <f>'Raw Data'!I665</f>
        <v>983</v>
      </c>
      <c r="BB675" s="112"/>
      <c r="BC675" s="112"/>
      <c r="BD675" s="112">
        <f>'Raw Data'!O665</f>
        <v>1</v>
      </c>
    </row>
    <row r="676" spans="23:56">
      <c r="W676" s="21"/>
      <c r="AC676" s="21"/>
      <c r="AD676" s="21"/>
      <c r="AE676" s="21"/>
      <c r="AS676" s="112" t="str">
        <f t="shared" si="138"/>
        <v/>
      </c>
      <c r="AT676" s="112" t="str">
        <f>IF(AS676="","",COUNTIF($AS$13:AS676,AS676))</f>
        <v/>
      </c>
      <c r="AU676" s="147">
        <f t="shared" si="139"/>
        <v>663</v>
      </c>
      <c r="AV676" s="147">
        <f>COUNTIF($AZ$14:AZ676,AZ676)</f>
        <v>3</v>
      </c>
      <c r="AW676" s="147">
        <f>IFERROR(COUNTIF(AX$14:$BL676,AX676),"")</f>
        <v>95</v>
      </c>
      <c r="AX676" s="148" t="str">
        <f t="shared" si="140"/>
        <v>Thu</v>
      </c>
      <c r="AY676" s="149">
        <f>'Raw Data'!A666</f>
        <v>42271</v>
      </c>
      <c r="AZ676" s="150" t="str">
        <f>'Raw Data'!E666</f>
        <v>20% Off, FS on $49</v>
      </c>
      <c r="BA676" s="150">
        <f>'Raw Data'!I666</f>
        <v>906</v>
      </c>
      <c r="BB676" s="112"/>
      <c r="BC676" s="112"/>
      <c r="BD676" s="112">
        <f>'Raw Data'!O666</f>
        <v>1</v>
      </c>
    </row>
    <row r="677" spans="23:56">
      <c r="W677" s="21"/>
      <c r="AC677" s="21"/>
      <c r="AD677" s="21"/>
      <c r="AE677" s="21"/>
      <c r="AS677" s="112" t="str">
        <f t="shared" si="138"/>
        <v/>
      </c>
      <c r="AT677" s="112" t="str">
        <f>IF(AS677="","",COUNTIF($AS$13:AS677,AS677))</f>
        <v/>
      </c>
      <c r="AU677" s="147">
        <f t="shared" si="139"/>
        <v>664</v>
      </c>
      <c r="AV677" s="147">
        <f>COUNTIF($AZ$14:AZ677,AZ677)</f>
        <v>4</v>
      </c>
      <c r="AW677" s="147">
        <f>IFERROR(COUNTIF(AX$14:$BL677,AX677),"")</f>
        <v>95</v>
      </c>
      <c r="AX677" s="148" t="str">
        <f t="shared" si="140"/>
        <v>Fri</v>
      </c>
      <c r="AY677" s="149">
        <f>'Raw Data'!A667</f>
        <v>42272</v>
      </c>
      <c r="AZ677" s="150" t="str">
        <f>'Raw Data'!E667</f>
        <v>20% Off, FS on $49</v>
      </c>
      <c r="BA677" s="150">
        <f>'Raw Data'!I667</f>
        <v>927</v>
      </c>
      <c r="BB677" s="112"/>
      <c r="BC677" s="112"/>
      <c r="BD677" s="112">
        <f>'Raw Data'!O667</f>
        <v>2</v>
      </c>
    </row>
    <row r="678" spans="23:56">
      <c r="W678" s="21"/>
      <c r="AC678" s="21"/>
      <c r="AD678" s="21"/>
      <c r="AE678" s="21"/>
      <c r="AS678" s="112" t="str">
        <f t="shared" si="138"/>
        <v/>
      </c>
      <c r="AT678" s="112" t="str">
        <f>IF(AS678="","",COUNTIF($AS$13:AS678,AS678))</f>
        <v/>
      </c>
      <c r="AU678" s="147">
        <f t="shared" si="139"/>
        <v>665</v>
      </c>
      <c r="AV678" s="147">
        <f>COUNTIF($AZ$14:AZ678,AZ678)</f>
        <v>5</v>
      </c>
      <c r="AW678" s="147">
        <f>IFERROR(COUNTIF(AX$14:$BL678,AX678),"")</f>
        <v>95</v>
      </c>
      <c r="AX678" s="148" t="str">
        <f t="shared" si="140"/>
        <v>Sat</v>
      </c>
      <c r="AY678" s="149">
        <f>'Raw Data'!A668</f>
        <v>42273</v>
      </c>
      <c r="AZ678" s="150" t="str">
        <f>'Raw Data'!E668</f>
        <v>20% Off, FS on $49</v>
      </c>
      <c r="BA678" s="150">
        <f>'Raw Data'!I668</f>
        <v>849</v>
      </c>
      <c r="BB678" s="112"/>
      <c r="BC678" s="112"/>
      <c r="BD678" s="112">
        <f>'Raw Data'!O668</f>
        <v>2</v>
      </c>
    </row>
    <row r="679" spans="23:56">
      <c r="W679" s="21"/>
      <c r="AC679" s="21"/>
      <c r="AD679" s="21"/>
      <c r="AE679" s="21"/>
      <c r="AS679" s="112" t="str">
        <f t="shared" ref="AS679:AS713" si="141">IFERROR(IF(FIND($AT$12,AZ679)&gt;0,1,0),"")</f>
        <v/>
      </c>
      <c r="AT679" s="112" t="str">
        <f>IF(AS679="","",COUNTIF($AS$13:AS679,AS679))</f>
        <v/>
      </c>
      <c r="AU679" s="147">
        <f t="shared" ref="AU679:AU742" si="142">AU678+1</f>
        <v>666</v>
      </c>
      <c r="AV679" s="147">
        <f>COUNTIF($AZ$14:AZ679,AZ679)</f>
        <v>1</v>
      </c>
      <c r="AW679" s="147">
        <f>IFERROR(COUNTIF(AX$14:$BL679,AX679),"")</f>
        <v>96</v>
      </c>
      <c r="AX679" s="148" t="str">
        <f t="shared" ref="AX679:AX713" si="143">TEXT(AY679,"ddd")</f>
        <v>Sun</v>
      </c>
      <c r="AY679" s="149">
        <f>'Raw Data'!A669</f>
        <v>42274</v>
      </c>
      <c r="AZ679" s="150" t="str">
        <f>'Raw Data'!E669</f>
        <v>$10 Off,FS on $60</v>
      </c>
      <c r="BA679" s="150">
        <f>'Raw Data'!I669</f>
        <v>527</v>
      </c>
      <c r="BB679" s="112"/>
      <c r="BC679" s="112"/>
      <c r="BD679" s="112">
        <f>'Raw Data'!O669</f>
        <v>1</v>
      </c>
    </row>
    <row r="680" spans="23:56">
      <c r="W680" s="21"/>
      <c r="AC680" s="21"/>
      <c r="AD680" s="21"/>
      <c r="AE680" s="21"/>
      <c r="AS680" s="112" t="str">
        <f t="shared" si="141"/>
        <v/>
      </c>
      <c r="AT680" s="112" t="str">
        <f>IF(AS680="","",COUNTIF($AS$13:AS680,AS680))</f>
        <v/>
      </c>
      <c r="AU680" s="147">
        <f t="shared" si="142"/>
        <v>667</v>
      </c>
      <c r="AV680" s="147">
        <f>COUNTIF($AZ$14:AZ680,AZ680)</f>
        <v>128</v>
      </c>
      <c r="AW680" s="147">
        <f>IFERROR(COUNTIF(AX$14:$BL680,AX680),"")</f>
        <v>96</v>
      </c>
      <c r="AX680" s="148" t="str">
        <f t="shared" si="143"/>
        <v>Mon</v>
      </c>
      <c r="AY680" s="149">
        <f>'Raw Data'!A670</f>
        <v>42275</v>
      </c>
      <c r="AZ680" s="150" t="str">
        <f>'Raw Data'!E670</f>
        <v>No Email Drop</v>
      </c>
      <c r="BA680" s="150">
        <f>'Raw Data'!I670</f>
        <v>943</v>
      </c>
      <c r="BB680" s="112"/>
      <c r="BC680" s="112"/>
      <c r="BD680" s="112">
        <f>'Raw Data'!O670</f>
        <v>0</v>
      </c>
    </row>
    <row r="681" spans="23:56">
      <c r="W681" s="21"/>
      <c r="AC681" s="21"/>
      <c r="AD681" s="21"/>
      <c r="AE681" s="21"/>
      <c r="AS681" s="112" t="str">
        <f t="shared" si="141"/>
        <v/>
      </c>
      <c r="AT681" s="112" t="str">
        <f>IF(AS681="","",COUNTIF($AS$13:AS681,AS681))</f>
        <v/>
      </c>
      <c r="AU681" s="147">
        <f t="shared" si="142"/>
        <v>668</v>
      </c>
      <c r="AV681" s="147">
        <f>COUNTIF($AZ$14:AZ681,AZ681)</f>
        <v>129</v>
      </c>
      <c r="AW681" s="147">
        <f>IFERROR(COUNTIF(AX$14:$BL681,AX681),"")</f>
        <v>96</v>
      </c>
      <c r="AX681" s="148" t="str">
        <f t="shared" si="143"/>
        <v>Tue</v>
      </c>
      <c r="AY681" s="149">
        <f>'Raw Data'!A671</f>
        <v>42276</v>
      </c>
      <c r="AZ681" s="150" t="str">
        <f>'Raw Data'!E671</f>
        <v>No Email Drop</v>
      </c>
      <c r="BA681" s="150">
        <f>'Raw Data'!I671</f>
        <v>984</v>
      </c>
      <c r="BB681" s="112"/>
      <c r="BC681" s="112"/>
      <c r="BD681" s="112">
        <f>'Raw Data'!O671</f>
        <v>0</v>
      </c>
    </row>
    <row r="682" spans="23:56">
      <c r="W682" s="21"/>
      <c r="AC682" s="21"/>
      <c r="AD682" s="21"/>
      <c r="AE682" s="21"/>
      <c r="AS682" s="112" t="str">
        <f t="shared" si="141"/>
        <v/>
      </c>
      <c r="AT682" s="112" t="str">
        <f>IF(AS682="","",COUNTIF($AS$13:AS682,AS682))</f>
        <v/>
      </c>
      <c r="AU682" s="147">
        <f t="shared" si="142"/>
        <v>669</v>
      </c>
      <c r="AV682" s="147">
        <f>COUNTIF($AZ$14:AZ682,AZ682)</f>
        <v>2</v>
      </c>
      <c r="AW682" s="147">
        <f>IFERROR(COUNTIF(AX$14:$BL682,AX682),"")</f>
        <v>96</v>
      </c>
      <c r="AX682" s="148" t="str">
        <f t="shared" si="143"/>
        <v>Wed</v>
      </c>
      <c r="AY682" s="149">
        <f>'Raw Data'!A672</f>
        <v>42277</v>
      </c>
      <c r="AZ682" s="150" t="str">
        <f>'Raw Data'!E672</f>
        <v>$10 Off,FS on $60</v>
      </c>
      <c r="BA682" s="150">
        <f>'Raw Data'!I672</f>
        <v>943</v>
      </c>
      <c r="BB682" s="112"/>
      <c r="BC682" s="112"/>
      <c r="BD682" s="112">
        <f>'Raw Data'!O672</f>
        <v>1</v>
      </c>
    </row>
    <row r="683" spans="23:56">
      <c r="W683" s="21"/>
      <c r="AC683" s="21"/>
      <c r="AD683" s="21"/>
      <c r="AE683" s="21"/>
      <c r="AS683" s="112" t="str">
        <f t="shared" si="141"/>
        <v/>
      </c>
      <c r="AT683" s="112" t="str">
        <f>IF(AS683="","",COUNTIF($AS$13:AS683,AS683))</f>
        <v/>
      </c>
      <c r="AU683" s="147">
        <f t="shared" si="142"/>
        <v>670</v>
      </c>
      <c r="AV683" s="147">
        <f>COUNTIF($AZ$14:AZ683,AZ683)</f>
        <v>3</v>
      </c>
      <c r="AW683" s="147">
        <f>IFERROR(COUNTIF(AX$14:$BL683,AX683),"")</f>
        <v>96</v>
      </c>
      <c r="AX683" s="148" t="str">
        <f t="shared" si="143"/>
        <v>Thu</v>
      </c>
      <c r="AY683" s="149">
        <f>'Raw Data'!A673</f>
        <v>42278</v>
      </c>
      <c r="AZ683" s="150" t="str">
        <f>'Raw Data'!E673</f>
        <v>$10 Off,FS on $60</v>
      </c>
      <c r="BA683" s="150">
        <f>'Raw Data'!I673</f>
        <v>954</v>
      </c>
      <c r="BB683" s="112"/>
      <c r="BC683" s="112"/>
      <c r="BD683" s="112">
        <f>'Raw Data'!O673</f>
        <v>2</v>
      </c>
    </row>
    <row r="684" spans="23:56">
      <c r="W684" s="21"/>
      <c r="AC684" s="21"/>
      <c r="AD684" s="21"/>
      <c r="AE684" s="21"/>
      <c r="AS684" s="112" t="str">
        <f t="shared" si="141"/>
        <v/>
      </c>
      <c r="AT684" s="112" t="str">
        <f>IF(AS684="","",COUNTIF($AS$13:AS684,AS684))</f>
        <v/>
      </c>
      <c r="AU684" s="147">
        <f t="shared" si="142"/>
        <v>671</v>
      </c>
      <c r="AV684" s="147">
        <f>COUNTIF($AZ$14:AZ684,AZ684)</f>
        <v>4</v>
      </c>
      <c r="AW684" s="147">
        <f>IFERROR(COUNTIF(AX$14:$BL684,AX684),"")</f>
        <v>96</v>
      </c>
      <c r="AX684" s="148" t="str">
        <f t="shared" si="143"/>
        <v>Fri</v>
      </c>
      <c r="AY684" s="149">
        <f>'Raw Data'!A674</f>
        <v>42279</v>
      </c>
      <c r="AZ684" s="150" t="str">
        <f>'Raw Data'!E674</f>
        <v>$10 Off,FS on $60</v>
      </c>
      <c r="BA684" s="150">
        <f>'Raw Data'!I674</f>
        <v>882</v>
      </c>
      <c r="BB684" s="112"/>
      <c r="BC684" s="112"/>
      <c r="BD684" s="112">
        <f>'Raw Data'!O674</f>
        <v>2</v>
      </c>
    </row>
    <row r="685" spans="23:56">
      <c r="W685" s="21"/>
      <c r="AC685" s="21"/>
      <c r="AD685" s="21"/>
      <c r="AE685" s="21"/>
      <c r="AS685" s="112" t="str">
        <f t="shared" si="141"/>
        <v/>
      </c>
      <c r="AT685" s="112" t="str">
        <f>IF(AS685="","",COUNTIF($AS$13:AS685,AS685))</f>
        <v/>
      </c>
      <c r="AU685" s="147">
        <f t="shared" si="142"/>
        <v>672</v>
      </c>
      <c r="AV685" s="147">
        <f>COUNTIF($AZ$14:AZ685,AZ685)</f>
        <v>5</v>
      </c>
      <c r="AW685" s="147">
        <f>IFERROR(COUNTIF(AX$14:$BL685,AX685),"")</f>
        <v>96</v>
      </c>
      <c r="AX685" s="148" t="str">
        <f t="shared" si="143"/>
        <v>Sat</v>
      </c>
      <c r="AY685" s="149">
        <f>'Raw Data'!A675</f>
        <v>42280</v>
      </c>
      <c r="AZ685" s="150" t="str">
        <f>'Raw Data'!E675</f>
        <v>$10 Off,FS on $60</v>
      </c>
      <c r="BA685" s="150">
        <f>'Raw Data'!I675</f>
        <v>751</v>
      </c>
      <c r="BB685" s="112"/>
      <c r="BC685" s="112"/>
      <c r="BD685" s="112">
        <f>'Raw Data'!O675</f>
        <v>2</v>
      </c>
    </row>
    <row r="686" spans="23:56">
      <c r="W686" s="21"/>
      <c r="AC686" s="21"/>
      <c r="AD686" s="21"/>
      <c r="AE686" s="21"/>
      <c r="AS686" s="112" t="str">
        <f t="shared" si="141"/>
        <v/>
      </c>
      <c r="AT686" s="112" t="str">
        <f>IF(AS686="","",COUNTIF($AS$13:AS686,AS686))</f>
        <v/>
      </c>
      <c r="AU686" s="147">
        <f t="shared" si="142"/>
        <v>673</v>
      </c>
      <c r="AV686" s="147">
        <f>COUNTIF($AZ$14:AZ686,AZ686)</f>
        <v>6</v>
      </c>
      <c r="AW686" s="147">
        <f>IFERROR(COUNTIF(AX$14:$BL686,AX686),"")</f>
        <v>97</v>
      </c>
      <c r="AX686" s="148" t="str">
        <f t="shared" si="143"/>
        <v>Sun</v>
      </c>
      <c r="AY686" s="149">
        <f>'Raw Data'!A676</f>
        <v>42281</v>
      </c>
      <c r="AZ686" s="150" t="str">
        <f>'Raw Data'!E676</f>
        <v>$10 Off,FS on $60</v>
      </c>
      <c r="BA686" s="150">
        <f>'Raw Data'!I676</f>
        <v>535</v>
      </c>
      <c r="BB686" s="112"/>
      <c r="BC686" s="112"/>
      <c r="BD686" s="112">
        <f>'Raw Data'!O676</f>
        <v>1</v>
      </c>
    </row>
    <row r="687" spans="23:56">
      <c r="W687" s="21"/>
      <c r="AC687" s="21"/>
      <c r="AD687" s="21"/>
      <c r="AE687" s="21"/>
      <c r="AS687" s="112" t="str">
        <f t="shared" si="141"/>
        <v/>
      </c>
      <c r="AT687" s="112" t="str">
        <f>IF(AS687="","",COUNTIF($AS$13:AS687,AS687))</f>
        <v/>
      </c>
      <c r="AU687" s="147">
        <f t="shared" si="142"/>
        <v>674</v>
      </c>
      <c r="AV687" s="147">
        <f>COUNTIF($AZ$14:AZ687,AZ687)</f>
        <v>130</v>
      </c>
      <c r="AW687" s="147">
        <f>IFERROR(COUNTIF(AX$14:$BL687,AX687),"")</f>
        <v>97</v>
      </c>
      <c r="AX687" s="148" t="str">
        <f t="shared" si="143"/>
        <v>Mon</v>
      </c>
      <c r="AY687" s="149">
        <f>'Raw Data'!A677</f>
        <v>42282</v>
      </c>
      <c r="AZ687" s="150" t="str">
        <f>'Raw Data'!E677</f>
        <v>No Email Drop</v>
      </c>
      <c r="BA687" s="150">
        <f>'Raw Data'!I677</f>
        <v>1051</v>
      </c>
      <c r="BB687" s="112"/>
      <c r="BC687" s="112"/>
      <c r="BD687" s="112">
        <f>'Raw Data'!O677</f>
        <v>0</v>
      </c>
    </row>
    <row r="688" spans="23:56">
      <c r="W688" s="21"/>
      <c r="AC688" s="21"/>
      <c r="AD688" s="21"/>
      <c r="AE688" s="21"/>
      <c r="AS688" s="112" t="str">
        <f t="shared" si="141"/>
        <v/>
      </c>
      <c r="AT688" s="112" t="str">
        <f>IF(AS688="","",COUNTIF($AS$13:AS688,AS688))</f>
        <v/>
      </c>
      <c r="AU688" s="147">
        <f t="shared" si="142"/>
        <v>675</v>
      </c>
      <c r="AV688" s="147">
        <f>COUNTIF($AZ$14:AZ688,AZ688)</f>
        <v>7</v>
      </c>
      <c r="AW688" s="147">
        <f>IFERROR(COUNTIF(AX$14:$BL688,AX688),"")</f>
        <v>97</v>
      </c>
      <c r="AX688" s="148" t="str">
        <f t="shared" si="143"/>
        <v>Tue</v>
      </c>
      <c r="AY688" s="149">
        <f>'Raw Data'!A678</f>
        <v>42283</v>
      </c>
      <c r="AZ688" s="150" t="str">
        <f>'Raw Data'!E678</f>
        <v>$10 Off,FS on $60</v>
      </c>
      <c r="BA688" s="150">
        <f>'Raw Data'!I678</f>
        <v>1048</v>
      </c>
      <c r="BB688" s="112"/>
      <c r="BC688" s="112"/>
      <c r="BD688" s="112">
        <f>'Raw Data'!O678</f>
        <v>2</v>
      </c>
    </row>
    <row r="689" spans="23:56">
      <c r="W689" s="21"/>
      <c r="AC689" s="21"/>
      <c r="AD689" s="21"/>
      <c r="AE689" s="21"/>
      <c r="AS689" s="112" t="str">
        <f t="shared" si="141"/>
        <v/>
      </c>
      <c r="AT689" s="112" t="str">
        <f>IF(AS689="","",COUNTIF($AS$13:AS689,AS689))</f>
        <v/>
      </c>
      <c r="AU689" s="147">
        <f t="shared" si="142"/>
        <v>676</v>
      </c>
      <c r="AV689" s="147">
        <f>COUNTIF($AZ$14:AZ689,AZ689)</f>
        <v>8</v>
      </c>
      <c r="AW689" s="147">
        <f>IFERROR(COUNTIF(AX$14:$BL689,AX689),"")</f>
        <v>97</v>
      </c>
      <c r="AX689" s="148" t="str">
        <f t="shared" si="143"/>
        <v>Wed</v>
      </c>
      <c r="AY689" s="149">
        <f>'Raw Data'!A679</f>
        <v>42284</v>
      </c>
      <c r="AZ689" s="150" t="str">
        <f>'Raw Data'!E679</f>
        <v>$10 Off,FS on $60</v>
      </c>
      <c r="BA689" s="150">
        <f>'Raw Data'!I679</f>
        <v>1114</v>
      </c>
      <c r="BB689" s="112"/>
      <c r="BC689" s="112"/>
      <c r="BD689" s="112">
        <f>'Raw Data'!O679</f>
        <v>2</v>
      </c>
    </row>
    <row r="690" spans="23:56">
      <c r="W690" s="21"/>
      <c r="AC690" s="21"/>
      <c r="AD690" s="21"/>
      <c r="AE690" s="21"/>
      <c r="AS690" s="112" t="str">
        <f t="shared" si="141"/>
        <v/>
      </c>
      <c r="AT690" s="112" t="str">
        <f>IF(AS690="","",COUNTIF($AS$13:AS690,AS690))</f>
        <v/>
      </c>
      <c r="AU690" s="147">
        <f t="shared" si="142"/>
        <v>677</v>
      </c>
      <c r="AV690" s="147">
        <f>COUNTIF($AZ$14:AZ690,AZ690)</f>
        <v>9</v>
      </c>
      <c r="AW690" s="147">
        <f>IFERROR(COUNTIF(AX$14:$BL690,AX690),"")</f>
        <v>97</v>
      </c>
      <c r="AX690" s="148" t="str">
        <f t="shared" si="143"/>
        <v>Thu</v>
      </c>
      <c r="AY690" s="149">
        <f>'Raw Data'!A680</f>
        <v>42285</v>
      </c>
      <c r="AZ690" s="150" t="str">
        <f>'Raw Data'!E680</f>
        <v>$10 Off,FS on $60</v>
      </c>
      <c r="BA690" s="150">
        <f>'Raw Data'!I680</f>
        <v>914</v>
      </c>
      <c r="BB690" s="112"/>
      <c r="BC690" s="112"/>
      <c r="BD690" s="112">
        <f>'Raw Data'!O680</f>
        <v>1</v>
      </c>
    </row>
    <row r="691" spans="23:56">
      <c r="W691" s="21"/>
      <c r="AC691" s="21"/>
      <c r="AD691" s="21"/>
      <c r="AE691" s="21"/>
      <c r="AS691" s="112" t="str">
        <f t="shared" si="141"/>
        <v/>
      </c>
      <c r="AT691" s="112" t="str">
        <f>IF(AS691="","",COUNTIF($AS$13:AS691,AS691))</f>
        <v/>
      </c>
      <c r="AU691" s="147">
        <f t="shared" si="142"/>
        <v>678</v>
      </c>
      <c r="AV691" s="147">
        <f>COUNTIF($AZ$14:AZ691,AZ691)</f>
        <v>10</v>
      </c>
      <c r="AW691" s="147">
        <f>IFERROR(COUNTIF(AX$14:$BL691,AX691),"")</f>
        <v>97</v>
      </c>
      <c r="AX691" s="148" t="str">
        <f t="shared" si="143"/>
        <v>Fri</v>
      </c>
      <c r="AY691" s="149">
        <f>'Raw Data'!A681</f>
        <v>42286</v>
      </c>
      <c r="AZ691" s="150" t="str">
        <f>'Raw Data'!E681</f>
        <v>$10 Off,FS on $60</v>
      </c>
      <c r="BA691" s="150">
        <f>'Raw Data'!I681</f>
        <v>935</v>
      </c>
      <c r="BB691" s="112"/>
      <c r="BC691" s="112"/>
      <c r="BD691" s="112">
        <f>'Raw Data'!O681</f>
        <v>2</v>
      </c>
    </row>
    <row r="692" spans="23:56">
      <c r="W692" s="21"/>
      <c r="AC692" s="21"/>
      <c r="AD692" s="21"/>
      <c r="AE692" s="21"/>
      <c r="AS692" s="112" t="str">
        <f t="shared" si="141"/>
        <v/>
      </c>
      <c r="AT692" s="112" t="str">
        <f>IF(AS692="","",COUNTIF($AS$13:AS692,AS692))</f>
        <v/>
      </c>
      <c r="AU692" s="147">
        <f t="shared" si="142"/>
        <v>679</v>
      </c>
      <c r="AV692" s="147">
        <f>COUNTIF($AZ$14:AZ692,AZ692)</f>
        <v>11</v>
      </c>
      <c r="AW692" s="147">
        <f>IFERROR(COUNTIF(AX$14:$BL692,AX692),"")</f>
        <v>97</v>
      </c>
      <c r="AX692" s="148" t="str">
        <f t="shared" si="143"/>
        <v>Sat</v>
      </c>
      <c r="AY692" s="149">
        <f>'Raw Data'!A682</f>
        <v>42287</v>
      </c>
      <c r="AZ692" s="150" t="str">
        <f>'Raw Data'!E682</f>
        <v>$10 Off,FS on $60</v>
      </c>
      <c r="BA692" s="150">
        <f>'Raw Data'!I682</f>
        <v>791</v>
      </c>
      <c r="BB692" s="112"/>
      <c r="BC692" s="112"/>
      <c r="BD692" s="112">
        <f>'Raw Data'!O682</f>
        <v>2</v>
      </c>
    </row>
    <row r="693" spans="23:56">
      <c r="W693" s="21"/>
      <c r="AC693" s="21"/>
      <c r="AD693" s="21"/>
      <c r="AE693" s="21"/>
      <c r="AS693" s="112" t="str">
        <f t="shared" si="141"/>
        <v/>
      </c>
      <c r="AT693" s="112" t="str">
        <f>IF(AS693="","",COUNTIF($AS$13:AS693,AS693))</f>
        <v/>
      </c>
      <c r="AU693" s="147">
        <f t="shared" si="142"/>
        <v>680</v>
      </c>
      <c r="AV693" s="147">
        <f>COUNTIF($AZ$14:AZ693,AZ693)</f>
        <v>24</v>
      </c>
      <c r="AW693" s="147">
        <f>IFERROR(COUNTIF(AX$14:$BL693,AX693),"")</f>
        <v>98</v>
      </c>
      <c r="AX693" s="148" t="str">
        <f t="shared" si="143"/>
        <v>Sun</v>
      </c>
      <c r="AY693" s="149">
        <f>'Raw Data'!A683</f>
        <v>42288</v>
      </c>
      <c r="AZ693" s="150" t="str">
        <f>'Raw Data'!E683</f>
        <v>25% Off,FS on $49</v>
      </c>
      <c r="BA693" s="150">
        <f>'Raw Data'!I683</f>
        <v>526</v>
      </c>
      <c r="BB693" s="112"/>
      <c r="BC693" s="112"/>
      <c r="BD693" s="112">
        <f>'Raw Data'!O683</f>
        <v>1</v>
      </c>
    </row>
    <row r="694" spans="23:56">
      <c r="W694" s="21"/>
      <c r="AC694" s="21"/>
      <c r="AD694" s="21"/>
      <c r="AE694" s="21"/>
      <c r="AS694" s="112" t="str">
        <f t="shared" si="141"/>
        <v/>
      </c>
      <c r="AT694" s="112" t="str">
        <f>IF(AS694="","",COUNTIF($AS$13:AS694,AS694))</f>
        <v/>
      </c>
      <c r="AU694" s="147">
        <f t="shared" si="142"/>
        <v>681</v>
      </c>
      <c r="AV694" s="147">
        <f>COUNTIF($AZ$14:AZ694,AZ694)</f>
        <v>25</v>
      </c>
      <c r="AW694" s="147">
        <f>IFERROR(COUNTIF(AX$14:$BL694,AX694),"")</f>
        <v>98</v>
      </c>
      <c r="AX694" s="148" t="str">
        <f t="shared" si="143"/>
        <v>Mon</v>
      </c>
      <c r="AY694" s="149">
        <f>'Raw Data'!A684</f>
        <v>42289</v>
      </c>
      <c r="AZ694" s="150" t="str">
        <f>'Raw Data'!E684</f>
        <v>25% Off,FS on $49</v>
      </c>
      <c r="BA694" s="150">
        <f>'Raw Data'!I684</f>
        <v>994</v>
      </c>
      <c r="BB694" s="112"/>
      <c r="BC694" s="112"/>
      <c r="BD694" s="112">
        <f>'Raw Data'!O684</f>
        <v>1</v>
      </c>
    </row>
    <row r="695" spans="23:56">
      <c r="W695" s="21"/>
      <c r="AC695" s="21"/>
      <c r="AD695" s="21"/>
      <c r="AE695" s="21"/>
      <c r="AS695" s="112" t="str">
        <f t="shared" si="141"/>
        <v/>
      </c>
      <c r="AT695" s="112" t="str">
        <f>IF(AS695="","",COUNTIF($AS$13:AS695,AS695))</f>
        <v/>
      </c>
      <c r="AU695" s="147">
        <f t="shared" si="142"/>
        <v>682</v>
      </c>
      <c r="AV695" s="147">
        <f>COUNTIF($AZ$14:AZ695,AZ695)</f>
        <v>26</v>
      </c>
      <c r="AW695" s="147">
        <f>IFERROR(COUNTIF(AX$14:$BL695,AX695),"")</f>
        <v>98</v>
      </c>
      <c r="AX695" s="148" t="str">
        <f t="shared" si="143"/>
        <v>Tue</v>
      </c>
      <c r="AY695" s="149">
        <f>'Raw Data'!A685</f>
        <v>42290</v>
      </c>
      <c r="AZ695" s="150" t="str">
        <f>'Raw Data'!E685</f>
        <v>25% Off,FS on $49</v>
      </c>
      <c r="BA695" s="150">
        <f>'Raw Data'!I685</f>
        <v>1035</v>
      </c>
      <c r="BB695" s="112"/>
      <c r="BC695" s="112"/>
      <c r="BD695" s="112">
        <f>'Raw Data'!O685</f>
        <v>2</v>
      </c>
    </row>
    <row r="696" spans="23:56">
      <c r="W696" s="21"/>
      <c r="AC696" s="21"/>
      <c r="AD696" s="21"/>
      <c r="AE696" s="21"/>
      <c r="AS696" s="112">
        <f t="shared" si="141"/>
        <v>1</v>
      </c>
      <c r="AT696" s="112">
        <f>IF(AS696="","",COUNTIF($AS$13:AS696,AS696))</f>
        <v>23</v>
      </c>
      <c r="AU696" s="147">
        <f t="shared" si="142"/>
        <v>683</v>
      </c>
      <c r="AV696" s="147">
        <f>COUNTIF($AZ$14:AZ696,AZ696)</f>
        <v>9</v>
      </c>
      <c r="AW696" s="147">
        <f>IFERROR(COUNTIF(AX$14:$BL696,AX696),"")</f>
        <v>98</v>
      </c>
      <c r="AX696" s="148" t="str">
        <f t="shared" si="143"/>
        <v>Wed</v>
      </c>
      <c r="AY696" s="149">
        <f>'Raw Data'!A686</f>
        <v>42291</v>
      </c>
      <c r="AZ696" s="150" t="str">
        <f>'Raw Data'!E686</f>
        <v>Flash Sale,25% Off,FS on $49</v>
      </c>
      <c r="BA696" s="150">
        <f>'Raw Data'!I686</f>
        <v>1179</v>
      </c>
      <c r="BB696" s="112"/>
      <c r="BC696" s="112"/>
      <c r="BD696" s="112">
        <f>'Raw Data'!O686</f>
        <v>2</v>
      </c>
    </row>
    <row r="697" spans="23:56">
      <c r="W697" s="21"/>
      <c r="AC697" s="21"/>
      <c r="AD697" s="21"/>
      <c r="AE697" s="21"/>
      <c r="AS697" s="112" t="str">
        <f t="shared" si="141"/>
        <v/>
      </c>
      <c r="AT697" s="112" t="str">
        <f>IF(AS697="","",COUNTIF($AS$13:AS697,AS697))</f>
        <v/>
      </c>
      <c r="AU697" s="147">
        <f t="shared" si="142"/>
        <v>684</v>
      </c>
      <c r="AV697" s="147">
        <f>COUNTIF($AZ$14:AZ697,AZ697)</f>
        <v>9</v>
      </c>
      <c r="AW697" s="147">
        <f>IFERROR(COUNTIF(AX$14:$BL697,AX697),"")</f>
        <v>98</v>
      </c>
      <c r="AX697" s="148" t="str">
        <f t="shared" si="143"/>
        <v>Thu</v>
      </c>
      <c r="AY697" s="149">
        <f>'Raw Data'!A687</f>
        <v>42292</v>
      </c>
      <c r="AZ697" s="150" t="str">
        <f>'Raw Data'!E687</f>
        <v>30-50% Off,FS on $49</v>
      </c>
      <c r="BA697" s="150">
        <f>'Raw Data'!I687</f>
        <v>992</v>
      </c>
      <c r="BB697" s="112"/>
      <c r="BC697" s="112"/>
      <c r="BD697" s="112">
        <f>'Raw Data'!O687</f>
        <v>1</v>
      </c>
    </row>
    <row r="698" spans="23:56">
      <c r="W698" s="21"/>
      <c r="AC698" s="21"/>
      <c r="AD698" s="21"/>
      <c r="AE698" s="21"/>
      <c r="AS698" s="112" t="str">
        <f t="shared" si="141"/>
        <v/>
      </c>
      <c r="AT698" s="112" t="str">
        <f>IF(AS698="","",COUNTIF($AS$13:AS698,AS698))</f>
        <v/>
      </c>
      <c r="AU698" s="147">
        <f t="shared" si="142"/>
        <v>685</v>
      </c>
      <c r="AV698" s="147">
        <f>COUNTIF($AZ$14:AZ698,AZ698)</f>
        <v>10</v>
      </c>
      <c r="AW698" s="147">
        <f>IFERROR(COUNTIF(AX$14:$BL698,AX698),"")</f>
        <v>98</v>
      </c>
      <c r="AX698" s="148" t="str">
        <f t="shared" si="143"/>
        <v>Fri</v>
      </c>
      <c r="AY698" s="149">
        <f>'Raw Data'!A688</f>
        <v>42293</v>
      </c>
      <c r="AZ698" s="150" t="str">
        <f>'Raw Data'!E688</f>
        <v>30-50% Off,FS on $49</v>
      </c>
      <c r="BA698" s="150">
        <f>'Raw Data'!I688</f>
        <v>954</v>
      </c>
      <c r="BB698" s="112"/>
      <c r="BC698" s="112"/>
      <c r="BD698" s="112">
        <f>'Raw Data'!O688</f>
        <v>2</v>
      </c>
    </row>
    <row r="699" spans="23:56">
      <c r="W699" s="21"/>
      <c r="AC699" s="21"/>
      <c r="AD699" s="21"/>
      <c r="AE699" s="21"/>
      <c r="AS699" s="112" t="str">
        <f t="shared" si="141"/>
        <v/>
      </c>
      <c r="AT699" s="112" t="str">
        <f>IF(AS699="","",COUNTIF($AS$13:AS699,AS699))</f>
        <v/>
      </c>
      <c r="AU699" s="147">
        <f t="shared" si="142"/>
        <v>686</v>
      </c>
      <c r="AV699" s="147">
        <f>COUNTIF($AZ$14:AZ699,AZ699)</f>
        <v>131</v>
      </c>
      <c r="AW699" s="147">
        <f>IFERROR(COUNTIF(AX$14:$BL699,AX699),"")</f>
        <v>98</v>
      </c>
      <c r="AX699" s="148" t="str">
        <f t="shared" si="143"/>
        <v>Sat</v>
      </c>
      <c r="AY699" s="149">
        <f>'Raw Data'!A689</f>
        <v>42294</v>
      </c>
      <c r="AZ699" s="150" t="str">
        <f>'Raw Data'!E689</f>
        <v>No Email Drop</v>
      </c>
      <c r="BA699" s="150">
        <f>'Raw Data'!I689</f>
        <v>565</v>
      </c>
      <c r="BB699" s="112"/>
      <c r="BC699" s="112"/>
      <c r="BD699" s="112">
        <f>'Raw Data'!O689</f>
        <v>0</v>
      </c>
    </row>
    <row r="700" spans="23:56">
      <c r="W700" s="21"/>
      <c r="AC700" s="21"/>
      <c r="AD700" s="21"/>
      <c r="AE700" s="21"/>
      <c r="AS700" s="112" t="str">
        <f t="shared" si="141"/>
        <v/>
      </c>
      <c r="AT700" s="112" t="str">
        <f>IF(AS700="","",COUNTIF($AS$13:AS700,AS700))</f>
        <v/>
      </c>
      <c r="AU700" s="147">
        <f t="shared" si="142"/>
        <v>687</v>
      </c>
      <c r="AV700" s="147">
        <f>COUNTIF($AZ$14:AZ700,AZ700)</f>
        <v>14</v>
      </c>
      <c r="AW700" s="147">
        <f>IFERROR(COUNTIF(AX$14:$BL700,AX700),"")</f>
        <v>99</v>
      </c>
      <c r="AX700" s="148" t="str">
        <f t="shared" si="143"/>
        <v>Sun</v>
      </c>
      <c r="AY700" s="149">
        <f>'Raw Data'!A690</f>
        <v>42295</v>
      </c>
      <c r="AZ700" s="150" t="str">
        <f>'Raw Data'!E690</f>
        <v>$15 Off,FS on $49</v>
      </c>
      <c r="BA700" s="150">
        <f>'Raw Data'!I690</f>
        <v>601</v>
      </c>
      <c r="BB700" s="112"/>
      <c r="BC700" s="112"/>
      <c r="BD700" s="112">
        <f>'Raw Data'!O690</f>
        <v>1</v>
      </c>
    </row>
    <row r="701" spans="23:56">
      <c r="W701" s="21"/>
      <c r="AC701" s="21"/>
      <c r="AD701" s="21"/>
      <c r="AE701" s="21"/>
      <c r="AS701" s="112" t="str">
        <f t="shared" si="141"/>
        <v/>
      </c>
      <c r="AT701" s="112" t="str">
        <f>IF(AS701="","",COUNTIF($AS$13:AS701,AS701))</f>
        <v/>
      </c>
      <c r="AU701" s="147">
        <f t="shared" si="142"/>
        <v>688</v>
      </c>
      <c r="AV701" s="147">
        <f>COUNTIF($AZ$14:AZ701,AZ701)</f>
        <v>15</v>
      </c>
      <c r="AW701" s="147">
        <f>IFERROR(COUNTIF(AX$14:$BL701,AX701),"")</f>
        <v>99</v>
      </c>
      <c r="AX701" s="148" t="str">
        <f t="shared" si="143"/>
        <v>Mon</v>
      </c>
      <c r="AY701" s="149">
        <f>'Raw Data'!A691</f>
        <v>42296</v>
      </c>
      <c r="AZ701" s="150" t="str">
        <f>'Raw Data'!E691</f>
        <v>$15 Off,FS on $49</v>
      </c>
      <c r="BA701" s="150">
        <f>'Raw Data'!I691</f>
        <v>1219</v>
      </c>
      <c r="BB701" s="112"/>
      <c r="BC701" s="112"/>
      <c r="BD701" s="112">
        <f>'Raw Data'!O691</f>
        <v>1</v>
      </c>
    </row>
    <row r="702" spans="23:56">
      <c r="W702" s="21"/>
      <c r="AC702" s="21"/>
      <c r="AD702" s="21"/>
      <c r="AE702" s="21"/>
      <c r="AS702" s="112" t="str">
        <f t="shared" si="141"/>
        <v/>
      </c>
      <c r="AT702" s="112" t="str">
        <f>IF(AS702="","",COUNTIF($AS$13:AS702,AS702))</f>
        <v/>
      </c>
      <c r="AU702" s="147">
        <f t="shared" si="142"/>
        <v>689</v>
      </c>
      <c r="AV702" s="147">
        <f>COUNTIF($AZ$14:AZ702,AZ702)</f>
        <v>16</v>
      </c>
      <c r="AW702" s="147">
        <f>IFERROR(COUNTIF(AX$14:$BL702,AX702),"")</f>
        <v>99</v>
      </c>
      <c r="AX702" s="148" t="str">
        <f t="shared" si="143"/>
        <v>Tue</v>
      </c>
      <c r="AY702" s="149">
        <f>'Raw Data'!A692</f>
        <v>42297</v>
      </c>
      <c r="AZ702" s="150" t="str">
        <f>'Raw Data'!E692</f>
        <v>$15 Off,FS on $49</v>
      </c>
      <c r="BA702" s="150">
        <f>'Raw Data'!I692</f>
        <v>1136</v>
      </c>
      <c r="BB702" s="112"/>
      <c r="BC702" s="112"/>
      <c r="BD702" s="112">
        <f>'Raw Data'!O692</f>
        <v>2</v>
      </c>
    </row>
    <row r="703" spans="23:56">
      <c r="W703" s="21"/>
      <c r="AC703" s="21"/>
      <c r="AD703" s="21"/>
      <c r="AE703" s="21"/>
      <c r="AS703" s="112" t="str">
        <f t="shared" si="141"/>
        <v/>
      </c>
      <c r="AT703" s="112" t="str">
        <f>IF(AS703="","",COUNTIF($AS$13:AS703,AS703))</f>
        <v/>
      </c>
      <c r="AU703" s="147">
        <f t="shared" si="142"/>
        <v>690</v>
      </c>
      <c r="AV703" s="147">
        <f>COUNTIF($AZ$14:AZ703,AZ703)</f>
        <v>17</v>
      </c>
      <c r="AW703" s="147">
        <f>IFERROR(COUNTIF(AX$14:$BL703,AX703),"")</f>
        <v>99</v>
      </c>
      <c r="AX703" s="148" t="str">
        <f t="shared" si="143"/>
        <v>Wed</v>
      </c>
      <c r="AY703" s="149">
        <f>'Raw Data'!A693</f>
        <v>42298</v>
      </c>
      <c r="AZ703" s="150" t="str">
        <f>'Raw Data'!E693</f>
        <v>$15 Off,FS on $49</v>
      </c>
      <c r="BA703" s="150">
        <f>'Raw Data'!I693</f>
        <v>1119</v>
      </c>
      <c r="BB703" s="112"/>
      <c r="BC703" s="112"/>
      <c r="BD703" s="112">
        <f>'Raw Data'!O693</f>
        <v>1</v>
      </c>
    </row>
    <row r="704" spans="23:56">
      <c r="W704" s="21"/>
      <c r="AC704" s="21"/>
      <c r="AD704" s="21"/>
      <c r="AE704" s="21"/>
      <c r="AS704" s="112" t="str">
        <f t="shared" si="141"/>
        <v/>
      </c>
      <c r="AT704" s="112" t="str">
        <f>IF(AS704="","",COUNTIF($AS$13:AS704,AS704))</f>
        <v/>
      </c>
      <c r="AU704" s="147">
        <f t="shared" si="142"/>
        <v>691</v>
      </c>
      <c r="AV704" s="147">
        <f>COUNTIF($AZ$14:AZ704,AZ704)</f>
        <v>132</v>
      </c>
      <c r="AW704" s="147">
        <f>IFERROR(COUNTIF(AX$14:$BL704,AX704),"")</f>
        <v>99</v>
      </c>
      <c r="AX704" s="148" t="str">
        <f t="shared" si="143"/>
        <v>Thu</v>
      </c>
      <c r="AY704" s="149">
        <f>'Raw Data'!A694</f>
        <v>42299</v>
      </c>
      <c r="AZ704" s="150" t="str">
        <f>'Raw Data'!E694</f>
        <v>No Email Drop</v>
      </c>
      <c r="BA704" s="150">
        <f>'Raw Data'!I694</f>
        <v>1159</v>
      </c>
      <c r="BB704" s="112"/>
      <c r="BC704" s="112"/>
      <c r="BD704" s="112">
        <f>'Raw Data'!O694</f>
        <v>0</v>
      </c>
    </row>
    <row r="705" spans="23:56">
      <c r="W705" s="21"/>
      <c r="AC705" s="21"/>
      <c r="AD705" s="21"/>
      <c r="AE705" s="21"/>
      <c r="AS705" s="112" t="str">
        <f t="shared" si="141"/>
        <v/>
      </c>
      <c r="AT705" s="112" t="str">
        <f>IF(AS705="","",COUNTIF($AS$13:AS705,AS705))</f>
        <v/>
      </c>
      <c r="AU705" s="147">
        <f t="shared" si="142"/>
        <v>692</v>
      </c>
      <c r="AV705" s="147">
        <f>COUNTIF($AZ$14:AZ705,AZ705)</f>
        <v>133</v>
      </c>
      <c r="AW705" s="147">
        <f>IFERROR(COUNTIF(AX$14:$BL705,AX705),"")</f>
        <v>99</v>
      </c>
      <c r="AX705" s="148" t="str">
        <f t="shared" si="143"/>
        <v>Fri</v>
      </c>
      <c r="AY705" s="149">
        <f>'Raw Data'!A695</f>
        <v>42300</v>
      </c>
      <c r="AZ705" s="150" t="str">
        <f>'Raw Data'!E695</f>
        <v>No Email Drop</v>
      </c>
      <c r="BA705" s="150">
        <f>'Raw Data'!I695</f>
        <v>1184</v>
      </c>
      <c r="BB705" s="112"/>
      <c r="BC705" s="112"/>
      <c r="BD705" s="112">
        <f>'Raw Data'!O695</f>
        <v>0</v>
      </c>
    </row>
    <row r="706" spans="23:56">
      <c r="W706" s="21"/>
      <c r="AC706" s="21"/>
      <c r="AD706" s="21"/>
      <c r="AE706" s="21"/>
      <c r="AS706" s="112" t="str">
        <f t="shared" si="141"/>
        <v/>
      </c>
      <c r="AT706" s="112" t="str">
        <f>IF(AS706="","",COUNTIF($AS$13:AS706,AS706))</f>
        <v/>
      </c>
      <c r="AU706" s="147">
        <f t="shared" si="142"/>
        <v>693</v>
      </c>
      <c r="AV706" s="147">
        <f>COUNTIF($AZ$14:AZ706,AZ706)</f>
        <v>18</v>
      </c>
      <c r="AW706" s="147">
        <f>IFERROR(COUNTIF(AX$14:$BL706,AX706),"")</f>
        <v>99</v>
      </c>
      <c r="AX706" s="148" t="str">
        <f t="shared" si="143"/>
        <v>Sat</v>
      </c>
      <c r="AY706" s="149">
        <f>'Raw Data'!A696</f>
        <v>42301</v>
      </c>
      <c r="AZ706" s="150" t="str">
        <f>'Raw Data'!E696</f>
        <v>$15 Off,FS on $49</v>
      </c>
      <c r="BA706" s="150">
        <f>'Raw Data'!I696</f>
        <v>904</v>
      </c>
      <c r="BB706" s="112"/>
      <c r="BC706" s="112"/>
      <c r="BD706" s="112">
        <f>'Raw Data'!O696</f>
        <v>1</v>
      </c>
    </row>
    <row r="707" spans="23:56">
      <c r="W707" s="21"/>
      <c r="AC707" s="21"/>
      <c r="AD707" s="21"/>
      <c r="AE707" s="21"/>
      <c r="AS707" s="112" t="str">
        <f t="shared" si="141"/>
        <v/>
      </c>
      <c r="AT707" s="112" t="str">
        <f>IF(AS707="","",COUNTIF($AS$13:AS707,AS707))</f>
        <v/>
      </c>
      <c r="AU707" s="147">
        <f t="shared" si="142"/>
        <v>694</v>
      </c>
      <c r="AV707" s="147">
        <f>COUNTIF($AZ$14:AZ707,AZ707)</f>
        <v>4</v>
      </c>
      <c r="AW707" s="147">
        <f>IFERROR(COUNTIF(AX$14:$BL707,AX707),"")</f>
        <v>100</v>
      </c>
      <c r="AX707" s="148" t="str">
        <f t="shared" si="143"/>
        <v>Sun</v>
      </c>
      <c r="AY707" s="149">
        <f>'Raw Data'!A697</f>
        <v>42302</v>
      </c>
      <c r="AZ707" s="150" t="str">
        <f>'Raw Data'!E697</f>
        <v>30% Off,FS on $75</v>
      </c>
      <c r="BA707" s="150">
        <f>'Raw Data'!I697</f>
        <v>722</v>
      </c>
      <c r="BB707" s="112"/>
      <c r="BC707" s="112"/>
      <c r="BD707" s="112">
        <f>'Raw Data'!O697</f>
        <v>1</v>
      </c>
    </row>
    <row r="708" spans="23:56">
      <c r="W708" s="21"/>
      <c r="AC708" s="21"/>
      <c r="AD708" s="21"/>
      <c r="AE708" s="21"/>
      <c r="AS708" s="112" t="str">
        <f t="shared" si="141"/>
        <v/>
      </c>
      <c r="AT708" s="112" t="str">
        <f>IF(AS708="","",COUNTIF($AS$13:AS708,AS708))</f>
        <v/>
      </c>
      <c r="AU708" s="147">
        <f t="shared" si="142"/>
        <v>695</v>
      </c>
      <c r="AV708" s="147">
        <f>COUNTIF($AZ$14:AZ708,AZ708)</f>
        <v>5</v>
      </c>
      <c r="AW708" s="147">
        <f>IFERROR(COUNTIF(AX$14:$BL708,AX708),"")</f>
        <v>100</v>
      </c>
      <c r="AX708" s="148" t="str">
        <f t="shared" si="143"/>
        <v>Mon</v>
      </c>
      <c r="AY708" s="149">
        <f>'Raw Data'!A698</f>
        <v>42303</v>
      </c>
      <c r="AZ708" s="150" t="str">
        <f>'Raw Data'!E698</f>
        <v>30% Off,FS on $75</v>
      </c>
      <c r="BA708" s="150">
        <f>'Raw Data'!I698</f>
        <v>1744</v>
      </c>
      <c r="BB708" s="112"/>
      <c r="BC708" s="112"/>
      <c r="BD708" s="112">
        <f>'Raw Data'!O698</f>
        <v>2</v>
      </c>
    </row>
    <row r="709" spans="23:56">
      <c r="W709" s="21"/>
      <c r="AC709" s="21"/>
      <c r="AD709" s="21"/>
      <c r="AE709" s="21"/>
      <c r="AS709" s="112" t="str">
        <f t="shared" si="141"/>
        <v/>
      </c>
      <c r="AT709" s="112" t="str">
        <f>IF(AS709="","",COUNTIF($AS$13:AS709,AS709))</f>
        <v/>
      </c>
      <c r="AU709" s="147">
        <f t="shared" si="142"/>
        <v>696</v>
      </c>
      <c r="AV709" s="147">
        <f>COUNTIF($AZ$14:AZ709,AZ709)</f>
        <v>44</v>
      </c>
      <c r="AW709" s="147">
        <f>IFERROR(COUNTIF(AX$14:$BL709,AX709),"")</f>
        <v>100</v>
      </c>
      <c r="AX709" s="148" t="str">
        <f t="shared" si="143"/>
        <v>Tue</v>
      </c>
      <c r="AY709" s="149">
        <f>'Raw Data'!A699</f>
        <v>42304</v>
      </c>
      <c r="AZ709" s="150" t="str">
        <f>'Raw Data'!E699</f>
        <v>Up To 40% Off,FS on $49</v>
      </c>
      <c r="BA709" s="150">
        <f>'Raw Data'!I699</f>
        <v>1213</v>
      </c>
      <c r="BB709" s="112"/>
      <c r="BC709" s="112"/>
      <c r="BD709" s="112">
        <f>'Raw Data'!O699</f>
        <v>1</v>
      </c>
    </row>
    <row r="710" spans="23:56">
      <c r="W710" s="21"/>
      <c r="AC710" s="21"/>
      <c r="AD710" s="21"/>
      <c r="AE710" s="21"/>
      <c r="AS710" s="112" t="str">
        <f t="shared" si="141"/>
        <v/>
      </c>
      <c r="AT710" s="112" t="str">
        <f>IF(AS710="","",COUNTIF($AS$13:AS710,AS710))</f>
        <v/>
      </c>
      <c r="AU710" s="147">
        <f t="shared" si="142"/>
        <v>697</v>
      </c>
      <c r="AV710" s="147">
        <f>COUNTIF($AZ$14:AZ710,AZ710)</f>
        <v>44</v>
      </c>
      <c r="AW710" s="147">
        <f>IFERROR(COUNTIF(AX$14:$BL710,AX710),"")</f>
        <v>100</v>
      </c>
      <c r="AX710" s="148" t="str">
        <f t="shared" si="143"/>
        <v>Wed</v>
      </c>
      <c r="AY710" s="149">
        <f>'Raw Data'!A700</f>
        <v>42305</v>
      </c>
      <c r="AZ710" s="150" t="str">
        <f>'Raw Data'!E700</f>
        <v>Free Ship No Min</v>
      </c>
      <c r="BA710" s="150">
        <f>'Raw Data'!I700</f>
        <v>1174</v>
      </c>
      <c r="BB710" s="112"/>
      <c r="BC710" s="112"/>
      <c r="BD710" s="112">
        <f>'Raw Data'!O700</f>
        <v>1</v>
      </c>
    </row>
    <row r="711" spans="23:56">
      <c r="W711" s="21"/>
      <c r="AC711" s="21"/>
      <c r="AD711" s="21"/>
      <c r="AE711" s="21"/>
      <c r="AS711" s="112" t="str">
        <f t="shared" si="141"/>
        <v/>
      </c>
      <c r="AT711" s="112" t="str">
        <f>IF(AS711="","",COUNTIF($AS$13:AS711,AS711))</f>
        <v/>
      </c>
      <c r="AU711" s="147">
        <f t="shared" si="142"/>
        <v>698</v>
      </c>
      <c r="AV711" s="147">
        <f>COUNTIF($AZ$14:AZ711,AZ711)</f>
        <v>1</v>
      </c>
      <c r="AW711" s="147">
        <f>IFERROR(COUNTIF(AX$14:$BL711,AX711),"")</f>
        <v>100</v>
      </c>
      <c r="AX711" s="148" t="str">
        <f t="shared" si="143"/>
        <v>Thu</v>
      </c>
      <c r="AY711" s="149">
        <f>'Raw Data'!A701</f>
        <v>42306</v>
      </c>
      <c r="AZ711" s="150" t="str">
        <f>'Raw Data'!E701</f>
        <v>10% Off, FS on $49</v>
      </c>
      <c r="BA711" s="150">
        <f>'Raw Data'!I701</f>
        <v>1128</v>
      </c>
      <c r="BB711" s="112"/>
      <c r="BC711" s="112"/>
      <c r="BD711" s="112">
        <f>'Raw Data'!O701</f>
        <v>1</v>
      </c>
    </row>
    <row r="712" spans="23:56">
      <c r="W712" s="21"/>
      <c r="AC712" s="21"/>
      <c r="AD712" s="21"/>
      <c r="AE712" s="21"/>
      <c r="AS712" s="112" t="str">
        <f t="shared" si="141"/>
        <v/>
      </c>
      <c r="AT712" s="112" t="str">
        <f>IF(AS712="","",COUNTIF($AS$13:AS712,AS712))</f>
        <v/>
      </c>
      <c r="AU712" s="147">
        <f t="shared" si="142"/>
        <v>699</v>
      </c>
      <c r="AV712" s="147">
        <f>COUNTIF($AZ$14:AZ712,AZ712)</f>
        <v>6</v>
      </c>
      <c r="AW712" s="147">
        <f>IFERROR(COUNTIF(AX$14:$BL712,AX712),"")</f>
        <v>100</v>
      </c>
      <c r="AX712" s="148" t="str">
        <f t="shared" si="143"/>
        <v>Fri</v>
      </c>
      <c r="AY712" s="149">
        <f>'Raw Data'!A702</f>
        <v>42307</v>
      </c>
      <c r="AZ712" s="150" t="str">
        <f>'Raw Data'!E702</f>
        <v>30% Off,FS on $75</v>
      </c>
      <c r="BA712" s="150">
        <f>'Raw Data'!I702</f>
        <v>1148</v>
      </c>
      <c r="BB712" s="112"/>
      <c r="BC712" s="112"/>
      <c r="BD712" s="112">
        <f>'Raw Data'!O702</f>
        <v>2</v>
      </c>
    </row>
    <row r="713" spans="23:56">
      <c r="W713" s="21"/>
      <c r="AC713" s="21"/>
      <c r="AD713" s="21"/>
      <c r="AE713" s="21"/>
      <c r="AS713" s="112" t="str">
        <f t="shared" si="141"/>
        <v/>
      </c>
      <c r="AT713" s="112" t="str">
        <f>IF(AS713="","",COUNTIF($AS$13:AS713,AS713))</f>
        <v/>
      </c>
      <c r="AU713" s="147">
        <f t="shared" si="142"/>
        <v>700</v>
      </c>
      <c r="AV713" s="147">
        <f>COUNTIF($AZ$14:AZ713,AZ713)</f>
        <v>7</v>
      </c>
      <c r="AW713" s="147">
        <f>IFERROR(COUNTIF(AX$14:$BL713,AX713),"")</f>
        <v>100</v>
      </c>
      <c r="AX713" s="148" t="str">
        <f t="shared" si="143"/>
        <v>Sat</v>
      </c>
      <c r="AY713" s="149">
        <f>'Raw Data'!A703</f>
        <v>42308</v>
      </c>
      <c r="AZ713" s="150" t="str">
        <f>'Raw Data'!E703</f>
        <v>30% Off,FS on $75</v>
      </c>
      <c r="BA713" s="150">
        <f>'Raw Data'!I703</f>
        <v>838</v>
      </c>
      <c r="BB713" s="112"/>
      <c r="BC713" s="112"/>
      <c r="BD713" s="112">
        <f>'Raw Data'!O703</f>
        <v>1</v>
      </c>
    </row>
    <row r="714" spans="23:56">
      <c r="W714" s="21"/>
      <c r="AC714" s="21"/>
      <c r="AD714" s="21"/>
      <c r="AE714" s="21"/>
      <c r="AS714" s="112" t="str">
        <f t="shared" ref="AS714:AS769" si="144">IFERROR(IF(FIND($AT$12,AZ714)&gt;0,1,0),"")</f>
        <v/>
      </c>
      <c r="AT714" s="112" t="str">
        <f>IF(AS714="","",COUNTIF($AS$13:AS714,AS714))</f>
        <v/>
      </c>
      <c r="AU714" s="147">
        <f t="shared" si="142"/>
        <v>701</v>
      </c>
      <c r="AV714" s="147">
        <f>COUNTIF($AZ$14:AZ714,AZ714)</f>
        <v>8</v>
      </c>
      <c r="AW714" s="147">
        <f>IFERROR(COUNTIF(AX$14:$BL714,AX714),"")</f>
        <v>101</v>
      </c>
      <c r="AX714" s="148" t="str">
        <f t="shared" ref="AX714:AX769" si="145">TEXT(AY714,"ddd")</f>
        <v>Sun</v>
      </c>
      <c r="AY714" s="149">
        <f>'Raw Data'!A704</f>
        <v>42309</v>
      </c>
      <c r="AZ714" s="150" t="str">
        <f>'Raw Data'!E704</f>
        <v>30% Off,FS on $75</v>
      </c>
      <c r="BA714" s="150">
        <f>'Raw Data'!I704</f>
        <v>882</v>
      </c>
      <c r="BB714" s="112"/>
      <c r="BC714" s="112"/>
      <c r="BD714" s="112">
        <f>'Raw Data'!O704</f>
        <v>2</v>
      </c>
    </row>
    <row r="715" spans="23:56">
      <c r="W715" s="21"/>
      <c r="AC715" s="21"/>
      <c r="AD715" s="21"/>
      <c r="AE715" s="21"/>
      <c r="AS715" s="112" t="str">
        <f t="shared" si="144"/>
        <v/>
      </c>
      <c r="AT715" s="112" t="str">
        <f>IF(AS715="","",COUNTIF($AS$13:AS715,AS715))</f>
        <v/>
      </c>
      <c r="AU715" s="147">
        <f t="shared" si="142"/>
        <v>702</v>
      </c>
      <c r="AV715" s="147">
        <f>COUNTIF($AZ$14:AZ715,AZ715)</f>
        <v>11</v>
      </c>
      <c r="AW715" s="147">
        <f>IFERROR(COUNTIF(AX$14:$BL715,AX715),"")</f>
        <v>101</v>
      </c>
      <c r="AX715" s="148" t="str">
        <f t="shared" si="145"/>
        <v>Mon</v>
      </c>
      <c r="AY715" s="149">
        <f>'Raw Data'!A705</f>
        <v>42310</v>
      </c>
      <c r="AZ715" s="150" t="str">
        <f>'Raw Data'!E705</f>
        <v>$15 Off,FS on $75</v>
      </c>
      <c r="BA715" s="150">
        <f>'Raw Data'!I705</f>
        <v>1310</v>
      </c>
      <c r="BB715" s="112"/>
      <c r="BC715" s="112"/>
      <c r="BD715" s="112">
        <f>'Raw Data'!O705</f>
        <v>1</v>
      </c>
    </row>
    <row r="716" spans="23:56">
      <c r="W716" s="21"/>
      <c r="AC716" s="21"/>
      <c r="AD716" s="21"/>
      <c r="AE716" s="21"/>
      <c r="AS716" s="112" t="str">
        <f t="shared" si="144"/>
        <v/>
      </c>
      <c r="AT716" s="112" t="str">
        <f>IF(AS716="","",COUNTIF($AS$13:AS716,AS716))</f>
        <v/>
      </c>
      <c r="AU716" s="147">
        <f t="shared" si="142"/>
        <v>703</v>
      </c>
      <c r="AV716" s="147">
        <f>COUNTIF($AZ$14:AZ716,AZ716)</f>
        <v>45</v>
      </c>
      <c r="AW716" s="147">
        <f>IFERROR(COUNTIF(AX$14:$BL716,AX716),"")</f>
        <v>101</v>
      </c>
      <c r="AX716" s="148" t="str">
        <f t="shared" si="145"/>
        <v>Tue</v>
      </c>
      <c r="AY716" s="149">
        <f>'Raw Data'!A706</f>
        <v>42311</v>
      </c>
      <c r="AZ716" s="150" t="str">
        <f>'Raw Data'!E706</f>
        <v>Up To 40% Off,FS on $49</v>
      </c>
      <c r="BA716" s="150">
        <f>'Raw Data'!I706</f>
        <v>1121</v>
      </c>
      <c r="BB716" s="112"/>
      <c r="BC716" s="112"/>
      <c r="BD716" s="112">
        <f>'Raw Data'!O706</f>
        <v>1</v>
      </c>
    </row>
    <row r="717" spans="23:56">
      <c r="W717" s="21"/>
      <c r="AC717" s="21"/>
      <c r="AD717" s="21"/>
      <c r="AE717" s="21"/>
      <c r="AS717" s="112" t="str">
        <f t="shared" si="144"/>
        <v/>
      </c>
      <c r="AT717" s="112" t="str">
        <f>IF(AS717="","",COUNTIF($AS$13:AS717,AS717))</f>
        <v/>
      </c>
      <c r="AU717" s="147">
        <f t="shared" si="142"/>
        <v>704</v>
      </c>
      <c r="AV717" s="147">
        <f>COUNTIF($AZ$14:AZ717,AZ717)</f>
        <v>12</v>
      </c>
      <c r="AW717" s="147">
        <f>IFERROR(COUNTIF(AX$14:$BL717,AX717),"")</f>
        <v>101</v>
      </c>
      <c r="AX717" s="148" t="str">
        <f t="shared" si="145"/>
        <v>Wed</v>
      </c>
      <c r="AY717" s="149">
        <f>'Raw Data'!A707</f>
        <v>42312</v>
      </c>
      <c r="AZ717" s="150" t="str">
        <f>'Raw Data'!E707</f>
        <v>$15 Off,FS on $75</v>
      </c>
      <c r="BA717" s="150">
        <f>'Raw Data'!I707</f>
        <v>1144</v>
      </c>
      <c r="BB717" s="112"/>
      <c r="BC717" s="112"/>
      <c r="BD717" s="112">
        <f>'Raw Data'!O707</f>
        <v>1</v>
      </c>
    </row>
    <row r="718" spans="23:56">
      <c r="W718" s="21"/>
      <c r="AC718" s="21"/>
      <c r="AD718" s="21"/>
      <c r="AE718" s="21"/>
      <c r="AS718" s="112" t="str">
        <f t="shared" si="144"/>
        <v/>
      </c>
      <c r="AT718" s="112" t="str">
        <f>IF(AS718="","",COUNTIF($AS$13:AS718,AS718))</f>
        <v/>
      </c>
      <c r="AU718" s="147">
        <f t="shared" si="142"/>
        <v>705</v>
      </c>
      <c r="AV718" s="147">
        <f>COUNTIF($AZ$14:AZ718,AZ718)</f>
        <v>134</v>
      </c>
      <c r="AW718" s="147">
        <f>IFERROR(COUNTIF(AX$14:$BL718,AX718),"")</f>
        <v>101</v>
      </c>
      <c r="AX718" s="148" t="str">
        <f t="shared" si="145"/>
        <v>Thu</v>
      </c>
      <c r="AY718" s="149">
        <f>'Raw Data'!A708</f>
        <v>42313</v>
      </c>
      <c r="AZ718" s="150" t="str">
        <f>'Raw Data'!E708</f>
        <v>No Email Drop</v>
      </c>
      <c r="BA718" s="150">
        <f>'Raw Data'!I708</f>
        <v>1212</v>
      </c>
      <c r="BB718" s="112"/>
      <c r="BC718" s="112"/>
      <c r="BD718" s="112">
        <f>'Raw Data'!O708</f>
        <v>0</v>
      </c>
    </row>
    <row r="719" spans="23:56">
      <c r="W719" s="21"/>
      <c r="AC719" s="21"/>
      <c r="AD719" s="21"/>
      <c r="AE719" s="21"/>
      <c r="AS719" s="112" t="str">
        <f t="shared" si="144"/>
        <v/>
      </c>
      <c r="AT719" s="112" t="str">
        <f>IF(AS719="","",COUNTIF($AS$13:AS719,AS719))</f>
        <v/>
      </c>
      <c r="AU719" s="147">
        <f t="shared" si="142"/>
        <v>706</v>
      </c>
      <c r="AV719" s="147">
        <f>COUNTIF($AZ$14:AZ719,AZ719)</f>
        <v>15</v>
      </c>
      <c r="AW719" s="147">
        <f>IFERROR(COUNTIF(AX$14:$BL719,AX719),"")</f>
        <v>101</v>
      </c>
      <c r="AX719" s="148" t="str">
        <f t="shared" si="145"/>
        <v>Fri</v>
      </c>
      <c r="AY719" s="149">
        <f>'Raw Data'!A709</f>
        <v>42314</v>
      </c>
      <c r="AZ719" s="150" t="str">
        <f>'Raw Data'!E709</f>
        <v>$10 Off Promo</v>
      </c>
      <c r="BA719" s="150">
        <f>'Raw Data'!I709</f>
        <v>1240</v>
      </c>
      <c r="BB719" s="112"/>
      <c r="BC719" s="112"/>
      <c r="BD719" s="112">
        <f>'Raw Data'!O709</f>
        <v>1</v>
      </c>
    </row>
    <row r="720" spans="23:56">
      <c r="W720" s="21"/>
      <c r="AC720" s="21"/>
      <c r="AD720" s="21"/>
      <c r="AE720" s="21"/>
      <c r="AS720" s="112" t="str">
        <f t="shared" si="144"/>
        <v/>
      </c>
      <c r="AT720" s="112" t="str">
        <f>IF(AS720="","",COUNTIF($AS$13:AS720,AS720))</f>
        <v/>
      </c>
      <c r="AU720" s="147">
        <f t="shared" si="142"/>
        <v>707</v>
      </c>
      <c r="AV720" s="147">
        <f>COUNTIF($AZ$14:AZ720,AZ720)</f>
        <v>33</v>
      </c>
      <c r="AW720" s="147">
        <f>IFERROR(COUNTIF(AX$14:$BL720,AX720),"")</f>
        <v>101</v>
      </c>
      <c r="AX720" s="148" t="str">
        <f t="shared" si="145"/>
        <v>Sat</v>
      </c>
      <c r="AY720" s="149">
        <f>'Raw Data'!A710</f>
        <v>42315</v>
      </c>
      <c r="AZ720" s="150" t="str">
        <f>'Raw Data'!E710</f>
        <v>20% Off,FS on $49</v>
      </c>
      <c r="BA720" s="150">
        <f>'Raw Data'!I710</f>
        <v>937</v>
      </c>
      <c r="BB720" s="112"/>
      <c r="BC720" s="112"/>
      <c r="BD720" s="112">
        <f>'Raw Data'!O710</f>
        <v>2</v>
      </c>
    </row>
    <row r="721" spans="23:56">
      <c r="W721" s="21"/>
      <c r="AC721" s="21"/>
      <c r="AD721" s="21"/>
      <c r="AE721" s="21"/>
      <c r="AS721" s="112" t="str">
        <f t="shared" si="144"/>
        <v/>
      </c>
      <c r="AT721" s="112" t="str">
        <f>IF(AS721="","",COUNTIF($AS$13:AS721,AS721))</f>
        <v/>
      </c>
      <c r="AU721" s="147">
        <f t="shared" si="142"/>
        <v>708</v>
      </c>
      <c r="AV721" s="147">
        <f>COUNTIF($AZ$14:AZ721,AZ721)</f>
        <v>34</v>
      </c>
      <c r="AW721" s="147">
        <f>IFERROR(COUNTIF(AX$14:$BL721,AX721),"")</f>
        <v>102</v>
      </c>
      <c r="AX721" s="148" t="str">
        <f t="shared" si="145"/>
        <v>Sun</v>
      </c>
      <c r="AY721" s="149">
        <f>'Raw Data'!A711</f>
        <v>42316</v>
      </c>
      <c r="AZ721" s="150" t="str">
        <f>'Raw Data'!E711</f>
        <v>20% Off,FS on $49</v>
      </c>
      <c r="BA721" s="150">
        <f>'Raw Data'!I711</f>
        <v>859</v>
      </c>
      <c r="BB721" s="112"/>
      <c r="BC721" s="112"/>
      <c r="BD721" s="112">
        <f>'Raw Data'!O711</f>
        <v>2</v>
      </c>
    </row>
    <row r="722" spans="23:56">
      <c r="W722" s="21"/>
      <c r="AC722" s="21"/>
      <c r="AD722" s="21"/>
      <c r="AE722" s="21"/>
      <c r="AS722" s="112" t="str">
        <f t="shared" si="144"/>
        <v/>
      </c>
      <c r="AT722" s="112" t="str">
        <f>IF(AS722="","",COUNTIF($AS$13:AS722,AS722))</f>
        <v/>
      </c>
      <c r="AU722" s="147">
        <f t="shared" si="142"/>
        <v>709</v>
      </c>
      <c r="AV722" s="147">
        <f>COUNTIF($AZ$14:AZ722,AZ722)</f>
        <v>27</v>
      </c>
      <c r="AW722" s="147">
        <f>IFERROR(COUNTIF(AX$14:$BL722,AX722),"")</f>
        <v>102</v>
      </c>
      <c r="AX722" s="148" t="str">
        <f t="shared" si="145"/>
        <v>Mon</v>
      </c>
      <c r="AY722" s="149">
        <f>'Raw Data'!A712</f>
        <v>42317</v>
      </c>
      <c r="AZ722" s="150" t="str">
        <f>'Raw Data'!E712</f>
        <v>25% Off,FS on $49</v>
      </c>
      <c r="BA722" s="150">
        <f>'Raw Data'!I712</f>
        <v>1514</v>
      </c>
      <c r="BB722" s="112"/>
      <c r="BC722" s="112"/>
      <c r="BD722" s="112">
        <f>'Raw Data'!O712</f>
        <v>2</v>
      </c>
    </row>
    <row r="723" spans="23:56">
      <c r="W723" s="21"/>
      <c r="AC723" s="21"/>
      <c r="AD723" s="21"/>
      <c r="AE723" s="21"/>
      <c r="AS723" s="112" t="str">
        <f t="shared" si="144"/>
        <v/>
      </c>
      <c r="AT723" s="112" t="str">
        <f>IF(AS723="","",COUNTIF($AS$13:AS723,AS723))</f>
        <v/>
      </c>
      <c r="AU723" s="147">
        <f t="shared" si="142"/>
        <v>710</v>
      </c>
      <c r="AV723" s="147">
        <f>COUNTIF($AZ$14:AZ723,AZ723)</f>
        <v>28</v>
      </c>
      <c r="AW723" s="147">
        <f>IFERROR(COUNTIF(AX$14:$BL723,AX723),"")</f>
        <v>102</v>
      </c>
      <c r="AX723" s="148" t="str">
        <f t="shared" si="145"/>
        <v>Tue</v>
      </c>
      <c r="AY723" s="149">
        <f>'Raw Data'!A713</f>
        <v>42318</v>
      </c>
      <c r="AZ723" s="150" t="str">
        <f>'Raw Data'!E713</f>
        <v>25% Off,FS on $49</v>
      </c>
      <c r="BA723" s="150">
        <f>'Raw Data'!I713</f>
        <v>1537</v>
      </c>
      <c r="BB723" s="112"/>
      <c r="BC723" s="112"/>
      <c r="BD723" s="112">
        <f>'Raw Data'!O713</f>
        <v>2</v>
      </c>
    </row>
    <row r="724" spans="23:56">
      <c r="W724" s="21"/>
      <c r="AC724" s="21"/>
      <c r="AD724" s="21"/>
      <c r="AE724" s="21"/>
      <c r="AS724" s="112" t="str">
        <f t="shared" si="144"/>
        <v/>
      </c>
      <c r="AT724" s="112" t="str">
        <f>IF(AS724="","",COUNTIF($AS$13:AS724,AS724))</f>
        <v/>
      </c>
      <c r="AU724" s="147">
        <f t="shared" si="142"/>
        <v>711</v>
      </c>
      <c r="AV724" s="147">
        <f>COUNTIF($AZ$14:AZ724,AZ724)</f>
        <v>45</v>
      </c>
      <c r="AW724" s="147">
        <f>IFERROR(COUNTIF(AX$14:$BL724,AX724),"")</f>
        <v>102</v>
      </c>
      <c r="AX724" s="148" t="str">
        <f t="shared" si="145"/>
        <v>Wed</v>
      </c>
      <c r="AY724" s="149">
        <f>'Raw Data'!A714</f>
        <v>42319</v>
      </c>
      <c r="AZ724" s="150" t="str">
        <f>'Raw Data'!E714</f>
        <v>Free Ship No Min</v>
      </c>
      <c r="BA724" s="150">
        <f>'Raw Data'!I714</f>
        <v>1661</v>
      </c>
      <c r="BB724" s="112"/>
      <c r="BC724" s="112"/>
      <c r="BD724" s="112">
        <f>'Raw Data'!O714</f>
        <v>2</v>
      </c>
    </row>
    <row r="725" spans="23:56">
      <c r="W725" s="21"/>
      <c r="AC725" s="21"/>
      <c r="AD725" s="21"/>
      <c r="AE725" s="21"/>
      <c r="AS725" s="112" t="str">
        <f t="shared" si="144"/>
        <v/>
      </c>
      <c r="AT725" s="112" t="str">
        <f>IF(AS725="","",COUNTIF($AS$13:AS725,AS725))</f>
        <v/>
      </c>
      <c r="AU725" s="147">
        <f t="shared" si="142"/>
        <v>712</v>
      </c>
      <c r="AV725" s="147">
        <f>COUNTIF($AZ$14:AZ725,AZ725)</f>
        <v>46</v>
      </c>
      <c r="AW725" s="147">
        <f>IFERROR(COUNTIF(AX$14:$BL725,AX725),"")</f>
        <v>102</v>
      </c>
      <c r="AX725" s="148" t="str">
        <f t="shared" si="145"/>
        <v>Thu</v>
      </c>
      <c r="AY725" s="149">
        <f>'Raw Data'!A715</f>
        <v>42320</v>
      </c>
      <c r="AZ725" s="150" t="str">
        <f>'Raw Data'!E715</f>
        <v>Free Ship No Min</v>
      </c>
      <c r="BA725" s="150">
        <f>'Raw Data'!I715</f>
        <v>1244</v>
      </c>
      <c r="BB725" s="112"/>
      <c r="BC725" s="112"/>
      <c r="BD725" s="112">
        <f>'Raw Data'!O715</f>
        <v>1</v>
      </c>
    </row>
    <row r="726" spans="23:56">
      <c r="W726" s="21"/>
      <c r="AC726" s="21"/>
      <c r="AD726" s="21"/>
      <c r="AE726" s="21"/>
      <c r="AS726" s="112" t="str">
        <f t="shared" si="144"/>
        <v/>
      </c>
      <c r="AT726" s="112" t="str">
        <f>IF(AS726="","",COUNTIF($AS$13:AS726,AS726))</f>
        <v/>
      </c>
      <c r="AU726" s="147">
        <f t="shared" si="142"/>
        <v>713</v>
      </c>
      <c r="AV726" s="147">
        <f>COUNTIF($AZ$14:AZ726,AZ726)</f>
        <v>2</v>
      </c>
      <c r="AW726" s="147">
        <f>IFERROR(COUNTIF(AX$14:$BL726,AX726),"")</f>
        <v>102</v>
      </c>
      <c r="AX726" s="148" t="str">
        <f t="shared" si="145"/>
        <v>Fri</v>
      </c>
      <c r="AY726" s="149">
        <f>'Raw Data'!A716</f>
        <v>42321</v>
      </c>
      <c r="AZ726" s="150" t="str">
        <f>'Raw Data'!E716</f>
        <v>$13 Off,FS on $49</v>
      </c>
      <c r="BA726" s="150">
        <f>'Raw Data'!I716</f>
        <v>1139</v>
      </c>
      <c r="BB726" s="112"/>
      <c r="BC726" s="112"/>
      <c r="BD726" s="112">
        <f>'Raw Data'!O716</f>
        <v>2</v>
      </c>
    </row>
    <row r="727" spans="23:56">
      <c r="W727" s="21"/>
      <c r="AC727" s="21"/>
      <c r="AD727" s="21"/>
      <c r="AE727" s="21"/>
      <c r="AS727" s="112" t="str">
        <f t="shared" si="144"/>
        <v/>
      </c>
      <c r="AT727" s="112" t="str">
        <f>IF(AS727="","",COUNTIF($AS$13:AS727,AS727))</f>
        <v/>
      </c>
      <c r="AU727" s="147">
        <f t="shared" si="142"/>
        <v>714</v>
      </c>
      <c r="AV727" s="147">
        <f>COUNTIF($AZ$14:AZ727,AZ727)</f>
        <v>46</v>
      </c>
      <c r="AW727" s="147">
        <f>IFERROR(COUNTIF(AX$14:$BL727,AX727),"")</f>
        <v>102</v>
      </c>
      <c r="AX727" s="148" t="str">
        <f t="shared" si="145"/>
        <v>Sat</v>
      </c>
      <c r="AY727" s="149">
        <f>'Raw Data'!A717</f>
        <v>42322</v>
      </c>
      <c r="AZ727" s="150" t="str">
        <f>'Raw Data'!E717</f>
        <v>Up To 40% Off,FS on $49</v>
      </c>
      <c r="BA727" s="150">
        <f>'Raw Data'!I717</f>
        <v>912</v>
      </c>
      <c r="BB727" s="112"/>
      <c r="BC727" s="112"/>
      <c r="BD727" s="112">
        <f>'Raw Data'!O717</f>
        <v>2</v>
      </c>
    </row>
    <row r="728" spans="23:56">
      <c r="W728" s="21"/>
      <c r="AC728" s="21"/>
      <c r="AD728" s="21"/>
      <c r="AE728" s="21"/>
      <c r="AS728" s="112" t="str">
        <f t="shared" si="144"/>
        <v/>
      </c>
      <c r="AT728" s="112" t="str">
        <f>IF(AS728="","",COUNTIF($AS$13:AS728,AS728))</f>
        <v/>
      </c>
      <c r="AU728" s="147">
        <f t="shared" si="142"/>
        <v>715</v>
      </c>
      <c r="AV728" s="147">
        <f>COUNTIF($AZ$14:AZ728,AZ728)</f>
        <v>11</v>
      </c>
      <c r="AW728" s="147">
        <f>IFERROR(COUNTIF(AX$14:$BL728,AX728),"")</f>
        <v>103</v>
      </c>
      <c r="AX728" s="148" t="str">
        <f t="shared" si="145"/>
        <v>Sun</v>
      </c>
      <c r="AY728" s="149">
        <f>'Raw Data'!A718</f>
        <v>42323</v>
      </c>
      <c r="AZ728" s="150" t="str">
        <f>'Raw Data'!E718</f>
        <v>30-50% Off,FS on $49</v>
      </c>
      <c r="BA728" s="150">
        <f>'Raw Data'!I718</f>
        <v>706</v>
      </c>
      <c r="BB728" s="112"/>
      <c r="BC728" s="112"/>
      <c r="BD728" s="112">
        <f>'Raw Data'!O718</f>
        <v>2</v>
      </c>
    </row>
    <row r="729" spans="23:56">
      <c r="W729" s="21"/>
      <c r="AC729" s="21"/>
      <c r="AD729" s="21"/>
      <c r="AE729" s="21"/>
      <c r="AS729" s="112" t="str">
        <f t="shared" si="144"/>
        <v/>
      </c>
      <c r="AT729" s="112" t="str">
        <f>IF(AS729="","",COUNTIF($AS$13:AS729,AS729))</f>
        <v/>
      </c>
      <c r="AU729" s="147">
        <f t="shared" si="142"/>
        <v>716</v>
      </c>
      <c r="AV729" s="147">
        <f>COUNTIF($AZ$14:AZ729,AZ729)</f>
        <v>12</v>
      </c>
      <c r="AW729" s="147">
        <f>IFERROR(COUNTIF(AX$14:$BL729,AX729),"")</f>
        <v>103</v>
      </c>
      <c r="AX729" s="148" t="str">
        <f t="shared" si="145"/>
        <v>Mon</v>
      </c>
      <c r="AY729" s="149">
        <f>'Raw Data'!A719</f>
        <v>42324</v>
      </c>
      <c r="AZ729" s="150" t="str">
        <f>'Raw Data'!E719</f>
        <v>30-50% Off,FS on $49</v>
      </c>
      <c r="BA729" s="150">
        <f>'Raw Data'!I719</f>
        <v>1331</v>
      </c>
      <c r="BB729" s="112"/>
      <c r="BC729" s="112"/>
      <c r="BD729" s="112">
        <f>'Raw Data'!O719</f>
        <v>1</v>
      </c>
    </row>
    <row r="730" spans="23:56">
      <c r="W730" s="21"/>
      <c r="AC730" s="21"/>
      <c r="AD730" s="21"/>
      <c r="AE730" s="21"/>
      <c r="AS730" s="112" t="str">
        <f t="shared" si="144"/>
        <v/>
      </c>
      <c r="AT730" s="112" t="str">
        <f>IF(AS730="","",COUNTIF($AS$13:AS730,AS730))</f>
        <v/>
      </c>
      <c r="AU730" s="147">
        <f t="shared" si="142"/>
        <v>717</v>
      </c>
      <c r="AV730" s="147">
        <f>COUNTIF($AZ$14:AZ730,AZ730)</f>
        <v>13</v>
      </c>
      <c r="AW730" s="147">
        <f>IFERROR(COUNTIF(AX$14:$BL730,AX730),"")</f>
        <v>103</v>
      </c>
      <c r="AX730" s="148" t="str">
        <f t="shared" si="145"/>
        <v>Tue</v>
      </c>
      <c r="AY730" s="149">
        <f>'Raw Data'!A720</f>
        <v>42325</v>
      </c>
      <c r="AZ730" s="150" t="str">
        <f>'Raw Data'!E720</f>
        <v>30-50% Off,FS on $49</v>
      </c>
      <c r="BA730" s="150">
        <f>'Raw Data'!I720</f>
        <v>1060</v>
      </c>
      <c r="BB730" s="112"/>
      <c r="BC730" s="112"/>
      <c r="BD730" s="112">
        <f>'Raw Data'!O720</f>
        <v>1</v>
      </c>
    </row>
    <row r="731" spans="23:56">
      <c r="W731" s="21"/>
      <c r="AC731" s="21"/>
      <c r="AD731" s="21"/>
      <c r="AE731" s="21"/>
      <c r="AS731" s="112" t="str">
        <f t="shared" si="144"/>
        <v/>
      </c>
      <c r="AT731" s="112" t="str">
        <f>IF(AS731="","",COUNTIF($AS$13:AS731,AS731))</f>
        <v/>
      </c>
      <c r="AU731" s="147">
        <f t="shared" si="142"/>
        <v>718</v>
      </c>
      <c r="AV731" s="147">
        <f>COUNTIF($AZ$14:AZ731,AZ731)</f>
        <v>14</v>
      </c>
      <c r="AW731" s="147">
        <f>IFERROR(COUNTIF(AX$14:$BL731,AX731),"")</f>
        <v>103</v>
      </c>
      <c r="AX731" s="148" t="str">
        <f t="shared" si="145"/>
        <v>Wed</v>
      </c>
      <c r="AY731" s="149">
        <f>'Raw Data'!A721</f>
        <v>42326</v>
      </c>
      <c r="AZ731" s="150" t="str">
        <f>'Raw Data'!E721</f>
        <v>30-50% Off,FS on $49</v>
      </c>
      <c r="BA731" s="150">
        <f>'Raw Data'!I721</f>
        <v>1052</v>
      </c>
      <c r="BB731" s="112"/>
      <c r="BC731" s="112"/>
      <c r="BD731" s="112">
        <f>'Raw Data'!O721</f>
        <v>1</v>
      </c>
    </row>
    <row r="732" spans="23:56">
      <c r="W732" s="21"/>
      <c r="AC732" s="21"/>
      <c r="AD732" s="21"/>
      <c r="AE732" s="21"/>
      <c r="AS732" s="112" t="str">
        <f t="shared" si="144"/>
        <v/>
      </c>
      <c r="AT732" s="112" t="str">
        <f>IF(AS732="","",COUNTIF($AS$13:AS732,AS732))</f>
        <v/>
      </c>
      <c r="AU732" s="147">
        <f t="shared" si="142"/>
        <v>719</v>
      </c>
      <c r="AV732" s="147">
        <f>COUNTIF($AZ$14:AZ732,AZ732)</f>
        <v>15</v>
      </c>
      <c r="AW732" s="147">
        <f>IFERROR(COUNTIF(AX$14:$BL732,AX732),"")</f>
        <v>103</v>
      </c>
      <c r="AX732" s="148" t="str">
        <f t="shared" si="145"/>
        <v>Thu</v>
      </c>
      <c r="AY732" s="149">
        <f>'Raw Data'!A722</f>
        <v>42327</v>
      </c>
      <c r="AZ732" s="150" t="str">
        <f>'Raw Data'!E722</f>
        <v>30-50% Off,FS on $49</v>
      </c>
      <c r="BA732" s="150">
        <f>'Raw Data'!I722</f>
        <v>1143</v>
      </c>
      <c r="BB732" s="112"/>
      <c r="BC732" s="112"/>
      <c r="BD732" s="112">
        <f>'Raw Data'!O722</f>
        <v>1</v>
      </c>
    </row>
    <row r="733" spans="23:56">
      <c r="W733" s="21"/>
      <c r="AC733" s="21"/>
      <c r="AD733" s="21"/>
      <c r="AE733" s="21"/>
      <c r="AS733" s="112" t="str">
        <f t="shared" si="144"/>
        <v/>
      </c>
      <c r="AT733" s="112" t="str">
        <f>IF(AS733="","",COUNTIF($AS$13:AS733,AS733))</f>
        <v/>
      </c>
      <c r="AU733" s="147">
        <f t="shared" si="142"/>
        <v>720</v>
      </c>
      <c r="AV733" s="147">
        <f>COUNTIF($AZ$14:AZ733,AZ733)</f>
        <v>47</v>
      </c>
      <c r="AW733" s="147">
        <f>IFERROR(COUNTIF(AX$14:$BL733,AX733),"")</f>
        <v>103</v>
      </c>
      <c r="AX733" s="148" t="str">
        <f t="shared" si="145"/>
        <v>Fri</v>
      </c>
      <c r="AY733" s="149">
        <f>'Raw Data'!A723</f>
        <v>42328</v>
      </c>
      <c r="AZ733" s="150" t="str">
        <f>'Raw Data'!E723</f>
        <v>Up To 40% Off,FS on $49</v>
      </c>
      <c r="BA733" s="150">
        <f>'Raw Data'!I723</f>
        <v>914</v>
      </c>
      <c r="BB733" s="112"/>
      <c r="BC733" s="112"/>
      <c r="BD733" s="112">
        <f>'Raw Data'!O723</f>
        <v>1</v>
      </c>
    </row>
    <row r="734" spans="23:56">
      <c r="W734" s="21"/>
      <c r="AC734" s="21"/>
      <c r="AD734" s="21"/>
      <c r="AE734" s="21"/>
      <c r="AS734" s="112" t="str">
        <f t="shared" si="144"/>
        <v/>
      </c>
      <c r="AT734" s="112" t="str">
        <f>IF(AS734="","",COUNTIF($AS$13:AS734,AS734))</f>
        <v/>
      </c>
      <c r="AU734" s="147">
        <f t="shared" si="142"/>
        <v>721</v>
      </c>
      <c r="AV734" s="147">
        <f>COUNTIF($AZ$14:AZ734,AZ734)</f>
        <v>5</v>
      </c>
      <c r="AW734" s="147">
        <f>IFERROR(COUNTIF(AX$14:$BL734,AX734),"")</f>
        <v>103</v>
      </c>
      <c r="AX734" s="148" t="str">
        <f t="shared" si="145"/>
        <v>Sat</v>
      </c>
      <c r="AY734" s="149">
        <f>'Raw Data'!A724</f>
        <v>42329</v>
      </c>
      <c r="AZ734" s="150" t="str">
        <f>'Raw Data'!E724</f>
        <v>Friends &amp; Family Event- 20% Off</v>
      </c>
      <c r="BA734" s="150">
        <f>'Raw Data'!I724</f>
        <v>790</v>
      </c>
      <c r="BB734" s="112"/>
      <c r="BC734" s="112"/>
      <c r="BD734" s="112">
        <f>'Raw Data'!O724</f>
        <v>1</v>
      </c>
    </row>
    <row r="735" spans="23:56">
      <c r="W735" s="21"/>
      <c r="AC735" s="21"/>
      <c r="AD735" s="21"/>
      <c r="AE735" s="21"/>
      <c r="AS735" s="112" t="str">
        <f t="shared" si="144"/>
        <v/>
      </c>
      <c r="AT735" s="112" t="str">
        <f>IF(AS735="","",COUNTIF($AS$13:AS735,AS735))</f>
        <v/>
      </c>
      <c r="AU735" s="147">
        <f t="shared" si="142"/>
        <v>722</v>
      </c>
      <c r="AV735" s="147">
        <f>COUNTIF($AZ$14:AZ735,AZ735)</f>
        <v>6</v>
      </c>
      <c r="AW735" s="147">
        <f>IFERROR(COUNTIF(AX$14:$BL735,AX735),"")</f>
        <v>104</v>
      </c>
      <c r="AX735" s="148" t="str">
        <f t="shared" si="145"/>
        <v>Sun</v>
      </c>
      <c r="AY735" s="149">
        <f>'Raw Data'!A725</f>
        <v>42330</v>
      </c>
      <c r="AZ735" s="150" t="str">
        <f>'Raw Data'!E725</f>
        <v>Friends &amp; Family Event- 20% Off</v>
      </c>
      <c r="BA735" s="150">
        <f>'Raw Data'!I725</f>
        <v>595</v>
      </c>
      <c r="BB735" s="112"/>
      <c r="BC735" s="112"/>
      <c r="BD735" s="112">
        <f>'Raw Data'!O725</f>
        <v>2</v>
      </c>
    </row>
    <row r="736" spans="23:56">
      <c r="W736" s="21"/>
      <c r="AC736" s="21"/>
      <c r="AD736" s="21"/>
      <c r="AE736" s="21"/>
      <c r="AS736" s="112" t="str">
        <f t="shared" si="144"/>
        <v/>
      </c>
      <c r="AT736" s="112" t="str">
        <f>IF(AS736="","",COUNTIF($AS$13:AS736,AS736))</f>
        <v/>
      </c>
      <c r="AU736" s="147">
        <f t="shared" si="142"/>
        <v>723</v>
      </c>
      <c r="AV736" s="147">
        <f>COUNTIF($AZ$14:AZ736,AZ736)</f>
        <v>7</v>
      </c>
      <c r="AW736" s="147">
        <f>IFERROR(COUNTIF(AX$14:$BL736,AX736),"")</f>
        <v>104</v>
      </c>
      <c r="AX736" s="148" t="str">
        <f t="shared" si="145"/>
        <v>Mon</v>
      </c>
      <c r="AY736" s="149">
        <f>'Raw Data'!A726</f>
        <v>42331</v>
      </c>
      <c r="AZ736" s="150" t="str">
        <f>'Raw Data'!E726</f>
        <v>Friends &amp; Family Event- 20% Off</v>
      </c>
      <c r="BA736" s="150">
        <f>'Raw Data'!I726</f>
        <v>1027</v>
      </c>
      <c r="BB736" s="112"/>
      <c r="BC736" s="112"/>
      <c r="BD736" s="112">
        <f>'Raw Data'!O726</f>
        <v>1</v>
      </c>
    </row>
    <row r="737" spans="23:56">
      <c r="W737" s="21"/>
      <c r="AC737" s="21"/>
      <c r="AD737" s="21"/>
      <c r="AE737" s="21"/>
      <c r="AS737" s="112" t="str">
        <f t="shared" si="144"/>
        <v/>
      </c>
      <c r="AT737" s="112" t="str">
        <f>IF(AS737="","",COUNTIF($AS$13:AS737,AS737))</f>
        <v/>
      </c>
      <c r="AU737" s="147">
        <f t="shared" si="142"/>
        <v>724</v>
      </c>
      <c r="AV737" s="147">
        <f>COUNTIF($AZ$14:AZ737,AZ737)</f>
        <v>8</v>
      </c>
      <c r="AW737" s="147">
        <f>IFERROR(COUNTIF(AX$14:$BL737,AX737),"")</f>
        <v>104</v>
      </c>
      <c r="AX737" s="148" t="str">
        <f t="shared" si="145"/>
        <v>Tue</v>
      </c>
      <c r="AY737" s="149">
        <f>'Raw Data'!A727</f>
        <v>42332</v>
      </c>
      <c r="AZ737" s="150" t="str">
        <f>'Raw Data'!E727</f>
        <v>Friends &amp; Family Event- 20% Off</v>
      </c>
      <c r="BA737" s="150">
        <f>'Raw Data'!I727</f>
        <v>993</v>
      </c>
      <c r="BB737" s="112"/>
      <c r="BC737" s="112"/>
      <c r="BD737" s="112">
        <f>'Raw Data'!O727</f>
        <v>2</v>
      </c>
    </row>
    <row r="738" spans="23:56">
      <c r="W738" s="21"/>
      <c r="AC738" s="21"/>
      <c r="AD738" s="21"/>
      <c r="AE738" s="21"/>
      <c r="AS738" s="112" t="str">
        <f t="shared" si="144"/>
        <v/>
      </c>
      <c r="AT738" s="112" t="str">
        <f>IF(AS738="","",COUNTIF($AS$13:AS738,AS738))</f>
        <v/>
      </c>
      <c r="AU738" s="147">
        <f t="shared" si="142"/>
        <v>725</v>
      </c>
      <c r="AV738" s="147">
        <f>COUNTIF($AZ$14:AZ738,AZ738)</f>
        <v>9</v>
      </c>
      <c r="AW738" s="147">
        <f>IFERROR(COUNTIF(AX$14:$BL738,AX738),"")</f>
        <v>104</v>
      </c>
      <c r="AX738" s="148" t="str">
        <f t="shared" si="145"/>
        <v>Wed</v>
      </c>
      <c r="AY738" s="149">
        <f>'Raw Data'!A728</f>
        <v>42333</v>
      </c>
      <c r="AZ738" s="150" t="str">
        <f>'Raw Data'!E728</f>
        <v>Friends &amp; Family Event- 20% Off</v>
      </c>
      <c r="BA738" s="150">
        <f>'Raw Data'!I728</f>
        <v>1024</v>
      </c>
      <c r="BB738" s="112"/>
      <c r="BC738" s="112"/>
      <c r="BD738" s="112">
        <f>'Raw Data'!O728</f>
        <v>2</v>
      </c>
    </row>
    <row r="739" spans="23:56">
      <c r="W739" s="21"/>
      <c r="AC739" s="21"/>
      <c r="AD739" s="21"/>
      <c r="AE739" s="21"/>
      <c r="AS739" s="112" t="str">
        <f t="shared" si="144"/>
        <v/>
      </c>
      <c r="AT739" s="112" t="str">
        <f>IF(AS739="","",COUNTIF($AS$13:AS739,AS739))</f>
        <v/>
      </c>
      <c r="AU739" s="147">
        <f t="shared" si="142"/>
        <v>726</v>
      </c>
      <c r="AV739" s="147">
        <f>COUNTIF($AZ$14:AZ739,AZ739)</f>
        <v>1</v>
      </c>
      <c r="AW739" s="147">
        <f>IFERROR(COUNTIF(AX$14:$BL739,AX739),"")</f>
        <v>104</v>
      </c>
      <c r="AX739" s="148" t="str">
        <f t="shared" si="145"/>
        <v>Thu</v>
      </c>
      <c r="AY739" s="149">
        <f>'Raw Data'!A729</f>
        <v>42334</v>
      </c>
      <c r="AZ739" s="150" t="str">
        <f>'Raw Data'!E729</f>
        <v>Thanks Giving</v>
      </c>
      <c r="BA739" s="150">
        <f>'Raw Data'!I729</f>
        <v>466</v>
      </c>
      <c r="BB739" s="112"/>
      <c r="BC739" s="112"/>
      <c r="BD739" s="112">
        <f>'Raw Data'!O729</f>
        <v>2</v>
      </c>
    </row>
    <row r="740" spans="23:56">
      <c r="W740" s="21"/>
      <c r="AC740" s="21"/>
      <c r="AD740" s="21"/>
      <c r="AE740" s="21"/>
      <c r="AS740" s="112" t="str">
        <f t="shared" si="144"/>
        <v/>
      </c>
      <c r="AT740" s="112" t="str">
        <f>IF(AS740="","",COUNTIF($AS$13:AS740,AS740))</f>
        <v/>
      </c>
      <c r="AU740" s="147">
        <f t="shared" si="142"/>
        <v>727</v>
      </c>
      <c r="AV740" s="147">
        <f>COUNTIF($AZ$14:AZ740,AZ740)</f>
        <v>4</v>
      </c>
      <c r="AW740" s="147">
        <f>IFERROR(COUNTIF(AX$14:$BL740,AX740),"")</f>
        <v>104</v>
      </c>
      <c r="AX740" s="148" t="str">
        <f t="shared" si="145"/>
        <v>Fri</v>
      </c>
      <c r="AY740" s="149">
        <f>'Raw Data'!A730</f>
        <v>42335</v>
      </c>
      <c r="AZ740" s="150" t="str">
        <f>'Raw Data'!E730</f>
        <v>Black Friday</v>
      </c>
      <c r="BA740" s="150">
        <f>'Raw Data'!I730</f>
        <v>1332</v>
      </c>
      <c r="BB740" s="112"/>
      <c r="BC740" s="112"/>
      <c r="BD740" s="112">
        <f>'Raw Data'!O730</f>
        <v>2</v>
      </c>
    </row>
    <row r="741" spans="23:56">
      <c r="W741" s="21"/>
      <c r="AC741" s="21"/>
      <c r="AD741" s="21"/>
      <c r="AE741" s="21"/>
      <c r="AS741" s="112" t="str">
        <f t="shared" si="144"/>
        <v/>
      </c>
      <c r="AT741" s="112" t="str">
        <f>IF(AS741="","",COUNTIF($AS$13:AS741,AS741))</f>
        <v/>
      </c>
      <c r="AU741" s="147">
        <f t="shared" si="142"/>
        <v>728</v>
      </c>
      <c r="AV741" s="147">
        <f>COUNTIF($AZ$14:AZ741,AZ741)</f>
        <v>5</v>
      </c>
      <c r="AW741" s="147">
        <f>IFERROR(COUNTIF(AX$14:$BL741,AX741),"")</f>
        <v>104</v>
      </c>
      <c r="AX741" s="148" t="str">
        <f t="shared" si="145"/>
        <v>Sat</v>
      </c>
      <c r="AY741" s="149">
        <f>'Raw Data'!A731</f>
        <v>42336</v>
      </c>
      <c r="AZ741" s="150" t="str">
        <f>'Raw Data'!E731</f>
        <v>Black Friday</v>
      </c>
      <c r="BA741" s="150">
        <f>'Raw Data'!I731</f>
        <v>1073</v>
      </c>
      <c r="BB741" s="112"/>
      <c r="BC741" s="112"/>
      <c r="BD741" s="112">
        <f>'Raw Data'!O731</f>
        <v>2</v>
      </c>
    </row>
    <row r="742" spans="23:56">
      <c r="W742" s="21"/>
      <c r="AC742" s="21"/>
      <c r="AD742" s="21"/>
      <c r="AE742" s="21"/>
      <c r="AS742" s="112" t="str">
        <f t="shared" si="144"/>
        <v/>
      </c>
      <c r="AT742" s="112" t="str">
        <f>IF(AS742="","",COUNTIF($AS$13:AS742,AS742))</f>
        <v/>
      </c>
      <c r="AU742" s="147">
        <f t="shared" si="142"/>
        <v>729</v>
      </c>
      <c r="AV742" s="147">
        <f>COUNTIF($AZ$14:AZ742,AZ742)</f>
        <v>11</v>
      </c>
      <c r="AW742" s="147">
        <f>IFERROR(COUNTIF(AX$14:$BL742,AX742),"")</f>
        <v>105</v>
      </c>
      <c r="AX742" s="148" t="str">
        <f t="shared" si="145"/>
        <v>Sun</v>
      </c>
      <c r="AY742" s="149">
        <f>'Raw Data'!A732</f>
        <v>42337</v>
      </c>
      <c r="AZ742" s="150" t="str">
        <f>'Raw Data'!E732</f>
        <v>Cyber Savings</v>
      </c>
      <c r="BA742" s="150">
        <f>'Raw Data'!I732</f>
        <v>841</v>
      </c>
      <c r="BB742" s="112"/>
      <c r="BC742" s="112"/>
      <c r="BD742" s="112">
        <f>'Raw Data'!O732</f>
        <v>2</v>
      </c>
    </row>
    <row r="743" spans="23:56">
      <c r="W743" s="21"/>
      <c r="AC743" s="21"/>
      <c r="AD743" s="21"/>
      <c r="AE743" s="21"/>
      <c r="AS743" s="112" t="str">
        <f t="shared" si="144"/>
        <v/>
      </c>
      <c r="AT743" s="112" t="str">
        <f>IF(AS743="","",COUNTIF($AS$13:AS743,AS743))</f>
        <v/>
      </c>
      <c r="AU743" s="147">
        <f t="shared" ref="AU743:AU806" si="146">AU742+1</f>
        <v>730</v>
      </c>
      <c r="AV743" s="147">
        <f>COUNTIF($AZ$14:AZ743,AZ743)</f>
        <v>12</v>
      </c>
      <c r="AW743" s="147">
        <f>IFERROR(COUNTIF(AX$14:$BL743,AX743),"")</f>
        <v>105</v>
      </c>
      <c r="AX743" s="148" t="str">
        <f t="shared" si="145"/>
        <v>Mon</v>
      </c>
      <c r="AY743" s="149">
        <f>'Raw Data'!A733</f>
        <v>42338</v>
      </c>
      <c r="AZ743" s="150" t="str">
        <f>'Raw Data'!E733</f>
        <v>Cyber Savings</v>
      </c>
      <c r="BA743" s="150">
        <f>'Raw Data'!I733</f>
        <v>2262</v>
      </c>
      <c r="BB743" s="112"/>
      <c r="BC743" s="112"/>
      <c r="BD743" s="112">
        <f>'Raw Data'!O733</f>
        <v>3</v>
      </c>
    </row>
    <row r="744" spans="23:56">
      <c r="W744" s="21"/>
      <c r="AC744" s="21"/>
      <c r="AD744" s="21"/>
      <c r="AE744" s="21"/>
      <c r="AS744" s="112" t="str">
        <f t="shared" si="144"/>
        <v/>
      </c>
      <c r="AT744" s="112" t="str">
        <f>IF(AS744="","",COUNTIF($AS$13:AS744,AS744))</f>
        <v/>
      </c>
      <c r="AU744" s="147">
        <f t="shared" si="146"/>
        <v>731</v>
      </c>
      <c r="AV744" s="147">
        <f>COUNTIF($AZ$14:AZ744,AZ744)</f>
        <v>13</v>
      </c>
      <c r="AW744" s="147">
        <f>IFERROR(COUNTIF(AX$14:$BL744,AX744),"")</f>
        <v>105</v>
      </c>
      <c r="AX744" s="148" t="str">
        <f t="shared" si="145"/>
        <v>Tue</v>
      </c>
      <c r="AY744" s="149">
        <f>'Raw Data'!A734</f>
        <v>42339</v>
      </c>
      <c r="AZ744" s="150" t="str">
        <f>'Raw Data'!E734</f>
        <v>Cyber Savings</v>
      </c>
      <c r="BA744" s="150">
        <f>'Raw Data'!I734</f>
        <v>1812</v>
      </c>
      <c r="BB744" s="112"/>
      <c r="BC744" s="112"/>
      <c r="BD744" s="112">
        <f>'Raw Data'!O734</f>
        <v>1</v>
      </c>
    </row>
    <row r="745" spans="23:56">
      <c r="W745" s="21"/>
      <c r="AC745" s="21"/>
      <c r="AD745" s="21"/>
      <c r="AE745" s="21"/>
      <c r="AS745" s="112" t="str">
        <f t="shared" si="144"/>
        <v/>
      </c>
      <c r="AT745" s="112" t="str">
        <f>IF(AS745="","",COUNTIF($AS$13:AS745,AS745))</f>
        <v/>
      </c>
      <c r="AU745" s="147">
        <f t="shared" si="146"/>
        <v>732</v>
      </c>
      <c r="AV745" s="147">
        <f>COUNTIF($AZ$14:AZ745,AZ745)</f>
        <v>14</v>
      </c>
      <c r="AW745" s="147">
        <f>IFERROR(COUNTIF(AX$14:$BL745,AX745),"")</f>
        <v>105</v>
      </c>
      <c r="AX745" s="148" t="str">
        <f t="shared" si="145"/>
        <v>Wed</v>
      </c>
      <c r="AY745" s="149">
        <f>'Raw Data'!A735</f>
        <v>42340</v>
      </c>
      <c r="AZ745" s="150" t="str">
        <f>'Raw Data'!E735</f>
        <v>Cyber Savings</v>
      </c>
      <c r="BA745" s="150">
        <f>'Raw Data'!I735</f>
        <v>2040</v>
      </c>
      <c r="BB745" s="112"/>
      <c r="BC745" s="112"/>
      <c r="BD745" s="112">
        <f>'Raw Data'!O735</f>
        <v>2</v>
      </c>
    </row>
    <row r="746" spans="23:56">
      <c r="W746" s="21"/>
      <c r="AC746" s="21"/>
      <c r="AD746" s="21"/>
      <c r="AE746" s="21"/>
      <c r="AS746" s="112" t="str">
        <f t="shared" si="144"/>
        <v/>
      </c>
      <c r="AT746" s="112" t="str">
        <f>IF(AS746="","",COUNTIF($AS$13:AS746,AS746))</f>
        <v/>
      </c>
      <c r="AU746" s="147">
        <f t="shared" si="146"/>
        <v>733</v>
      </c>
      <c r="AV746" s="147">
        <f>COUNTIF($AZ$14:AZ746,AZ746)</f>
        <v>15</v>
      </c>
      <c r="AW746" s="147">
        <f>IFERROR(COUNTIF(AX$14:$BL746,AX746),"")</f>
        <v>105</v>
      </c>
      <c r="AX746" s="148" t="str">
        <f t="shared" si="145"/>
        <v>Thu</v>
      </c>
      <c r="AY746" s="149">
        <f>'Raw Data'!A736</f>
        <v>42341</v>
      </c>
      <c r="AZ746" s="150" t="str">
        <f>'Raw Data'!E736</f>
        <v>Cyber Savings</v>
      </c>
      <c r="BA746" s="150">
        <f>'Raw Data'!I736</f>
        <v>2059</v>
      </c>
      <c r="BB746" s="112"/>
      <c r="BC746" s="112"/>
      <c r="BD746" s="112">
        <f>'Raw Data'!O736</f>
        <v>1</v>
      </c>
    </row>
    <row r="747" spans="23:56">
      <c r="W747" s="21"/>
      <c r="AC747" s="21"/>
      <c r="AD747" s="21"/>
      <c r="AE747" s="21"/>
      <c r="AS747" s="112" t="str">
        <f t="shared" si="144"/>
        <v/>
      </c>
      <c r="AT747" s="112" t="str">
        <f>IF(AS747="","",COUNTIF($AS$13:AS747,AS747))</f>
        <v/>
      </c>
      <c r="AU747" s="147">
        <f t="shared" si="146"/>
        <v>734</v>
      </c>
      <c r="AV747" s="147">
        <f>COUNTIF($AZ$14:AZ747,AZ747)</f>
        <v>16</v>
      </c>
      <c r="AW747" s="147">
        <f>IFERROR(COUNTIF(AX$14:$BL747,AX747),"")</f>
        <v>105</v>
      </c>
      <c r="AX747" s="148" t="str">
        <f t="shared" si="145"/>
        <v>Fri</v>
      </c>
      <c r="AY747" s="149">
        <f>'Raw Data'!A737</f>
        <v>42342</v>
      </c>
      <c r="AZ747" s="150" t="str">
        <f>'Raw Data'!E737</f>
        <v>Cyber Savings</v>
      </c>
      <c r="BA747" s="150">
        <f>'Raw Data'!I737</f>
        <v>2152</v>
      </c>
      <c r="BB747" s="112"/>
      <c r="BC747" s="112"/>
      <c r="BD747" s="112">
        <f>'Raw Data'!O737</f>
        <v>2</v>
      </c>
    </row>
    <row r="748" spans="23:56">
      <c r="W748" s="21"/>
      <c r="AC748" s="21"/>
      <c r="AD748" s="21"/>
      <c r="AE748" s="21"/>
      <c r="AS748" s="112" t="str">
        <f t="shared" si="144"/>
        <v/>
      </c>
      <c r="AT748" s="112" t="str">
        <f>IF(AS748="","",COUNTIF($AS$13:AS748,AS748))</f>
        <v/>
      </c>
      <c r="AU748" s="147">
        <f t="shared" si="146"/>
        <v>735</v>
      </c>
      <c r="AV748" s="147">
        <f>COUNTIF($AZ$14:AZ748,AZ748)</f>
        <v>17</v>
      </c>
      <c r="AW748" s="147">
        <f>IFERROR(COUNTIF(AX$14:$BL748,AX748),"")</f>
        <v>105</v>
      </c>
      <c r="AX748" s="148" t="str">
        <f t="shared" si="145"/>
        <v>Sat</v>
      </c>
      <c r="AY748" s="149">
        <f>'Raw Data'!A738</f>
        <v>42343</v>
      </c>
      <c r="AZ748" s="150" t="str">
        <f>'Raw Data'!E738</f>
        <v>Cyber Savings</v>
      </c>
      <c r="BA748" s="150">
        <f>'Raw Data'!I738</f>
        <v>1575</v>
      </c>
      <c r="BB748" s="112"/>
      <c r="BC748" s="112"/>
      <c r="BD748" s="112">
        <f>'Raw Data'!O738</f>
        <v>1</v>
      </c>
    </row>
    <row r="749" spans="23:56">
      <c r="W749" s="21"/>
      <c r="AC749" s="21"/>
      <c r="AD749" s="21"/>
      <c r="AE749" s="21"/>
      <c r="AS749" s="112" t="str">
        <f t="shared" si="144"/>
        <v/>
      </c>
      <c r="AT749" s="112" t="str">
        <f>IF(AS749="","",COUNTIF($AS$13:AS749,AS749))</f>
        <v/>
      </c>
      <c r="AU749" s="147">
        <f t="shared" si="146"/>
        <v>736</v>
      </c>
      <c r="AV749" s="147">
        <f>COUNTIF($AZ$14:AZ749,AZ749)</f>
        <v>2</v>
      </c>
      <c r="AW749" s="147">
        <f>IFERROR(COUNTIF(AX$14:$BL749,AX749),"")</f>
        <v>106</v>
      </c>
      <c r="AX749" s="148" t="str">
        <f t="shared" si="145"/>
        <v>Sun</v>
      </c>
      <c r="AY749" s="149">
        <f>'Raw Data'!A739</f>
        <v>42344</v>
      </c>
      <c r="AZ749" s="150" t="str">
        <f>'Raw Data'!E739</f>
        <v>30% Off,FS on $49</v>
      </c>
      <c r="BA749" s="150">
        <f>'Raw Data'!I739</f>
        <v>974</v>
      </c>
      <c r="BB749" s="112"/>
      <c r="BC749" s="112"/>
      <c r="BD749" s="112">
        <f>'Raw Data'!O739</f>
        <v>2</v>
      </c>
    </row>
    <row r="750" spans="23:56">
      <c r="W750" s="21"/>
      <c r="AC750" s="21"/>
      <c r="AD750" s="21"/>
      <c r="AE750" s="21"/>
      <c r="AS750" s="112" t="str">
        <f t="shared" si="144"/>
        <v/>
      </c>
      <c r="AT750" s="112" t="str">
        <f>IF(AS750="","",COUNTIF($AS$13:AS750,AS750))</f>
        <v/>
      </c>
      <c r="AU750" s="147">
        <f t="shared" si="146"/>
        <v>737</v>
      </c>
      <c r="AV750" s="147">
        <f>COUNTIF($AZ$14:AZ750,AZ750)</f>
        <v>9</v>
      </c>
      <c r="AW750" s="147">
        <f>IFERROR(COUNTIF(AX$14:$BL750,AX750),"")</f>
        <v>106</v>
      </c>
      <c r="AX750" s="148" t="str">
        <f t="shared" si="145"/>
        <v>Mon</v>
      </c>
      <c r="AY750" s="149">
        <f>'Raw Data'!A740</f>
        <v>42345</v>
      </c>
      <c r="AZ750" s="150" t="str">
        <f>'Raw Data'!E740</f>
        <v>30% Off,FS on $75</v>
      </c>
      <c r="BA750" s="150">
        <f>'Raw Data'!I740</f>
        <v>1956</v>
      </c>
      <c r="BB750" s="112"/>
      <c r="BC750" s="112"/>
      <c r="BD750" s="112">
        <f>'Raw Data'!O740</f>
        <v>2</v>
      </c>
    </row>
    <row r="751" spans="23:56">
      <c r="W751" s="21"/>
      <c r="AC751" s="21"/>
      <c r="AD751" s="21"/>
      <c r="AE751" s="21"/>
      <c r="AS751" s="112" t="str">
        <f t="shared" si="144"/>
        <v/>
      </c>
      <c r="AT751" s="112" t="str">
        <f>IF(AS751="","",COUNTIF($AS$13:AS751,AS751))</f>
        <v/>
      </c>
      <c r="AU751" s="147">
        <f t="shared" si="146"/>
        <v>738</v>
      </c>
      <c r="AV751" s="147">
        <f>COUNTIF($AZ$14:AZ751,AZ751)</f>
        <v>10</v>
      </c>
      <c r="AW751" s="147">
        <f>IFERROR(COUNTIF(AX$14:$BL751,AX751),"")</f>
        <v>106</v>
      </c>
      <c r="AX751" s="148" t="str">
        <f t="shared" si="145"/>
        <v>Tue</v>
      </c>
      <c r="AY751" s="149">
        <f>'Raw Data'!A741</f>
        <v>42346</v>
      </c>
      <c r="AZ751" s="150" t="str">
        <f>'Raw Data'!E741</f>
        <v>30% Off,FS on $75</v>
      </c>
      <c r="BA751" s="150">
        <f>'Raw Data'!I741</f>
        <v>2020</v>
      </c>
      <c r="BB751" s="112"/>
      <c r="BC751" s="112"/>
      <c r="BD751" s="112">
        <f>'Raw Data'!O741</f>
        <v>1</v>
      </c>
    </row>
    <row r="752" spans="23:56">
      <c r="W752" s="21"/>
      <c r="AC752" s="21"/>
      <c r="AD752" s="21"/>
      <c r="AE752" s="21"/>
      <c r="AS752" s="112" t="str">
        <f t="shared" si="144"/>
        <v/>
      </c>
      <c r="AT752" s="112" t="str">
        <f>IF(AS752="","",COUNTIF($AS$13:AS752,AS752))</f>
        <v/>
      </c>
      <c r="AU752" s="147">
        <f t="shared" si="146"/>
        <v>739</v>
      </c>
      <c r="AV752" s="147">
        <f>COUNTIF($AZ$14:AZ752,AZ752)</f>
        <v>11</v>
      </c>
      <c r="AW752" s="147">
        <f>IFERROR(COUNTIF(AX$14:$BL752,AX752),"")</f>
        <v>106</v>
      </c>
      <c r="AX752" s="148" t="str">
        <f t="shared" si="145"/>
        <v>Wed</v>
      </c>
      <c r="AY752" s="149">
        <f>'Raw Data'!A742</f>
        <v>42347</v>
      </c>
      <c r="AZ752" s="150" t="str">
        <f>'Raw Data'!E742</f>
        <v>30% Off,FS on $75</v>
      </c>
      <c r="BA752" s="150">
        <f>'Raw Data'!I742</f>
        <v>1997</v>
      </c>
      <c r="BB752" s="112"/>
      <c r="BC752" s="112"/>
      <c r="BD752" s="112">
        <f>'Raw Data'!O742</f>
        <v>2</v>
      </c>
    </row>
    <row r="753" spans="23:56">
      <c r="W753" s="21"/>
      <c r="AC753" s="21"/>
      <c r="AD753" s="21"/>
      <c r="AE753" s="21"/>
      <c r="AS753" s="112" t="str">
        <f t="shared" si="144"/>
        <v/>
      </c>
      <c r="AT753" s="112" t="str">
        <f>IF(AS753="","",COUNTIF($AS$13:AS753,AS753))</f>
        <v/>
      </c>
      <c r="AU753" s="147">
        <f t="shared" si="146"/>
        <v>740</v>
      </c>
      <c r="AV753" s="147">
        <f>COUNTIF($AZ$14:AZ753,AZ753)</f>
        <v>16</v>
      </c>
      <c r="AW753" s="147">
        <f>IFERROR(COUNTIF(AX$14:$BL753,AX753),"")</f>
        <v>106</v>
      </c>
      <c r="AX753" s="148" t="str">
        <f t="shared" si="145"/>
        <v>Thu</v>
      </c>
      <c r="AY753" s="149">
        <f>'Raw Data'!A743</f>
        <v>42348</v>
      </c>
      <c r="AZ753" s="150" t="str">
        <f>'Raw Data'!E743</f>
        <v>$10 Off Promo</v>
      </c>
      <c r="BA753" s="150">
        <f>'Raw Data'!I743</f>
        <v>1986</v>
      </c>
      <c r="BB753" s="112"/>
      <c r="BC753" s="112"/>
      <c r="BD753" s="112">
        <f>'Raw Data'!O743</f>
        <v>1</v>
      </c>
    </row>
    <row r="754" spans="23:56">
      <c r="W754" s="21"/>
      <c r="AC754" s="21"/>
      <c r="AD754" s="21"/>
      <c r="AE754" s="21"/>
      <c r="AS754" s="112" t="str">
        <f t="shared" si="144"/>
        <v/>
      </c>
      <c r="AT754" s="112" t="str">
        <f>IF(AS754="","",COUNTIF($AS$13:AS754,AS754))</f>
        <v/>
      </c>
      <c r="AU754" s="147">
        <f t="shared" si="146"/>
        <v>741</v>
      </c>
      <c r="AV754" s="147">
        <f>COUNTIF($AZ$14:AZ754,AZ754)</f>
        <v>17</v>
      </c>
      <c r="AW754" s="147">
        <f>IFERROR(COUNTIF(AX$14:$BL754,AX754),"")</f>
        <v>106</v>
      </c>
      <c r="AX754" s="148" t="str">
        <f t="shared" si="145"/>
        <v>Fri</v>
      </c>
      <c r="AY754" s="149">
        <f>'Raw Data'!A744</f>
        <v>42349</v>
      </c>
      <c r="AZ754" s="150" t="str">
        <f>'Raw Data'!E744</f>
        <v>$10 Off Promo</v>
      </c>
      <c r="BA754" s="150">
        <f>'Raw Data'!I744</f>
        <v>1932</v>
      </c>
      <c r="BB754" s="112"/>
      <c r="BC754" s="112"/>
      <c r="BD754" s="112">
        <f>'Raw Data'!O744</f>
        <v>2</v>
      </c>
    </row>
    <row r="755" spans="23:56">
      <c r="W755" s="21"/>
      <c r="AC755" s="21"/>
      <c r="AD755" s="21"/>
      <c r="AE755" s="21"/>
      <c r="AS755" s="112" t="str">
        <f t="shared" si="144"/>
        <v/>
      </c>
      <c r="AT755" s="112" t="str">
        <f>IF(AS755="","",COUNTIF($AS$13:AS755,AS755))</f>
        <v/>
      </c>
      <c r="AU755" s="147">
        <f t="shared" si="146"/>
        <v>742</v>
      </c>
      <c r="AV755" s="147">
        <f>COUNTIF($AZ$14:AZ755,AZ755)</f>
        <v>18</v>
      </c>
      <c r="AW755" s="147">
        <f>IFERROR(COUNTIF(AX$14:$BL755,AX755),"")</f>
        <v>106</v>
      </c>
      <c r="AX755" s="148" t="str">
        <f t="shared" si="145"/>
        <v>Sat</v>
      </c>
      <c r="AY755" s="149">
        <f>'Raw Data'!A745</f>
        <v>42350</v>
      </c>
      <c r="AZ755" s="150" t="str">
        <f>'Raw Data'!E745</f>
        <v>$10 Off Promo</v>
      </c>
      <c r="BA755" s="150">
        <f>'Raw Data'!I745</f>
        <v>1458</v>
      </c>
      <c r="BB755" s="112"/>
      <c r="BC755" s="112"/>
      <c r="BD755" s="112">
        <f>'Raw Data'!O745</f>
        <v>2</v>
      </c>
    </row>
    <row r="756" spans="23:56">
      <c r="W756" s="21"/>
      <c r="AC756" s="21"/>
      <c r="AD756" s="21"/>
      <c r="AE756" s="21"/>
      <c r="AS756" s="112" t="str">
        <f t="shared" si="144"/>
        <v/>
      </c>
      <c r="AT756" s="112" t="str">
        <f>IF(AS756="","",COUNTIF($AS$13:AS756,AS756))</f>
        <v/>
      </c>
      <c r="AU756" s="147">
        <f t="shared" si="146"/>
        <v>743</v>
      </c>
      <c r="AV756" s="147">
        <f>COUNTIF($AZ$14:AZ756,AZ756)</f>
        <v>12</v>
      </c>
      <c r="AW756" s="147">
        <f>IFERROR(COUNTIF(AX$14:$BL756,AX756),"")</f>
        <v>107</v>
      </c>
      <c r="AX756" s="148" t="str">
        <f t="shared" si="145"/>
        <v>Sun</v>
      </c>
      <c r="AY756" s="149">
        <f>'Raw Data'!A746</f>
        <v>42351</v>
      </c>
      <c r="AZ756" s="150" t="str">
        <f>'Raw Data'!E746</f>
        <v>30% Off,FS on $75</v>
      </c>
      <c r="BA756" s="150">
        <f>'Raw Data'!I746</f>
        <v>1136</v>
      </c>
      <c r="BB756" s="112"/>
      <c r="BC756" s="112"/>
      <c r="BD756" s="112">
        <f>'Raw Data'!O746</f>
        <v>2</v>
      </c>
    </row>
    <row r="757" spans="23:56">
      <c r="W757" s="21"/>
      <c r="AC757" s="21"/>
      <c r="AD757" s="21"/>
      <c r="AE757" s="21"/>
      <c r="AS757" s="112" t="str">
        <f t="shared" si="144"/>
        <v/>
      </c>
      <c r="AT757" s="112" t="str">
        <f>IF(AS757="","",COUNTIF($AS$13:AS757,AS757))</f>
        <v/>
      </c>
      <c r="AU757" s="147">
        <f t="shared" si="146"/>
        <v>744</v>
      </c>
      <c r="AV757" s="147">
        <f>COUNTIF($AZ$14:AZ757,AZ757)</f>
        <v>13</v>
      </c>
      <c r="AW757" s="147">
        <f>IFERROR(COUNTIF(AX$14:$BL757,AX757),"")</f>
        <v>107</v>
      </c>
      <c r="AX757" s="148" t="str">
        <f t="shared" si="145"/>
        <v>Mon</v>
      </c>
      <c r="AY757" s="149">
        <f>'Raw Data'!A747</f>
        <v>42352</v>
      </c>
      <c r="AZ757" s="150" t="str">
        <f>'Raw Data'!E747</f>
        <v>30% Off,FS on $75</v>
      </c>
      <c r="BA757" s="150">
        <f>'Raw Data'!I747</f>
        <v>2441</v>
      </c>
      <c r="BB757" s="112"/>
      <c r="BC757" s="112"/>
      <c r="BD757" s="112">
        <f>'Raw Data'!O747</f>
        <v>1</v>
      </c>
    </row>
    <row r="758" spans="23:56">
      <c r="W758" s="21"/>
      <c r="AC758" s="21"/>
      <c r="AD758" s="21"/>
      <c r="AE758" s="21"/>
      <c r="AS758" s="112" t="str">
        <f t="shared" si="144"/>
        <v/>
      </c>
      <c r="AT758" s="112" t="str">
        <f>IF(AS758="","",COUNTIF($AS$13:AS758,AS758))</f>
        <v/>
      </c>
      <c r="AU758" s="147">
        <f t="shared" si="146"/>
        <v>745</v>
      </c>
      <c r="AV758" s="147">
        <f>COUNTIF($AZ$14:AZ758,AZ758)</f>
        <v>48</v>
      </c>
      <c r="AW758" s="147">
        <f>IFERROR(COUNTIF(AX$14:$BL758,AX758),"")</f>
        <v>107</v>
      </c>
      <c r="AX758" s="148" t="str">
        <f t="shared" si="145"/>
        <v>Tue</v>
      </c>
      <c r="AY758" s="149">
        <f>'Raw Data'!A748</f>
        <v>42353</v>
      </c>
      <c r="AZ758" s="150" t="str">
        <f>'Raw Data'!E748</f>
        <v>Up To 40% Off,FS on $49</v>
      </c>
      <c r="BA758" s="150">
        <f>'Raw Data'!I748</f>
        <v>3027</v>
      </c>
      <c r="BB758" s="112"/>
      <c r="BC758" s="112"/>
      <c r="BD758" s="112">
        <f>'Raw Data'!O748</f>
        <v>1</v>
      </c>
    </row>
    <row r="759" spans="23:56">
      <c r="W759" s="21"/>
      <c r="AC759" s="21"/>
      <c r="AD759" s="21"/>
      <c r="AE759" s="21"/>
      <c r="AS759" s="112" t="str">
        <f t="shared" si="144"/>
        <v/>
      </c>
      <c r="AT759" s="112" t="str">
        <f>IF(AS759="","",COUNTIF($AS$13:AS759,AS759))</f>
        <v/>
      </c>
      <c r="AU759" s="147">
        <f t="shared" si="146"/>
        <v>746</v>
      </c>
      <c r="AV759" s="147">
        <f>COUNTIF($AZ$14:AZ759,AZ759)</f>
        <v>135</v>
      </c>
      <c r="AW759" s="147">
        <f>IFERROR(COUNTIF(AX$14:$BL759,AX759),"")</f>
        <v>107</v>
      </c>
      <c r="AX759" s="148" t="str">
        <f t="shared" si="145"/>
        <v>Wed</v>
      </c>
      <c r="AY759" s="149">
        <f>'Raw Data'!A749</f>
        <v>42354</v>
      </c>
      <c r="AZ759" s="150" t="str">
        <f>'Raw Data'!E749</f>
        <v>No Email Drop</v>
      </c>
      <c r="BA759" s="150">
        <f>'Raw Data'!I749</f>
        <v>3698</v>
      </c>
      <c r="BB759" s="112"/>
      <c r="BC759" s="112"/>
      <c r="BD759" s="112">
        <f>'Raw Data'!O749</f>
        <v>1</v>
      </c>
    </row>
    <row r="760" spans="23:56">
      <c r="W760" s="21"/>
      <c r="AC760" s="21"/>
      <c r="AD760" s="21"/>
      <c r="AE760" s="21"/>
      <c r="AS760" s="112" t="str">
        <f t="shared" si="144"/>
        <v/>
      </c>
      <c r="AT760" s="112" t="str">
        <f>IF(AS760="","",COUNTIF($AS$13:AS760,AS760))</f>
        <v/>
      </c>
      <c r="AU760" s="147">
        <f t="shared" si="146"/>
        <v>747</v>
      </c>
      <c r="AV760" s="147">
        <f>COUNTIF($AZ$14:AZ760,AZ760)</f>
        <v>16</v>
      </c>
      <c r="AW760" s="147">
        <f>IFERROR(COUNTIF(AX$14:$BL760,AX760),"")</f>
        <v>107</v>
      </c>
      <c r="AX760" s="148" t="str">
        <f t="shared" si="145"/>
        <v>Thu</v>
      </c>
      <c r="AY760" s="149">
        <f>'Raw Data'!A750</f>
        <v>42355</v>
      </c>
      <c r="AZ760" s="150" t="str">
        <f>'Raw Data'!E750</f>
        <v>$30 Off,FS on $100</v>
      </c>
      <c r="BA760" s="150">
        <f>'Raw Data'!I750</f>
        <v>3176</v>
      </c>
      <c r="BB760" s="112"/>
      <c r="BC760" s="112"/>
      <c r="BD760" s="112">
        <f>'Raw Data'!O750</f>
        <v>2</v>
      </c>
    </row>
    <row r="761" spans="23:56">
      <c r="W761" s="21"/>
      <c r="AC761" s="21"/>
      <c r="AD761" s="21"/>
      <c r="AE761" s="21"/>
      <c r="AS761" s="112" t="str">
        <f t="shared" si="144"/>
        <v/>
      </c>
      <c r="AT761" s="112" t="str">
        <f>IF(AS761="","",COUNTIF($AS$13:AS761,AS761))</f>
        <v/>
      </c>
      <c r="AU761" s="147">
        <f t="shared" si="146"/>
        <v>748</v>
      </c>
      <c r="AV761" s="147">
        <f>COUNTIF($AZ$14:AZ761,AZ761)</f>
        <v>17</v>
      </c>
      <c r="AW761" s="147">
        <f>IFERROR(COUNTIF(AX$14:$BL761,AX761),"")</f>
        <v>107</v>
      </c>
      <c r="AX761" s="148" t="str">
        <f t="shared" si="145"/>
        <v>Fri</v>
      </c>
      <c r="AY761" s="149">
        <f>'Raw Data'!A751</f>
        <v>42356</v>
      </c>
      <c r="AZ761" s="150" t="str">
        <f>'Raw Data'!E751</f>
        <v>$30 Off,FS on $100</v>
      </c>
      <c r="BA761" s="150">
        <f>'Raw Data'!I751</f>
        <v>2422</v>
      </c>
      <c r="BB761" s="112"/>
      <c r="BC761" s="112"/>
      <c r="BD761" s="112">
        <f>'Raw Data'!O751</f>
        <v>2</v>
      </c>
    </row>
    <row r="762" spans="23:56">
      <c r="W762" s="21"/>
      <c r="AC762" s="21"/>
      <c r="AD762" s="21"/>
      <c r="AE762" s="21"/>
      <c r="AS762" s="112" t="str">
        <f t="shared" si="144"/>
        <v/>
      </c>
      <c r="AT762" s="112" t="str">
        <f>IF(AS762="","",COUNTIF($AS$13:AS762,AS762))</f>
        <v/>
      </c>
      <c r="AU762" s="147">
        <f t="shared" si="146"/>
        <v>749</v>
      </c>
      <c r="AV762" s="147">
        <f>COUNTIF($AZ$14:AZ762,AZ762)</f>
        <v>13</v>
      </c>
      <c r="AW762" s="147">
        <f>IFERROR(COUNTIF(AX$14:$BL762,AX762),"")</f>
        <v>107</v>
      </c>
      <c r="AX762" s="148" t="str">
        <f t="shared" si="145"/>
        <v>Sat</v>
      </c>
      <c r="AY762" s="149">
        <f>'Raw Data'!A752</f>
        <v>42357</v>
      </c>
      <c r="AZ762" s="150" t="str">
        <f>'Raw Data'!E752</f>
        <v>$15 Off,FS on $75</v>
      </c>
      <c r="BA762" s="150">
        <f>'Raw Data'!I752</f>
        <v>1541</v>
      </c>
      <c r="BB762" s="112"/>
      <c r="BC762" s="112"/>
      <c r="BD762" s="112">
        <f>'Raw Data'!O752</f>
        <v>2</v>
      </c>
    </row>
    <row r="763" spans="23:56">
      <c r="W763" s="21"/>
      <c r="AC763" s="21"/>
      <c r="AD763" s="21"/>
      <c r="AE763" s="21"/>
      <c r="AS763" s="112" t="str">
        <f t="shared" si="144"/>
        <v/>
      </c>
      <c r="AT763" s="112" t="str">
        <f>IF(AS763="","",COUNTIF($AS$13:AS763,AS763))</f>
        <v/>
      </c>
      <c r="AU763" s="147">
        <f t="shared" si="146"/>
        <v>750</v>
      </c>
      <c r="AV763" s="147">
        <f>COUNTIF($AZ$14:AZ763,AZ763)</f>
        <v>14</v>
      </c>
      <c r="AW763" s="147">
        <f>IFERROR(COUNTIF(AX$14:$BL763,AX763),"")</f>
        <v>108</v>
      </c>
      <c r="AX763" s="148" t="str">
        <f t="shared" si="145"/>
        <v>Sun</v>
      </c>
      <c r="AY763" s="149">
        <f>'Raw Data'!A753</f>
        <v>42358</v>
      </c>
      <c r="AZ763" s="150" t="str">
        <f>'Raw Data'!E753</f>
        <v>$15 Off,FS on $75</v>
      </c>
      <c r="BA763" s="150">
        <f>'Raw Data'!I753</f>
        <v>925</v>
      </c>
      <c r="BB763" s="112"/>
      <c r="BC763" s="112"/>
      <c r="BD763" s="112">
        <f>'Raw Data'!O753</f>
        <v>1</v>
      </c>
    </row>
    <row r="764" spans="23:56">
      <c r="W764" s="21"/>
      <c r="AC764" s="21"/>
      <c r="AD764" s="21"/>
      <c r="AE764" s="21"/>
      <c r="AS764" s="112" t="str">
        <f t="shared" si="144"/>
        <v/>
      </c>
      <c r="AT764" s="112" t="str">
        <f>IF(AS764="","",COUNTIF($AS$13:AS764,AS764))</f>
        <v/>
      </c>
      <c r="AU764" s="147">
        <f t="shared" si="146"/>
        <v>751</v>
      </c>
      <c r="AV764" s="147">
        <f>COUNTIF($AZ$14:AZ764,AZ764)</f>
        <v>15</v>
      </c>
      <c r="AW764" s="147">
        <f>IFERROR(COUNTIF(AX$14:$BL764,AX764),"")</f>
        <v>108</v>
      </c>
      <c r="AX764" s="148" t="str">
        <f t="shared" si="145"/>
        <v>Mon</v>
      </c>
      <c r="AY764" s="149">
        <f>'Raw Data'!A754</f>
        <v>42359</v>
      </c>
      <c r="AZ764" s="150" t="str">
        <f>'Raw Data'!E754</f>
        <v>$15 Off,FS on $75</v>
      </c>
      <c r="BA764" s="150">
        <f>'Raw Data'!I754</f>
        <v>1856</v>
      </c>
      <c r="BB764" s="112"/>
      <c r="BC764" s="112"/>
      <c r="BD764" s="112">
        <f>'Raw Data'!O754</f>
        <v>1</v>
      </c>
    </row>
    <row r="765" spans="23:56">
      <c r="W765" s="21"/>
      <c r="AC765" s="21"/>
      <c r="AD765" s="21"/>
      <c r="AE765" s="21"/>
      <c r="AS765" s="112" t="str">
        <f t="shared" si="144"/>
        <v/>
      </c>
      <c r="AT765" s="112" t="str">
        <f>IF(AS765="","",COUNTIF($AS$13:AS765,AS765))</f>
        <v/>
      </c>
      <c r="AU765" s="147">
        <f t="shared" si="146"/>
        <v>752</v>
      </c>
      <c r="AV765" s="147">
        <f>COUNTIF($AZ$14:AZ765,AZ765)</f>
        <v>16</v>
      </c>
      <c r="AW765" s="147">
        <f>IFERROR(COUNTIF(AX$14:$BL765,AX765),"")</f>
        <v>108</v>
      </c>
      <c r="AX765" s="148" t="str">
        <f t="shared" si="145"/>
        <v>Tue</v>
      </c>
      <c r="AY765" s="149">
        <f>'Raw Data'!A755</f>
        <v>42360</v>
      </c>
      <c r="AZ765" s="150" t="str">
        <f>'Raw Data'!E755</f>
        <v>$15 Off,FS on $75</v>
      </c>
      <c r="BA765" s="150">
        <f>'Raw Data'!I755</f>
        <v>1729</v>
      </c>
      <c r="BB765" s="112"/>
      <c r="BC765" s="112"/>
      <c r="BD765" s="112">
        <f>'Raw Data'!O755</f>
        <v>2</v>
      </c>
    </row>
    <row r="766" spans="23:56">
      <c r="W766" s="21"/>
      <c r="AC766" s="21"/>
      <c r="AD766" s="21"/>
      <c r="AE766" s="21"/>
      <c r="AS766" s="112" t="str">
        <f t="shared" si="144"/>
        <v/>
      </c>
      <c r="AT766" s="112" t="str">
        <f>IF(AS766="","",COUNTIF($AS$13:AS766,AS766))</f>
        <v/>
      </c>
      <c r="AU766" s="147">
        <f t="shared" si="146"/>
        <v>753</v>
      </c>
      <c r="AV766" s="147">
        <f>COUNTIF($AZ$14:AZ766,AZ766)</f>
        <v>17</v>
      </c>
      <c r="AW766" s="147">
        <f>IFERROR(COUNTIF(AX$14:$BL766,AX766),"")</f>
        <v>108</v>
      </c>
      <c r="AX766" s="148" t="str">
        <f t="shared" si="145"/>
        <v>Wed</v>
      </c>
      <c r="AY766" s="149">
        <f>'Raw Data'!A756</f>
        <v>42361</v>
      </c>
      <c r="AZ766" s="150" t="str">
        <f>'Raw Data'!E756</f>
        <v>$15 Off,FS on $75</v>
      </c>
      <c r="BA766" s="150">
        <f>'Raw Data'!I756</f>
        <v>1388</v>
      </c>
      <c r="BB766" s="112"/>
      <c r="BC766" s="112"/>
      <c r="BD766" s="112">
        <f>'Raw Data'!O756</f>
        <v>1</v>
      </c>
    </row>
    <row r="767" spans="23:56">
      <c r="W767" s="21"/>
      <c r="AC767" s="21"/>
      <c r="AD767" s="21"/>
      <c r="AE767" s="21"/>
      <c r="AS767" s="112" t="str">
        <f t="shared" si="144"/>
        <v/>
      </c>
      <c r="AT767" s="112" t="str">
        <f>IF(AS767="","",COUNTIF($AS$13:AS767,AS767))</f>
        <v/>
      </c>
      <c r="AU767" s="147">
        <f t="shared" si="146"/>
        <v>754</v>
      </c>
      <c r="AV767" s="147">
        <f>COUNTIF($AZ$14:AZ767,AZ767)</f>
        <v>18</v>
      </c>
      <c r="AW767" s="147">
        <f>IFERROR(COUNTIF(AX$14:$BL767,AX767),"")</f>
        <v>108</v>
      </c>
      <c r="AX767" s="148" t="str">
        <f t="shared" si="145"/>
        <v>Thu</v>
      </c>
      <c r="AY767" s="149">
        <f>'Raw Data'!A757</f>
        <v>42362</v>
      </c>
      <c r="AZ767" s="150" t="str">
        <f>'Raw Data'!E757</f>
        <v>$15 Off,FS on $75</v>
      </c>
      <c r="BA767" s="150">
        <f>'Raw Data'!I757</f>
        <v>919</v>
      </c>
      <c r="BB767" s="112"/>
      <c r="BC767" s="112"/>
      <c r="BD767" s="112">
        <f>'Raw Data'!O757</f>
        <v>2</v>
      </c>
    </row>
    <row r="768" spans="23:56">
      <c r="W768" s="21"/>
      <c r="AC768" s="21"/>
      <c r="AD768" s="21"/>
      <c r="AE768" s="21"/>
      <c r="AS768" s="112" t="str">
        <f t="shared" si="144"/>
        <v/>
      </c>
      <c r="AT768" s="112" t="str">
        <f>IF(AS768="","",COUNTIF($AS$13:AS768,AS768))</f>
        <v/>
      </c>
      <c r="AU768" s="147">
        <f t="shared" si="146"/>
        <v>755</v>
      </c>
      <c r="AV768" s="147">
        <f>COUNTIF($AZ$14:AZ768,AZ768)</f>
        <v>19</v>
      </c>
      <c r="AW768" s="147">
        <f>IFERROR(COUNTIF(AX$14:$BL768,AX768),"")</f>
        <v>108</v>
      </c>
      <c r="AX768" s="148" t="str">
        <f t="shared" si="145"/>
        <v>Fri</v>
      </c>
      <c r="AY768" s="149">
        <f>'Raw Data'!A758</f>
        <v>42363</v>
      </c>
      <c r="AZ768" s="150" t="str">
        <f>'Raw Data'!E758</f>
        <v>$15 Off,FS on $75</v>
      </c>
      <c r="BA768" s="150">
        <f>'Raw Data'!I758</f>
        <v>0</v>
      </c>
      <c r="BB768" s="112"/>
      <c r="BC768" s="112"/>
      <c r="BD768" s="112">
        <f>'Raw Data'!O758</f>
        <v>1</v>
      </c>
    </row>
    <row r="769" spans="23:56">
      <c r="W769" s="21"/>
      <c r="AC769" s="21"/>
      <c r="AD769" s="21"/>
      <c r="AE769" s="21"/>
      <c r="AS769" s="112" t="str">
        <f t="shared" si="144"/>
        <v/>
      </c>
      <c r="AT769" s="112" t="str">
        <f>IF(AS769="","",COUNTIF($AS$13:AS769,AS769))</f>
        <v/>
      </c>
      <c r="AU769" s="147">
        <f t="shared" si="146"/>
        <v>756</v>
      </c>
      <c r="AV769" s="147">
        <f>COUNTIF($AZ$14:AZ769,AZ769)</f>
        <v>1</v>
      </c>
      <c r="AW769" s="147">
        <f>IFERROR(COUNTIF(AX$14:$BL769,AX769),"")</f>
        <v>108</v>
      </c>
      <c r="AX769" s="148" t="str">
        <f t="shared" si="145"/>
        <v>Sat</v>
      </c>
      <c r="AY769" s="149">
        <f>'Raw Data'!A759</f>
        <v>42364</v>
      </c>
      <c r="AZ769" s="150" t="str">
        <f>'Raw Data'!E759</f>
        <v>Clearance Sale</v>
      </c>
      <c r="BA769" s="150">
        <f>'Raw Data'!I759</f>
        <v>971</v>
      </c>
      <c r="BB769" s="112"/>
      <c r="BC769" s="112"/>
      <c r="BD769" s="112">
        <f>'Raw Data'!O759</f>
        <v>1</v>
      </c>
    </row>
    <row r="770" spans="23:56">
      <c r="W770" s="21"/>
      <c r="AC770" s="21"/>
      <c r="AD770" s="21"/>
      <c r="AE770" s="21"/>
      <c r="AS770" s="112" t="str">
        <f t="shared" ref="AS770:AS804" si="147">IFERROR(IF(FIND($AT$12,AZ770)&gt;0,1,0),"")</f>
        <v/>
      </c>
      <c r="AT770" s="112" t="str">
        <f>IF(AS770="","",COUNTIF($AS$13:AS770,AS770))</f>
        <v/>
      </c>
      <c r="AU770" s="147">
        <f t="shared" si="146"/>
        <v>757</v>
      </c>
      <c r="AV770" s="147">
        <f>COUNTIF($AZ$14:AZ770,AZ770)</f>
        <v>12</v>
      </c>
      <c r="AW770" s="147">
        <f>IFERROR(COUNTIF(AX$14:$BL770,AX770),"")</f>
        <v>109</v>
      </c>
      <c r="AX770" s="148" t="str">
        <f t="shared" ref="AX770:AX804" si="148">TEXT(AY770,"ddd")</f>
        <v>Sun</v>
      </c>
      <c r="AY770" s="149">
        <f>'Raw Data'!A760</f>
        <v>42365</v>
      </c>
      <c r="AZ770" s="150" t="str">
        <f>'Raw Data'!E760</f>
        <v>$10 Off,FS on $60</v>
      </c>
      <c r="BA770" s="150">
        <f>'Raw Data'!I760</f>
        <v>683</v>
      </c>
      <c r="BB770" s="112"/>
      <c r="BC770" s="112"/>
      <c r="BD770" s="112">
        <f>'Raw Data'!O760</f>
        <v>1</v>
      </c>
    </row>
    <row r="771" spans="23:56">
      <c r="W771" s="21"/>
      <c r="AC771" s="21"/>
      <c r="AD771" s="21"/>
      <c r="AE771" s="21"/>
      <c r="AS771" s="112" t="str">
        <f t="shared" si="147"/>
        <v/>
      </c>
      <c r="AT771" s="112" t="str">
        <f>IF(AS771="","",COUNTIF($AS$13:AS771,AS771))</f>
        <v/>
      </c>
      <c r="AU771" s="147">
        <f t="shared" si="146"/>
        <v>758</v>
      </c>
      <c r="AV771" s="147">
        <f>COUNTIF($AZ$14:AZ771,AZ771)</f>
        <v>13</v>
      </c>
      <c r="AW771" s="147">
        <f>IFERROR(COUNTIF(AX$14:$BL771,AX771),"")</f>
        <v>109</v>
      </c>
      <c r="AX771" s="148" t="str">
        <f t="shared" si="148"/>
        <v>Mon</v>
      </c>
      <c r="AY771" s="149">
        <f>'Raw Data'!A761</f>
        <v>42366</v>
      </c>
      <c r="AZ771" s="150" t="str">
        <f>'Raw Data'!E761</f>
        <v>$10 Off,FS on $60</v>
      </c>
      <c r="BA771" s="150">
        <f>'Raw Data'!I761</f>
        <v>1561</v>
      </c>
      <c r="BB771" s="112"/>
      <c r="BC771" s="112"/>
      <c r="BD771" s="112">
        <f>'Raw Data'!O761</f>
        <v>1</v>
      </c>
    </row>
    <row r="772" spans="23:56">
      <c r="W772" s="21"/>
      <c r="AC772" s="21"/>
      <c r="AD772" s="21"/>
      <c r="AE772" s="21"/>
      <c r="AS772" s="112" t="str">
        <f t="shared" si="147"/>
        <v/>
      </c>
      <c r="AT772" s="112" t="str">
        <f>IF(AS772="","",COUNTIF($AS$13:AS772,AS772))</f>
        <v/>
      </c>
      <c r="AU772" s="147">
        <f t="shared" si="146"/>
        <v>759</v>
      </c>
      <c r="AV772" s="147">
        <f>COUNTIF($AZ$14:AZ772,AZ772)</f>
        <v>1</v>
      </c>
      <c r="AW772" s="147">
        <f>IFERROR(COUNTIF(AX$14:$BL772,AX772),"")</f>
        <v>109</v>
      </c>
      <c r="AX772" s="148" t="str">
        <f t="shared" si="148"/>
        <v>Tue</v>
      </c>
      <c r="AY772" s="149">
        <f>'Raw Data'!A762</f>
        <v>42367</v>
      </c>
      <c r="AZ772" s="150" t="str">
        <f>'Raw Data'!E762</f>
        <v>RD $30 eGC</v>
      </c>
      <c r="BA772" s="150">
        <f>'Raw Data'!I762</f>
        <v>1918</v>
      </c>
      <c r="BB772" s="112"/>
      <c r="BC772" s="112"/>
      <c r="BD772" s="112">
        <f>'Raw Data'!O762</f>
        <v>1</v>
      </c>
    </row>
    <row r="773" spans="23:56">
      <c r="W773" s="21"/>
      <c r="AC773" s="21"/>
      <c r="AD773" s="21"/>
      <c r="AE773" s="21"/>
      <c r="AS773" s="112" t="str">
        <f t="shared" si="147"/>
        <v/>
      </c>
      <c r="AT773" s="112" t="str">
        <f>IF(AS773="","",COUNTIF($AS$13:AS773,AS773))</f>
        <v/>
      </c>
      <c r="AU773" s="147">
        <f t="shared" si="146"/>
        <v>760</v>
      </c>
      <c r="AV773" s="147">
        <f>COUNTIF($AZ$14:AZ773,AZ773)</f>
        <v>2</v>
      </c>
      <c r="AW773" s="147">
        <f>IFERROR(COUNTIF(AX$14:$BL773,AX773),"")</f>
        <v>109</v>
      </c>
      <c r="AX773" s="148" t="str">
        <f t="shared" si="148"/>
        <v>Wed</v>
      </c>
      <c r="AY773" s="149">
        <f>'Raw Data'!A763</f>
        <v>42368</v>
      </c>
      <c r="AZ773" s="150" t="str">
        <f>'Raw Data'!E763</f>
        <v>RD $30 eGC</v>
      </c>
      <c r="BA773" s="150">
        <f>'Raw Data'!I763</f>
        <v>1781</v>
      </c>
      <c r="BB773" s="112"/>
      <c r="BC773" s="112"/>
      <c r="BD773" s="112">
        <f>'Raw Data'!O763</f>
        <v>2</v>
      </c>
    </row>
    <row r="774" spans="23:56">
      <c r="W774" s="21"/>
      <c r="AC774" s="21"/>
      <c r="AD774" s="21"/>
      <c r="AE774" s="21"/>
      <c r="AS774" s="112" t="str">
        <f t="shared" si="147"/>
        <v/>
      </c>
      <c r="AT774" s="112" t="str">
        <f>IF(AS774="","",COUNTIF($AS$13:AS774,AS774))</f>
        <v/>
      </c>
      <c r="AU774" s="147">
        <f t="shared" si="146"/>
        <v>761</v>
      </c>
      <c r="AV774" s="147">
        <f>COUNTIF($AZ$14:AZ774,AZ774)</f>
        <v>29</v>
      </c>
      <c r="AW774" s="147">
        <f>IFERROR(COUNTIF(AX$14:$BL774,AX774),"")</f>
        <v>109</v>
      </c>
      <c r="AX774" s="148" t="str">
        <f t="shared" si="148"/>
        <v>Thu</v>
      </c>
      <c r="AY774" s="149">
        <f>'Raw Data'!A764</f>
        <v>42369</v>
      </c>
      <c r="AZ774" s="150" t="str">
        <f>'Raw Data'!E764</f>
        <v>25% Off,FS on $49</v>
      </c>
      <c r="BA774" s="150">
        <f>'Raw Data'!I764</f>
        <v>1874</v>
      </c>
      <c r="BB774" s="112"/>
      <c r="BC774" s="112"/>
      <c r="BD774" s="112">
        <f>'Raw Data'!O764</f>
        <v>2</v>
      </c>
    </row>
    <row r="775" spans="23:56">
      <c r="W775" s="21"/>
      <c r="AC775" s="21"/>
      <c r="AD775" s="21"/>
      <c r="AE775" s="21"/>
      <c r="AS775" s="112" t="str">
        <f t="shared" si="147"/>
        <v/>
      </c>
      <c r="AT775" s="112" t="str">
        <f>IF(AS775="","",COUNTIF($AS$13:AS775,AS775))</f>
        <v/>
      </c>
      <c r="AU775" s="147">
        <f t="shared" si="146"/>
        <v>762</v>
      </c>
      <c r="AV775" s="147">
        <f>COUNTIF($AZ$14:AZ775,AZ775)</f>
        <v>20</v>
      </c>
      <c r="AW775" s="147">
        <f>IFERROR(COUNTIF(AX$14:$BL775,AX775),"")</f>
        <v>109</v>
      </c>
      <c r="AX775" s="148" t="str">
        <f t="shared" si="148"/>
        <v>Fri</v>
      </c>
      <c r="AY775" s="149">
        <f>'Raw Data'!A765</f>
        <v>42370</v>
      </c>
      <c r="AZ775" s="150" t="str">
        <f>'Raw Data'!E765</f>
        <v>$15 Off,FS on $75</v>
      </c>
      <c r="BA775" s="150">
        <f>'Raw Data'!I765</f>
        <v>627</v>
      </c>
      <c r="BB775" s="112"/>
      <c r="BC775" s="112"/>
      <c r="BD775" s="112">
        <f>'Raw Data'!O765</f>
        <v>2</v>
      </c>
    </row>
    <row r="776" spans="23:56">
      <c r="W776" s="21"/>
      <c r="AC776" s="21"/>
      <c r="AD776" s="21"/>
      <c r="AE776" s="21"/>
      <c r="AS776" s="112" t="str">
        <f t="shared" si="147"/>
        <v/>
      </c>
      <c r="AT776" s="112" t="str">
        <f>IF(AS776="","",COUNTIF($AS$13:AS776,AS776))</f>
        <v/>
      </c>
      <c r="AU776" s="147">
        <f t="shared" si="146"/>
        <v>763</v>
      </c>
      <c r="AV776" s="147">
        <f>COUNTIF($AZ$14:AZ776,AZ776)</f>
        <v>21</v>
      </c>
      <c r="AW776" s="147">
        <f>IFERROR(COUNTIF(AX$14:$BL776,AX776),"")</f>
        <v>109</v>
      </c>
      <c r="AX776" s="148" t="str">
        <f t="shared" si="148"/>
        <v>Sat</v>
      </c>
      <c r="AY776" s="149">
        <f>'Raw Data'!A766</f>
        <v>42371</v>
      </c>
      <c r="AZ776" s="150" t="str">
        <f>'Raw Data'!E766</f>
        <v>$15 Off,FS on $75</v>
      </c>
      <c r="BA776" s="150">
        <f>'Raw Data'!I766</f>
        <v>1134</v>
      </c>
      <c r="BB776" s="112"/>
      <c r="BC776" s="112"/>
      <c r="BD776" s="112">
        <f>'Raw Data'!O766</f>
        <v>2</v>
      </c>
    </row>
    <row r="777" spans="23:56">
      <c r="W777" s="21"/>
      <c r="AC777" s="21"/>
      <c r="AD777" s="21"/>
      <c r="AE777" s="21"/>
      <c r="AS777" s="112" t="str">
        <f t="shared" si="147"/>
        <v/>
      </c>
      <c r="AT777" s="112" t="str">
        <f>IF(AS777="","",COUNTIF($AS$13:AS777,AS777))</f>
        <v/>
      </c>
      <c r="AU777" s="147">
        <f t="shared" si="146"/>
        <v>764</v>
      </c>
      <c r="AV777" s="147">
        <f>COUNTIF($AZ$14:AZ777,AZ777)</f>
        <v>22</v>
      </c>
      <c r="AW777" s="147">
        <f>IFERROR(COUNTIF(AX$14:$BL777,AX777),"")</f>
        <v>110</v>
      </c>
      <c r="AX777" s="148" t="str">
        <f t="shared" si="148"/>
        <v>Sun</v>
      </c>
      <c r="AY777" s="149">
        <f>'Raw Data'!A767</f>
        <v>42372</v>
      </c>
      <c r="AZ777" s="150" t="str">
        <f>'Raw Data'!E767</f>
        <v>$15 Off,FS on $75</v>
      </c>
      <c r="BA777" s="150">
        <f>'Raw Data'!I767</f>
        <v>944</v>
      </c>
      <c r="BB777" s="112"/>
      <c r="BC777" s="112"/>
      <c r="BD777" s="112">
        <f>'Raw Data'!O767</f>
        <v>1</v>
      </c>
    </row>
    <row r="778" spans="23:56">
      <c r="W778" s="21"/>
      <c r="AC778" s="21"/>
      <c r="AD778" s="21"/>
      <c r="AE778" s="21"/>
      <c r="AS778" s="112" t="str">
        <f t="shared" si="147"/>
        <v/>
      </c>
      <c r="AT778" s="112" t="str">
        <f>IF(AS778="","",COUNTIF($AS$13:AS778,AS778))</f>
        <v/>
      </c>
      <c r="AU778" s="147">
        <f t="shared" si="146"/>
        <v>765</v>
      </c>
      <c r="AV778" s="147">
        <f>COUNTIF($AZ$14:AZ778,AZ778)</f>
        <v>14</v>
      </c>
      <c r="AW778" s="147">
        <f>IFERROR(COUNTIF(AX$14:$BL778,AX778),"")</f>
        <v>110</v>
      </c>
      <c r="AX778" s="148" t="str">
        <f t="shared" si="148"/>
        <v>Mon</v>
      </c>
      <c r="AY778" s="149">
        <f>'Raw Data'!A768</f>
        <v>42373</v>
      </c>
      <c r="AZ778" s="150" t="str">
        <f>'Raw Data'!E768</f>
        <v>$10 Off,FS on $60</v>
      </c>
      <c r="BA778" s="150">
        <f>'Raw Data'!I768</f>
        <v>2363</v>
      </c>
      <c r="BB778" s="112"/>
      <c r="BC778" s="112"/>
      <c r="BD778" s="112">
        <f>'Raw Data'!O768</f>
        <v>1</v>
      </c>
    </row>
    <row r="779" spans="23:56">
      <c r="W779" s="21"/>
      <c r="AC779" s="21"/>
      <c r="AD779" s="21"/>
      <c r="AE779" s="21"/>
      <c r="AS779" s="112" t="str">
        <f t="shared" si="147"/>
        <v/>
      </c>
      <c r="AT779" s="112" t="str">
        <f>IF(AS779="","",COUNTIF($AS$13:AS779,AS779))</f>
        <v/>
      </c>
      <c r="AU779" s="147">
        <f t="shared" si="146"/>
        <v>766</v>
      </c>
      <c r="AV779" s="147">
        <f>COUNTIF($AZ$14:AZ779,AZ779)</f>
        <v>15</v>
      </c>
      <c r="AW779" s="147">
        <f>IFERROR(COUNTIF(AX$14:$BL779,AX779),"")</f>
        <v>110</v>
      </c>
      <c r="AX779" s="148" t="str">
        <f t="shared" si="148"/>
        <v>Tue</v>
      </c>
      <c r="AY779" s="149">
        <f>'Raw Data'!A769</f>
        <v>42374</v>
      </c>
      <c r="AZ779" s="150" t="str">
        <f>'Raw Data'!E769</f>
        <v>$10 Off,FS on $60</v>
      </c>
      <c r="BA779" s="150">
        <f>'Raw Data'!I769</f>
        <v>2303</v>
      </c>
      <c r="BB779" s="112"/>
      <c r="BC779" s="112"/>
      <c r="BD779" s="112">
        <f>'Raw Data'!O769</f>
        <v>2</v>
      </c>
    </row>
    <row r="780" spans="23:56">
      <c r="W780" s="21"/>
      <c r="AC780" s="21"/>
      <c r="AD780" s="21"/>
      <c r="AE780" s="21"/>
      <c r="AS780" s="112" t="str">
        <f t="shared" si="147"/>
        <v/>
      </c>
      <c r="AT780" s="112" t="str">
        <f>IF(AS780="","",COUNTIF($AS$13:AS780,AS780))</f>
        <v/>
      </c>
      <c r="AU780" s="147">
        <f t="shared" si="146"/>
        <v>767</v>
      </c>
      <c r="AV780" s="147">
        <f>COUNTIF($AZ$14:AZ780,AZ780)</f>
        <v>16</v>
      </c>
      <c r="AW780" s="147">
        <f>IFERROR(COUNTIF(AX$14:$BL780,AX780),"")</f>
        <v>110</v>
      </c>
      <c r="AX780" s="148" t="str">
        <f t="shared" si="148"/>
        <v>Wed</v>
      </c>
      <c r="AY780" s="149">
        <f>'Raw Data'!A770</f>
        <v>42375</v>
      </c>
      <c r="AZ780" s="150" t="str">
        <f>'Raw Data'!E770</f>
        <v>$10 Off,FS on $60</v>
      </c>
      <c r="BA780" s="150">
        <f>'Raw Data'!I770</f>
        <v>1867</v>
      </c>
      <c r="BB780" s="112"/>
      <c r="BC780" s="112"/>
      <c r="BD780" s="112">
        <f>'Raw Data'!O770</f>
        <v>1</v>
      </c>
    </row>
    <row r="781" spans="23:56">
      <c r="W781" s="21"/>
      <c r="AC781" s="21"/>
      <c r="AD781" s="21"/>
      <c r="AE781" s="21"/>
      <c r="AS781" s="112" t="str">
        <f t="shared" si="147"/>
        <v/>
      </c>
      <c r="AT781" s="112" t="str">
        <f>IF(AS781="","",COUNTIF($AS$13:AS781,AS781))</f>
        <v/>
      </c>
      <c r="AU781" s="147">
        <f t="shared" si="146"/>
        <v>768</v>
      </c>
      <c r="AV781" s="147">
        <f>COUNTIF($AZ$14:AZ781,AZ781)</f>
        <v>17</v>
      </c>
      <c r="AW781" s="147">
        <f>IFERROR(COUNTIF(AX$14:$BL781,AX781),"")</f>
        <v>110</v>
      </c>
      <c r="AX781" s="148" t="str">
        <f t="shared" si="148"/>
        <v>Thu</v>
      </c>
      <c r="AY781" s="149">
        <f>'Raw Data'!A771</f>
        <v>42376</v>
      </c>
      <c r="AZ781" s="150" t="str">
        <f>'Raw Data'!E771</f>
        <v>$10 Off,FS on $60</v>
      </c>
      <c r="BA781" s="150">
        <f>'Raw Data'!I771</f>
        <v>1768</v>
      </c>
      <c r="BB781" s="112"/>
      <c r="BC781" s="112"/>
      <c r="BD781" s="112">
        <f>'Raw Data'!O771</f>
        <v>2</v>
      </c>
    </row>
    <row r="782" spans="23:56">
      <c r="W782" s="21"/>
      <c r="AC782" s="21"/>
      <c r="AD782" s="21"/>
      <c r="AE782" s="21"/>
      <c r="AS782" s="112" t="str">
        <f t="shared" si="147"/>
        <v/>
      </c>
      <c r="AT782" s="112" t="str">
        <f>IF(AS782="","",COUNTIF($AS$13:AS782,AS782))</f>
        <v/>
      </c>
      <c r="AU782" s="147">
        <f t="shared" si="146"/>
        <v>769</v>
      </c>
      <c r="AV782" s="147">
        <f>COUNTIF($AZ$14:AZ782,AZ782)</f>
        <v>6</v>
      </c>
      <c r="AW782" s="147">
        <f>IFERROR(COUNTIF(AX$14:$BL782,AX782),"")</f>
        <v>110</v>
      </c>
      <c r="AX782" s="148" t="str">
        <f t="shared" si="148"/>
        <v>Fri</v>
      </c>
      <c r="AY782" s="149">
        <f>'Raw Data'!A772</f>
        <v>42377</v>
      </c>
      <c r="AZ782" s="150" t="str">
        <f>'Raw Data'!E772</f>
        <v>20% Off, FS on $49</v>
      </c>
      <c r="BA782" s="150">
        <f>'Raw Data'!I772</f>
        <v>1733</v>
      </c>
      <c r="BB782" s="112"/>
      <c r="BC782" s="112"/>
      <c r="BD782" s="112">
        <f>'Raw Data'!O772</f>
        <v>2</v>
      </c>
    </row>
    <row r="783" spans="23:56">
      <c r="W783" s="21"/>
      <c r="AC783" s="21"/>
      <c r="AD783" s="21"/>
      <c r="AE783" s="21"/>
      <c r="AS783" s="112" t="str">
        <f t="shared" si="147"/>
        <v/>
      </c>
      <c r="AT783" s="112" t="str">
        <f>IF(AS783="","",COUNTIF($AS$13:AS783,AS783))</f>
        <v/>
      </c>
      <c r="AU783" s="147">
        <f t="shared" si="146"/>
        <v>770</v>
      </c>
      <c r="AV783" s="147">
        <f>COUNTIF($AZ$14:AZ783,AZ783)</f>
        <v>7</v>
      </c>
      <c r="AW783" s="147">
        <f>IFERROR(COUNTIF(AX$14:$BL783,AX783),"")</f>
        <v>110</v>
      </c>
      <c r="AX783" s="148" t="str">
        <f t="shared" si="148"/>
        <v>Sat</v>
      </c>
      <c r="AY783" s="149">
        <f>'Raw Data'!A773</f>
        <v>42378</v>
      </c>
      <c r="AZ783" s="150" t="str">
        <f>'Raw Data'!E773</f>
        <v>20% Off, FS on $49</v>
      </c>
      <c r="BA783" s="150">
        <f>'Raw Data'!I773</f>
        <v>1210</v>
      </c>
      <c r="BB783" s="112"/>
      <c r="BC783" s="112"/>
      <c r="BD783" s="112">
        <f>'Raw Data'!O773</f>
        <v>1</v>
      </c>
    </row>
    <row r="784" spans="23:56">
      <c r="W784" s="21"/>
      <c r="AC784" s="21"/>
      <c r="AD784" s="21"/>
      <c r="AE784" s="21"/>
      <c r="AS784" s="112" t="str">
        <f t="shared" si="147"/>
        <v/>
      </c>
      <c r="AT784" s="112" t="str">
        <f>IF(AS784="","",COUNTIF($AS$13:AS784,AS784))</f>
        <v/>
      </c>
      <c r="AU784" s="147">
        <f t="shared" si="146"/>
        <v>771</v>
      </c>
      <c r="AV784" s="147">
        <f>COUNTIF($AZ$14:AZ784,AZ784)</f>
        <v>8</v>
      </c>
      <c r="AW784" s="147">
        <f>IFERROR(COUNTIF(AX$14:$BL784,AX784),"")</f>
        <v>111</v>
      </c>
      <c r="AX784" s="148" t="str">
        <f t="shared" si="148"/>
        <v>Sun</v>
      </c>
      <c r="AY784" s="149">
        <f>'Raw Data'!A774</f>
        <v>42379</v>
      </c>
      <c r="AZ784" s="150" t="str">
        <f>'Raw Data'!E774</f>
        <v>20% Off, FS on $49</v>
      </c>
      <c r="BA784" s="150">
        <f>'Raw Data'!I774</f>
        <v>1105</v>
      </c>
      <c r="BB784" s="112"/>
      <c r="BC784" s="112"/>
      <c r="BD784" s="112">
        <f>'Raw Data'!O774</f>
        <v>1</v>
      </c>
    </row>
    <row r="785" spans="23:56">
      <c r="W785" s="21"/>
      <c r="AC785" s="21"/>
      <c r="AD785" s="21"/>
      <c r="AE785" s="21"/>
      <c r="AS785" s="112" t="str">
        <f t="shared" si="147"/>
        <v/>
      </c>
      <c r="AT785" s="112" t="str">
        <f>IF(AS785="","",COUNTIF($AS$13:AS785,AS785))</f>
        <v/>
      </c>
      <c r="AU785" s="147">
        <f t="shared" si="146"/>
        <v>772</v>
      </c>
      <c r="AV785" s="147">
        <f>COUNTIF($AZ$14:AZ785,AZ785)</f>
        <v>47</v>
      </c>
      <c r="AW785" s="147">
        <f>IFERROR(COUNTIF(AX$14:$BL785,AX785),"")</f>
        <v>111</v>
      </c>
      <c r="AX785" s="148" t="str">
        <f t="shared" si="148"/>
        <v>Mon</v>
      </c>
      <c r="AY785" s="149">
        <f>'Raw Data'!A775</f>
        <v>42380</v>
      </c>
      <c r="AZ785" s="150" t="str">
        <f>'Raw Data'!E775</f>
        <v>Free Ship No Min</v>
      </c>
      <c r="BA785" s="150">
        <f>'Raw Data'!I775</f>
        <v>1633</v>
      </c>
      <c r="BB785" s="112"/>
      <c r="BC785" s="112"/>
      <c r="BD785" s="112">
        <f>'Raw Data'!O775</f>
        <v>1</v>
      </c>
    </row>
    <row r="786" spans="23:56">
      <c r="W786" s="21"/>
      <c r="AC786" s="21"/>
      <c r="AD786" s="21"/>
      <c r="AE786" s="21"/>
      <c r="AS786" s="112" t="str">
        <f t="shared" si="147"/>
        <v/>
      </c>
      <c r="AT786" s="112" t="str">
        <f>IF(AS786="","",COUNTIF($AS$13:AS786,AS786))</f>
        <v/>
      </c>
      <c r="AU786" s="147">
        <f t="shared" si="146"/>
        <v>773</v>
      </c>
      <c r="AV786" s="147">
        <f>COUNTIF($AZ$14:AZ786,AZ786)</f>
        <v>49</v>
      </c>
      <c r="AW786" s="147">
        <f>IFERROR(COUNTIF(AX$14:$BL786,AX786),"")</f>
        <v>111</v>
      </c>
      <c r="AX786" s="148" t="str">
        <f t="shared" si="148"/>
        <v>Tue</v>
      </c>
      <c r="AY786" s="149">
        <f>'Raw Data'!A776</f>
        <v>42381</v>
      </c>
      <c r="AZ786" s="150" t="str">
        <f>'Raw Data'!E776</f>
        <v>Up To 40% Off,FS on $49</v>
      </c>
      <c r="BA786" s="150">
        <f>'Raw Data'!I776</f>
        <v>1575</v>
      </c>
      <c r="BB786" s="112"/>
      <c r="BC786" s="112"/>
      <c r="BD786" s="112">
        <f>'Raw Data'!O776</f>
        <v>1</v>
      </c>
    </row>
    <row r="787" spans="23:56">
      <c r="W787" s="21"/>
      <c r="AC787" s="21"/>
      <c r="AD787" s="21"/>
      <c r="AE787" s="21"/>
      <c r="AS787" s="112" t="str">
        <f t="shared" si="147"/>
        <v/>
      </c>
      <c r="AT787" s="112" t="str">
        <f>IF(AS787="","",COUNTIF($AS$13:AS787,AS787))</f>
        <v/>
      </c>
      <c r="AU787" s="147">
        <f t="shared" si="146"/>
        <v>774</v>
      </c>
      <c r="AV787" s="147">
        <f>COUNTIF($AZ$14:AZ787,AZ787)</f>
        <v>11</v>
      </c>
      <c r="AW787" s="147">
        <f>IFERROR(COUNTIF(AX$14:$BL787,AX787),"")</f>
        <v>111</v>
      </c>
      <c r="AX787" s="148" t="str">
        <f t="shared" si="148"/>
        <v>Wed</v>
      </c>
      <c r="AY787" s="149">
        <f>'Raw Data'!A777</f>
        <v>42382</v>
      </c>
      <c r="AZ787" s="150" t="str">
        <f>'Raw Data'!E777</f>
        <v>Up To 35% Off,FS on $49</v>
      </c>
      <c r="BA787" s="150">
        <f>'Raw Data'!I777</f>
        <v>1573</v>
      </c>
      <c r="BB787" s="112"/>
      <c r="BC787" s="112"/>
      <c r="BD787" s="112">
        <f>'Raw Data'!O777</f>
        <v>2</v>
      </c>
    </row>
    <row r="788" spans="23:56">
      <c r="W788" s="21"/>
      <c r="AC788" s="21"/>
      <c r="AD788" s="21"/>
      <c r="AE788" s="21"/>
      <c r="AS788" s="112" t="str">
        <f t="shared" si="147"/>
        <v/>
      </c>
      <c r="AT788" s="112" t="str">
        <f>IF(AS788="","",COUNTIF($AS$13:AS788,AS788))</f>
        <v/>
      </c>
      <c r="AU788" s="147">
        <f t="shared" si="146"/>
        <v>775</v>
      </c>
      <c r="AV788" s="147">
        <f>COUNTIF($AZ$14:AZ788,AZ788)</f>
        <v>12</v>
      </c>
      <c r="AW788" s="147">
        <f>IFERROR(COUNTIF(AX$14:$BL788,AX788),"")</f>
        <v>111</v>
      </c>
      <c r="AX788" s="148" t="str">
        <f t="shared" si="148"/>
        <v>Thu</v>
      </c>
      <c r="AY788" s="149">
        <f>'Raw Data'!A778</f>
        <v>42383</v>
      </c>
      <c r="AZ788" s="150" t="str">
        <f>'Raw Data'!E778</f>
        <v>Up To 35% Off,FS on $49</v>
      </c>
      <c r="BA788" s="150">
        <f>'Raw Data'!I778</f>
        <v>1296</v>
      </c>
      <c r="BB788" s="112"/>
      <c r="BC788" s="112"/>
      <c r="BD788" s="112">
        <f>'Raw Data'!O778</f>
        <v>2</v>
      </c>
    </row>
    <row r="789" spans="23:56">
      <c r="W789" s="21"/>
      <c r="AC789" s="21"/>
      <c r="AD789" s="21"/>
      <c r="AE789" s="21"/>
      <c r="AS789" s="112" t="str">
        <f t="shared" si="147"/>
        <v/>
      </c>
      <c r="AT789" s="112" t="str">
        <f>IF(AS789="","",COUNTIF($AS$13:AS789,AS789))</f>
        <v/>
      </c>
      <c r="AU789" s="147">
        <f t="shared" si="146"/>
        <v>776</v>
      </c>
      <c r="AV789" s="147">
        <f>COUNTIF($AZ$14:AZ789,AZ789)</f>
        <v>13</v>
      </c>
      <c r="AW789" s="147">
        <f>IFERROR(COUNTIF(AX$14:$BL789,AX789),"")</f>
        <v>111</v>
      </c>
      <c r="AX789" s="148" t="str">
        <f t="shared" si="148"/>
        <v>Fri</v>
      </c>
      <c r="AY789" s="149">
        <f>'Raw Data'!A779</f>
        <v>42384</v>
      </c>
      <c r="AZ789" s="150" t="str">
        <f>'Raw Data'!E779</f>
        <v>Up To 35% Off,FS on $49</v>
      </c>
      <c r="BA789" s="150">
        <f>'Raw Data'!I779</f>
        <v>1473</v>
      </c>
      <c r="BB789" s="112"/>
      <c r="BC789" s="112"/>
      <c r="BD789" s="112">
        <f>'Raw Data'!O779</f>
        <v>2</v>
      </c>
    </row>
    <row r="790" spans="23:56">
      <c r="W790" s="21"/>
      <c r="AC790" s="21"/>
      <c r="AD790" s="21"/>
      <c r="AE790" s="21"/>
      <c r="AS790" s="112" t="str">
        <f t="shared" si="147"/>
        <v/>
      </c>
      <c r="AT790" s="112" t="str">
        <f>IF(AS790="","",COUNTIF($AS$13:AS790,AS790))</f>
        <v/>
      </c>
      <c r="AU790" s="147">
        <f t="shared" si="146"/>
        <v>777</v>
      </c>
      <c r="AV790" s="147">
        <f>COUNTIF($AZ$14:AZ790,AZ790)</f>
        <v>18</v>
      </c>
      <c r="AW790" s="147">
        <f>IFERROR(COUNTIF(AX$14:$BL790,AX790),"")</f>
        <v>111</v>
      </c>
      <c r="AX790" s="148" t="str">
        <f t="shared" si="148"/>
        <v>Sat</v>
      </c>
      <c r="AY790" s="149">
        <f>'Raw Data'!A780</f>
        <v>42385</v>
      </c>
      <c r="AZ790" s="150" t="str">
        <f>'Raw Data'!E780</f>
        <v>$10 Off,FS on $60</v>
      </c>
      <c r="BA790" s="150">
        <f>'Raw Data'!I780</f>
        <v>1148</v>
      </c>
      <c r="BB790" s="112"/>
      <c r="BC790" s="112"/>
      <c r="BD790" s="112">
        <f>'Raw Data'!O780</f>
        <v>2</v>
      </c>
    </row>
    <row r="791" spans="23:56">
      <c r="W791" s="21"/>
      <c r="AC791" s="21"/>
      <c r="AD791" s="21"/>
      <c r="AE791" s="21"/>
      <c r="AS791" s="112" t="str">
        <f t="shared" si="147"/>
        <v/>
      </c>
      <c r="AT791" s="112" t="str">
        <f>IF(AS791="","",COUNTIF($AS$13:AS791,AS791))</f>
        <v/>
      </c>
      <c r="AU791" s="147">
        <f t="shared" si="146"/>
        <v>778</v>
      </c>
      <c r="AV791" s="147">
        <f>COUNTIF($AZ$14:AZ791,AZ791)</f>
        <v>19</v>
      </c>
      <c r="AW791" s="147">
        <f>IFERROR(COUNTIF(AX$14:$BL791,AX791),"")</f>
        <v>112</v>
      </c>
      <c r="AX791" s="148" t="str">
        <f t="shared" si="148"/>
        <v>Sun</v>
      </c>
      <c r="AY791" s="149">
        <f>'Raw Data'!A781</f>
        <v>42386</v>
      </c>
      <c r="AZ791" s="150" t="str">
        <f>'Raw Data'!E781</f>
        <v>$10 Off,FS on $60</v>
      </c>
      <c r="BA791" s="150">
        <f>'Raw Data'!I781</f>
        <v>912</v>
      </c>
      <c r="BB791" s="112"/>
      <c r="BC791" s="112"/>
      <c r="BD791" s="112">
        <f>'Raw Data'!O781</f>
        <v>2</v>
      </c>
    </row>
    <row r="792" spans="23:56">
      <c r="W792" s="21"/>
      <c r="AC792" s="21"/>
      <c r="AD792" s="21"/>
      <c r="AE792" s="21"/>
      <c r="AS792" s="112" t="str">
        <f t="shared" si="147"/>
        <v/>
      </c>
      <c r="AT792" s="112" t="str">
        <f>IF(AS792="","",COUNTIF($AS$13:AS792,AS792))</f>
        <v/>
      </c>
      <c r="AU792" s="147">
        <f t="shared" si="146"/>
        <v>779</v>
      </c>
      <c r="AV792" s="147">
        <f>COUNTIF($AZ$14:AZ792,AZ792)</f>
        <v>48</v>
      </c>
      <c r="AW792" s="147">
        <f>IFERROR(COUNTIF(AX$14:$BL792,AX792),"")</f>
        <v>112</v>
      </c>
      <c r="AX792" s="148" t="str">
        <f t="shared" si="148"/>
        <v>Mon</v>
      </c>
      <c r="AY792" s="149">
        <f>'Raw Data'!A782</f>
        <v>42387</v>
      </c>
      <c r="AZ792" s="150" t="str">
        <f>'Raw Data'!E782</f>
        <v>Free Ship No Min</v>
      </c>
      <c r="BA792" s="150">
        <f>'Raw Data'!I782</f>
        <v>1548</v>
      </c>
      <c r="BB792" s="112"/>
      <c r="BC792" s="112"/>
      <c r="BD792" s="112">
        <f>'Raw Data'!O782</f>
        <v>2</v>
      </c>
    </row>
    <row r="793" spans="23:56">
      <c r="W793" s="21"/>
      <c r="AC793" s="21"/>
      <c r="AD793" s="21"/>
      <c r="AE793" s="21"/>
      <c r="AS793" s="112" t="str">
        <f t="shared" si="147"/>
        <v/>
      </c>
      <c r="AT793" s="112" t="str">
        <f>IF(AS793="","",COUNTIF($AS$13:AS793,AS793))</f>
        <v/>
      </c>
      <c r="AU793" s="147">
        <f t="shared" si="146"/>
        <v>780</v>
      </c>
      <c r="AV793" s="147">
        <f>COUNTIF($AZ$14:AZ793,AZ793)</f>
        <v>49</v>
      </c>
      <c r="AW793" s="147">
        <f>IFERROR(COUNTIF(AX$14:$BL793,AX793),"")</f>
        <v>112</v>
      </c>
      <c r="AX793" s="148" t="str">
        <f t="shared" si="148"/>
        <v>Tue</v>
      </c>
      <c r="AY793" s="149">
        <f>'Raw Data'!A783</f>
        <v>42388</v>
      </c>
      <c r="AZ793" s="150" t="str">
        <f>'Raw Data'!E783</f>
        <v>Free Ship No Min</v>
      </c>
      <c r="BA793" s="150">
        <f>'Raw Data'!I783</f>
        <v>1568</v>
      </c>
      <c r="BB793" s="112"/>
      <c r="BC793" s="112"/>
      <c r="BD793" s="112">
        <f>'Raw Data'!O783</f>
        <v>2</v>
      </c>
    </row>
    <row r="794" spans="23:56">
      <c r="W794" s="21"/>
      <c r="AC794" s="21"/>
      <c r="AD794" s="21"/>
      <c r="AE794" s="21"/>
      <c r="AS794" s="112" t="str">
        <f t="shared" si="147"/>
        <v/>
      </c>
      <c r="AT794" s="112" t="str">
        <f>IF(AS794="","",COUNTIF($AS$13:AS794,AS794))</f>
        <v/>
      </c>
      <c r="AU794" s="147">
        <f t="shared" si="146"/>
        <v>781</v>
      </c>
      <c r="AV794" s="147">
        <f>COUNTIF($AZ$14:AZ794,AZ794)</f>
        <v>20</v>
      </c>
      <c r="AW794" s="147">
        <f>IFERROR(COUNTIF(AX$14:$BL794,AX794),"")</f>
        <v>112</v>
      </c>
      <c r="AX794" s="148" t="str">
        <f t="shared" si="148"/>
        <v>Wed</v>
      </c>
      <c r="AY794" s="149">
        <f>'Raw Data'!A784</f>
        <v>42389</v>
      </c>
      <c r="AZ794" s="150" t="str">
        <f>'Raw Data'!E784</f>
        <v>$10 Off,FS on $60</v>
      </c>
      <c r="BA794" s="150">
        <f>'Raw Data'!I784</f>
        <v>1564</v>
      </c>
      <c r="BB794" s="112"/>
      <c r="BC794" s="112"/>
      <c r="BD794" s="112">
        <f>'Raw Data'!O784</f>
        <v>2</v>
      </c>
    </row>
    <row r="795" spans="23:56">
      <c r="W795" s="21"/>
      <c r="AC795" s="21"/>
      <c r="AD795" s="21"/>
      <c r="AE795" s="21"/>
      <c r="AS795" s="112" t="str">
        <f t="shared" si="147"/>
        <v/>
      </c>
      <c r="AT795" s="112" t="str">
        <f>IF(AS795="","",COUNTIF($AS$13:AS795,AS795))</f>
        <v/>
      </c>
      <c r="AU795" s="147">
        <f t="shared" si="146"/>
        <v>782</v>
      </c>
      <c r="AV795" s="147">
        <f>COUNTIF($AZ$14:AZ795,AZ795)</f>
        <v>3</v>
      </c>
      <c r="AW795" s="147">
        <f>IFERROR(COUNTIF(AX$14:$BL795,AX795),"")</f>
        <v>112</v>
      </c>
      <c r="AX795" s="148" t="str">
        <f t="shared" si="148"/>
        <v>Thu</v>
      </c>
      <c r="AY795" s="149">
        <f>'Raw Data'!A785</f>
        <v>42390</v>
      </c>
      <c r="AZ795" s="150" t="str">
        <f>'Raw Data'!E785</f>
        <v>30% Off,FS on $49</v>
      </c>
      <c r="BA795" s="150">
        <f>'Raw Data'!I785</f>
        <v>1622</v>
      </c>
      <c r="BB795" s="112"/>
      <c r="BC795" s="112"/>
      <c r="BD795" s="112">
        <f>'Raw Data'!O785</f>
        <v>2</v>
      </c>
    </row>
    <row r="796" spans="23:56">
      <c r="W796" s="21"/>
      <c r="AC796" s="21"/>
      <c r="AD796" s="21"/>
      <c r="AE796" s="21"/>
      <c r="AS796" s="112" t="str">
        <f t="shared" si="147"/>
        <v/>
      </c>
      <c r="AT796" s="112" t="str">
        <f>IF(AS796="","",COUNTIF($AS$13:AS796,AS796))</f>
        <v/>
      </c>
      <c r="AU796" s="147">
        <f t="shared" si="146"/>
        <v>783</v>
      </c>
      <c r="AV796" s="147">
        <f>COUNTIF($AZ$14:AZ796,AZ796)</f>
        <v>4</v>
      </c>
      <c r="AW796" s="147">
        <f>IFERROR(COUNTIF(AX$14:$BL796,AX796),"")</f>
        <v>112</v>
      </c>
      <c r="AX796" s="148" t="str">
        <f t="shared" si="148"/>
        <v>Fri</v>
      </c>
      <c r="AY796" s="149">
        <f>'Raw Data'!A786</f>
        <v>42391</v>
      </c>
      <c r="AZ796" s="150" t="str">
        <f>'Raw Data'!E786</f>
        <v>30% Off,FS on $49</v>
      </c>
      <c r="BA796" s="150">
        <f>'Raw Data'!I786</f>
        <v>1316</v>
      </c>
      <c r="BB796" s="112"/>
      <c r="BC796" s="112"/>
      <c r="BD796" s="112">
        <f>'Raw Data'!O786</f>
        <v>2</v>
      </c>
    </row>
    <row r="797" spans="23:56">
      <c r="W797" s="21"/>
      <c r="AC797" s="21"/>
      <c r="AD797" s="21"/>
      <c r="AE797" s="21"/>
      <c r="AS797" s="112" t="str">
        <f t="shared" si="147"/>
        <v/>
      </c>
      <c r="AT797" s="112" t="str">
        <f>IF(AS797="","",COUNTIF($AS$13:AS797,AS797))</f>
        <v/>
      </c>
      <c r="AU797" s="147">
        <f t="shared" si="146"/>
        <v>784</v>
      </c>
      <c r="AV797" s="147">
        <f>COUNTIF($AZ$14:AZ797,AZ797)</f>
        <v>21</v>
      </c>
      <c r="AW797" s="147">
        <f>IFERROR(COUNTIF(AX$14:$BL797,AX797),"")</f>
        <v>112</v>
      </c>
      <c r="AX797" s="148" t="str">
        <f t="shared" si="148"/>
        <v>Sat</v>
      </c>
      <c r="AY797" s="149">
        <f>'Raw Data'!A787</f>
        <v>42392</v>
      </c>
      <c r="AZ797" s="150" t="str">
        <f>'Raw Data'!E787</f>
        <v>$10 Off,FS on $60</v>
      </c>
      <c r="BA797" s="150">
        <f>'Raw Data'!I787</f>
        <v>890</v>
      </c>
      <c r="BB797" s="112"/>
      <c r="BC797" s="112"/>
      <c r="BD797" s="112">
        <f>'Raw Data'!O787</f>
        <v>1</v>
      </c>
    </row>
    <row r="798" spans="23:56">
      <c r="W798" s="21"/>
      <c r="AC798" s="21"/>
      <c r="AD798" s="21"/>
      <c r="AE798" s="21"/>
      <c r="AS798" s="112" t="str">
        <f t="shared" si="147"/>
        <v/>
      </c>
      <c r="AT798" s="112" t="str">
        <f>IF(AS798="","",COUNTIF($AS$13:AS798,AS798))</f>
        <v/>
      </c>
      <c r="AU798" s="147">
        <f t="shared" si="146"/>
        <v>785</v>
      </c>
      <c r="AV798" s="147">
        <f>COUNTIF($AZ$14:AZ798,AZ798)</f>
        <v>50</v>
      </c>
      <c r="AW798" s="147">
        <f>IFERROR(COUNTIF(AX$14:$BL798,AX798),"")</f>
        <v>113</v>
      </c>
      <c r="AX798" s="148" t="str">
        <f t="shared" si="148"/>
        <v>Sun</v>
      </c>
      <c r="AY798" s="149">
        <f>'Raw Data'!A788</f>
        <v>42393</v>
      </c>
      <c r="AZ798" s="150" t="str">
        <f>'Raw Data'!E788</f>
        <v>Up To 40% Off,FS on $49</v>
      </c>
      <c r="BA798" s="150">
        <f>'Raw Data'!I788</f>
        <v>738</v>
      </c>
      <c r="BB798" s="112"/>
      <c r="BC798" s="112"/>
      <c r="BD798" s="112">
        <f>'Raw Data'!O788</f>
        <v>2</v>
      </c>
    </row>
    <row r="799" spans="23:56">
      <c r="W799" s="21"/>
      <c r="AC799" s="21"/>
      <c r="AD799" s="21"/>
      <c r="AE799" s="21"/>
      <c r="AS799" s="112" t="str">
        <f t="shared" si="147"/>
        <v/>
      </c>
      <c r="AT799" s="112" t="str">
        <f>IF(AS799="","",COUNTIF($AS$13:AS799,AS799))</f>
        <v/>
      </c>
      <c r="AU799" s="147">
        <f t="shared" si="146"/>
        <v>786</v>
      </c>
      <c r="AV799" s="147">
        <f>COUNTIF($AZ$14:AZ799,AZ799)</f>
        <v>51</v>
      </c>
      <c r="AW799" s="147">
        <f>IFERROR(COUNTIF(AX$14:$BL799,AX799),"")</f>
        <v>113</v>
      </c>
      <c r="AX799" s="148" t="str">
        <f t="shared" si="148"/>
        <v>Mon</v>
      </c>
      <c r="AY799" s="149">
        <f>'Raw Data'!A789</f>
        <v>42394</v>
      </c>
      <c r="AZ799" s="150" t="str">
        <f>'Raw Data'!E789</f>
        <v>Up To 40% Off,FS on $49</v>
      </c>
      <c r="BA799" s="150">
        <f>'Raw Data'!I789</f>
        <v>1476</v>
      </c>
      <c r="BB799" s="112"/>
      <c r="BC799" s="112"/>
      <c r="BD799" s="112">
        <f>'Raw Data'!O789</f>
        <v>2</v>
      </c>
    </row>
    <row r="800" spans="23:56">
      <c r="W800" s="21"/>
      <c r="AC800" s="21"/>
      <c r="AD800" s="21"/>
      <c r="AE800" s="21"/>
      <c r="AS800" s="112" t="str">
        <f t="shared" si="147"/>
        <v/>
      </c>
      <c r="AT800" s="112" t="str">
        <f>IF(AS800="","",COUNTIF($AS$13:AS800,AS800))</f>
        <v/>
      </c>
      <c r="AU800" s="147">
        <f t="shared" si="146"/>
        <v>787</v>
      </c>
      <c r="AV800" s="147">
        <f>COUNTIF($AZ$14:AZ800,AZ800)</f>
        <v>52</v>
      </c>
      <c r="AW800" s="147">
        <f>IFERROR(COUNTIF(AX$14:$BL800,AX800),"")</f>
        <v>113</v>
      </c>
      <c r="AX800" s="148" t="str">
        <f t="shared" si="148"/>
        <v>Tue</v>
      </c>
      <c r="AY800" s="149">
        <f>'Raw Data'!A790</f>
        <v>42395</v>
      </c>
      <c r="AZ800" s="150" t="str">
        <f>'Raw Data'!E790</f>
        <v>Up To 40% Off,FS on $49</v>
      </c>
      <c r="BA800" s="150">
        <f>'Raw Data'!I790</f>
        <v>1494</v>
      </c>
      <c r="BB800" s="112"/>
      <c r="BC800" s="112"/>
      <c r="BD800" s="112">
        <f>'Raw Data'!O790</f>
        <v>2</v>
      </c>
    </row>
    <row r="801" spans="23:56">
      <c r="W801" s="21"/>
      <c r="AC801" s="21"/>
      <c r="AD801" s="21"/>
      <c r="AE801" s="21"/>
      <c r="AS801" s="112" t="str">
        <f t="shared" si="147"/>
        <v/>
      </c>
      <c r="AT801" s="112" t="str">
        <f>IF(AS801="","",COUNTIF($AS$13:AS801,AS801))</f>
        <v/>
      </c>
      <c r="AU801" s="147">
        <f t="shared" si="146"/>
        <v>788</v>
      </c>
      <c r="AV801" s="147">
        <f>COUNTIF($AZ$14:AZ801,AZ801)</f>
        <v>53</v>
      </c>
      <c r="AW801" s="147">
        <f>IFERROR(COUNTIF(AX$14:$BL801,AX801),"")</f>
        <v>113</v>
      </c>
      <c r="AX801" s="148" t="str">
        <f t="shared" si="148"/>
        <v>Wed</v>
      </c>
      <c r="AY801" s="149">
        <f>'Raw Data'!A791</f>
        <v>42396</v>
      </c>
      <c r="AZ801" s="150" t="str">
        <f>'Raw Data'!E791</f>
        <v>Up To 40% Off,FS on $49</v>
      </c>
      <c r="BA801" s="150">
        <f>'Raw Data'!I791</f>
        <v>1646</v>
      </c>
      <c r="BB801" s="112"/>
      <c r="BC801" s="112"/>
      <c r="BD801" s="112">
        <f>'Raw Data'!O791</f>
        <v>2</v>
      </c>
    </row>
    <row r="802" spans="23:56">
      <c r="W802" s="21"/>
      <c r="AC802" s="21"/>
      <c r="AD802" s="21"/>
      <c r="AE802" s="21"/>
      <c r="AS802" s="112" t="str">
        <f t="shared" si="147"/>
        <v/>
      </c>
      <c r="AT802" s="112" t="str">
        <f>IF(AS802="","",COUNTIF($AS$13:AS802,AS802))</f>
        <v/>
      </c>
      <c r="AU802" s="147">
        <f t="shared" si="146"/>
        <v>789</v>
      </c>
      <c r="AV802" s="147">
        <f>COUNTIF($AZ$14:AZ802,AZ802)</f>
        <v>50</v>
      </c>
      <c r="AW802" s="147">
        <f>IFERROR(COUNTIF(AX$14:$BL802,AX802),"")</f>
        <v>113</v>
      </c>
      <c r="AX802" s="148" t="str">
        <f t="shared" si="148"/>
        <v>Thu</v>
      </c>
      <c r="AY802" s="149">
        <f>'Raw Data'!A792</f>
        <v>42397</v>
      </c>
      <c r="AZ802" s="150" t="str">
        <f>'Raw Data'!E792</f>
        <v>Free Ship No Min</v>
      </c>
      <c r="BA802" s="150">
        <f>'Raw Data'!I792</f>
        <v>1659</v>
      </c>
      <c r="BB802" s="112"/>
      <c r="BC802" s="112"/>
      <c r="BD802" s="112">
        <f>'Raw Data'!O792</f>
        <v>3</v>
      </c>
    </row>
    <row r="803" spans="23:56">
      <c r="W803" s="21"/>
      <c r="AC803" s="21"/>
      <c r="AD803" s="21"/>
      <c r="AE803" s="21"/>
      <c r="AS803" s="112" t="str">
        <f t="shared" si="147"/>
        <v/>
      </c>
      <c r="AT803" s="112" t="str">
        <f>IF(AS803="","",COUNTIF($AS$13:AS803,AS803))</f>
        <v/>
      </c>
      <c r="AU803" s="147">
        <f t="shared" si="146"/>
        <v>790</v>
      </c>
      <c r="AV803" s="147">
        <f>COUNTIF($AZ$14:AZ803,AZ803)</f>
        <v>51</v>
      </c>
      <c r="AW803" s="147">
        <f>IFERROR(COUNTIF(AX$14:$BL803,AX803),"")</f>
        <v>113</v>
      </c>
      <c r="AX803" s="148" t="str">
        <f t="shared" si="148"/>
        <v>Fri</v>
      </c>
      <c r="AY803" s="149">
        <f>'Raw Data'!A793</f>
        <v>42398</v>
      </c>
      <c r="AZ803" s="150" t="str">
        <f>'Raw Data'!E793</f>
        <v>Free Ship No Min</v>
      </c>
      <c r="BA803" s="150">
        <f>'Raw Data'!I793</f>
        <v>1582</v>
      </c>
      <c r="BB803" s="112"/>
      <c r="BC803" s="112"/>
      <c r="BD803" s="112">
        <f>'Raw Data'!O793</f>
        <v>2</v>
      </c>
    </row>
    <row r="804" spans="23:56">
      <c r="W804" s="21"/>
      <c r="AC804" s="21"/>
      <c r="AD804" s="21"/>
      <c r="AE804" s="21"/>
      <c r="AS804" s="112" t="str">
        <f t="shared" si="147"/>
        <v/>
      </c>
      <c r="AT804" s="112" t="str">
        <f>IF(AS804="","",COUNTIF($AS$13:AS804,AS804))</f>
        <v/>
      </c>
      <c r="AU804" s="147">
        <f t="shared" si="146"/>
        <v>791</v>
      </c>
      <c r="AV804" s="147">
        <f>COUNTIF($AZ$14:AZ804,AZ804)</f>
        <v>52</v>
      </c>
      <c r="AW804" s="147">
        <f>IFERROR(COUNTIF(AX$14:$BL804,AX804),"")</f>
        <v>113</v>
      </c>
      <c r="AX804" s="148" t="str">
        <f t="shared" si="148"/>
        <v>Sat</v>
      </c>
      <c r="AY804" s="149">
        <f>'Raw Data'!A794</f>
        <v>42399</v>
      </c>
      <c r="AZ804" s="150" t="str">
        <f>'Raw Data'!E794</f>
        <v>Free Ship No Min</v>
      </c>
      <c r="BA804" s="150">
        <f>'Raw Data'!I794</f>
        <v>1227</v>
      </c>
      <c r="BB804" s="112"/>
      <c r="BC804" s="112"/>
      <c r="BD804" s="112">
        <f>'Raw Data'!O794</f>
        <v>2</v>
      </c>
    </row>
    <row r="805" spans="23:56">
      <c r="W805" s="21"/>
      <c r="AC805" s="21"/>
      <c r="AD805" s="21"/>
      <c r="AE805" s="21"/>
      <c r="AS805" s="112" t="str">
        <f t="shared" ref="AS805:AS819" si="149">IFERROR(IF(FIND($AT$12,AZ805)&gt;0,1,0),"")</f>
        <v/>
      </c>
      <c r="AT805" s="112" t="str">
        <f>IF(AS805="","",COUNTIF($AS$13:AS805,AS805))</f>
        <v/>
      </c>
      <c r="AU805" s="147">
        <f t="shared" si="146"/>
        <v>792</v>
      </c>
      <c r="AV805" s="147">
        <f>COUNTIF($AZ$14:AZ805,AZ805)</f>
        <v>1</v>
      </c>
      <c r="AW805" s="147">
        <f>IFERROR(COUNTIF(AX$14:$BL805,AX805),"")</f>
        <v>114</v>
      </c>
      <c r="AX805" s="148" t="str">
        <f t="shared" ref="AX805:AX819" si="150">TEXT(AY805,"ddd")</f>
        <v>Sun</v>
      </c>
      <c r="AY805" s="149">
        <f>'Raw Data'!A795</f>
        <v>42400</v>
      </c>
      <c r="AZ805" s="150" t="str">
        <f>'Raw Data'!E795</f>
        <v>Great Savings</v>
      </c>
      <c r="BA805" s="150">
        <f>'Raw Data'!I795</f>
        <v>776</v>
      </c>
      <c r="BB805" s="112"/>
      <c r="BC805" s="112"/>
      <c r="BD805" s="112">
        <f>'Raw Data'!O795</f>
        <v>2</v>
      </c>
    </row>
    <row r="806" spans="23:56">
      <c r="W806" s="21"/>
      <c r="AC806" s="21"/>
      <c r="AD806" s="21"/>
      <c r="AE806" s="21"/>
      <c r="AS806" s="112" t="str">
        <f t="shared" si="149"/>
        <v/>
      </c>
      <c r="AT806" s="112" t="str">
        <f>IF(AS806="","",COUNTIF($AS$13:AS806,AS806))</f>
        <v/>
      </c>
      <c r="AU806" s="147">
        <f t="shared" si="146"/>
        <v>793</v>
      </c>
      <c r="AV806" s="147">
        <f>COUNTIF($AZ$14:AZ806,AZ806)</f>
        <v>2</v>
      </c>
      <c r="AW806" s="147">
        <f>IFERROR(COUNTIF(AX$14:$BL806,AX806),"")</f>
        <v>114</v>
      </c>
      <c r="AX806" s="148" t="str">
        <f t="shared" si="150"/>
        <v>Mon</v>
      </c>
      <c r="AY806" s="149">
        <f>'Raw Data'!A796</f>
        <v>42401</v>
      </c>
      <c r="AZ806" s="150" t="str">
        <f>'Raw Data'!E796</f>
        <v>Great Savings</v>
      </c>
      <c r="BA806" s="150">
        <f>'Raw Data'!I796</f>
        <v>1686</v>
      </c>
      <c r="BB806" s="112"/>
      <c r="BC806" s="112"/>
      <c r="BD806" s="112">
        <f>'Raw Data'!O796</f>
        <v>1</v>
      </c>
    </row>
    <row r="807" spans="23:56">
      <c r="W807" s="21"/>
      <c r="AC807" s="21"/>
      <c r="AD807" s="21"/>
      <c r="AE807" s="21"/>
      <c r="AS807" s="112" t="str">
        <f t="shared" si="149"/>
        <v/>
      </c>
      <c r="AT807" s="112" t="str">
        <f>IF(AS807="","",COUNTIF($AS$13:AS807,AS807))</f>
        <v/>
      </c>
      <c r="AU807" s="147">
        <f t="shared" ref="AU807:AU870" si="151">AU806+1</f>
        <v>794</v>
      </c>
      <c r="AV807" s="147">
        <f>COUNTIF($AZ$14:AZ807,AZ807)</f>
        <v>53</v>
      </c>
      <c r="AW807" s="147">
        <f>IFERROR(COUNTIF(AX$14:$BL807,AX807),"")</f>
        <v>114</v>
      </c>
      <c r="AX807" s="148" t="str">
        <f t="shared" si="150"/>
        <v>Tue</v>
      </c>
      <c r="AY807" s="149">
        <f>'Raw Data'!A797</f>
        <v>42402</v>
      </c>
      <c r="AZ807" s="150" t="str">
        <f>'Raw Data'!E797</f>
        <v>Free Ship No Min</v>
      </c>
      <c r="BA807" s="150">
        <f>'Raw Data'!I797</f>
        <v>1767</v>
      </c>
      <c r="BB807" s="112"/>
      <c r="BC807" s="112"/>
      <c r="BD807" s="112">
        <f>'Raw Data'!O797</f>
        <v>2</v>
      </c>
    </row>
    <row r="808" spans="23:56">
      <c r="W808" s="21"/>
      <c r="AC808" s="21"/>
      <c r="AD808" s="21"/>
      <c r="AE808" s="21"/>
      <c r="AS808" s="112">
        <f t="shared" si="149"/>
        <v>1</v>
      </c>
      <c r="AT808" s="112">
        <f>IF(AS808="","",COUNTIF($AS$13:AS808,AS808))</f>
        <v>24</v>
      </c>
      <c r="AU808" s="147">
        <f t="shared" si="151"/>
        <v>795</v>
      </c>
      <c r="AV808" s="147">
        <f>COUNTIF($AZ$14:AZ808,AZ808)</f>
        <v>1</v>
      </c>
      <c r="AW808" s="147">
        <f>IFERROR(COUNTIF(AX$14:$BL808,AX808),"")</f>
        <v>114</v>
      </c>
      <c r="AX808" s="148" t="str">
        <f t="shared" si="150"/>
        <v>Wed</v>
      </c>
      <c r="AY808" s="149">
        <f>'Raw Data'!A798</f>
        <v>42403</v>
      </c>
      <c r="AZ808" s="150" t="str">
        <f>'Raw Data'!E798</f>
        <v>Flash Sale, Up To 50% Off,FS on $49</v>
      </c>
      <c r="BA808" s="150">
        <f>'Raw Data'!I798</f>
        <v>1709</v>
      </c>
      <c r="BB808" s="112"/>
      <c r="BC808" s="112"/>
      <c r="BD808" s="112">
        <f>'Raw Data'!O798</f>
        <v>1</v>
      </c>
    </row>
    <row r="809" spans="23:56">
      <c r="W809" s="21"/>
      <c r="AC809" s="21"/>
      <c r="AD809" s="21"/>
      <c r="AE809" s="21"/>
      <c r="AS809" s="112">
        <f t="shared" si="149"/>
        <v>1</v>
      </c>
      <c r="AT809" s="112">
        <f>IF(AS809="","",COUNTIF($AS$13:AS809,AS809))</f>
        <v>25</v>
      </c>
      <c r="AU809" s="147">
        <f t="shared" si="151"/>
        <v>796</v>
      </c>
      <c r="AV809" s="147">
        <f>COUNTIF($AZ$14:AZ809,AZ809)</f>
        <v>2</v>
      </c>
      <c r="AW809" s="147">
        <f>IFERROR(COUNTIF(AX$14:$BL809,AX809),"")</f>
        <v>114</v>
      </c>
      <c r="AX809" s="148" t="str">
        <f t="shared" si="150"/>
        <v>Thu</v>
      </c>
      <c r="AY809" s="149">
        <f>'Raw Data'!A799</f>
        <v>42404</v>
      </c>
      <c r="AZ809" s="150" t="str">
        <f>'Raw Data'!E799</f>
        <v>Flash Sale, Up To 50% Off,FS on $49</v>
      </c>
      <c r="BA809" s="150">
        <f>'Raw Data'!I799</f>
        <v>1636</v>
      </c>
      <c r="BB809" s="112"/>
      <c r="BC809" s="112"/>
      <c r="BD809" s="112">
        <f>'Raw Data'!O799</f>
        <v>2</v>
      </c>
    </row>
    <row r="810" spans="23:56">
      <c r="W810" s="21"/>
      <c r="AC810" s="21"/>
      <c r="AD810" s="21"/>
      <c r="AE810" s="21"/>
      <c r="AS810" s="112" t="str">
        <f t="shared" si="149"/>
        <v/>
      </c>
      <c r="AT810" s="112" t="str">
        <f>IF(AS810="","",COUNTIF($AS$13:AS810,AS810))</f>
        <v/>
      </c>
      <c r="AU810" s="147">
        <f t="shared" si="151"/>
        <v>797</v>
      </c>
      <c r="AV810" s="147">
        <f>COUNTIF($AZ$14:AZ810,AZ810)</f>
        <v>23</v>
      </c>
      <c r="AW810" s="147">
        <f>IFERROR(COUNTIF(AX$14:$BL810,AX810),"")</f>
        <v>114</v>
      </c>
      <c r="AX810" s="148" t="str">
        <f t="shared" si="150"/>
        <v>Fri</v>
      </c>
      <c r="AY810" s="149">
        <f>'Raw Data'!A800</f>
        <v>42405</v>
      </c>
      <c r="AZ810" s="150" t="str">
        <f>'Raw Data'!E800</f>
        <v>Up To 50% Off,FS on $49</v>
      </c>
      <c r="BA810" s="150">
        <f>'Raw Data'!I800</f>
        <v>1887</v>
      </c>
      <c r="BB810" s="112"/>
      <c r="BC810" s="112"/>
      <c r="BD810" s="112">
        <f>'Raw Data'!O800</f>
        <v>2</v>
      </c>
    </row>
    <row r="811" spans="23:56">
      <c r="W811" s="21"/>
      <c r="AC811" s="21"/>
      <c r="AD811" s="21"/>
      <c r="AE811" s="21"/>
      <c r="AS811" s="112" t="str">
        <f t="shared" si="149"/>
        <v/>
      </c>
      <c r="AT811" s="112" t="str">
        <f>IF(AS811="","",COUNTIF($AS$13:AS811,AS811))</f>
        <v/>
      </c>
      <c r="AU811" s="147">
        <f t="shared" si="151"/>
        <v>798</v>
      </c>
      <c r="AV811" s="147">
        <f>COUNTIF($AZ$14:AZ811,AZ811)</f>
        <v>24</v>
      </c>
      <c r="AW811" s="147">
        <f>IFERROR(COUNTIF(AX$14:$BL811,AX811),"")</f>
        <v>114</v>
      </c>
      <c r="AX811" s="148" t="str">
        <f t="shared" si="150"/>
        <v>Sat</v>
      </c>
      <c r="AY811" s="149">
        <f>'Raw Data'!A801</f>
        <v>42406</v>
      </c>
      <c r="AZ811" s="150" t="str">
        <f>'Raw Data'!E801</f>
        <v>Up To 50% Off,FS on $49</v>
      </c>
      <c r="BA811" s="150">
        <f>'Raw Data'!I801</f>
        <v>1419</v>
      </c>
      <c r="BB811" s="112"/>
      <c r="BC811" s="112"/>
      <c r="BD811" s="112">
        <f>'Raw Data'!O801</f>
        <v>2</v>
      </c>
    </row>
    <row r="812" spans="23:56">
      <c r="W812" s="21"/>
      <c r="AC812" s="21"/>
      <c r="AD812" s="21"/>
      <c r="AE812" s="21"/>
      <c r="AS812" s="112" t="str">
        <f t="shared" si="149"/>
        <v/>
      </c>
      <c r="AT812" s="112" t="str">
        <f>IF(AS812="","",COUNTIF($AS$13:AS812,AS812))</f>
        <v/>
      </c>
      <c r="AU812" s="147">
        <f t="shared" si="151"/>
        <v>799</v>
      </c>
      <c r="AV812" s="147">
        <f>COUNTIF($AZ$14:AZ812,AZ812)</f>
        <v>25</v>
      </c>
      <c r="AW812" s="147">
        <f>IFERROR(COUNTIF(AX$14:$BL812,AX812),"")</f>
        <v>115</v>
      </c>
      <c r="AX812" s="148" t="str">
        <f t="shared" si="150"/>
        <v>Sun</v>
      </c>
      <c r="AY812" s="149">
        <f>'Raw Data'!A802</f>
        <v>42407</v>
      </c>
      <c r="AZ812" s="150" t="str">
        <f>'Raw Data'!E802</f>
        <v>Up To 50% Off,FS on $49</v>
      </c>
      <c r="BA812" s="150">
        <f>'Raw Data'!I802</f>
        <v>789</v>
      </c>
      <c r="BB812" s="112"/>
      <c r="BC812" s="112"/>
      <c r="BD812" s="112">
        <f>'Raw Data'!O802</f>
        <v>1</v>
      </c>
    </row>
    <row r="813" spans="23:56">
      <c r="W813" s="21"/>
      <c r="AC813" s="21"/>
      <c r="AD813" s="21"/>
      <c r="AE813" s="21"/>
      <c r="AS813" s="112" t="str">
        <f t="shared" si="149"/>
        <v/>
      </c>
      <c r="AT813" s="112" t="str">
        <f>IF(AS813="","",COUNTIF($AS$13:AS813,AS813))</f>
        <v/>
      </c>
      <c r="AU813" s="147">
        <f t="shared" si="151"/>
        <v>800</v>
      </c>
      <c r="AV813" s="147">
        <f>COUNTIF($AZ$14:AZ813,AZ813)</f>
        <v>26</v>
      </c>
      <c r="AW813" s="147">
        <f>IFERROR(COUNTIF(AX$14:$BL813,AX813),"")</f>
        <v>115</v>
      </c>
      <c r="AX813" s="148" t="str">
        <f t="shared" si="150"/>
        <v>Mon</v>
      </c>
      <c r="AY813" s="149">
        <f>'Raw Data'!A803</f>
        <v>42408</v>
      </c>
      <c r="AZ813" s="150" t="str">
        <f>'Raw Data'!E803</f>
        <v>Up To 50% Off,FS on $49</v>
      </c>
      <c r="BA813" s="150">
        <f>'Raw Data'!I803</f>
        <v>1934</v>
      </c>
      <c r="BB813" s="112"/>
      <c r="BC813" s="112"/>
      <c r="BD813" s="112">
        <f>'Raw Data'!O803</f>
        <v>2</v>
      </c>
    </row>
    <row r="814" spans="23:56">
      <c r="W814" s="21"/>
      <c r="AC814" s="21"/>
      <c r="AD814" s="21"/>
      <c r="AE814" s="21"/>
      <c r="AS814" s="112" t="str">
        <f t="shared" si="149"/>
        <v/>
      </c>
      <c r="AT814" s="112" t="str">
        <f>IF(AS814="","",COUNTIF($AS$13:AS814,AS814))</f>
        <v/>
      </c>
      <c r="AU814" s="147">
        <f t="shared" si="151"/>
        <v>801</v>
      </c>
      <c r="AV814" s="147">
        <f>COUNTIF($AZ$14:AZ814,AZ814)</f>
        <v>27</v>
      </c>
      <c r="AW814" s="147">
        <f>IFERROR(COUNTIF(AX$14:$BL814,AX814),"")</f>
        <v>115</v>
      </c>
      <c r="AX814" s="148" t="str">
        <f t="shared" si="150"/>
        <v>Tue</v>
      </c>
      <c r="AY814" s="149">
        <f>'Raw Data'!A804</f>
        <v>42409</v>
      </c>
      <c r="AZ814" s="150" t="str">
        <f>'Raw Data'!E804</f>
        <v>Up To 50% Off,FS on $49</v>
      </c>
      <c r="BA814" s="150">
        <f>'Raw Data'!I804</f>
        <v>1959</v>
      </c>
      <c r="BB814" s="112"/>
      <c r="BC814" s="112"/>
      <c r="BD814" s="112">
        <f>'Raw Data'!O804</f>
        <v>2</v>
      </c>
    </row>
    <row r="815" spans="23:56">
      <c r="W815" s="21"/>
      <c r="AC815" s="21"/>
      <c r="AD815" s="21"/>
      <c r="AE815" s="21"/>
      <c r="AS815" s="112" t="str">
        <f t="shared" si="149"/>
        <v/>
      </c>
      <c r="AT815" s="112" t="str">
        <f>IF(AS815="","",COUNTIF($AS$13:AS815,AS815))</f>
        <v/>
      </c>
      <c r="AU815" s="147">
        <f t="shared" si="151"/>
        <v>802</v>
      </c>
      <c r="AV815" s="147">
        <f>COUNTIF($AZ$14:AZ815,AZ815)</f>
        <v>28</v>
      </c>
      <c r="AW815" s="147">
        <f>IFERROR(COUNTIF(AX$14:$BL815,AX815),"")</f>
        <v>115</v>
      </c>
      <c r="AX815" s="148" t="str">
        <f t="shared" si="150"/>
        <v>Wed</v>
      </c>
      <c r="AY815" s="149">
        <f>'Raw Data'!A805</f>
        <v>42410</v>
      </c>
      <c r="AZ815" s="150" t="str">
        <f>'Raw Data'!E805</f>
        <v>Up To 50% Off,FS on $49</v>
      </c>
      <c r="BA815" s="150">
        <f>'Raw Data'!I805</f>
        <v>1952</v>
      </c>
      <c r="BB815" s="112"/>
      <c r="BC815" s="112"/>
      <c r="BD815" s="112">
        <f>'Raw Data'!O805</f>
        <v>2</v>
      </c>
    </row>
    <row r="816" spans="23:56">
      <c r="W816" s="21"/>
      <c r="AC816" s="21"/>
      <c r="AD816" s="21"/>
      <c r="AE816" s="21"/>
      <c r="AS816" s="112" t="str">
        <f t="shared" si="149"/>
        <v/>
      </c>
      <c r="AT816" s="112" t="str">
        <f>IF(AS816="","",COUNTIF($AS$13:AS816,AS816))</f>
        <v/>
      </c>
      <c r="AU816" s="147">
        <f t="shared" si="151"/>
        <v>803</v>
      </c>
      <c r="AV816" s="147">
        <f>COUNTIF($AZ$14:AZ816,AZ816)</f>
        <v>29</v>
      </c>
      <c r="AW816" s="147">
        <f>IFERROR(COUNTIF(AX$14:$BL816,AX816),"")</f>
        <v>115</v>
      </c>
      <c r="AX816" s="148" t="str">
        <f t="shared" si="150"/>
        <v>Thu</v>
      </c>
      <c r="AY816" s="149">
        <f>'Raw Data'!A806</f>
        <v>42411</v>
      </c>
      <c r="AZ816" s="150" t="str">
        <f>'Raw Data'!E806</f>
        <v>Up To 50% Off,FS on $49</v>
      </c>
      <c r="BA816" s="150">
        <f>'Raw Data'!I806</f>
        <v>1692</v>
      </c>
      <c r="BB816" s="112"/>
      <c r="BC816" s="112"/>
      <c r="BD816" s="112">
        <f>'Raw Data'!O806</f>
        <v>1</v>
      </c>
    </row>
    <row r="817" spans="23:56">
      <c r="W817" s="21"/>
      <c r="AC817" s="21"/>
      <c r="AD817" s="21"/>
      <c r="AE817" s="21"/>
      <c r="AS817" s="112" t="str">
        <f t="shared" si="149"/>
        <v/>
      </c>
      <c r="AT817" s="112" t="str">
        <f>IF(AS817="","",COUNTIF($AS$13:AS817,AS817))</f>
        <v/>
      </c>
      <c r="AU817" s="147">
        <f t="shared" si="151"/>
        <v>804</v>
      </c>
      <c r="AV817" s="147">
        <f>COUNTIF($AZ$14:AZ817,AZ817)</f>
        <v>30</v>
      </c>
      <c r="AW817" s="147">
        <f>IFERROR(COUNTIF(AX$14:$BL817,AX817),"")</f>
        <v>115</v>
      </c>
      <c r="AX817" s="148" t="str">
        <f t="shared" si="150"/>
        <v>Fri</v>
      </c>
      <c r="AY817" s="149">
        <f>'Raw Data'!A807</f>
        <v>42412</v>
      </c>
      <c r="AZ817" s="150" t="str">
        <f>'Raw Data'!E807</f>
        <v>Up To 50% Off,FS on $49</v>
      </c>
      <c r="BA817" s="150">
        <f>'Raw Data'!I807</f>
        <v>1510</v>
      </c>
      <c r="BB817" s="112"/>
      <c r="BC817" s="112"/>
      <c r="BD817" s="112">
        <f>'Raw Data'!O807</f>
        <v>1</v>
      </c>
    </row>
    <row r="818" spans="23:56">
      <c r="W818" s="21"/>
      <c r="AC818" s="21"/>
      <c r="AD818" s="21"/>
      <c r="AE818" s="21"/>
      <c r="AS818" s="112" t="str">
        <f t="shared" si="149"/>
        <v/>
      </c>
      <c r="AT818" s="112" t="str">
        <f>IF(AS818="","",COUNTIF($AS$13:AS818,AS818))</f>
        <v/>
      </c>
      <c r="AU818" s="147">
        <f t="shared" si="151"/>
        <v>805</v>
      </c>
      <c r="AV818" s="147">
        <f>COUNTIF($AZ$14:AZ818,AZ818)</f>
        <v>31</v>
      </c>
      <c r="AW818" s="147">
        <f>IFERROR(COUNTIF(AX$14:$BL818,AX818),"")</f>
        <v>115</v>
      </c>
      <c r="AX818" s="148" t="str">
        <f t="shared" si="150"/>
        <v>Sat</v>
      </c>
      <c r="AY818" s="149">
        <f>'Raw Data'!A808</f>
        <v>42413</v>
      </c>
      <c r="AZ818" s="150" t="str">
        <f>'Raw Data'!E808</f>
        <v>Up To 50% Off,FS on $49</v>
      </c>
      <c r="BA818" s="150">
        <f>'Raw Data'!I808</f>
        <v>1092</v>
      </c>
      <c r="BB818" s="112"/>
      <c r="BC818" s="112"/>
      <c r="BD818" s="112">
        <f>'Raw Data'!O808</f>
        <v>1</v>
      </c>
    </row>
    <row r="819" spans="23:56">
      <c r="W819" s="21"/>
      <c r="AC819" s="21"/>
      <c r="AD819" s="21"/>
      <c r="AE819" s="21"/>
      <c r="AS819" s="112" t="str">
        <f t="shared" si="149"/>
        <v/>
      </c>
      <c r="AT819" s="112" t="str">
        <f>IF(AS819="","",COUNTIF($AS$13:AS819,AS819))</f>
        <v/>
      </c>
      <c r="AU819" s="147">
        <f t="shared" si="151"/>
        <v>806</v>
      </c>
      <c r="AV819" s="147">
        <f>COUNTIF($AZ$14:AZ819,AZ819)</f>
        <v>22</v>
      </c>
      <c r="AW819" s="147">
        <f>IFERROR(COUNTIF(AX$14:$BL819,AX819),"")</f>
        <v>116</v>
      </c>
      <c r="AX819" s="148" t="str">
        <f t="shared" si="150"/>
        <v>Sun</v>
      </c>
      <c r="AY819" s="149">
        <f>'Raw Data'!A809</f>
        <v>42414</v>
      </c>
      <c r="AZ819" s="150" t="str">
        <f>'Raw Data'!E809</f>
        <v>$10 Off,FS on $60</v>
      </c>
      <c r="BA819" s="150">
        <f>'Raw Data'!I809</f>
        <v>650</v>
      </c>
      <c r="BB819" s="112"/>
      <c r="BC819" s="112"/>
      <c r="BD819" s="112">
        <f>'Raw Data'!O809</f>
        <v>1</v>
      </c>
    </row>
    <row r="820" spans="23:56">
      <c r="W820" s="21"/>
      <c r="AC820" s="21"/>
      <c r="AD820" s="21"/>
      <c r="AE820" s="21"/>
      <c r="AS820" s="112" t="str">
        <f t="shared" ref="AS820:AS832" si="152">IFERROR(IF(FIND($AT$12,AZ820)&gt;0,1,0),"")</f>
        <v/>
      </c>
      <c r="AT820" s="112" t="str">
        <f>IF(AS820="","",COUNTIF($AS$13:AS820,AS820))</f>
        <v/>
      </c>
      <c r="AU820" s="147">
        <f t="shared" si="151"/>
        <v>807</v>
      </c>
      <c r="AV820" s="147">
        <f>COUNTIF($AZ$14:AZ820,AZ820)</f>
        <v>23</v>
      </c>
      <c r="AW820" s="147">
        <f>IFERROR(COUNTIF(AX$14:$BL820,AX820),"")</f>
        <v>116</v>
      </c>
      <c r="AX820" s="148" t="str">
        <f t="shared" ref="AX820:AX832" si="153">TEXT(AY820,"ddd")</f>
        <v>Mon</v>
      </c>
      <c r="AY820" s="149">
        <f>'Raw Data'!A810</f>
        <v>42415</v>
      </c>
      <c r="AZ820" s="150" t="str">
        <f>'Raw Data'!E810</f>
        <v>$10 Off,FS on $60</v>
      </c>
      <c r="BA820" s="150">
        <f>'Raw Data'!I810</f>
        <v>1545</v>
      </c>
      <c r="BB820" s="112"/>
      <c r="BC820" s="112"/>
      <c r="BD820" s="112">
        <f>'Raw Data'!O810</f>
        <v>2</v>
      </c>
    </row>
    <row r="821" spans="23:56">
      <c r="W821" s="21"/>
      <c r="AC821" s="21"/>
      <c r="AD821" s="21"/>
      <c r="AE821" s="21"/>
      <c r="AS821" s="112" t="str">
        <f t="shared" si="152"/>
        <v/>
      </c>
      <c r="AT821" s="112" t="str">
        <f>IF(AS821="","",COUNTIF($AS$13:AS821,AS821))</f>
        <v/>
      </c>
      <c r="AU821" s="147">
        <f t="shared" si="151"/>
        <v>808</v>
      </c>
      <c r="AV821" s="147">
        <f>COUNTIF($AZ$14:AZ821,AZ821)</f>
        <v>18</v>
      </c>
      <c r="AW821" s="147">
        <f>IFERROR(COUNTIF(AX$14:$BL821,AX821),"")</f>
        <v>116</v>
      </c>
      <c r="AX821" s="148" t="str">
        <f t="shared" si="153"/>
        <v>Tue</v>
      </c>
      <c r="AY821" s="149">
        <f>'Raw Data'!A811</f>
        <v>42416</v>
      </c>
      <c r="AZ821" s="150" t="str">
        <f>'Raw Data'!E811</f>
        <v>$30 Off,FS on $100</v>
      </c>
      <c r="BA821" s="150">
        <f>'Raw Data'!I811</f>
        <v>1625</v>
      </c>
      <c r="BB821" s="112"/>
      <c r="BC821" s="112"/>
      <c r="BD821" s="112">
        <f>'Raw Data'!O811</f>
        <v>1</v>
      </c>
    </row>
    <row r="822" spans="23:56">
      <c r="W822" s="21"/>
      <c r="AC822" s="21"/>
      <c r="AD822" s="21"/>
      <c r="AE822" s="21"/>
      <c r="AS822" s="112" t="str">
        <f t="shared" si="152"/>
        <v/>
      </c>
      <c r="AT822" s="112" t="str">
        <f>IF(AS822="","",COUNTIF($AS$13:AS822,AS822))</f>
        <v/>
      </c>
      <c r="AU822" s="147">
        <f t="shared" si="151"/>
        <v>809</v>
      </c>
      <c r="AV822" s="147">
        <f>COUNTIF($AZ$14:AZ822,AZ822)</f>
        <v>24</v>
      </c>
      <c r="AW822" s="147">
        <f>IFERROR(COUNTIF(AX$14:$BL822,AX822),"")</f>
        <v>116</v>
      </c>
      <c r="AX822" s="148" t="str">
        <f t="shared" si="153"/>
        <v>Wed</v>
      </c>
      <c r="AY822" s="149">
        <f>'Raw Data'!A812</f>
        <v>42417</v>
      </c>
      <c r="AZ822" s="150" t="str">
        <f>'Raw Data'!E812</f>
        <v>$10 Off,FS on $60</v>
      </c>
      <c r="BA822" s="150">
        <f>'Raw Data'!I812</f>
        <v>1635</v>
      </c>
      <c r="BB822" s="112"/>
      <c r="BC822" s="112"/>
      <c r="BD822" s="112">
        <f>'Raw Data'!O812</f>
        <v>2</v>
      </c>
    </row>
    <row r="823" spans="23:56">
      <c r="W823" s="21"/>
      <c r="AC823" s="21"/>
      <c r="AD823" s="21"/>
      <c r="AE823" s="21"/>
      <c r="AS823" s="112" t="str">
        <f t="shared" si="152"/>
        <v/>
      </c>
      <c r="AT823" s="112" t="str">
        <f>IF(AS823="","",COUNTIF($AS$13:AS823,AS823))</f>
        <v/>
      </c>
      <c r="AU823" s="147">
        <f t="shared" si="151"/>
        <v>810</v>
      </c>
      <c r="AV823" s="147">
        <f>COUNTIF($AZ$14:AZ823,AZ823)</f>
        <v>25</v>
      </c>
      <c r="AW823" s="147">
        <f>IFERROR(COUNTIF(AX$14:$BL823,AX823),"")</f>
        <v>116</v>
      </c>
      <c r="AX823" s="148" t="str">
        <f t="shared" si="153"/>
        <v>Thu</v>
      </c>
      <c r="AY823" s="149">
        <f>'Raw Data'!A813</f>
        <v>42418</v>
      </c>
      <c r="AZ823" s="150" t="str">
        <f>'Raw Data'!E813</f>
        <v>$10 Off,FS on $60</v>
      </c>
      <c r="BA823" s="150">
        <f>'Raw Data'!I813</f>
        <v>1574</v>
      </c>
      <c r="BB823" s="112"/>
      <c r="BC823" s="112"/>
      <c r="BD823" s="112">
        <f>'Raw Data'!O813</f>
        <v>1</v>
      </c>
    </row>
    <row r="824" spans="23:56">
      <c r="W824" s="21"/>
      <c r="AC824" s="21"/>
      <c r="AD824" s="21"/>
      <c r="AE824" s="21"/>
      <c r="AS824" s="112" t="str">
        <f t="shared" si="152"/>
        <v/>
      </c>
      <c r="AT824" s="112" t="str">
        <f>IF(AS824="","",COUNTIF($AS$13:AS824,AS824))</f>
        <v/>
      </c>
      <c r="AU824" s="147">
        <f t="shared" si="151"/>
        <v>811</v>
      </c>
      <c r="AV824" s="147">
        <f>COUNTIF($AZ$14:AZ824,AZ824)</f>
        <v>54</v>
      </c>
      <c r="AW824" s="147">
        <f>IFERROR(COUNTIF(AX$14:$BL824,AX824),"")</f>
        <v>116</v>
      </c>
      <c r="AX824" s="148" t="str">
        <f t="shared" si="153"/>
        <v>Fri</v>
      </c>
      <c r="AY824" s="149">
        <f>'Raw Data'!A814</f>
        <v>42419</v>
      </c>
      <c r="AZ824" s="150" t="str">
        <f>'Raw Data'!E814</f>
        <v>Free Ship No Min</v>
      </c>
      <c r="BA824" s="150">
        <f>'Raw Data'!I814</f>
        <v>1470</v>
      </c>
      <c r="BB824" s="112"/>
      <c r="BC824" s="112"/>
      <c r="BD824" s="112">
        <f>'Raw Data'!O814</f>
        <v>2</v>
      </c>
    </row>
    <row r="825" spans="23:56">
      <c r="W825" s="21"/>
      <c r="AC825" s="21"/>
      <c r="AD825" s="21"/>
      <c r="AE825" s="21"/>
      <c r="AS825" s="112" t="str">
        <f t="shared" si="152"/>
        <v/>
      </c>
      <c r="AT825" s="112" t="str">
        <f>IF(AS825="","",COUNTIF($AS$13:AS825,AS825))</f>
        <v/>
      </c>
      <c r="AU825" s="147">
        <f t="shared" si="151"/>
        <v>812</v>
      </c>
      <c r="AV825" s="147">
        <f>COUNTIF($AZ$14:AZ825,AZ825)</f>
        <v>55</v>
      </c>
      <c r="AW825" s="147">
        <f>IFERROR(COUNTIF(AX$14:$BL825,AX825),"")</f>
        <v>116</v>
      </c>
      <c r="AX825" s="148" t="str">
        <f t="shared" si="153"/>
        <v>Sat</v>
      </c>
      <c r="AY825" s="149">
        <f>'Raw Data'!A815</f>
        <v>42420</v>
      </c>
      <c r="AZ825" s="150" t="str">
        <f>'Raw Data'!E815</f>
        <v>Free Ship No Min</v>
      </c>
      <c r="BA825" s="150">
        <f>'Raw Data'!I815</f>
        <v>995</v>
      </c>
      <c r="BB825" s="112"/>
      <c r="BC825" s="112"/>
      <c r="BD825" s="112">
        <f>'Raw Data'!O815</f>
        <v>2</v>
      </c>
    </row>
    <row r="826" spans="23:56">
      <c r="W826" s="21"/>
      <c r="AC826" s="21"/>
      <c r="AD826" s="21"/>
      <c r="AE826" s="21"/>
      <c r="AS826" s="112" t="str">
        <f t="shared" si="152"/>
        <v/>
      </c>
      <c r="AT826" s="112" t="str">
        <f>IF(AS826="","",COUNTIF($AS$13:AS826,AS826))</f>
        <v/>
      </c>
      <c r="AU826" s="147">
        <f t="shared" si="151"/>
        <v>813</v>
      </c>
      <c r="AV826" s="147">
        <f>COUNTIF($AZ$14:AZ826,AZ826)</f>
        <v>19</v>
      </c>
      <c r="AW826" s="147">
        <f>IFERROR(COUNTIF(AX$14:$BL826,AX826),"")</f>
        <v>117</v>
      </c>
      <c r="AX826" s="148" t="str">
        <f t="shared" si="153"/>
        <v>Sun</v>
      </c>
      <c r="AY826" s="149">
        <f>'Raw Data'!A816</f>
        <v>42421</v>
      </c>
      <c r="AZ826" s="150" t="str">
        <f>'Raw Data'!E816</f>
        <v>$30 Off,FS on $100</v>
      </c>
      <c r="BA826" s="150">
        <f>'Raw Data'!I816</f>
        <v>705</v>
      </c>
      <c r="BB826" s="112"/>
      <c r="BC826" s="112"/>
      <c r="BD826" s="112">
        <f>'Raw Data'!O816</f>
        <v>1</v>
      </c>
    </row>
    <row r="827" spans="23:56">
      <c r="W827" s="21"/>
      <c r="AC827" s="21"/>
      <c r="AD827" s="21"/>
      <c r="AE827" s="21"/>
      <c r="AS827" s="112" t="str">
        <f t="shared" si="152"/>
        <v/>
      </c>
      <c r="AT827" s="112" t="str">
        <f>IF(AS827="","",COUNTIF($AS$13:AS827,AS827))</f>
        <v/>
      </c>
      <c r="AU827" s="147">
        <f t="shared" si="151"/>
        <v>814</v>
      </c>
      <c r="AV827" s="147">
        <f>COUNTIF($AZ$14:AZ827,AZ827)</f>
        <v>20</v>
      </c>
      <c r="AW827" s="147">
        <f>IFERROR(COUNTIF(AX$14:$BL827,AX827),"")</f>
        <v>117</v>
      </c>
      <c r="AX827" s="148" t="str">
        <f t="shared" si="153"/>
        <v>Mon</v>
      </c>
      <c r="AY827" s="149">
        <f>'Raw Data'!A817</f>
        <v>42422</v>
      </c>
      <c r="AZ827" s="150" t="str">
        <f>'Raw Data'!E817</f>
        <v>$30 Off,FS on $100</v>
      </c>
      <c r="BA827" s="150">
        <f>'Raw Data'!I817</f>
        <v>1731</v>
      </c>
      <c r="BB827" s="112"/>
      <c r="BC827" s="112"/>
      <c r="BD827" s="112">
        <f>'Raw Data'!O817</f>
        <v>2</v>
      </c>
    </row>
    <row r="828" spans="23:56">
      <c r="W828" s="21"/>
      <c r="AC828" s="21"/>
      <c r="AD828" s="21"/>
      <c r="AE828" s="21"/>
      <c r="AS828" s="112" t="str">
        <f t="shared" si="152"/>
        <v/>
      </c>
      <c r="AT828" s="112" t="str">
        <f>IF(AS828="","",COUNTIF($AS$13:AS828,AS828))</f>
        <v/>
      </c>
      <c r="AU828" s="147">
        <f t="shared" si="151"/>
        <v>815</v>
      </c>
      <c r="AV828" s="147">
        <f>COUNTIF($AZ$14:AZ828,AZ828)</f>
        <v>21</v>
      </c>
      <c r="AW828" s="147">
        <f>IFERROR(COUNTIF(AX$14:$BL828,AX828),"")</f>
        <v>117</v>
      </c>
      <c r="AX828" s="148" t="str">
        <f t="shared" si="153"/>
        <v>Tue</v>
      </c>
      <c r="AY828" s="149">
        <f>'Raw Data'!A818</f>
        <v>42423</v>
      </c>
      <c r="AZ828" s="150" t="str">
        <f>'Raw Data'!E818</f>
        <v>$30 Off,FS on $100</v>
      </c>
      <c r="BA828" s="150">
        <f>'Raw Data'!I818</f>
        <v>1510</v>
      </c>
      <c r="BB828" s="112"/>
      <c r="BC828" s="112"/>
      <c r="BD828" s="112">
        <f>'Raw Data'!O818</f>
        <v>1</v>
      </c>
    </row>
    <row r="829" spans="23:56">
      <c r="W829" s="21"/>
      <c r="AC829" s="21"/>
      <c r="AD829" s="21"/>
      <c r="AE829" s="21"/>
      <c r="AS829" s="112" t="str">
        <f t="shared" si="152"/>
        <v/>
      </c>
      <c r="AT829" s="112" t="str">
        <f>IF(AS829="","",COUNTIF($AS$13:AS829,AS829))</f>
        <v/>
      </c>
      <c r="AU829" s="147">
        <f t="shared" si="151"/>
        <v>816</v>
      </c>
      <c r="AV829" s="147">
        <f>COUNTIF($AZ$14:AZ829,AZ829)</f>
        <v>22</v>
      </c>
      <c r="AW829" s="147">
        <f>IFERROR(COUNTIF(AX$14:$BL829,AX829),"")</f>
        <v>117</v>
      </c>
      <c r="AX829" s="148" t="str">
        <f t="shared" si="153"/>
        <v>Wed</v>
      </c>
      <c r="AY829" s="149">
        <f>'Raw Data'!A819</f>
        <v>42424</v>
      </c>
      <c r="AZ829" s="150" t="str">
        <f>'Raw Data'!E819</f>
        <v>$30 Off,FS on $100</v>
      </c>
      <c r="BA829" s="150">
        <f>'Raw Data'!I819</f>
        <v>1685</v>
      </c>
      <c r="BB829" s="112"/>
      <c r="BC829" s="112"/>
      <c r="BD829" s="112">
        <f>'Raw Data'!O819</f>
        <v>2</v>
      </c>
    </row>
    <row r="830" spans="23:56">
      <c r="W830" s="21"/>
      <c r="AC830" s="21"/>
      <c r="AD830" s="21"/>
      <c r="AE830" s="21"/>
      <c r="AS830" s="112" t="str">
        <f t="shared" si="152"/>
        <v/>
      </c>
      <c r="AT830" s="112" t="str">
        <f>IF(AS830="","",COUNTIF($AS$13:AS830,AS830))</f>
        <v/>
      </c>
      <c r="AU830" s="147">
        <f t="shared" si="151"/>
        <v>817</v>
      </c>
      <c r="AV830" s="147">
        <f>COUNTIF($AZ$14:AZ830,AZ830)</f>
        <v>23</v>
      </c>
      <c r="AW830" s="147">
        <f>IFERROR(COUNTIF(AX$14:$BL830,AX830),"")</f>
        <v>117</v>
      </c>
      <c r="AX830" s="148" t="str">
        <f t="shared" si="153"/>
        <v>Thu</v>
      </c>
      <c r="AY830" s="149">
        <f>'Raw Data'!A820</f>
        <v>42425</v>
      </c>
      <c r="AZ830" s="150" t="str">
        <f>'Raw Data'!E820</f>
        <v>$30 Off,FS on $100</v>
      </c>
      <c r="BA830" s="150">
        <f>'Raw Data'!I820</f>
        <v>1556</v>
      </c>
      <c r="BB830" s="112"/>
      <c r="BC830" s="112"/>
      <c r="BD830" s="112">
        <f>'Raw Data'!O820</f>
        <v>2</v>
      </c>
    </row>
    <row r="831" spans="23:56">
      <c r="W831" s="21"/>
      <c r="AC831" s="21"/>
      <c r="AD831" s="21"/>
      <c r="AE831" s="21"/>
      <c r="AS831" s="112" t="str">
        <f t="shared" si="152"/>
        <v/>
      </c>
      <c r="AT831" s="112" t="str">
        <f>IF(AS831="","",COUNTIF($AS$13:AS831,AS831))</f>
        <v/>
      </c>
      <c r="AU831" s="147">
        <f t="shared" si="151"/>
        <v>818</v>
      </c>
      <c r="AV831" s="147">
        <f>COUNTIF($AZ$14:AZ831,AZ831)</f>
        <v>30</v>
      </c>
      <c r="AW831" s="147">
        <f>IFERROR(COUNTIF(AX$14:$BL831,AX831),"")</f>
        <v>117</v>
      </c>
      <c r="AX831" s="148" t="str">
        <f t="shared" si="153"/>
        <v>Fri</v>
      </c>
      <c r="AY831" s="149">
        <f>'Raw Data'!A821</f>
        <v>42426</v>
      </c>
      <c r="AZ831" s="150" t="str">
        <f>'Raw Data'!E821</f>
        <v>25% Off,FS on $49</v>
      </c>
      <c r="BA831" s="150">
        <f>'Raw Data'!I821</f>
        <v>1429</v>
      </c>
      <c r="BB831" s="112"/>
      <c r="BC831" s="112"/>
      <c r="BD831" s="112">
        <f>'Raw Data'!O821</f>
        <v>1</v>
      </c>
    </row>
    <row r="832" spans="23:56">
      <c r="W832" s="21"/>
      <c r="AC832" s="21"/>
      <c r="AD832" s="21"/>
      <c r="AE832" s="21"/>
      <c r="AS832" s="112" t="str">
        <f t="shared" si="152"/>
        <v/>
      </c>
      <c r="AT832" s="112" t="str">
        <f>IF(AS832="","",COUNTIF($AS$13:AS832,AS832))</f>
        <v/>
      </c>
      <c r="AU832" s="147">
        <f t="shared" si="151"/>
        <v>819</v>
      </c>
      <c r="AV832" s="147">
        <f>COUNTIF($AZ$14:AZ832,AZ832)</f>
        <v>31</v>
      </c>
      <c r="AW832" s="147">
        <f>IFERROR(COUNTIF(AX$14:$BL832,AX832),"")</f>
        <v>117</v>
      </c>
      <c r="AX832" s="148" t="str">
        <f t="shared" si="153"/>
        <v>Sat</v>
      </c>
      <c r="AY832" s="149">
        <f>'Raw Data'!A822</f>
        <v>42427</v>
      </c>
      <c r="AZ832" s="150" t="str">
        <f>'Raw Data'!E822</f>
        <v>25% Off,FS on $49</v>
      </c>
      <c r="BA832" s="150">
        <f>'Raw Data'!I822</f>
        <v>1048</v>
      </c>
      <c r="BB832" s="112"/>
      <c r="BC832" s="112"/>
      <c r="BD832" s="112">
        <f>'Raw Data'!O822</f>
        <v>2</v>
      </c>
    </row>
    <row r="833" spans="23:56">
      <c r="W833" s="21"/>
      <c r="AC833" s="21"/>
      <c r="AD833" s="21"/>
      <c r="AE833" s="21"/>
      <c r="AS833" s="112" t="str">
        <f t="shared" ref="AS833:AS860" si="154">IFERROR(IF(FIND($AT$12,AZ833)&gt;0,1,0),"")</f>
        <v/>
      </c>
      <c r="AT833" s="112" t="str">
        <f>IF(AS833="","",COUNTIF($AS$13:AS833,AS833))</f>
        <v/>
      </c>
      <c r="AU833" s="147">
        <f t="shared" si="151"/>
        <v>820</v>
      </c>
      <c r="AV833" s="147">
        <f>COUNTIF($AZ$14:AZ833,AZ833)</f>
        <v>32</v>
      </c>
      <c r="AW833" s="147">
        <f>IFERROR(COUNTIF(AX$14:$BL833,AX833),"")</f>
        <v>118</v>
      </c>
      <c r="AX833" s="148" t="str">
        <f t="shared" ref="AX833:AX860" si="155">TEXT(AY833,"ddd")</f>
        <v>Sun</v>
      </c>
      <c r="AY833" s="149">
        <f>'Raw Data'!A823</f>
        <v>42428</v>
      </c>
      <c r="AZ833" s="150" t="str">
        <f>'Raw Data'!E823</f>
        <v>25% Off,FS on $49</v>
      </c>
      <c r="BA833" s="150">
        <f>'Raw Data'!I823</f>
        <v>635</v>
      </c>
      <c r="BB833" s="112"/>
      <c r="BC833" s="112"/>
      <c r="BD833" s="112">
        <f>'Raw Data'!O823</f>
        <v>1</v>
      </c>
    </row>
    <row r="834" spans="23:56">
      <c r="W834" s="21"/>
      <c r="AC834" s="21"/>
      <c r="AD834" s="21"/>
      <c r="AE834" s="21"/>
      <c r="AS834" s="112" t="str">
        <f t="shared" si="154"/>
        <v/>
      </c>
      <c r="AT834" s="112" t="str">
        <f>IF(AS834="","",COUNTIF($AS$13:AS834,AS834))</f>
        <v/>
      </c>
      <c r="AU834" s="147">
        <f t="shared" si="151"/>
        <v>821</v>
      </c>
      <c r="AV834" s="147">
        <f>COUNTIF($AZ$14:AZ834,AZ834)</f>
        <v>5</v>
      </c>
      <c r="AW834" s="147">
        <f>IFERROR(COUNTIF(AX$14:$BL834,AX834),"")</f>
        <v>118</v>
      </c>
      <c r="AX834" s="148" t="str">
        <f t="shared" si="155"/>
        <v>Mon</v>
      </c>
      <c r="AY834" s="149">
        <f>'Raw Data'!A824</f>
        <v>42429</v>
      </c>
      <c r="AZ834" s="150" t="str">
        <f>'Raw Data'!E824</f>
        <v>30% Off,FS on $49</v>
      </c>
      <c r="BA834" s="150">
        <f>'Raw Data'!I824</f>
        <v>1846</v>
      </c>
      <c r="BB834" s="112"/>
      <c r="BC834" s="112"/>
      <c r="BD834" s="112">
        <f>'Raw Data'!O824</f>
        <v>1</v>
      </c>
    </row>
    <row r="835" spans="23:56">
      <c r="W835" s="21"/>
      <c r="AC835" s="21"/>
      <c r="AD835" s="21"/>
      <c r="AE835" s="21"/>
      <c r="AS835" s="112" t="str">
        <f t="shared" si="154"/>
        <v/>
      </c>
      <c r="AT835" s="112" t="str">
        <f>IF(AS835="","",COUNTIF($AS$13:AS835,AS835))</f>
        <v/>
      </c>
      <c r="AU835" s="147">
        <f t="shared" si="151"/>
        <v>822</v>
      </c>
      <c r="AV835" s="147">
        <f>COUNTIF($AZ$14:AZ835,AZ835)</f>
        <v>19</v>
      </c>
      <c r="AW835" s="147">
        <f>IFERROR(COUNTIF(AX$14:$BL835,AX835),"")</f>
        <v>118</v>
      </c>
      <c r="AX835" s="148" t="str">
        <f t="shared" si="155"/>
        <v>Tue</v>
      </c>
      <c r="AY835" s="149">
        <f>'Raw Data'!A825</f>
        <v>42430</v>
      </c>
      <c r="AZ835" s="150" t="str">
        <f>'Raw Data'!E825</f>
        <v>$15 Off,FS on $49</v>
      </c>
      <c r="BA835" s="150">
        <f>'Raw Data'!I825</f>
        <v>1610</v>
      </c>
      <c r="BB835" s="112"/>
      <c r="BC835" s="112"/>
      <c r="BD835" s="112">
        <f>'Raw Data'!O825</f>
        <v>1</v>
      </c>
    </row>
    <row r="836" spans="23:56">
      <c r="W836" s="21"/>
      <c r="AC836" s="21"/>
      <c r="AD836" s="21"/>
      <c r="AE836" s="21"/>
      <c r="AS836" s="112" t="str">
        <f t="shared" si="154"/>
        <v/>
      </c>
      <c r="AT836" s="112" t="str">
        <f>IF(AS836="","",COUNTIF($AS$13:AS836,AS836))</f>
        <v/>
      </c>
      <c r="AU836" s="147">
        <f t="shared" si="151"/>
        <v>823</v>
      </c>
      <c r="AV836" s="147">
        <f>COUNTIF($AZ$14:AZ836,AZ836)</f>
        <v>20</v>
      </c>
      <c r="AW836" s="147">
        <f>IFERROR(COUNTIF(AX$14:$BL836,AX836),"")</f>
        <v>118</v>
      </c>
      <c r="AX836" s="148" t="str">
        <f t="shared" si="155"/>
        <v>Wed</v>
      </c>
      <c r="AY836" s="149">
        <f>'Raw Data'!A826</f>
        <v>42431</v>
      </c>
      <c r="AZ836" s="150" t="str">
        <f>'Raw Data'!E826</f>
        <v>$15 Off,FS on $49</v>
      </c>
      <c r="BA836" s="150">
        <f>'Raw Data'!I826</f>
        <v>1668</v>
      </c>
      <c r="BB836" s="112"/>
      <c r="BC836" s="112"/>
      <c r="BD836" s="112">
        <f>'Raw Data'!O826</f>
        <v>2</v>
      </c>
    </row>
    <row r="837" spans="23:56">
      <c r="W837" s="21"/>
      <c r="AC837" s="21"/>
      <c r="AD837" s="21"/>
      <c r="AE837" s="21"/>
      <c r="AS837" s="112" t="str">
        <f t="shared" si="154"/>
        <v/>
      </c>
      <c r="AT837" s="112" t="str">
        <f>IF(AS837="","",COUNTIF($AS$13:AS837,AS837))</f>
        <v/>
      </c>
      <c r="AU837" s="147">
        <f t="shared" si="151"/>
        <v>824</v>
      </c>
      <c r="AV837" s="147">
        <f>COUNTIF($AZ$14:AZ837,AZ837)</f>
        <v>21</v>
      </c>
      <c r="AW837" s="147">
        <f>IFERROR(COUNTIF(AX$14:$BL837,AX837),"")</f>
        <v>118</v>
      </c>
      <c r="AX837" s="148" t="str">
        <f t="shared" si="155"/>
        <v>Thu</v>
      </c>
      <c r="AY837" s="149">
        <f>'Raw Data'!A827</f>
        <v>42432</v>
      </c>
      <c r="AZ837" s="150" t="str">
        <f>'Raw Data'!E827</f>
        <v>$15 Off,FS on $49</v>
      </c>
      <c r="BA837" s="150">
        <f>'Raw Data'!I827</f>
        <v>1467</v>
      </c>
      <c r="BB837" s="112"/>
      <c r="BC837" s="112"/>
      <c r="BD837" s="112">
        <f>'Raw Data'!O827</f>
        <v>2</v>
      </c>
    </row>
    <row r="838" spans="23:56">
      <c r="W838" s="21"/>
      <c r="AC838" s="21"/>
      <c r="AD838" s="21"/>
      <c r="AE838" s="21"/>
      <c r="AS838" s="112" t="str">
        <f t="shared" si="154"/>
        <v/>
      </c>
      <c r="AT838" s="112" t="str">
        <f>IF(AS838="","",COUNTIF($AS$13:AS838,AS838))</f>
        <v/>
      </c>
      <c r="AU838" s="147">
        <f t="shared" si="151"/>
        <v>825</v>
      </c>
      <c r="AV838" s="147">
        <f>COUNTIF($AZ$14:AZ838,AZ838)</f>
        <v>22</v>
      </c>
      <c r="AW838" s="147">
        <f>IFERROR(COUNTIF(AX$14:$BL838,AX838),"")</f>
        <v>118</v>
      </c>
      <c r="AX838" s="148" t="str">
        <f t="shared" si="155"/>
        <v>Fri</v>
      </c>
      <c r="AY838" s="149">
        <f>'Raw Data'!A828</f>
        <v>42433</v>
      </c>
      <c r="AZ838" s="150" t="str">
        <f>'Raw Data'!E828</f>
        <v>$15 Off,FS on $49</v>
      </c>
      <c r="BA838" s="150">
        <f>'Raw Data'!I828</f>
        <v>1466</v>
      </c>
      <c r="BB838" s="112"/>
      <c r="BC838" s="112"/>
      <c r="BD838" s="112">
        <f>'Raw Data'!O828</f>
        <v>2</v>
      </c>
    </row>
    <row r="839" spans="23:56">
      <c r="W839" s="21"/>
      <c r="AC839" s="21"/>
      <c r="AD839" s="21"/>
      <c r="AE839" s="21"/>
      <c r="AS839" s="112" t="str">
        <f t="shared" si="154"/>
        <v/>
      </c>
      <c r="AT839" s="112" t="str">
        <f>IF(AS839="","",COUNTIF($AS$13:AS839,AS839))</f>
        <v/>
      </c>
      <c r="AU839" s="147">
        <f t="shared" si="151"/>
        <v>826</v>
      </c>
      <c r="AV839" s="147">
        <f>COUNTIF($AZ$14:AZ839,AZ839)</f>
        <v>56</v>
      </c>
      <c r="AW839" s="147">
        <f>IFERROR(COUNTIF(AX$14:$BL839,AX839),"")</f>
        <v>118</v>
      </c>
      <c r="AX839" s="148" t="str">
        <f t="shared" si="155"/>
        <v>Sat</v>
      </c>
      <c r="AY839" s="149">
        <f>'Raw Data'!A829</f>
        <v>42434</v>
      </c>
      <c r="AZ839" s="150" t="str">
        <f>'Raw Data'!E829</f>
        <v>Free Ship No Min</v>
      </c>
      <c r="BA839" s="150">
        <f>'Raw Data'!I829</f>
        <v>997</v>
      </c>
      <c r="BB839" s="112"/>
      <c r="BC839" s="112"/>
      <c r="BD839" s="112">
        <f>'Raw Data'!O829</f>
        <v>1</v>
      </c>
    </row>
    <row r="840" spans="23:56">
      <c r="W840" s="21"/>
      <c r="AC840" s="21"/>
      <c r="AD840" s="21"/>
      <c r="AE840" s="21"/>
      <c r="AS840" s="112" t="str">
        <f t="shared" si="154"/>
        <v/>
      </c>
      <c r="AT840" s="112" t="str">
        <f>IF(AS840="","",COUNTIF($AS$13:AS840,AS840))</f>
        <v/>
      </c>
      <c r="AU840" s="147">
        <f t="shared" si="151"/>
        <v>827</v>
      </c>
      <c r="AV840" s="147">
        <f>COUNTIF($AZ$14:AZ840,AZ840)</f>
        <v>57</v>
      </c>
      <c r="AW840" s="147">
        <f>IFERROR(COUNTIF(AX$14:$BL840,AX840),"")</f>
        <v>119</v>
      </c>
      <c r="AX840" s="148" t="str">
        <f t="shared" si="155"/>
        <v>Sun</v>
      </c>
      <c r="AY840" s="149">
        <f>'Raw Data'!A830</f>
        <v>42435</v>
      </c>
      <c r="AZ840" s="150" t="str">
        <f>'Raw Data'!E830</f>
        <v>Free Ship No Min</v>
      </c>
      <c r="BA840" s="150">
        <f>'Raw Data'!I830</f>
        <v>821</v>
      </c>
      <c r="BB840" s="112"/>
      <c r="BC840" s="112"/>
      <c r="BD840" s="112">
        <f>'Raw Data'!O830</f>
        <v>2</v>
      </c>
    </row>
    <row r="841" spans="23:56">
      <c r="W841" s="21"/>
      <c r="AC841" s="21"/>
      <c r="AD841" s="21"/>
      <c r="AE841" s="21"/>
      <c r="AS841" s="112" t="str">
        <f t="shared" si="154"/>
        <v/>
      </c>
      <c r="AT841" s="112" t="str">
        <f>IF(AS841="","",COUNTIF($AS$13:AS841,AS841))</f>
        <v/>
      </c>
      <c r="AU841" s="147">
        <f t="shared" si="151"/>
        <v>828</v>
      </c>
      <c r="AV841" s="147">
        <f>COUNTIF($AZ$14:AZ841,AZ841)</f>
        <v>1</v>
      </c>
      <c r="AW841" s="147">
        <f>IFERROR(COUNTIF(AX$14:$BL841,AX841),"")</f>
        <v>119</v>
      </c>
      <c r="AX841" s="148" t="str">
        <f t="shared" si="155"/>
        <v>Mon</v>
      </c>
      <c r="AY841" s="149">
        <f>'Raw Data'!A831</f>
        <v>42436</v>
      </c>
      <c r="AZ841" s="150" t="str">
        <f>'Raw Data'!E831</f>
        <v>40% Off,FS on $49</v>
      </c>
      <c r="BA841" s="150">
        <f>'Raw Data'!I831</f>
        <v>1421</v>
      </c>
      <c r="BB841" s="112"/>
      <c r="BC841" s="112"/>
      <c r="BD841" s="112">
        <f>'Raw Data'!O831</f>
        <v>2</v>
      </c>
    </row>
    <row r="842" spans="23:56">
      <c r="W842" s="21"/>
      <c r="AC842" s="21"/>
      <c r="AD842" s="21"/>
      <c r="AE842" s="21"/>
      <c r="AS842" s="112" t="str">
        <f t="shared" si="154"/>
        <v/>
      </c>
      <c r="AT842" s="112" t="str">
        <f>IF(AS842="","",COUNTIF($AS$13:AS842,AS842))</f>
        <v/>
      </c>
      <c r="AU842" s="147">
        <f t="shared" si="151"/>
        <v>829</v>
      </c>
      <c r="AV842" s="147">
        <f>COUNTIF($AZ$14:AZ842,AZ842)</f>
        <v>33</v>
      </c>
      <c r="AW842" s="147">
        <f>IFERROR(COUNTIF(AX$14:$BL842,AX842),"")</f>
        <v>119</v>
      </c>
      <c r="AX842" s="148" t="str">
        <f t="shared" si="155"/>
        <v>Tue</v>
      </c>
      <c r="AY842" s="149">
        <f>'Raw Data'!A832</f>
        <v>42437</v>
      </c>
      <c r="AZ842" s="150" t="str">
        <f>'Raw Data'!E832</f>
        <v>25% Off,FS on $49</v>
      </c>
      <c r="BA842" s="150">
        <f>'Raw Data'!I832</f>
        <v>1227</v>
      </c>
      <c r="BB842" s="112"/>
      <c r="BC842" s="112"/>
      <c r="BD842" s="112">
        <f>'Raw Data'!O832</f>
        <v>1</v>
      </c>
    </row>
    <row r="843" spans="23:56">
      <c r="W843" s="21"/>
      <c r="AC843" s="21"/>
      <c r="AD843" s="21"/>
      <c r="AE843" s="21"/>
      <c r="AS843" s="112" t="str">
        <f t="shared" si="154"/>
        <v/>
      </c>
      <c r="AT843" s="112" t="str">
        <f>IF(AS843="","",COUNTIF($AS$13:AS843,AS843))</f>
        <v/>
      </c>
      <c r="AU843" s="147">
        <f t="shared" si="151"/>
        <v>830</v>
      </c>
      <c r="AV843" s="147">
        <f>COUNTIF($AZ$14:AZ843,AZ843)</f>
        <v>2</v>
      </c>
      <c r="AW843" s="147">
        <f>IFERROR(COUNTIF(AX$14:$BL843,AX843),"")</f>
        <v>119</v>
      </c>
      <c r="AX843" s="148" t="str">
        <f t="shared" si="155"/>
        <v>Wed</v>
      </c>
      <c r="AY843" s="149">
        <f>'Raw Data'!A833</f>
        <v>42438</v>
      </c>
      <c r="AZ843" s="150" t="str">
        <f>'Raw Data'!E833</f>
        <v>40% Off,FS on $49</v>
      </c>
      <c r="BA843" s="150">
        <f>'Raw Data'!I833</f>
        <v>1635</v>
      </c>
      <c r="BB843" s="112"/>
      <c r="BC843" s="112"/>
      <c r="BD843" s="112">
        <f>'Raw Data'!O833</f>
        <v>2</v>
      </c>
    </row>
    <row r="844" spans="23:56">
      <c r="W844" s="21"/>
      <c r="AC844" s="21"/>
      <c r="AD844" s="21"/>
      <c r="AE844" s="21"/>
      <c r="AS844" s="112" t="str">
        <f t="shared" si="154"/>
        <v/>
      </c>
      <c r="AT844" s="112" t="str">
        <f>IF(AS844="","",COUNTIF($AS$13:AS844,AS844))</f>
        <v/>
      </c>
      <c r="AU844" s="147">
        <f t="shared" si="151"/>
        <v>831</v>
      </c>
      <c r="AV844" s="147">
        <f>COUNTIF($AZ$14:AZ844,AZ844)</f>
        <v>3</v>
      </c>
      <c r="AW844" s="147">
        <f>IFERROR(COUNTIF(AX$14:$BL844,AX844),"")</f>
        <v>119</v>
      </c>
      <c r="AX844" s="148" t="str">
        <f t="shared" si="155"/>
        <v>Thu</v>
      </c>
      <c r="AY844" s="149">
        <f>'Raw Data'!A834</f>
        <v>42439</v>
      </c>
      <c r="AZ844" s="150" t="str">
        <f>'Raw Data'!E834</f>
        <v>40% Off,FS on $49</v>
      </c>
      <c r="BA844" s="150">
        <f>'Raw Data'!I834</f>
        <v>1485</v>
      </c>
      <c r="BB844" s="112"/>
      <c r="BC844" s="112"/>
      <c r="BD844" s="112">
        <f>'Raw Data'!O834</f>
        <v>2</v>
      </c>
    </row>
    <row r="845" spans="23:56">
      <c r="W845" s="21"/>
      <c r="AC845" s="21"/>
      <c r="AD845" s="21"/>
      <c r="AE845" s="21"/>
      <c r="AS845" s="112" t="str">
        <f t="shared" si="154"/>
        <v/>
      </c>
      <c r="AT845" s="112" t="str">
        <f>IF(AS845="","",COUNTIF($AS$13:AS845,AS845))</f>
        <v/>
      </c>
      <c r="AU845" s="147">
        <f t="shared" si="151"/>
        <v>832</v>
      </c>
      <c r="AV845" s="147">
        <f>COUNTIF($AZ$14:AZ845,AZ845)</f>
        <v>4</v>
      </c>
      <c r="AW845" s="147">
        <f>IFERROR(COUNTIF(AX$14:$BL845,AX845),"")</f>
        <v>119</v>
      </c>
      <c r="AX845" s="148" t="str">
        <f t="shared" si="155"/>
        <v>Fri</v>
      </c>
      <c r="AY845" s="149">
        <f>'Raw Data'!A835</f>
        <v>42440</v>
      </c>
      <c r="AZ845" s="150" t="str">
        <f>'Raw Data'!E835</f>
        <v>40% Off,FS on $49</v>
      </c>
      <c r="BA845" s="150">
        <f>'Raw Data'!I835</f>
        <v>1346</v>
      </c>
      <c r="BB845" s="112"/>
      <c r="BC845" s="112"/>
      <c r="BD845" s="112">
        <f>'Raw Data'!O835</f>
        <v>1</v>
      </c>
    </row>
    <row r="846" spans="23:56">
      <c r="W846" s="21"/>
      <c r="AC846" s="21"/>
      <c r="AD846" s="21"/>
      <c r="AE846" s="21"/>
      <c r="AS846" s="112" t="str">
        <f t="shared" si="154"/>
        <v/>
      </c>
      <c r="AT846" s="112" t="str">
        <f>IF(AS846="","",COUNTIF($AS$13:AS846,AS846))</f>
        <v/>
      </c>
      <c r="AU846" s="147">
        <f t="shared" si="151"/>
        <v>833</v>
      </c>
      <c r="AV846" s="147">
        <f>COUNTIF($AZ$14:AZ846,AZ846)</f>
        <v>9</v>
      </c>
      <c r="AW846" s="147">
        <f>IFERROR(COUNTIF(AX$14:$BL846,AX846),"")</f>
        <v>119</v>
      </c>
      <c r="AX846" s="148" t="str">
        <f t="shared" si="155"/>
        <v>Sat</v>
      </c>
      <c r="AY846" s="149">
        <f>'Raw Data'!A836</f>
        <v>42441</v>
      </c>
      <c r="AZ846" s="150" t="str">
        <f>'Raw Data'!E836</f>
        <v>20% Off, FS on $49</v>
      </c>
      <c r="BA846" s="150">
        <f>'Raw Data'!I836</f>
        <v>1018</v>
      </c>
      <c r="BB846" s="112"/>
      <c r="BC846" s="112"/>
      <c r="BD846" s="112">
        <f>'Raw Data'!O836</f>
        <v>2</v>
      </c>
    </row>
    <row r="847" spans="23:56">
      <c r="W847" s="21"/>
      <c r="AC847" s="21"/>
      <c r="AD847" s="21"/>
      <c r="AE847" s="21"/>
      <c r="AS847" s="112" t="str">
        <f t="shared" si="154"/>
        <v/>
      </c>
      <c r="AT847" s="112" t="str">
        <f>IF(AS847="","",COUNTIF($AS$13:AS847,AS847))</f>
        <v/>
      </c>
      <c r="AU847" s="147">
        <f t="shared" si="151"/>
        <v>834</v>
      </c>
      <c r="AV847" s="147">
        <f>COUNTIF($AZ$14:AZ847,AZ847)</f>
        <v>1</v>
      </c>
      <c r="AW847" s="147">
        <f>IFERROR(COUNTIF(AX$14:$BL847,AX847),"")</f>
        <v>120</v>
      </c>
      <c r="AX847" s="148" t="str">
        <f t="shared" si="155"/>
        <v>Sun</v>
      </c>
      <c r="AY847" s="149">
        <f>'Raw Data'!A837</f>
        <v>42442</v>
      </c>
      <c r="AZ847" s="150" t="str">
        <f>'Raw Data'!E837</f>
        <v>Up to $50, FS on $49</v>
      </c>
      <c r="BA847" s="150">
        <f>'Raw Data'!I837</f>
        <v>817</v>
      </c>
      <c r="BB847" s="112"/>
      <c r="BC847" s="112"/>
      <c r="BD847" s="112">
        <f>'Raw Data'!O837</f>
        <v>2</v>
      </c>
    </row>
    <row r="848" spans="23:56">
      <c r="W848" s="21"/>
      <c r="AC848" s="21"/>
      <c r="AD848" s="21"/>
      <c r="AE848" s="21"/>
      <c r="AS848" s="112" t="str">
        <f t="shared" si="154"/>
        <v/>
      </c>
      <c r="AT848" s="112" t="str">
        <f>IF(AS848="","",COUNTIF($AS$13:AS848,AS848))</f>
        <v/>
      </c>
      <c r="AU848" s="147">
        <f t="shared" si="151"/>
        <v>835</v>
      </c>
      <c r="AV848" s="147">
        <f>COUNTIF($AZ$14:AZ848,AZ848)</f>
        <v>2</v>
      </c>
      <c r="AW848" s="147">
        <f>IFERROR(COUNTIF(AX$14:$BL848,AX848),"")</f>
        <v>120</v>
      </c>
      <c r="AX848" s="148" t="str">
        <f t="shared" si="155"/>
        <v>Mon</v>
      </c>
      <c r="AY848" s="149">
        <f>'Raw Data'!A838</f>
        <v>42443</v>
      </c>
      <c r="AZ848" s="150" t="str">
        <f>'Raw Data'!E838</f>
        <v>Up to $50, FS on $49</v>
      </c>
      <c r="BA848" s="150">
        <f>'Raw Data'!I838</f>
        <v>1966</v>
      </c>
      <c r="BB848" s="112"/>
      <c r="BC848" s="112"/>
      <c r="BD848" s="112">
        <f>'Raw Data'!O838</f>
        <v>2</v>
      </c>
    </row>
    <row r="849" spans="23:56">
      <c r="W849" s="21"/>
      <c r="AC849" s="21"/>
      <c r="AD849" s="21"/>
      <c r="AE849" s="21"/>
      <c r="AS849" s="112" t="str">
        <f t="shared" si="154"/>
        <v/>
      </c>
      <c r="AT849" s="112" t="str">
        <f>IF(AS849="","",COUNTIF($AS$13:AS849,AS849))</f>
        <v/>
      </c>
      <c r="AU849" s="147">
        <f t="shared" si="151"/>
        <v>836</v>
      </c>
      <c r="AV849" s="147">
        <f>COUNTIF($AZ$14:AZ849,AZ849)</f>
        <v>3</v>
      </c>
      <c r="AW849" s="147">
        <f>IFERROR(COUNTIF(AX$14:$BL849,AX849),"")</f>
        <v>120</v>
      </c>
      <c r="AX849" s="148" t="str">
        <f t="shared" si="155"/>
        <v>Tue</v>
      </c>
      <c r="AY849" s="149">
        <f>'Raw Data'!A839</f>
        <v>42444</v>
      </c>
      <c r="AZ849" s="150" t="str">
        <f>'Raw Data'!E839</f>
        <v>Up to $50, FS on $49</v>
      </c>
      <c r="BA849" s="150">
        <f>'Raw Data'!I839</f>
        <v>1660</v>
      </c>
      <c r="BB849" s="112"/>
      <c r="BC849" s="112"/>
      <c r="BD849" s="112">
        <f>'Raw Data'!O839</f>
        <v>2</v>
      </c>
    </row>
    <row r="850" spans="23:56">
      <c r="W850" s="21"/>
      <c r="AC850" s="21"/>
      <c r="AD850" s="21"/>
      <c r="AE850" s="21"/>
      <c r="AS850" s="112" t="str">
        <f t="shared" si="154"/>
        <v/>
      </c>
      <c r="AT850" s="112" t="str">
        <f>IF(AS850="","",COUNTIF($AS$13:AS850,AS850))</f>
        <v/>
      </c>
      <c r="AU850" s="147">
        <f t="shared" si="151"/>
        <v>837</v>
      </c>
      <c r="AV850" s="147">
        <f>COUNTIF($AZ$14:AZ850,AZ850)</f>
        <v>4</v>
      </c>
      <c r="AW850" s="147">
        <f>IFERROR(COUNTIF(AX$14:$BL850,AX850),"")</f>
        <v>120</v>
      </c>
      <c r="AX850" s="148" t="str">
        <f t="shared" si="155"/>
        <v>Wed</v>
      </c>
      <c r="AY850" s="149">
        <f>'Raw Data'!A840</f>
        <v>42445</v>
      </c>
      <c r="AZ850" s="150" t="str">
        <f>'Raw Data'!E840</f>
        <v>Up to $50, FS on $49</v>
      </c>
      <c r="BA850" s="150">
        <f>'Raw Data'!I840</f>
        <v>1595</v>
      </c>
      <c r="BB850" s="112"/>
      <c r="BC850" s="112"/>
      <c r="BD850" s="112">
        <f>'Raw Data'!O840</f>
        <v>2</v>
      </c>
    </row>
    <row r="851" spans="23:56">
      <c r="W851" s="21"/>
      <c r="AC851" s="21"/>
      <c r="AD851" s="21"/>
      <c r="AE851" s="21"/>
      <c r="AS851" s="112">
        <f t="shared" si="154"/>
        <v>1</v>
      </c>
      <c r="AT851" s="112">
        <f>IF(AS851="","",COUNTIF($AS$13:AS851,AS851))</f>
        <v>26</v>
      </c>
      <c r="AU851" s="147">
        <f t="shared" si="151"/>
        <v>838</v>
      </c>
      <c r="AV851" s="147">
        <f>COUNTIF($AZ$14:AZ851,AZ851)</f>
        <v>10</v>
      </c>
      <c r="AW851" s="147">
        <f>IFERROR(COUNTIF(AX$14:$BL851,AX851),"")</f>
        <v>120</v>
      </c>
      <c r="AX851" s="148" t="str">
        <f t="shared" si="155"/>
        <v>Thu</v>
      </c>
      <c r="AY851" s="149">
        <f>'Raw Data'!A841</f>
        <v>42446</v>
      </c>
      <c r="AZ851" s="150" t="str">
        <f>'Raw Data'!E841</f>
        <v>Flash Sale,25% Off,FS on $49</v>
      </c>
      <c r="BA851" s="150">
        <f>'Raw Data'!I841</f>
        <v>1675</v>
      </c>
      <c r="BB851" s="112"/>
      <c r="BC851" s="112"/>
      <c r="BD851" s="112">
        <f>'Raw Data'!O841</f>
        <v>2</v>
      </c>
    </row>
    <row r="852" spans="23:56">
      <c r="W852" s="21"/>
      <c r="AC852" s="21"/>
      <c r="AD852" s="21"/>
      <c r="AE852" s="21"/>
      <c r="AS852" s="112" t="str">
        <f t="shared" si="154"/>
        <v/>
      </c>
      <c r="AT852" s="112" t="str">
        <f>IF(AS852="","",COUNTIF($AS$13:AS852,AS852))</f>
        <v/>
      </c>
      <c r="AU852" s="147">
        <f t="shared" si="151"/>
        <v>839</v>
      </c>
      <c r="AV852" s="147">
        <f>COUNTIF($AZ$14:AZ852,AZ852)</f>
        <v>10</v>
      </c>
      <c r="AW852" s="147">
        <f>IFERROR(COUNTIF(AX$14:$BL852,AX852),"")</f>
        <v>120</v>
      </c>
      <c r="AX852" s="148" t="str">
        <f t="shared" si="155"/>
        <v>Fri</v>
      </c>
      <c r="AY852" s="149">
        <f>'Raw Data'!A842</f>
        <v>42447</v>
      </c>
      <c r="AZ852" s="150" t="str">
        <f>'Raw Data'!E842</f>
        <v>20% Off, FS on $49</v>
      </c>
      <c r="BA852" s="150">
        <f>'Raw Data'!I842</f>
        <v>1500</v>
      </c>
      <c r="BB852" s="112"/>
      <c r="BC852" s="112"/>
      <c r="BD852" s="112">
        <f>'Raw Data'!O842</f>
        <v>2</v>
      </c>
    </row>
    <row r="853" spans="23:56">
      <c r="W853" s="21"/>
      <c r="AC853" s="21"/>
      <c r="AD853" s="21"/>
      <c r="AE853" s="21"/>
      <c r="AS853" s="112" t="str">
        <f t="shared" si="154"/>
        <v/>
      </c>
      <c r="AT853" s="112" t="str">
        <f>IF(AS853="","",COUNTIF($AS$13:AS853,AS853))</f>
        <v/>
      </c>
      <c r="AU853" s="147">
        <f t="shared" si="151"/>
        <v>840</v>
      </c>
      <c r="AV853" s="147">
        <f>COUNTIF($AZ$14:AZ853,AZ853)</f>
        <v>5</v>
      </c>
      <c r="AW853" s="147">
        <f>IFERROR(COUNTIF(AX$14:$BL853,AX853),"")</f>
        <v>120</v>
      </c>
      <c r="AX853" s="148" t="str">
        <f t="shared" si="155"/>
        <v>Sat</v>
      </c>
      <c r="AY853" s="149">
        <f>'Raw Data'!A843</f>
        <v>42448</v>
      </c>
      <c r="AZ853" s="150" t="str">
        <f>'Raw Data'!E843</f>
        <v>Up to $50, FS on $49</v>
      </c>
      <c r="BA853" s="150">
        <f>'Raw Data'!I843</f>
        <v>1101</v>
      </c>
      <c r="BB853" s="112"/>
      <c r="BC853" s="112"/>
      <c r="BD853" s="112">
        <f>'Raw Data'!O843</f>
        <v>2</v>
      </c>
    </row>
    <row r="854" spans="23:56">
      <c r="W854" s="21"/>
      <c r="AC854" s="21"/>
      <c r="AD854" s="21"/>
      <c r="AE854" s="21"/>
      <c r="AS854" s="112" t="str">
        <f t="shared" si="154"/>
        <v/>
      </c>
      <c r="AT854" s="112" t="str">
        <f>IF(AS854="","",COUNTIF($AS$13:AS854,AS854))</f>
        <v/>
      </c>
      <c r="AU854" s="147">
        <f t="shared" si="151"/>
        <v>841</v>
      </c>
      <c r="AV854" s="147">
        <f>COUNTIF($AZ$14:AZ854,AZ854)</f>
        <v>58</v>
      </c>
      <c r="AW854" s="147">
        <f>IFERROR(COUNTIF(AX$14:$BL854,AX854),"")</f>
        <v>121</v>
      </c>
      <c r="AX854" s="148" t="str">
        <f t="shared" si="155"/>
        <v>Sun</v>
      </c>
      <c r="AY854" s="149">
        <f>'Raw Data'!A844</f>
        <v>42449</v>
      </c>
      <c r="AZ854" s="150" t="str">
        <f>'Raw Data'!E844</f>
        <v>Free Ship No Min</v>
      </c>
      <c r="BA854" s="150">
        <f>'Raw Data'!I844</f>
        <v>987</v>
      </c>
      <c r="BB854" s="112"/>
      <c r="BC854" s="112"/>
      <c r="BD854" s="112">
        <f>'Raw Data'!O844</f>
        <v>2</v>
      </c>
    </row>
    <row r="855" spans="23:56">
      <c r="W855" s="21"/>
      <c r="AC855" s="21"/>
      <c r="AD855" s="21"/>
      <c r="AE855" s="21"/>
      <c r="AS855" s="112" t="str">
        <f t="shared" si="154"/>
        <v/>
      </c>
      <c r="AT855" s="112" t="str">
        <f>IF(AS855="","",COUNTIF($AS$13:AS855,AS855))</f>
        <v/>
      </c>
      <c r="AU855" s="147">
        <f t="shared" si="151"/>
        <v>842</v>
      </c>
      <c r="AV855" s="147">
        <f>COUNTIF($AZ$14:AZ855,AZ855)</f>
        <v>23</v>
      </c>
      <c r="AW855" s="147">
        <f>IFERROR(COUNTIF(AX$14:$BL855,AX855),"")</f>
        <v>121</v>
      </c>
      <c r="AX855" s="148" t="str">
        <f t="shared" si="155"/>
        <v>Mon</v>
      </c>
      <c r="AY855" s="149">
        <f>'Raw Data'!A845</f>
        <v>42450</v>
      </c>
      <c r="AZ855" s="150" t="str">
        <f>'Raw Data'!E845</f>
        <v>$15 Off,FS on $49</v>
      </c>
      <c r="BA855" s="150">
        <f>'Raw Data'!I845</f>
        <v>1914</v>
      </c>
      <c r="BB855" s="112"/>
      <c r="BC855" s="112"/>
      <c r="BD855" s="112">
        <f>'Raw Data'!O845</f>
        <v>2</v>
      </c>
    </row>
    <row r="856" spans="23:56">
      <c r="W856" s="21"/>
      <c r="AC856" s="21"/>
      <c r="AD856" s="21"/>
      <c r="AE856" s="21"/>
      <c r="AS856" s="112" t="str">
        <f t="shared" si="154"/>
        <v/>
      </c>
      <c r="AT856" s="112" t="str">
        <f>IF(AS856="","",COUNTIF($AS$13:AS856,AS856))</f>
        <v/>
      </c>
      <c r="AU856" s="147">
        <f t="shared" si="151"/>
        <v>843</v>
      </c>
      <c r="AV856" s="147">
        <f>COUNTIF($AZ$14:AZ856,AZ856)</f>
        <v>24</v>
      </c>
      <c r="AW856" s="147">
        <f>IFERROR(COUNTIF(AX$14:$BL856,AX856),"")</f>
        <v>121</v>
      </c>
      <c r="AX856" s="148" t="str">
        <f t="shared" si="155"/>
        <v>Tue</v>
      </c>
      <c r="AY856" s="149">
        <f>'Raw Data'!A846</f>
        <v>42451</v>
      </c>
      <c r="AZ856" s="150" t="str">
        <f>'Raw Data'!E846</f>
        <v>$15 Off,FS on $49</v>
      </c>
      <c r="BA856" s="150">
        <f>'Raw Data'!I846</f>
        <v>1592</v>
      </c>
      <c r="BB856" s="112"/>
      <c r="BC856" s="112"/>
      <c r="BD856" s="112">
        <f>'Raw Data'!O846</f>
        <v>2</v>
      </c>
    </row>
    <row r="857" spans="23:56">
      <c r="W857" s="21"/>
      <c r="AC857" s="21"/>
      <c r="AD857" s="21"/>
      <c r="AE857" s="21"/>
      <c r="AS857" s="112" t="str">
        <f t="shared" si="154"/>
        <v/>
      </c>
      <c r="AT857" s="112" t="str">
        <f>IF(AS857="","",COUNTIF($AS$13:AS857,AS857))</f>
        <v/>
      </c>
      <c r="AU857" s="147">
        <f t="shared" si="151"/>
        <v>844</v>
      </c>
      <c r="AV857" s="147">
        <f>COUNTIF($AZ$14:AZ857,AZ857)</f>
        <v>21</v>
      </c>
      <c r="AW857" s="147">
        <f>IFERROR(COUNTIF(AX$14:$BL857,AX857),"")</f>
        <v>121</v>
      </c>
      <c r="AX857" s="148" t="str">
        <f t="shared" si="155"/>
        <v>Wed</v>
      </c>
      <c r="AY857" s="149">
        <f>'Raw Data'!A847</f>
        <v>42452</v>
      </c>
      <c r="AZ857" s="150" t="str">
        <f>'Raw Data'!E847</f>
        <v>$10 Off,FS on $49</v>
      </c>
      <c r="BA857" s="150">
        <f>'Raw Data'!I847</f>
        <v>1569</v>
      </c>
      <c r="BB857" s="112"/>
      <c r="BC857" s="112"/>
      <c r="BD857" s="112">
        <f>'Raw Data'!O847</f>
        <v>2</v>
      </c>
    </row>
    <row r="858" spans="23:56">
      <c r="W858" s="21"/>
      <c r="AC858" s="21"/>
      <c r="AD858" s="21"/>
      <c r="AE858" s="21"/>
      <c r="AS858" s="112" t="str">
        <f t="shared" si="154"/>
        <v/>
      </c>
      <c r="AT858" s="112" t="str">
        <f>IF(AS858="","",COUNTIF($AS$13:AS858,AS858))</f>
        <v/>
      </c>
      <c r="AU858" s="147">
        <f t="shared" si="151"/>
        <v>845</v>
      </c>
      <c r="AV858" s="147">
        <f>COUNTIF($AZ$14:AZ858,AZ858)</f>
        <v>25</v>
      </c>
      <c r="AW858" s="147">
        <f>IFERROR(COUNTIF(AX$14:$BL858,AX858),"")</f>
        <v>121</v>
      </c>
      <c r="AX858" s="148" t="str">
        <f t="shared" si="155"/>
        <v>Thu</v>
      </c>
      <c r="AY858" s="149">
        <f>'Raw Data'!A848</f>
        <v>42453</v>
      </c>
      <c r="AZ858" s="150" t="str">
        <f>'Raw Data'!E848</f>
        <v>$15 Off,FS on $49</v>
      </c>
      <c r="BA858" s="150">
        <f>'Raw Data'!I848</f>
        <v>1473</v>
      </c>
      <c r="BB858" s="112"/>
      <c r="BC858" s="112"/>
      <c r="BD858" s="112">
        <f>'Raw Data'!O848</f>
        <v>2</v>
      </c>
    </row>
    <row r="859" spans="23:56">
      <c r="W859" s="21"/>
      <c r="AC859" s="21"/>
      <c r="AD859" s="21"/>
      <c r="AE859" s="21"/>
      <c r="AS859" s="112" t="str">
        <f t="shared" si="154"/>
        <v/>
      </c>
      <c r="AT859" s="112" t="str">
        <f>IF(AS859="","",COUNTIF($AS$13:AS859,AS859))</f>
        <v/>
      </c>
      <c r="AU859" s="147">
        <f t="shared" si="151"/>
        <v>846</v>
      </c>
      <c r="AV859" s="147">
        <f>COUNTIF($AZ$14:AZ859,AZ859)</f>
        <v>59</v>
      </c>
      <c r="AW859" s="147">
        <f>IFERROR(COUNTIF(AX$14:$BL859,AX859),"")</f>
        <v>121</v>
      </c>
      <c r="AX859" s="148" t="str">
        <f t="shared" si="155"/>
        <v>Fri</v>
      </c>
      <c r="AY859" s="149">
        <f>'Raw Data'!A849</f>
        <v>42454</v>
      </c>
      <c r="AZ859" s="150" t="str">
        <f>'Raw Data'!E849</f>
        <v>Free Ship No Min</v>
      </c>
      <c r="BA859" s="150">
        <f>'Raw Data'!I849</f>
        <v>1486</v>
      </c>
      <c r="BB859" s="112"/>
      <c r="BC859" s="112"/>
      <c r="BD859" s="112">
        <f>'Raw Data'!O849</f>
        <v>2</v>
      </c>
    </row>
    <row r="860" spans="23:56">
      <c r="W860" s="21"/>
      <c r="AC860" s="21"/>
      <c r="AD860" s="21"/>
      <c r="AE860" s="21"/>
      <c r="AS860" s="112" t="str">
        <f t="shared" si="154"/>
        <v/>
      </c>
      <c r="AT860" s="112" t="str">
        <f>IF(AS860="","",COUNTIF($AS$13:AS860,AS860))</f>
        <v/>
      </c>
      <c r="AU860" s="147">
        <f t="shared" si="151"/>
        <v>847</v>
      </c>
      <c r="AV860" s="147">
        <f>COUNTIF($AZ$14:AZ860,AZ860)</f>
        <v>26</v>
      </c>
      <c r="AW860" s="147">
        <f>IFERROR(COUNTIF(AX$14:$BL860,AX860),"")</f>
        <v>121</v>
      </c>
      <c r="AX860" s="148" t="str">
        <f t="shared" si="155"/>
        <v>Sat</v>
      </c>
      <c r="AY860" s="149">
        <f>'Raw Data'!A850</f>
        <v>42455</v>
      </c>
      <c r="AZ860" s="150" t="str">
        <f>'Raw Data'!E850</f>
        <v>$15 Off,FS on $49</v>
      </c>
      <c r="BA860" s="150">
        <f>'Raw Data'!I850</f>
        <v>866</v>
      </c>
      <c r="BB860" s="112"/>
      <c r="BC860" s="112"/>
      <c r="BD860" s="112">
        <f>'Raw Data'!O850</f>
        <v>2</v>
      </c>
    </row>
    <row r="861" spans="23:56">
      <c r="W861" s="21"/>
      <c r="AC861" s="21"/>
      <c r="AD861" s="21"/>
      <c r="AE861" s="21"/>
      <c r="AS861" s="112">
        <f t="shared" ref="AS861:AS895" si="156">IFERROR(IF(FIND($AT$12,AZ861)&gt;0,1,0),"")</f>
        <v>1</v>
      </c>
      <c r="AT861" s="112">
        <f>IF(AS861="","",COUNTIF($AS$13:AS861,AS861))</f>
        <v>27</v>
      </c>
      <c r="AU861" s="147">
        <f t="shared" si="151"/>
        <v>848</v>
      </c>
      <c r="AV861" s="147">
        <f>COUNTIF($AZ$14:AZ861,AZ861)</f>
        <v>1</v>
      </c>
      <c r="AW861" s="147">
        <f>IFERROR(COUNTIF(AX$14:$BL861,AX861),"")</f>
        <v>122</v>
      </c>
      <c r="AX861" s="148" t="str">
        <f t="shared" ref="AX861:AX895" si="157">TEXT(AY861,"ddd")</f>
        <v>Sun</v>
      </c>
      <c r="AY861" s="149">
        <f>'Raw Data'!A851</f>
        <v>42456</v>
      </c>
      <c r="AZ861" s="150" t="str">
        <f>'Raw Data'!E851</f>
        <v>Flash Sale,15% Off,FS on $49</v>
      </c>
      <c r="BA861" s="150">
        <f>'Raw Data'!I851</f>
        <v>425</v>
      </c>
      <c r="BB861" s="112"/>
      <c r="BC861" s="112"/>
      <c r="BD861" s="112">
        <f>'Raw Data'!O851</f>
        <v>1</v>
      </c>
    </row>
    <row r="862" spans="23:56">
      <c r="W862" s="21"/>
      <c r="AC862" s="21"/>
      <c r="AD862" s="21"/>
      <c r="AE862" s="21"/>
      <c r="AS862" s="112">
        <f t="shared" si="156"/>
        <v>1</v>
      </c>
      <c r="AT862" s="112">
        <f>IF(AS862="","",COUNTIF($AS$13:AS862,AS862))</f>
        <v>28</v>
      </c>
      <c r="AU862" s="147">
        <f t="shared" si="151"/>
        <v>849</v>
      </c>
      <c r="AV862" s="147">
        <f>COUNTIF($AZ$14:AZ862,AZ862)</f>
        <v>2</v>
      </c>
      <c r="AW862" s="147">
        <f>IFERROR(COUNTIF(AX$14:$BL862,AX862),"")</f>
        <v>122</v>
      </c>
      <c r="AX862" s="148" t="str">
        <f t="shared" si="157"/>
        <v>Mon</v>
      </c>
      <c r="AY862" s="149">
        <f>'Raw Data'!A852</f>
        <v>42457</v>
      </c>
      <c r="AZ862" s="150" t="str">
        <f>'Raw Data'!E852</f>
        <v>Flash Sale,15% Off,FS on $49</v>
      </c>
      <c r="BA862" s="150">
        <f>'Raw Data'!I852</f>
        <v>1435</v>
      </c>
      <c r="BB862" s="112"/>
      <c r="BC862" s="112"/>
      <c r="BD862" s="112">
        <f>'Raw Data'!O852</f>
        <v>2</v>
      </c>
    </row>
    <row r="863" spans="23:56">
      <c r="W863" s="21"/>
      <c r="AC863" s="21"/>
      <c r="AD863" s="21"/>
      <c r="AE863" s="21"/>
      <c r="AS863" s="112" t="str">
        <f t="shared" si="156"/>
        <v/>
      </c>
      <c r="AT863" s="112" t="str">
        <f>IF(AS863="","",COUNTIF($AS$13:AS863,AS863))</f>
        <v/>
      </c>
      <c r="AU863" s="147">
        <f t="shared" si="151"/>
        <v>850</v>
      </c>
      <c r="AV863" s="147">
        <f>COUNTIF($AZ$14:AZ863,AZ863)</f>
        <v>22</v>
      </c>
      <c r="AW863" s="147">
        <f>IFERROR(COUNTIF(AX$14:$BL863,AX863),"")</f>
        <v>122</v>
      </c>
      <c r="AX863" s="148" t="str">
        <f t="shared" si="157"/>
        <v>Tue</v>
      </c>
      <c r="AY863" s="149">
        <f>'Raw Data'!A853</f>
        <v>42458</v>
      </c>
      <c r="AZ863" s="150" t="str">
        <f>'Raw Data'!E853</f>
        <v>$10 Off,FS on $49</v>
      </c>
      <c r="BA863" s="150">
        <f>'Raw Data'!I853</f>
        <v>1235</v>
      </c>
      <c r="BB863" s="112"/>
      <c r="BC863" s="112"/>
      <c r="BD863" s="112">
        <f>'Raw Data'!O853</f>
        <v>1</v>
      </c>
    </row>
    <row r="864" spans="23:56">
      <c r="W864" s="21"/>
      <c r="AC864" s="21"/>
      <c r="AD864" s="21"/>
      <c r="AE864" s="21"/>
      <c r="AS864" s="112" t="str">
        <f t="shared" si="156"/>
        <v/>
      </c>
      <c r="AT864" s="112" t="str">
        <f>IF(AS864="","",COUNTIF($AS$13:AS864,AS864))</f>
        <v/>
      </c>
      <c r="AU864" s="147">
        <f t="shared" si="151"/>
        <v>851</v>
      </c>
      <c r="AV864" s="147">
        <f>COUNTIF($AZ$14:AZ864,AZ864)</f>
        <v>60</v>
      </c>
      <c r="AW864" s="147">
        <f>IFERROR(COUNTIF(AX$14:$BL864,AX864),"")</f>
        <v>122</v>
      </c>
      <c r="AX864" s="148" t="str">
        <f t="shared" si="157"/>
        <v>Wed</v>
      </c>
      <c r="AY864" s="149">
        <f>'Raw Data'!A854</f>
        <v>42459</v>
      </c>
      <c r="AZ864" s="150" t="str">
        <f>'Raw Data'!E854</f>
        <v>Free Ship No Min</v>
      </c>
      <c r="BA864" s="150">
        <f>'Raw Data'!I854</f>
        <v>1317</v>
      </c>
      <c r="BB864" s="112"/>
      <c r="BC864" s="112"/>
      <c r="BD864" s="112">
        <f>'Raw Data'!O854</f>
        <v>2</v>
      </c>
    </row>
    <row r="865" spans="23:56">
      <c r="W865" s="21"/>
      <c r="AC865" s="21"/>
      <c r="AD865" s="21"/>
      <c r="AE865" s="21"/>
      <c r="AS865" s="112" t="str">
        <f t="shared" si="156"/>
        <v/>
      </c>
      <c r="AT865" s="112" t="str">
        <f>IF(AS865="","",COUNTIF($AS$13:AS865,AS865))</f>
        <v/>
      </c>
      <c r="AU865" s="147">
        <f t="shared" si="151"/>
        <v>852</v>
      </c>
      <c r="AV865" s="147">
        <f>COUNTIF($AZ$14:AZ865,AZ865)</f>
        <v>61</v>
      </c>
      <c r="AW865" s="147">
        <f>IFERROR(COUNTIF(AX$14:$BL865,AX865),"")</f>
        <v>122</v>
      </c>
      <c r="AX865" s="148" t="str">
        <f t="shared" si="157"/>
        <v>Thu</v>
      </c>
      <c r="AY865" s="149">
        <f>'Raw Data'!A855</f>
        <v>42460</v>
      </c>
      <c r="AZ865" s="150" t="str">
        <f>'Raw Data'!E855</f>
        <v>Free Ship No Min</v>
      </c>
      <c r="BA865" s="150">
        <f>'Raw Data'!I855</f>
        <v>1478</v>
      </c>
      <c r="BB865" s="112"/>
      <c r="BC865" s="112"/>
      <c r="BD865" s="112">
        <f>'Raw Data'!O855</f>
        <v>2</v>
      </c>
    </row>
    <row r="866" spans="23:56">
      <c r="W866" s="21"/>
      <c r="AC866" s="21"/>
      <c r="AD866" s="21"/>
      <c r="AE866" s="21"/>
      <c r="AS866" s="112" t="str">
        <f t="shared" si="156"/>
        <v/>
      </c>
      <c r="AT866" s="112" t="str">
        <f>IF(AS866="","",COUNTIF($AS$13:AS866,AS866))</f>
        <v/>
      </c>
      <c r="AU866" s="147">
        <f t="shared" si="151"/>
        <v>853</v>
      </c>
      <c r="AV866" s="147">
        <f>COUNTIF($AZ$14:AZ866,AZ866)</f>
        <v>62</v>
      </c>
      <c r="AW866" s="147">
        <f>IFERROR(COUNTIF(AX$14:$BL866,AX866),"")</f>
        <v>122</v>
      </c>
      <c r="AX866" s="148" t="str">
        <f t="shared" si="157"/>
        <v>Fri</v>
      </c>
      <c r="AY866" s="149">
        <f>'Raw Data'!A856</f>
        <v>42461</v>
      </c>
      <c r="AZ866" s="150" t="str">
        <f>'Raw Data'!E856</f>
        <v>Free Ship No Min</v>
      </c>
      <c r="BA866" s="150">
        <f>'Raw Data'!I856</f>
        <v>1402</v>
      </c>
      <c r="BB866" s="112"/>
      <c r="BC866" s="112"/>
      <c r="BD866" s="112">
        <f>'Raw Data'!O856</f>
        <v>2</v>
      </c>
    </row>
    <row r="867" spans="23:56">
      <c r="W867" s="21"/>
      <c r="AC867" s="21"/>
      <c r="AD867" s="21"/>
      <c r="AE867" s="21"/>
      <c r="AS867" s="112" t="str">
        <f t="shared" si="156"/>
        <v/>
      </c>
      <c r="AT867" s="112" t="str">
        <f>IF(AS867="","",COUNTIF($AS$13:AS867,AS867))</f>
        <v/>
      </c>
      <c r="AU867" s="147">
        <f t="shared" si="151"/>
        <v>854</v>
      </c>
      <c r="AV867" s="147">
        <f>COUNTIF($AZ$14:AZ867,AZ867)</f>
        <v>5</v>
      </c>
      <c r="AW867" s="147">
        <f>IFERROR(COUNTIF(AX$14:$BL867,AX867),"")</f>
        <v>122</v>
      </c>
      <c r="AX867" s="148" t="str">
        <f t="shared" si="157"/>
        <v>Sat</v>
      </c>
      <c r="AY867" s="149">
        <f>'Raw Data'!A857</f>
        <v>42462</v>
      </c>
      <c r="AZ867" s="150" t="str">
        <f>'Raw Data'!E857</f>
        <v>40% Off,FS on $49</v>
      </c>
      <c r="BA867" s="150">
        <f>'Raw Data'!I857</f>
        <v>996</v>
      </c>
      <c r="BB867" s="112"/>
      <c r="BC867" s="112"/>
      <c r="BD867" s="112">
        <f>'Raw Data'!O857</f>
        <v>2</v>
      </c>
    </row>
    <row r="868" spans="23:56">
      <c r="W868" s="21"/>
      <c r="AC868" s="21"/>
      <c r="AD868" s="21"/>
      <c r="AE868" s="21"/>
      <c r="AS868" s="112" t="str">
        <f t="shared" si="156"/>
        <v/>
      </c>
      <c r="AT868" s="112" t="str">
        <f>IF(AS868="","",COUNTIF($AS$13:AS868,AS868))</f>
        <v/>
      </c>
      <c r="AU868" s="147">
        <f t="shared" si="151"/>
        <v>855</v>
      </c>
      <c r="AV868" s="147">
        <f>COUNTIF($AZ$14:AZ868,AZ868)</f>
        <v>23</v>
      </c>
      <c r="AW868" s="147">
        <f>IFERROR(COUNTIF(AX$14:$BL868,AX868),"")</f>
        <v>123</v>
      </c>
      <c r="AX868" s="148" t="str">
        <f t="shared" si="157"/>
        <v>Sun</v>
      </c>
      <c r="AY868" s="149">
        <f>'Raw Data'!A858</f>
        <v>42463</v>
      </c>
      <c r="AZ868" s="150" t="str">
        <f>'Raw Data'!E858</f>
        <v>$15 Off,FS on $75</v>
      </c>
      <c r="BA868" s="150">
        <f>'Raw Data'!I858</f>
        <v>755</v>
      </c>
      <c r="BB868" s="112"/>
      <c r="BC868" s="112"/>
      <c r="BD868" s="112">
        <f>'Raw Data'!O858</f>
        <v>2</v>
      </c>
    </row>
    <row r="869" spans="23:56">
      <c r="W869" s="21"/>
      <c r="AC869" s="21"/>
      <c r="AD869" s="21"/>
      <c r="AE869" s="21"/>
      <c r="AS869" s="112" t="str">
        <f t="shared" si="156"/>
        <v/>
      </c>
      <c r="AT869" s="112" t="str">
        <f>IF(AS869="","",COUNTIF($AS$13:AS869,AS869))</f>
        <v/>
      </c>
      <c r="AU869" s="147">
        <f t="shared" si="151"/>
        <v>856</v>
      </c>
      <c r="AV869" s="147">
        <f>COUNTIF($AZ$14:AZ869,AZ869)</f>
        <v>24</v>
      </c>
      <c r="AW869" s="147">
        <f>IFERROR(COUNTIF(AX$14:$BL869,AX869),"")</f>
        <v>123</v>
      </c>
      <c r="AX869" s="148" t="str">
        <f t="shared" si="157"/>
        <v>Mon</v>
      </c>
      <c r="AY869" s="149">
        <f>'Raw Data'!A859</f>
        <v>42464</v>
      </c>
      <c r="AZ869" s="150" t="str">
        <f>'Raw Data'!E859</f>
        <v>$15 Off,FS on $75</v>
      </c>
      <c r="BA869" s="150">
        <f>'Raw Data'!I859</f>
        <v>1383</v>
      </c>
      <c r="BB869" s="112"/>
      <c r="BC869" s="112"/>
      <c r="BD869" s="112">
        <f>'Raw Data'!O859</f>
        <v>1</v>
      </c>
    </row>
    <row r="870" spans="23:56">
      <c r="W870" s="21"/>
      <c r="AC870" s="21"/>
      <c r="AD870" s="21"/>
      <c r="AE870" s="21"/>
      <c r="AS870" s="112" t="str">
        <f t="shared" si="156"/>
        <v/>
      </c>
      <c r="AT870" s="112" t="str">
        <f>IF(AS870="","",COUNTIF($AS$13:AS870,AS870))</f>
        <v/>
      </c>
      <c r="AU870" s="147">
        <f t="shared" si="151"/>
        <v>857</v>
      </c>
      <c r="AV870" s="147">
        <f>COUNTIF($AZ$14:AZ870,AZ870)</f>
        <v>25</v>
      </c>
      <c r="AW870" s="147">
        <f>IFERROR(COUNTIF(AX$14:$BL870,AX870),"")</f>
        <v>123</v>
      </c>
      <c r="AX870" s="148" t="str">
        <f t="shared" si="157"/>
        <v>Tue</v>
      </c>
      <c r="AY870" s="149">
        <f>'Raw Data'!A860</f>
        <v>42465</v>
      </c>
      <c r="AZ870" s="150" t="str">
        <f>'Raw Data'!E860</f>
        <v>$15 Off,FS on $75</v>
      </c>
      <c r="BA870" s="150">
        <f>'Raw Data'!I860</f>
        <v>1388</v>
      </c>
      <c r="BB870" s="112"/>
      <c r="BC870" s="112"/>
      <c r="BD870" s="112">
        <f>'Raw Data'!O860</f>
        <v>2</v>
      </c>
    </row>
    <row r="871" spans="23:56">
      <c r="W871" s="21"/>
      <c r="AC871" s="21"/>
      <c r="AD871" s="21"/>
      <c r="AE871" s="21"/>
      <c r="AS871" s="112" t="str">
        <f t="shared" si="156"/>
        <v/>
      </c>
      <c r="AT871" s="112" t="str">
        <f>IF(AS871="","",COUNTIF($AS$13:AS871,AS871))</f>
        <v/>
      </c>
      <c r="AU871" s="147">
        <f t="shared" ref="AU871:AU923" si="158">AU870+1</f>
        <v>858</v>
      </c>
      <c r="AV871" s="147">
        <f>COUNTIF($AZ$14:AZ871,AZ871)</f>
        <v>54</v>
      </c>
      <c r="AW871" s="147">
        <f>IFERROR(COUNTIF(AX$14:$BL871,AX871),"")</f>
        <v>123</v>
      </c>
      <c r="AX871" s="148" t="str">
        <f t="shared" si="157"/>
        <v>Wed</v>
      </c>
      <c r="AY871" s="149">
        <f>'Raw Data'!A861</f>
        <v>42466</v>
      </c>
      <c r="AZ871" s="150" t="str">
        <f>'Raw Data'!E861</f>
        <v>Up To 40% Off,FS on $49</v>
      </c>
      <c r="BA871" s="150">
        <f>'Raw Data'!I861</f>
        <v>1220</v>
      </c>
      <c r="BB871" s="112"/>
      <c r="BC871" s="112"/>
      <c r="BD871" s="112">
        <f>'Raw Data'!O861</f>
        <v>1</v>
      </c>
    </row>
    <row r="872" spans="23:56">
      <c r="W872" s="21"/>
      <c r="AC872" s="21"/>
      <c r="AD872" s="21"/>
      <c r="AE872" s="21"/>
      <c r="AS872" s="112" t="str">
        <f t="shared" si="156"/>
        <v/>
      </c>
      <c r="AT872" s="112" t="str">
        <f>IF(AS872="","",COUNTIF($AS$13:AS872,AS872))</f>
        <v/>
      </c>
      <c r="AU872" s="147">
        <f t="shared" si="158"/>
        <v>859</v>
      </c>
      <c r="AV872" s="147">
        <f>COUNTIF($AZ$14:AZ872,AZ872)</f>
        <v>55</v>
      </c>
      <c r="AW872" s="147">
        <f>IFERROR(COUNTIF(AX$14:$BL872,AX872),"")</f>
        <v>123</v>
      </c>
      <c r="AX872" s="148" t="str">
        <f t="shared" si="157"/>
        <v>Thu</v>
      </c>
      <c r="AY872" s="149">
        <f>'Raw Data'!A862</f>
        <v>42467</v>
      </c>
      <c r="AZ872" s="150" t="str">
        <f>'Raw Data'!E862</f>
        <v>Up To 40% Off,FS on $49</v>
      </c>
      <c r="BA872" s="150">
        <f>'Raw Data'!I862</f>
        <v>1129</v>
      </c>
      <c r="BB872" s="112"/>
      <c r="BC872" s="112"/>
      <c r="BD872" s="112">
        <f>'Raw Data'!O862</f>
        <v>1</v>
      </c>
    </row>
    <row r="873" spans="23:56">
      <c r="W873" s="21"/>
      <c r="AC873" s="21"/>
      <c r="AD873" s="21"/>
      <c r="AE873" s="21"/>
      <c r="AS873" s="112" t="str">
        <f t="shared" si="156"/>
        <v/>
      </c>
      <c r="AT873" s="112" t="str">
        <f>IF(AS873="","",COUNTIF($AS$13:AS873,AS873))</f>
        <v/>
      </c>
      <c r="AU873" s="147">
        <f t="shared" si="158"/>
        <v>860</v>
      </c>
      <c r="AV873" s="147">
        <f>COUNTIF($AZ$14:AZ873,AZ873)</f>
        <v>6</v>
      </c>
      <c r="AW873" s="147">
        <f>IFERROR(COUNTIF(AX$14:$BL873,AX873),"")</f>
        <v>123</v>
      </c>
      <c r="AX873" s="148" t="str">
        <f t="shared" si="157"/>
        <v>Fri</v>
      </c>
      <c r="AY873" s="149">
        <f>'Raw Data'!A863</f>
        <v>42468</v>
      </c>
      <c r="AZ873" s="150" t="str">
        <f>'Raw Data'!E863</f>
        <v>Up To 20% Off,FS on $49</v>
      </c>
      <c r="BA873" s="150">
        <f>'Raw Data'!I863</f>
        <v>1126</v>
      </c>
      <c r="BB873" s="112"/>
      <c r="BC873" s="112"/>
      <c r="BD873" s="112">
        <f>'Raw Data'!O863</f>
        <v>1</v>
      </c>
    </row>
    <row r="874" spans="23:56">
      <c r="W874" s="21"/>
      <c r="AC874" s="21"/>
      <c r="AD874" s="21"/>
      <c r="AE874" s="21"/>
      <c r="AS874" s="112" t="str">
        <f t="shared" si="156"/>
        <v/>
      </c>
      <c r="AT874" s="112" t="str">
        <f>IF(AS874="","",COUNTIF($AS$13:AS874,AS874))</f>
        <v/>
      </c>
      <c r="AU874" s="147">
        <f t="shared" si="158"/>
        <v>861</v>
      </c>
      <c r="AV874" s="147">
        <f>COUNTIF($AZ$14:AZ874,AZ874)</f>
        <v>6</v>
      </c>
      <c r="AW874" s="147">
        <f>IFERROR(COUNTIF(AX$14:$BL874,AX874),"")</f>
        <v>123</v>
      </c>
      <c r="AX874" s="148" t="str">
        <f t="shared" si="157"/>
        <v>Sat</v>
      </c>
      <c r="AY874" s="149">
        <f>'Raw Data'!A864</f>
        <v>42469</v>
      </c>
      <c r="AZ874" s="150" t="str">
        <f>'Raw Data'!E864</f>
        <v>40% Off,FS on $49</v>
      </c>
      <c r="BA874" s="150">
        <f>'Raw Data'!I864</f>
        <v>910</v>
      </c>
      <c r="BB874" s="112"/>
      <c r="BC874" s="112"/>
      <c r="BD874" s="112">
        <f>'Raw Data'!O864</f>
        <v>2</v>
      </c>
    </row>
    <row r="875" spans="23:56">
      <c r="W875" s="21"/>
      <c r="AC875" s="21"/>
      <c r="AD875" s="21"/>
      <c r="AE875" s="21"/>
      <c r="AS875" s="112" t="str">
        <f t="shared" si="156"/>
        <v/>
      </c>
      <c r="AT875" s="112" t="str">
        <f>IF(AS875="","",COUNTIF($AS$13:AS875,AS875))</f>
        <v/>
      </c>
      <c r="AU875" s="147">
        <f t="shared" si="158"/>
        <v>862</v>
      </c>
      <c r="AV875" s="147">
        <f>COUNTIF($AZ$14:AZ875,AZ875)</f>
        <v>56</v>
      </c>
      <c r="AW875" s="147">
        <f>IFERROR(COUNTIF(AX$14:$BL875,AX875),"")</f>
        <v>124</v>
      </c>
      <c r="AX875" s="148" t="str">
        <f t="shared" si="157"/>
        <v>Sun</v>
      </c>
      <c r="AY875" s="149">
        <f>'Raw Data'!A865</f>
        <v>42470</v>
      </c>
      <c r="AZ875" s="150" t="str">
        <f>'Raw Data'!E865</f>
        <v>Up To 40% Off,FS on $49</v>
      </c>
      <c r="BA875" s="150">
        <f>'Raw Data'!I865</f>
        <v>662</v>
      </c>
      <c r="BB875" s="112"/>
      <c r="BC875" s="112"/>
      <c r="BD875" s="112">
        <f>'Raw Data'!O865</f>
        <v>1</v>
      </c>
    </row>
    <row r="876" spans="23:56">
      <c r="W876" s="21"/>
      <c r="AC876" s="21"/>
      <c r="AD876" s="21"/>
      <c r="AE876" s="21"/>
      <c r="AS876" s="112" t="str">
        <f t="shared" si="156"/>
        <v/>
      </c>
      <c r="AT876" s="112" t="str">
        <f>IF(AS876="","",COUNTIF($AS$13:AS876,AS876))</f>
        <v/>
      </c>
      <c r="AU876" s="147">
        <f t="shared" si="158"/>
        <v>863</v>
      </c>
      <c r="AV876" s="147">
        <f>COUNTIF($AZ$14:AZ876,AZ876)</f>
        <v>57</v>
      </c>
      <c r="AW876" s="147">
        <f>IFERROR(COUNTIF(AX$14:$BL876,AX876),"")</f>
        <v>124</v>
      </c>
      <c r="AX876" s="148" t="str">
        <f t="shared" si="157"/>
        <v>Mon</v>
      </c>
      <c r="AY876" s="149">
        <f>'Raw Data'!A866</f>
        <v>42471</v>
      </c>
      <c r="AZ876" s="150" t="str">
        <f>'Raw Data'!E866</f>
        <v>Up To 40% Off,FS on $49</v>
      </c>
      <c r="BA876" s="150">
        <f>'Raw Data'!I866</f>
        <v>1244</v>
      </c>
      <c r="BB876" s="112"/>
      <c r="BC876" s="112"/>
      <c r="BD876" s="112">
        <f>'Raw Data'!O866</f>
        <v>1</v>
      </c>
    </row>
    <row r="877" spans="23:56">
      <c r="W877" s="21"/>
      <c r="AC877" s="21"/>
      <c r="AD877" s="21"/>
      <c r="AE877" s="21"/>
      <c r="AS877" s="112" t="str">
        <f t="shared" si="156"/>
        <v/>
      </c>
      <c r="AT877" s="112" t="str">
        <f>IF(AS877="","",COUNTIF($AS$13:AS877,AS877))</f>
        <v/>
      </c>
      <c r="AU877" s="147">
        <f t="shared" si="158"/>
        <v>864</v>
      </c>
      <c r="AV877" s="147">
        <f>COUNTIF($AZ$14:AZ877,AZ877)</f>
        <v>58</v>
      </c>
      <c r="AW877" s="147">
        <f>IFERROR(COUNTIF(AX$14:$BL877,AX877),"")</f>
        <v>124</v>
      </c>
      <c r="AX877" s="148" t="str">
        <f t="shared" si="157"/>
        <v>Tue</v>
      </c>
      <c r="AY877" s="149">
        <f>'Raw Data'!A867</f>
        <v>42472</v>
      </c>
      <c r="AZ877" s="150" t="str">
        <f>'Raw Data'!E867</f>
        <v>Up To 40% Off,FS on $49</v>
      </c>
      <c r="BA877" s="150">
        <f>'Raw Data'!I867</f>
        <v>1214</v>
      </c>
      <c r="BB877" s="112"/>
      <c r="BC877" s="112"/>
      <c r="BD877" s="112">
        <f>'Raw Data'!O867</f>
        <v>1</v>
      </c>
    </row>
    <row r="878" spans="23:56">
      <c r="W878" s="21"/>
      <c r="AC878" s="21"/>
      <c r="AD878" s="21"/>
      <c r="AE878" s="21"/>
      <c r="AS878" s="112" t="str">
        <f t="shared" si="156"/>
        <v/>
      </c>
      <c r="AT878" s="112" t="str">
        <f>IF(AS878="","",COUNTIF($AS$13:AS878,AS878))</f>
        <v/>
      </c>
      <c r="AU878" s="147">
        <f t="shared" si="158"/>
        <v>865</v>
      </c>
      <c r="AV878" s="147">
        <f>COUNTIF($AZ$14:AZ878,AZ878)</f>
        <v>7</v>
      </c>
      <c r="AW878" s="147">
        <f>IFERROR(COUNTIF(AX$14:$BL878,AX878),"")</f>
        <v>124</v>
      </c>
      <c r="AX878" s="148" t="str">
        <f t="shared" si="157"/>
        <v>Wed</v>
      </c>
      <c r="AY878" s="149">
        <f>'Raw Data'!A868</f>
        <v>42473</v>
      </c>
      <c r="AZ878" s="150" t="str">
        <f>'Raw Data'!E868</f>
        <v>Up To 20% Off,FS on $49</v>
      </c>
      <c r="BA878" s="150">
        <f>'Raw Data'!I868</f>
        <v>1249</v>
      </c>
      <c r="BB878" s="112"/>
      <c r="BC878" s="112"/>
      <c r="BD878" s="112">
        <f>'Raw Data'!O868</f>
        <v>2</v>
      </c>
    </row>
    <row r="879" spans="23:56">
      <c r="W879" s="21"/>
      <c r="AC879" s="21"/>
      <c r="AD879" s="21"/>
      <c r="AE879" s="21"/>
      <c r="AS879" s="112" t="str">
        <f t="shared" si="156"/>
        <v/>
      </c>
      <c r="AT879" s="112" t="str">
        <f>IF(AS879="","",COUNTIF($AS$13:AS879,AS879))</f>
        <v/>
      </c>
      <c r="AU879" s="147">
        <f t="shared" si="158"/>
        <v>866</v>
      </c>
      <c r="AV879" s="147">
        <f>COUNTIF($AZ$14:AZ879,AZ879)</f>
        <v>59</v>
      </c>
      <c r="AW879" s="147">
        <f>IFERROR(COUNTIF(AX$14:$BL879,AX879),"")</f>
        <v>124</v>
      </c>
      <c r="AX879" s="148" t="str">
        <f t="shared" si="157"/>
        <v>Thu</v>
      </c>
      <c r="AY879" s="149">
        <f>'Raw Data'!A869</f>
        <v>42474</v>
      </c>
      <c r="AZ879" s="150" t="str">
        <f>'Raw Data'!E869</f>
        <v>Up To 40% Off,FS on $49</v>
      </c>
      <c r="BA879" s="150">
        <f>'Raw Data'!I869</f>
        <v>1066</v>
      </c>
      <c r="BB879" s="112"/>
      <c r="BC879" s="112"/>
      <c r="BD879" s="112">
        <f>'Raw Data'!O869</f>
        <v>2</v>
      </c>
    </row>
    <row r="880" spans="23:56">
      <c r="W880" s="21"/>
      <c r="AC880" s="21"/>
      <c r="AD880" s="21"/>
      <c r="AE880" s="21"/>
      <c r="AS880" s="112" t="str">
        <f t="shared" si="156"/>
        <v/>
      </c>
      <c r="AT880" s="112" t="str">
        <f>IF(AS880="","",COUNTIF($AS$13:AS880,AS880))</f>
        <v/>
      </c>
      <c r="AU880" s="147">
        <f t="shared" si="158"/>
        <v>867</v>
      </c>
      <c r="AV880" s="147">
        <f>COUNTIF($AZ$14:AZ880,AZ880)</f>
        <v>26</v>
      </c>
      <c r="AW880" s="147">
        <f>IFERROR(COUNTIF(AX$14:$BL880,AX880),"")</f>
        <v>124</v>
      </c>
      <c r="AX880" s="148" t="str">
        <f t="shared" si="157"/>
        <v>Fri</v>
      </c>
      <c r="AY880" s="149">
        <f>'Raw Data'!A870</f>
        <v>42475</v>
      </c>
      <c r="AZ880" s="150" t="str">
        <f>'Raw Data'!E870</f>
        <v>$15 Off,FS on $75</v>
      </c>
      <c r="BA880" s="150">
        <f>'Raw Data'!I870</f>
        <v>1008</v>
      </c>
      <c r="BB880" s="112"/>
      <c r="BC880" s="112"/>
      <c r="BD880" s="112">
        <f>'Raw Data'!O870</f>
        <v>1</v>
      </c>
    </row>
    <row r="881" spans="23:56">
      <c r="W881" s="21"/>
      <c r="AC881" s="21"/>
      <c r="AD881" s="21"/>
      <c r="AE881" s="21"/>
      <c r="AS881" s="112" t="str">
        <f t="shared" si="156"/>
        <v/>
      </c>
      <c r="AT881" s="112" t="str">
        <f>IF(AS881="","",COUNTIF($AS$13:AS881,AS881))</f>
        <v/>
      </c>
      <c r="AU881" s="147">
        <f t="shared" si="158"/>
        <v>868</v>
      </c>
      <c r="AV881" s="147">
        <f>COUNTIF($AZ$14:AZ881,AZ881)</f>
        <v>27</v>
      </c>
      <c r="AW881" s="147">
        <f>IFERROR(COUNTIF(AX$14:$BL881,AX881),"")</f>
        <v>124</v>
      </c>
      <c r="AX881" s="148" t="str">
        <f t="shared" si="157"/>
        <v>Sat</v>
      </c>
      <c r="AY881" s="149">
        <f>'Raw Data'!A871</f>
        <v>42476</v>
      </c>
      <c r="AZ881" s="150" t="str">
        <f>'Raw Data'!E871</f>
        <v>$15 Off,FS on $75</v>
      </c>
      <c r="BA881" s="150">
        <f>'Raw Data'!I871</f>
        <v>789</v>
      </c>
      <c r="BB881" s="112"/>
      <c r="BC881" s="112"/>
      <c r="BD881" s="112">
        <f>'Raw Data'!O871</f>
        <v>2</v>
      </c>
    </row>
    <row r="882" spans="23:56">
      <c r="W882" s="21"/>
      <c r="AC882" s="21"/>
      <c r="AD882" s="21"/>
      <c r="AE882" s="21"/>
      <c r="AS882" s="112" t="str">
        <f t="shared" si="156"/>
        <v/>
      </c>
      <c r="AT882" s="112" t="str">
        <f>IF(AS882="","",COUNTIF($AS$13:AS882,AS882))</f>
        <v/>
      </c>
      <c r="AU882" s="147">
        <f t="shared" si="158"/>
        <v>869</v>
      </c>
      <c r="AV882" s="147">
        <f>COUNTIF($AZ$14:AZ882,AZ882)</f>
        <v>28</v>
      </c>
      <c r="AW882" s="147">
        <f>IFERROR(COUNTIF(AX$14:$BL882,AX882),"")</f>
        <v>125</v>
      </c>
      <c r="AX882" s="148" t="str">
        <f t="shared" si="157"/>
        <v>Sun</v>
      </c>
      <c r="AY882" s="149">
        <f>'Raw Data'!A872</f>
        <v>42477</v>
      </c>
      <c r="AZ882" s="150" t="str">
        <f>'Raw Data'!E872</f>
        <v>$15 Off,FS on $75</v>
      </c>
      <c r="BA882" s="150">
        <f>'Raw Data'!I872</f>
        <v>579</v>
      </c>
      <c r="BB882" s="112"/>
      <c r="BC882" s="112"/>
      <c r="BD882" s="112">
        <f>'Raw Data'!O872</f>
        <v>2</v>
      </c>
    </row>
    <row r="883" spans="23:56">
      <c r="W883" s="21"/>
      <c r="AC883" s="21"/>
      <c r="AD883" s="21"/>
      <c r="AE883" s="21"/>
      <c r="AS883" s="112" t="str">
        <f t="shared" si="156"/>
        <v/>
      </c>
      <c r="AT883" s="112" t="str">
        <f>IF(AS883="","",COUNTIF($AS$13:AS883,AS883))</f>
        <v/>
      </c>
      <c r="AU883" s="147">
        <f t="shared" si="158"/>
        <v>870</v>
      </c>
      <c r="AV883" s="147">
        <f>COUNTIF($AZ$14:AZ883,AZ883)</f>
        <v>8</v>
      </c>
      <c r="AW883" s="147">
        <f>IFERROR(COUNTIF(AX$14:$BL883,AX883),"")</f>
        <v>125</v>
      </c>
      <c r="AX883" s="148" t="str">
        <f t="shared" si="157"/>
        <v>Mon</v>
      </c>
      <c r="AY883" s="149">
        <f>'Raw Data'!A873</f>
        <v>42478</v>
      </c>
      <c r="AZ883" s="150" t="str">
        <f>'Raw Data'!E873</f>
        <v>Up To 20% Off,FS on $49</v>
      </c>
      <c r="BA883" s="150">
        <f>'Raw Data'!I873</f>
        <v>1390</v>
      </c>
      <c r="BB883" s="112"/>
      <c r="BC883" s="112"/>
      <c r="BD883" s="112">
        <f>'Raw Data'!O873</f>
        <v>1</v>
      </c>
    </row>
    <row r="884" spans="23:56">
      <c r="W884" s="21"/>
      <c r="AC884" s="21"/>
      <c r="AD884" s="21"/>
      <c r="AE884" s="21"/>
      <c r="AS884" s="112" t="str">
        <f t="shared" si="156"/>
        <v/>
      </c>
      <c r="AT884" s="112" t="str">
        <f>IF(AS884="","",COUNTIF($AS$13:AS884,AS884))</f>
        <v/>
      </c>
      <c r="AU884" s="147">
        <f t="shared" si="158"/>
        <v>871</v>
      </c>
      <c r="AV884" s="147">
        <f>COUNTIF($AZ$14:AZ884,AZ884)</f>
        <v>29</v>
      </c>
      <c r="AW884" s="147">
        <f>IFERROR(COUNTIF(AX$14:$BL884,AX884),"")</f>
        <v>125</v>
      </c>
      <c r="AX884" s="148" t="str">
        <f t="shared" si="157"/>
        <v>Tue</v>
      </c>
      <c r="AY884" s="149">
        <f>'Raw Data'!A874</f>
        <v>42479</v>
      </c>
      <c r="AZ884" s="150" t="str">
        <f>'Raw Data'!E874</f>
        <v>$15 Off,FS on $75</v>
      </c>
      <c r="BA884" s="150">
        <f>'Raw Data'!I874</f>
        <v>1168</v>
      </c>
      <c r="BB884" s="112"/>
      <c r="BC884" s="112"/>
      <c r="BD884" s="112">
        <f>'Raw Data'!O874</f>
        <v>2</v>
      </c>
    </row>
    <row r="885" spans="23:56">
      <c r="W885" s="21"/>
      <c r="AC885" s="21"/>
      <c r="AD885" s="21"/>
      <c r="AE885" s="21"/>
      <c r="AS885" s="112" t="str">
        <f t="shared" si="156"/>
        <v/>
      </c>
      <c r="AT885" s="112" t="str">
        <f>IF(AS885="","",COUNTIF($AS$13:AS885,AS885))</f>
        <v/>
      </c>
      <c r="AU885" s="147">
        <f t="shared" si="158"/>
        <v>872</v>
      </c>
      <c r="AV885" s="147">
        <f>COUNTIF($AZ$14:AZ885,AZ885)</f>
        <v>30</v>
      </c>
      <c r="AW885" s="147">
        <f>IFERROR(COUNTIF(AX$14:$BL885,AX885),"")</f>
        <v>125</v>
      </c>
      <c r="AX885" s="148" t="str">
        <f t="shared" si="157"/>
        <v>Wed</v>
      </c>
      <c r="AY885" s="149">
        <f>'Raw Data'!A875</f>
        <v>42480</v>
      </c>
      <c r="AZ885" s="150" t="str">
        <f>'Raw Data'!E875</f>
        <v>$15 Off,FS on $75</v>
      </c>
      <c r="BA885" s="150">
        <f>'Raw Data'!I875</f>
        <v>1454</v>
      </c>
      <c r="BB885" s="112"/>
      <c r="BC885" s="112"/>
      <c r="BD885" s="112">
        <f>'Raw Data'!O875</f>
        <v>2</v>
      </c>
    </row>
    <row r="886" spans="23:56">
      <c r="W886" s="21"/>
      <c r="AC886" s="21"/>
      <c r="AD886" s="21"/>
      <c r="AE886" s="21"/>
      <c r="AS886" s="112" t="str">
        <f t="shared" si="156"/>
        <v/>
      </c>
      <c r="AT886" s="112" t="str">
        <f>IF(AS886="","",COUNTIF($AS$13:AS886,AS886))</f>
        <v/>
      </c>
      <c r="AU886" s="147">
        <f t="shared" si="158"/>
        <v>873</v>
      </c>
      <c r="AV886" s="147">
        <f>COUNTIF($AZ$14:AZ886,AZ886)</f>
        <v>31</v>
      </c>
      <c r="AW886" s="147">
        <f>IFERROR(COUNTIF(AX$14:$BL886,AX886),"")</f>
        <v>125</v>
      </c>
      <c r="AX886" s="148" t="str">
        <f t="shared" si="157"/>
        <v>Thu</v>
      </c>
      <c r="AY886" s="149">
        <f>'Raw Data'!A876</f>
        <v>42481</v>
      </c>
      <c r="AZ886" s="150" t="str">
        <f>'Raw Data'!E876</f>
        <v>$15 Off,FS on $75</v>
      </c>
      <c r="BA886" s="150">
        <f>'Raw Data'!I876</f>
        <v>1163</v>
      </c>
      <c r="BB886" s="112"/>
      <c r="BC886" s="112"/>
      <c r="BD886" s="112">
        <f>'Raw Data'!O876</f>
        <v>1</v>
      </c>
    </row>
    <row r="887" spans="23:56">
      <c r="W887" s="21"/>
      <c r="AC887" s="21"/>
      <c r="AD887" s="21"/>
      <c r="AE887" s="21"/>
      <c r="AS887" s="112" t="str">
        <f t="shared" si="156"/>
        <v/>
      </c>
      <c r="AT887" s="112" t="str">
        <f>IF(AS887="","",COUNTIF($AS$13:AS887,AS887))</f>
        <v/>
      </c>
      <c r="AU887" s="147">
        <f t="shared" si="158"/>
        <v>874</v>
      </c>
      <c r="AV887" s="147">
        <f>COUNTIF($AZ$14:AZ887,AZ887)</f>
        <v>63</v>
      </c>
      <c r="AW887" s="147">
        <f>IFERROR(COUNTIF(AX$14:$BL887,AX887),"")</f>
        <v>125</v>
      </c>
      <c r="AX887" s="148" t="str">
        <f t="shared" si="157"/>
        <v>Fri</v>
      </c>
      <c r="AY887" s="149">
        <f>'Raw Data'!A877</f>
        <v>42482</v>
      </c>
      <c r="AZ887" s="150" t="str">
        <f>'Raw Data'!E877</f>
        <v>Free Ship No Min</v>
      </c>
      <c r="BA887" s="150">
        <f>'Raw Data'!I877</f>
        <v>1119</v>
      </c>
      <c r="BB887" s="112"/>
      <c r="BC887" s="112"/>
      <c r="BD887" s="112">
        <f>'Raw Data'!O877</f>
        <v>2</v>
      </c>
    </row>
    <row r="888" spans="23:56">
      <c r="W888" s="21"/>
      <c r="AC888" s="21"/>
      <c r="AD888" s="21"/>
      <c r="AE888" s="21"/>
      <c r="AS888" s="112" t="str">
        <f t="shared" si="156"/>
        <v/>
      </c>
      <c r="AT888" s="112" t="str">
        <f>IF(AS888="","",COUNTIF($AS$13:AS888,AS888))</f>
        <v/>
      </c>
      <c r="AU888" s="147">
        <f t="shared" si="158"/>
        <v>875</v>
      </c>
      <c r="AV888" s="147">
        <f>COUNTIF($AZ$14:AZ888,AZ888)</f>
        <v>64</v>
      </c>
      <c r="AW888" s="147">
        <f>IFERROR(COUNTIF(AX$14:$BL888,AX888),"")</f>
        <v>125</v>
      </c>
      <c r="AX888" s="148" t="str">
        <f t="shared" si="157"/>
        <v>Sat</v>
      </c>
      <c r="AY888" s="149">
        <f>'Raw Data'!A878</f>
        <v>42483</v>
      </c>
      <c r="AZ888" s="150" t="str">
        <f>'Raw Data'!E878</f>
        <v>Free Ship No Min</v>
      </c>
      <c r="BA888" s="150">
        <f>'Raw Data'!I878</f>
        <v>905</v>
      </c>
      <c r="BB888" s="112"/>
      <c r="BC888" s="112"/>
      <c r="BD888" s="112">
        <f>'Raw Data'!O878</f>
        <v>1</v>
      </c>
    </row>
    <row r="889" spans="23:56">
      <c r="W889" s="21"/>
      <c r="AC889" s="21"/>
      <c r="AD889" s="21"/>
      <c r="AE889" s="21"/>
      <c r="AS889" s="112" t="str">
        <f t="shared" si="156"/>
        <v/>
      </c>
      <c r="AT889" s="112" t="str">
        <f>IF(AS889="","",COUNTIF($AS$13:AS889,AS889))</f>
        <v/>
      </c>
      <c r="AU889" s="147">
        <f t="shared" si="158"/>
        <v>876</v>
      </c>
      <c r="AV889" s="147">
        <f>COUNTIF($AZ$14:AZ889,AZ889)</f>
        <v>9</v>
      </c>
      <c r="AW889" s="147">
        <f>IFERROR(COUNTIF(AX$14:$BL889,AX889),"")</f>
        <v>126</v>
      </c>
      <c r="AX889" s="148" t="str">
        <f t="shared" si="157"/>
        <v>Sun</v>
      </c>
      <c r="AY889" s="149">
        <f>'Raw Data'!A879</f>
        <v>42484</v>
      </c>
      <c r="AZ889" s="150" t="str">
        <f>'Raw Data'!E879</f>
        <v>Up To 20% Off,FS on $49</v>
      </c>
      <c r="BA889" s="150">
        <f>'Raw Data'!I879</f>
        <v>585</v>
      </c>
      <c r="BB889" s="112"/>
      <c r="BC889" s="112"/>
      <c r="BD889" s="112">
        <f>'Raw Data'!O879</f>
        <v>2</v>
      </c>
    </row>
    <row r="890" spans="23:56">
      <c r="W890" s="21"/>
      <c r="AC890" s="21"/>
      <c r="AD890" s="21"/>
      <c r="AE890" s="21"/>
      <c r="AS890" s="112" t="str">
        <f t="shared" si="156"/>
        <v/>
      </c>
      <c r="AT890" s="112" t="str">
        <f>IF(AS890="","",COUNTIF($AS$13:AS890,AS890))</f>
        <v/>
      </c>
      <c r="AU890" s="147">
        <f t="shared" si="158"/>
        <v>877</v>
      </c>
      <c r="AV890" s="147">
        <f>COUNTIF($AZ$14:AZ890,AZ890)</f>
        <v>10</v>
      </c>
      <c r="AW890" s="147">
        <f>IFERROR(COUNTIF(AX$14:$BL890,AX890),"")</f>
        <v>126</v>
      </c>
      <c r="AX890" s="148" t="str">
        <f t="shared" si="157"/>
        <v>Mon</v>
      </c>
      <c r="AY890" s="149">
        <f>'Raw Data'!A880</f>
        <v>42485</v>
      </c>
      <c r="AZ890" s="150" t="str">
        <f>'Raw Data'!E880</f>
        <v>Up To 20% Off,FS on $49</v>
      </c>
      <c r="BA890" s="150">
        <f>'Raw Data'!I880</f>
        <v>1212</v>
      </c>
      <c r="BB890" s="112"/>
      <c r="BC890" s="112"/>
      <c r="BD890" s="112">
        <f>'Raw Data'!O880</f>
        <v>2</v>
      </c>
    </row>
    <row r="891" spans="23:56">
      <c r="W891" s="21"/>
      <c r="AC891" s="21"/>
      <c r="AD891" s="21"/>
      <c r="AE891" s="21"/>
      <c r="AS891" s="112" t="str">
        <f t="shared" si="156"/>
        <v/>
      </c>
      <c r="AT891" s="112" t="str">
        <f>IF(AS891="","",COUNTIF($AS$13:AS891,AS891))</f>
        <v/>
      </c>
      <c r="AU891" s="147">
        <f t="shared" si="158"/>
        <v>878</v>
      </c>
      <c r="AV891" s="147">
        <f>COUNTIF($AZ$14:AZ891,AZ891)</f>
        <v>60</v>
      </c>
      <c r="AW891" s="147">
        <f>IFERROR(COUNTIF(AX$14:$BL891,AX891),"")</f>
        <v>126</v>
      </c>
      <c r="AX891" s="148" t="str">
        <f t="shared" si="157"/>
        <v>Tue</v>
      </c>
      <c r="AY891" s="149">
        <f>'Raw Data'!A881</f>
        <v>42486</v>
      </c>
      <c r="AZ891" s="150" t="str">
        <f>'Raw Data'!E881</f>
        <v>Up To 40% Off,FS on $49</v>
      </c>
      <c r="BA891" s="150">
        <f>'Raw Data'!I881</f>
        <v>1111</v>
      </c>
      <c r="BB891" s="112"/>
      <c r="BC891" s="112"/>
      <c r="BD891" s="112">
        <f>'Raw Data'!O881</f>
        <v>2</v>
      </c>
    </row>
    <row r="892" spans="23:56">
      <c r="W892" s="21"/>
      <c r="AC892" s="21"/>
      <c r="AD892" s="21"/>
      <c r="AE892" s="21"/>
      <c r="AS892" s="112" t="str">
        <f t="shared" si="156"/>
        <v/>
      </c>
      <c r="AT892" s="112" t="str">
        <f>IF(AS892="","",COUNTIF($AS$13:AS892,AS892))</f>
        <v/>
      </c>
      <c r="AU892" s="147">
        <f t="shared" si="158"/>
        <v>879</v>
      </c>
      <c r="AV892" s="147">
        <f>COUNTIF($AZ$14:AZ892,AZ892)</f>
        <v>61</v>
      </c>
      <c r="AW892" s="147">
        <f>IFERROR(COUNTIF(AX$14:$BL892,AX892),"")</f>
        <v>126</v>
      </c>
      <c r="AX892" s="148" t="str">
        <f t="shared" si="157"/>
        <v>Wed</v>
      </c>
      <c r="AY892" s="149">
        <f>'Raw Data'!A882</f>
        <v>42487</v>
      </c>
      <c r="AZ892" s="150" t="str">
        <f>'Raw Data'!E882</f>
        <v>Up To 40% Off,FS on $49</v>
      </c>
      <c r="BA892" s="150">
        <f>'Raw Data'!I882</f>
        <v>1166</v>
      </c>
      <c r="BB892" s="112"/>
      <c r="BC892" s="112"/>
      <c r="BD892" s="112">
        <f>'Raw Data'!O882</f>
        <v>2</v>
      </c>
    </row>
    <row r="893" spans="23:56">
      <c r="W893" s="21"/>
      <c r="AC893" s="21"/>
      <c r="AD893" s="21"/>
      <c r="AE893" s="21"/>
      <c r="AS893" s="112" t="str">
        <f t="shared" si="156"/>
        <v/>
      </c>
      <c r="AT893" s="112" t="str">
        <f>IF(AS893="","",COUNTIF($AS$13:AS893,AS893))</f>
        <v/>
      </c>
      <c r="AU893" s="147">
        <f t="shared" si="158"/>
        <v>880</v>
      </c>
      <c r="AV893" s="147">
        <f>COUNTIF($AZ$14:AZ893,AZ893)</f>
        <v>62</v>
      </c>
      <c r="AW893" s="147">
        <f>IFERROR(COUNTIF(AX$14:$BL893,AX893),"")</f>
        <v>126</v>
      </c>
      <c r="AX893" s="148" t="str">
        <f t="shared" si="157"/>
        <v>Thu</v>
      </c>
      <c r="AY893" s="149">
        <f>'Raw Data'!A883</f>
        <v>42488</v>
      </c>
      <c r="AZ893" s="150" t="str">
        <f>'Raw Data'!E883</f>
        <v>Up To 40% Off,FS on $49</v>
      </c>
      <c r="BA893" s="150">
        <f>'Raw Data'!I883</f>
        <v>899</v>
      </c>
      <c r="BB893" s="112"/>
      <c r="BC893" s="112"/>
      <c r="BD893" s="112">
        <f>'Raw Data'!O883</f>
        <v>1</v>
      </c>
    </row>
    <row r="894" spans="23:56">
      <c r="W894" s="21"/>
      <c r="AC894" s="21"/>
      <c r="AD894" s="21"/>
      <c r="AE894" s="21"/>
      <c r="AS894" s="112" t="str">
        <f t="shared" si="156"/>
        <v/>
      </c>
      <c r="AT894" s="112" t="str">
        <f>IF(AS894="","",COUNTIF($AS$13:AS894,AS894))</f>
        <v/>
      </c>
      <c r="AU894" s="147">
        <f t="shared" si="158"/>
        <v>881</v>
      </c>
      <c r="AV894" s="147">
        <f>COUNTIF($AZ$14:AZ894,AZ894)</f>
        <v>65</v>
      </c>
      <c r="AW894" s="147">
        <f>IFERROR(COUNTIF(AX$14:$BL894,AX894),"")</f>
        <v>126</v>
      </c>
      <c r="AX894" s="148" t="str">
        <f t="shared" si="157"/>
        <v>Fri</v>
      </c>
      <c r="AY894" s="149">
        <f>'Raw Data'!A884</f>
        <v>42489</v>
      </c>
      <c r="AZ894" s="150" t="str">
        <f>'Raw Data'!E884</f>
        <v>Free Ship No Min</v>
      </c>
      <c r="BA894" s="150">
        <f>'Raw Data'!I884</f>
        <v>919</v>
      </c>
      <c r="BB894" s="112"/>
      <c r="BC894" s="112"/>
      <c r="BD894" s="112">
        <f>'Raw Data'!O884</f>
        <v>1</v>
      </c>
    </row>
    <row r="895" spans="23:56">
      <c r="W895" s="21"/>
      <c r="AC895" s="21"/>
      <c r="AD895" s="21"/>
      <c r="AE895" s="21"/>
      <c r="AS895" s="112" t="str">
        <f t="shared" si="156"/>
        <v/>
      </c>
      <c r="AT895" s="112" t="str">
        <f>IF(AS895="","",COUNTIF($AS$13:AS895,AS895))</f>
        <v/>
      </c>
      <c r="AU895" s="147">
        <f t="shared" si="158"/>
        <v>882</v>
      </c>
      <c r="AV895" s="147">
        <f>COUNTIF($AZ$14:AZ895,AZ895)</f>
        <v>66</v>
      </c>
      <c r="AW895" s="147">
        <f>IFERROR(COUNTIF(AX$14:$BL895,AX895),"")</f>
        <v>126</v>
      </c>
      <c r="AX895" s="148" t="str">
        <f t="shared" si="157"/>
        <v>Sat</v>
      </c>
      <c r="AY895" s="149">
        <f>'Raw Data'!A885</f>
        <v>42490</v>
      </c>
      <c r="AZ895" s="150" t="str">
        <f>'Raw Data'!E885</f>
        <v>Free Ship No Min</v>
      </c>
      <c r="BA895" s="150">
        <f>'Raw Data'!I885</f>
        <v>757</v>
      </c>
      <c r="BB895" s="112"/>
      <c r="BC895" s="112"/>
      <c r="BD895" s="112">
        <f>'Raw Data'!O885</f>
        <v>2</v>
      </c>
    </row>
    <row r="896" spans="23:56">
      <c r="W896" s="21"/>
      <c r="AC896" s="21"/>
      <c r="AD896" s="21"/>
      <c r="AE896" s="21"/>
      <c r="AS896" s="112">
        <f t="shared" ref="AS896:AS923" si="159">IFERROR(IF(FIND($AT$12,AZ896)&gt;0,1,0),"")</f>
        <v>1</v>
      </c>
      <c r="AT896" s="112">
        <f>IF(AS896="","",COUNTIF($AS$13:AS896,AS896))</f>
        <v>29</v>
      </c>
      <c r="AU896" s="147">
        <f t="shared" si="158"/>
        <v>883</v>
      </c>
      <c r="AV896" s="147">
        <f>COUNTIF($AZ$14:AZ896,AZ896)</f>
        <v>9</v>
      </c>
      <c r="AW896" s="147">
        <f>IFERROR(COUNTIF(AX$14:$BL896,AX896),"")</f>
        <v>127</v>
      </c>
      <c r="AX896" s="148" t="str">
        <f t="shared" ref="AX896:AX923" si="160">TEXT(AY896,"ddd")</f>
        <v>Sun</v>
      </c>
      <c r="AY896" s="149">
        <f>'Raw Data'!A886</f>
        <v>42491</v>
      </c>
      <c r="AZ896" s="150" t="str">
        <f>'Raw Data'!E886</f>
        <v>Flash Sale,30% Off,FS on $49</v>
      </c>
      <c r="BA896" s="150">
        <f>'Raw Data'!I886</f>
        <v>475</v>
      </c>
      <c r="BB896" s="112"/>
      <c r="BC896" s="112"/>
      <c r="BD896" s="112">
        <f>'Raw Data'!O886</f>
        <v>1</v>
      </c>
    </row>
    <row r="897" spans="23:56">
      <c r="W897" s="21"/>
      <c r="AC897" s="21"/>
      <c r="AD897" s="21"/>
      <c r="AE897" s="21"/>
      <c r="AS897" s="112">
        <f t="shared" si="159"/>
        <v>1</v>
      </c>
      <c r="AT897" s="112">
        <f>IF(AS897="","",COUNTIF($AS$13:AS897,AS897))</f>
        <v>30</v>
      </c>
      <c r="AU897" s="147">
        <f t="shared" si="158"/>
        <v>884</v>
      </c>
      <c r="AV897" s="147">
        <f>COUNTIF($AZ$14:AZ897,AZ897)</f>
        <v>10</v>
      </c>
      <c r="AW897" s="147">
        <f>IFERROR(COUNTIF(AX$14:$BL897,AX897),"")</f>
        <v>127</v>
      </c>
      <c r="AX897" s="148" t="str">
        <f t="shared" si="160"/>
        <v>Mon</v>
      </c>
      <c r="AY897" s="149">
        <f>'Raw Data'!A887</f>
        <v>42492</v>
      </c>
      <c r="AZ897" s="150" t="str">
        <f>'Raw Data'!E887</f>
        <v>Flash Sale,30% Off,FS on $49</v>
      </c>
      <c r="BA897" s="150">
        <f>'Raw Data'!I887</f>
        <v>1122</v>
      </c>
      <c r="BB897" s="112"/>
      <c r="BC897" s="112"/>
      <c r="BD897" s="112">
        <f>'Raw Data'!O887</f>
        <v>1</v>
      </c>
    </row>
    <row r="898" spans="23:56">
      <c r="W898" s="21"/>
      <c r="AC898" s="21"/>
      <c r="AD898" s="21"/>
      <c r="AE898" s="21"/>
      <c r="AS898" s="112">
        <f t="shared" si="159"/>
        <v>1</v>
      </c>
      <c r="AT898" s="112">
        <f>IF(AS898="","",COUNTIF($AS$13:AS898,AS898))</f>
        <v>31</v>
      </c>
      <c r="AU898" s="147">
        <f t="shared" si="158"/>
        <v>885</v>
      </c>
      <c r="AV898" s="147">
        <f>COUNTIF($AZ$14:AZ898,AZ898)</f>
        <v>11</v>
      </c>
      <c r="AW898" s="147">
        <f>IFERROR(COUNTIF(AX$14:$BL898,AX898),"")</f>
        <v>127</v>
      </c>
      <c r="AX898" s="148" t="str">
        <f t="shared" si="160"/>
        <v>Tue</v>
      </c>
      <c r="AY898" s="149">
        <f>'Raw Data'!A888</f>
        <v>42493</v>
      </c>
      <c r="AZ898" s="150" t="str">
        <f>'Raw Data'!E888</f>
        <v>Flash Sale,30% Off,FS on $49</v>
      </c>
      <c r="BA898" s="150">
        <f>'Raw Data'!I888</f>
        <v>982</v>
      </c>
      <c r="BB898" s="112"/>
      <c r="BC898" s="112"/>
      <c r="BD898" s="112">
        <f>'Raw Data'!O888</f>
        <v>2</v>
      </c>
    </row>
    <row r="899" spans="23:56">
      <c r="W899" s="21"/>
      <c r="AC899" s="21"/>
      <c r="AD899" s="21"/>
      <c r="AE899" s="21"/>
      <c r="AS899" s="112" t="str">
        <f t="shared" si="159"/>
        <v/>
      </c>
      <c r="AT899" s="112" t="str">
        <f>IF(AS899="","",COUNTIF($AS$13:AS899,AS899))</f>
        <v/>
      </c>
      <c r="AU899" s="147">
        <f t="shared" si="158"/>
        <v>886</v>
      </c>
      <c r="AV899" s="147">
        <f>COUNTIF($AZ$14:AZ899,AZ899)</f>
        <v>3</v>
      </c>
      <c r="AW899" s="147">
        <f>IFERROR(COUNTIF(AX$14:$BL899,AX899),"")</f>
        <v>127</v>
      </c>
      <c r="AX899" s="148" t="str">
        <f t="shared" si="160"/>
        <v>Wed</v>
      </c>
      <c r="AY899" s="149">
        <f>'Raw Data'!A889</f>
        <v>42494</v>
      </c>
      <c r="AZ899" s="150" t="str">
        <f>'Raw Data'!E889</f>
        <v>RD $30 eGC</v>
      </c>
      <c r="BA899" s="150">
        <f>'Raw Data'!I889</f>
        <v>1093</v>
      </c>
      <c r="BB899" s="112"/>
      <c r="BC899" s="112"/>
      <c r="BD899" s="112">
        <f>'Raw Data'!O889</f>
        <v>2</v>
      </c>
    </row>
    <row r="900" spans="23:56">
      <c r="W900" s="21"/>
      <c r="AC900" s="21"/>
      <c r="AD900" s="21"/>
      <c r="AE900" s="21"/>
      <c r="AS900" s="112">
        <f t="shared" si="159"/>
        <v>1</v>
      </c>
      <c r="AT900" s="112">
        <f>IF(AS900="","",COUNTIF($AS$13:AS900,AS900))</f>
        <v>32</v>
      </c>
      <c r="AU900" s="147">
        <f t="shared" si="158"/>
        <v>887</v>
      </c>
      <c r="AV900" s="147">
        <f>COUNTIF($AZ$14:AZ900,AZ900)</f>
        <v>11</v>
      </c>
      <c r="AW900" s="147">
        <f>IFERROR(COUNTIF(AX$14:$BL900,AX900),"")</f>
        <v>127</v>
      </c>
      <c r="AX900" s="148" t="str">
        <f t="shared" si="160"/>
        <v>Thu</v>
      </c>
      <c r="AY900" s="149">
        <f>'Raw Data'!A890</f>
        <v>42495</v>
      </c>
      <c r="AZ900" s="150" t="str">
        <f>'Raw Data'!E890</f>
        <v>Flash Sale,25% Off,FS on $49</v>
      </c>
      <c r="BA900" s="150">
        <f>'Raw Data'!I890</f>
        <v>1135</v>
      </c>
      <c r="BB900" s="112"/>
      <c r="BC900" s="112"/>
      <c r="BD900" s="112">
        <f>'Raw Data'!O890</f>
        <v>2</v>
      </c>
    </row>
    <row r="901" spans="23:56">
      <c r="W901" s="21"/>
      <c r="AC901" s="21"/>
      <c r="AD901" s="21"/>
      <c r="AE901" s="21"/>
      <c r="AS901" s="112">
        <f t="shared" si="159"/>
        <v>1</v>
      </c>
      <c r="AT901" s="112">
        <f>IF(AS901="","",COUNTIF($AS$13:AS901,AS901))</f>
        <v>33</v>
      </c>
      <c r="AU901" s="147">
        <f t="shared" si="158"/>
        <v>888</v>
      </c>
      <c r="AV901" s="147">
        <f>COUNTIF($AZ$14:AZ901,AZ901)</f>
        <v>12</v>
      </c>
      <c r="AW901" s="147">
        <f>IFERROR(COUNTIF(AX$14:$BL901,AX901),"")</f>
        <v>127</v>
      </c>
      <c r="AX901" s="148" t="str">
        <f t="shared" si="160"/>
        <v>Fri</v>
      </c>
      <c r="AY901" s="149">
        <f>'Raw Data'!A891</f>
        <v>42496</v>
      </c>
      <c r="AZ901" s="150" t="str">
        <f>'Raw Data'!E891</f>
        <v>Flash Sale,25% Off,FS on $49</v>
      </c>
      <c r="BA901" s="150">
        <f>'Raw Data'!I891</f>
        <v>747</v>
      </c>
      <c r="BB901" s="112"/>
      <c r="BC901" s="112"/>
      <c r="BD901" s="112">
        <f>'Raw Data'!O891</f>
        <v>1</v>
      </c>
    </row>
    <row r="902" spans="23:56">
      <c r="W902" s="21"/>
      <c r="AC902" s="21"/>
      <c r="AD902" s="21"/>
      <c r="AE902" s="21"/>
      <c r="AS902" s="112" t="str">
        <f t="shared" si="159"/>
        <v/>
      </c>
      <c r="AT902" s="112" t="str">
        <f>IF(AS902="","",COUNTIF($AS$13:AS902,AS902))</f>
        <v/>
      </c>
      <c r="AU902" s="147">
        <f t="shared" si="158"/>
        <v>889</v>
      </c>
      <c r="AV902" s="147">
        <f>COUNTIF($AZ$14:AZ902,AZ902)</f>
        <v>32</v>
      </c>
      <c r="AW902" s="147">
        <f>IFERROR(COUNTIF(AX$14:$BL902,AX902),"")</f>
        <v>127</v>
      </c>
      <c r="AX902" s="148" t="str">
        <f t="shared" si="160"/>
        <v>Sat</v>
      </c>
      <c r="AY902" s="149">
        <f>'Raw Data'!A892</f>
        <v>42497</v>
      </c>
      <c r="AZ902" s="150" t="str">
        <f>'Raw Data'!E892</f>
        <v>$15 Off,FS on $75</v>
      </c>
      <c r="BA902" s="150">
        <f>'Raw Data'!I892</f>
        <v>610</v>
      </c>
      <c r="BB902" s="112"/>
      <c r="BC902" s="112"/>
      <c r="BD902" s="112">
        <f>'Raw Data'!O892</f>
        <v>2</v>
      </c>
    </row>
    <row r="903" spans="23:56">
      <c r="W903" s="21"/>
      <c r="AC903" s="21"/>
      <c r="AD903" s="21"/>
      <c r="AE903" s="21"/>
      <c r="AS903" s="112" t="str">
        <f t="shared" si="159"/>
        <v/>
      </c>
      <c r="AT903" s="112" t="str">
        <f>IF(AS903="","",COUNTIF($AS$13:AS903,AS903))</f>
        <v/>
      </c>
      <c r="AU903" s="147">
        <f t="shared" si="158"/>
        <v>890</v>
      </c>
      <c r="AV903" s="147">
        <f>COUNTIF($AZ$14:AZ903,AZ903)</f>
        <v>33</v>
      </c>
      <c r="AW903" s="147">
        <f>IFERROR(COUNTIF(AX$14:$BL903,AX903),"")</f>
        <v>128</v>
      </c>
      <c r="AX903" s="148" t="str">
        <f t="shared" si="160"/>
        <v>Sun</v>
      </c>
      <c r="AY903" s="149">
        <f>'Raw Data'!A893</f>
        <v>42498</v>
      </c>
      <c r="AZ903" s="150" t="str">
        <f>'Raw Data'!E893</f>
        <v>$15 Off,FS on $75</v>
      </c>
      <c r="BA903" s="150">
        <f>'Raw Data'!I893</f>
        <v>426</v>
      </c>
      <c r="BB903" s="112"/>
      <c r="BC903" s="112"/>
      <c r="BD903" s="112">
        <f>'Raw Data'!O893</f>
        <v>2</v>
      </c>
    </row>
    <row r="904" spans="23:56">
      <c r="W904" s="21"/>
      <c r="AC904" s="21"/>
      <c r="AD904" s="21"/>
      <c r="AE904" s="21"/>
      <c r="AS904" s="112" t="str">
        <f t="shared" si="159"/>
        <v/>
      </c>
      <c r="AT904" s="112" t="str">
        <f>IF(AS904="","",COUNTIF($AS$13:AS904,AS904))</f>
        <v/>
      </c>
      <c r="AU904" s="147">
        <f t="shared" si="158"/>
        <v>891</v>
      </c>
      <c r="AV904" s="147">
        <f>COUNTIF($AZ$14:AZ904,AZ904)</f>
        <v>136</v>
      </c>
      <c r="AW904" s="147">
        <f>IFERROR(COUNTIF(AX$14:$BL904,AX904),"")</f>
        <v>128</v>
      </c>
      <c r="AX904" s="148" t="str">
        <f t="shared" si="160"/>
        <v>Mon</v>
      </c>
      <c r="AY904" s="149">
        <f>'Raw Data'!A894</f>
        <v>42499</v>
      </c>
      <c r="AZ904" s="150" t="str">
        <f>'Raw Data'!E894</f>
        <v>No Email Drop</v>
      </c>
      <c r="BA904" s="150">
        <f>'Raw Data'!I894</f>
        <v>899</v>
      </c>
      <c r="BB904" s="112"/>
      <c r="BC904" s="112"/>
      <c r="BD904" s="112">
        <f>'Raw Data'!O894</f>
        <v>0</v>
      </c>
    </row>
    <row r="905" spans="23:56">
      <c r="W905" s="21"/>
      <c r="AC905" s="21"/>
      <c r="AD905" s="21"/>
      <c r="AE905" s="21"/>
      <c r="AS905" s="112" t="str">
        <f t="shared" si="159"/>
        <v/>
      </c>
      <c r="AT905" s="112" t="str">
        <f>IF(AS905="","",COUNTIF($AS$13:AS905,AS905))</f>
        <v/>
      </c>
      <c r="AU905" s="147">
        <f t="shared" si="158"/>
        <v>892</v>
      </c>
      <c r="AV905" s="147">
        <f>COUNTIF($AZ$14:AZ905,AZ905)</f>
        <v>4</v>
      </c>
      <c r="AW905" s="147">
        <f>IFERROR(COUNTIF(AX$14:$BL905,AX905),"")</f>
        <v>128</v>
      </c>
      <c r="AX905" s="148" t="str">
        <f t="shared" si="160"/>
        <v>Tue</v>
      </c>
      <c r="AY905" s="149">
        <f>'Raw Data'!A895</f>
        <v>42500</v>
      </c>
      <c r="AZ905" s="150" t="str">
        <f>'Raw Data'!E895</f>
        <v>RD $30 eGC</v>
      </c>
      <c r="BA905" s="150">
        <f>'Raw Data'!I895</f>
        <v>853</v>
      </c>
      <c r="BB905" s="112"/>
      <c r="BC905" s="112"/>
      <c r="BD905" s="112">
        <f>'Raw Data'!O895</f>
        <v>1</v>
      </c>
    </row>
    <row r="906" spans="23:56">
      <c r="W906" s="21"/>
      <c r="AC906" s="21"/>
      <c r="AD906" s="21"/>
      <c r="AE906" s="21"/>
      <c r="AS906" s="112" t="str">
        <f t="shared" si="159"/>
        <v/>
      </c>
      <c r="AT906" s="112" t="str">
        <f>IF(AS906="","",COUNTIF($AS$13:AS906,AS906))</f>
        <v/>
      </c>
      <c r="AU906" s="147">
        <f t="shared" si="158"/>
        <v>893</v>
      </c>
      <c r="AV906" s="147">
        <f>COUNTIF($AZ$14:AZ906,AZ906)</f>
        <v>63</v>
      </c>
      <c r="AW906" s="147">
        <f>IFERROR(COUNTIF(AX$14:$BL906,AX906),"")</f>
        <v>128</v>
      </c>
      <c r="AX906" s="148" t="str">
        <f t="shared" si="160"/>
        <v>Wed</v>
      </c>
      <c r="AY906" s="149">
        <f>'Raw Data'!A896</f>
        <v>42501</v>
      </c>
      <c r="AZ906" s="150" t="str">
        <f>'Raw Data'!E896</f>
        <v>Up To 40% Off,FS on $49</v>
      </c>
      <c r="BA906" s="150">
        <f>'Raw Data'!I896</f>
        <v>963</v>
      </c>
      <c r="BB906" s="112"/>
      <c r="BC906" s="112"/>
      <c r="BD906" s="112">
        <f>'Raw Data'!O896</f>
        <v>2</v>
      </c>
    </row>
    <row r="907" spans="23:56">
      <c r="W907" s="21"/>
      <c r="AC907" s="21"/>
      <c r="AD907" s="21"/>
      <c r="AE907" s="21"/>
      <c r="AS907" s="112" t="str">
        <f t="shared" si="159"/>
        <v/>
      </c>
      <c r="AT907" s="112" t="str">
        <f>IF(AS907="","",COUNTIF($AS$13:AS907,AS907))</f>
        <v/>
      </c>
      <c r="AU907" s="147">
        <f t="shared" si="158"/>
        <v>894</v>
      </c>
      <c r="AV907" s="147">
        <f>COUNTIF($AZ$14:AZ907,AZ907)</f>
        <v>64</v>
      </c>
      <c r="AW907" s="147">
        <f>IFERROR(COUNTIF(AX$14:$BL907,AX907),"")</f>
        <v>128</v>
      </c>
      <c r="AX907" s="148" t="str">
        <f t="shared" si="160"/>
        <v>Thu</v>
      </c>
      <c r="AY907" s="149">
        <f>'Raw Data'!A897</f>
        <v>42502</v>
      </c>
      <c r="AZ907" s="150" t="str">
        <f>'Raw Data'!E897</f>
        <v>Up To 40% Off,FS on $49</v>
      </c>
      <c r="BA907" s="150">
        <f>'Raw Data'!I897</f>
        <v>877</v>
      </c>
      <c r="BB907" s="112"/>
      <c r="BC907" s="112"/>
      <c r="BD907" s="112">
        <f>'Raw Data'!O897</f>
        <v>1</v>
      </c>
    </row>
    <row r="908" spans="23:56">
      <c r="W908" s="21"/>
      <c r="AC908" s="21"/>
      <c r="AD908" s="21"/>
      <c r="AE908" s="21"/>
      <c r="AS908" s="112" t="str">
        <f t="shared" si="159"/>
        <v/>
      </c>
      <c r="AT908" s="112" t="str">
        <f>IF(AS908="","",COUNTIF($AS$13:AS908,AS908))</f>
        <v/>
      </c>
      <c r="AU908" s="147">
        <f t="shared" si="158"/>
        <v>895</v>
      </c>
      <c r="AV908" s="147">
        <f>COUNTIF($AZ$14:AZ908,AZ908)</f>
        <v>67</v>
      </c>
      <c r="AW908" s="147">
        <f>IFERROR(COUNTIF(AX$14:$BL908,AX908),"")</f>
        <v>128</v>
      </c>
      <c r="AX908" s="148" t="str">
        <f t="shared" si="160"/>
        <v>Fri</v>
      </c>
      <c r="AY908" s="149">
        <f>'Raw Data'!A898</f>
        <v>42503</v>
      </c>
      <c r="AZ908" s="150" t="str">
        <f>'Raw Data'!E898</f>
        <v>Free Ship No Min</v>
      </c>
      <c r="BA908" s="150">
        <f>'Raw Data'!I898</f>
        <v>961</v>
      </c>
      <c r="BB908" s="112"/>
      <c r="BC908" s="112"/>
      <c r="BD908" s="112">
        <f>'Raw Data'!O898</f>
        <v>2</v>
      </c>
    </row>
    <row r="909" spans="23:56">
      <c r="W909" s="21"/>
      <c r="AC909" s="21"/>
      <c r="AD909" s="21"/>
      <c r="AE909" s="21"/>
      <c r="AS909" s="112" t="str">
        <f t="shared" si="159"/>
        <v/>
      </c>
      <c r="AT909" s="112" t="str">
        <f>IF(AS909="","",COUNTIF($AS$13:AS909,AS909))</f>
        <v/>
      </c>
      <c r="AU909" s="147">
        <f t="shared" si="158"/>
        <v>896</v>
      </c>
      <c r="AV909" s="147">
        <f>COUNTIF($AZ$14:AZ909,AZ909)</f>
        <v>68</v>
      </c>
      <c r="AW909" s="147">
        <f>IFERROR(COUNTIF(AX$14:$BL909,AX909),"")</f>
        <v>128</v>
      </c>
      <c r="AX909" s="148" t="str">
        <f t="shared" si="160"/>
        <v>Sat</v>
      </c>
      <c r="AY909" s="149">
        <f>'Raw Data'!A899</f>
        <v>42504</v>
      </c>
      <c r="AZ909" s="150" t="str">
        <f>'Raw Data'!E899</f>
        <v>Free Ship No Min</v>
      </c>
      <c r="BA909" s="150">
        <f>'Raw Data'!I899</f>
        <v>672</v>
      </c>
      <c r="BB909" s="112"/>
      <c r="BC909" s="112"/>
      <c r="BD909" s="112">
        <f>'Raw Data'!O899</f>
        <v>1</v>
      </c>
    </row>
    <row r="910" spans="23:56">
      <c r="W910" s="21"/>
      <c r="AC910" s="21"/>
      <c r="AD910" s="21"/>
      <c r="AE910" s="21"/>
      <c r="AS910" s="112" t="str">
        <f t="shared" si="159"/>
        <v/>
      </c>
      <c r="AT910" s="112" t="str">
        <f>IF(AS910="","",COUNTIF($AS$13:AS910,AS910))</f>
        <v/>
      </c>
      <c r="AU910" s="147">
        <f t="shared" si="158"/>
        <v>897</v>
      </c>
      <c r="AV910" s="147">
        <f>COUNTIF($AZ$14:AZ910,AZ910)</f>
        <v>26</v>
      </c>
      <c r="AW910" s="147">
        <f>IFERROR(COUNTIF(AX$14:$BL910,AX910),"")</f>
        <v>129</v>
      </c>
      <c r="AX910" s="148" t="str">
        <f t="shared" si="160"/>
        <v>Sun</v>
      </c>
      <c r="AY910" s="149">
        <f>'Raw Data'!A900</f>
        <v>42505</v>
      </c>
      <c r="AZ910" s="150" t="str">
        <f>'Raw Data'!E900</f>
        <v>$10 Off,FS on $60</v>
      </c>
      <c r="BA910" s="150">
        <f>'Raw Data'!I900</f>
        <v>555</v>
      </c>
      <c r="BB910" s="112"/>
      <c r="BC910" s="112"/>
      <c r="BD910" s="112">
        <f>'Raw Data'!O900</f>
        <v>2</v>
      </c>
    </row>
    <row r="911" spans="23:56">
      <c r="W911" s="21"/>
      <c r="AC911" s="21"/>
      <c r="AD911" s="21"/>
      <c r="AE911" s="21"/>
      <c r="AS911" s="112" t="str">
        <f t="shared" si="159"/>
        <v/>
      </c>
      <c r="AT911" s="112" t="str">
        <f>IF(AS911="","",COUNTIF($AS$13:AS911,AS911))</f>
        <v/>
      </c>
      <c r="AU911" s="147">
        <f t="shared" si="158"/>
        <v>898</v>
      </c>
      <c r="AV911" s="147">
        <f>COUNTIF($AZ$14:AZ911,AZ911)</f>
        <v>5</v>
      </c>
      <c r="AW911" s="147">
        <f>IFERROR(COUNTIF(AX$14:$BL911,AX911),"")</f>
        <v>129</v>
      </c>
      <c r="AX911" s="148" t="str">
        <f t="shared" si="160"/>
        <v>Mon</v>
      </c>
      <c r="AY911" s="149">
        <f>'Raw Data'!A901</f>
        <v>42506</v>
      </c>
      <c r="AZ911" s="150" t="str">
        <f>'Raw Data'!E901</f>
        <v>RD $30 eGC</v>
      </c>
      <c r="BA911" s="150">
        <f>'Raw Data'!I901</f>
        <v>962</v>
      </c>
      <c r="BB911" s="112"/>
      <c r="BC911" s="112"/>
      <c r="BD911" s="112">
        <f>'Raw Data'!O901</f>
        <v>1</v>
      </c>
    </row>
    <row r="912" spans="23:56">
      <c r="W912" s="21"/>
      <c r="AC912" s="21"/>
      <c r="AD912" s="21"/>
      <c r="AE912" s="21"/>
      <c r="AS912" s="112" t="str">
        <f t="shared" si="159"/>
        <v/>
      </c>
      <c r="AT912" s="112" t="str">
        <f>IF(AS912="","",COUNTIF($AS$13:AS912,AS912))</f>
        <v/>
      </c>
      <c r="AU912" s="147">
        <f t="shared" si="158"/>
        <v>899</v>
      </c>
      <c r="AV912" s="147">
        <f>COUNTIF($AZ$14:AZ912,AZ912)</f>
        <v>34</v>
      </c>
      <c r="AW912" s="147">
        <f>IFERROR(COUNTIF(AX$14:$BL912,AX912),"")</f>
        <v>129</v>
      </c>
      <c r="AX912" s="148" t="str">
        <f t="shared" si="160"/>
        <v>Tue</v>
      </c>
      <c r="AY912" s="149">
        <f>'Raw Data'!A902</f>
        <v>42507</v>
      </c>
      <c r="AZ912" s="150" t="str">
        <f>'Raw Data'!E902</f>
        <v>$15 Off,FS on $75</v>
      </c>
      <c r="BA912" s="150">
        <f>'Raw Data'!I902</f>
        <v>854</v>
      </c>
      <c r="BB912" s="112"/>
      <c r="BC912" s="112"/>
      <c r="BD912" s="112">
        <f>'Raw Data'!O902</f>
        <v>1</v>
      </c>
    </row>
    <row r="913" spans="23:56">
      <c r="W913" s="21"/>
      <c r="AC913" s="21"/>
      <c r="AD913" s="21"/>
      <c r="AE913" s="21"/>
      <c r="AS913" s="112" t="str">
        <f t="shared" si="159"/>
        <v/>
      </c>
      <c r="AT913" s="112" t="str">
        <f>IF(AS913="","",COUNTIF($AS$13:AS913,AS913))</f>
        <v/>
      </c>
      <c r="AU913" s="147">
        <f t="shared" si="158"/>
        <v>900</v>
      </c>
      <c r="AV913" s="147">
        <f>COUNTIF($AZ$14:AZ913,AZ913)</f>
        <v>35</v>
      </c>
      <c r="AW913" s="147">
        <f>IFERROR(COUNTIF(AX$14:$BL913,AX913),"")</f>
        <v>129</v>
      </c>
      <c r="AX913" s="148" t="str">
        <f t="shared" si="160"/>
        <v>Wed</v>
      </c>
      <c r="AY913" s="149">
        <f>'Raw Data'!A903</f>
        <v>42508</v>
      </c>
      <c r="AZ913" s="150" t="str">
        <f>'Raw Data'!E903</f>
        <v>$15 Off,FS on $75</v>
      </c>
      <c r="BA913" s="150">
        <f>'Raw Data'!I903</f>
        <v>918</v>
      </c>
      <c r="BB913" s="112"/>
      <c r="BC913" s="112"/>
      <c r="BD913" s="112">
        <f>'Raw Data'!O903</f>
        <v>2</v>
      </c>
    </row>
    <row r="914" spans="23:56">
      <c r="W914" s="21"/>
      <c r="AC914" s="21"/>
      <c r="AD914" s="21"/>
      <c r="AE914" s="21"/>
      <c r="AS914" s="112" t="str">
        <f t="shared" si="159"/>
        <v/>
      </c>
      <c r="AT914" s="112" t="str">
        <f>IF(AS914="","",COUNTIF($AS$13:AS914,AS914))</f>
        <v/>
      </c>
      <c r="AU914" s="147">
        <f t="shared" si="158"/>
        <v>901</v>
      </c>
      <c r="AV914" s="147">
        <f>COUNTIF($AZ$14:AZ914,AZ914)</f>
        <v>36</v>
      </c>
      <c r="AW914" s="147">
        <f>IFERROR(COUNTIF(AX$14:$BL914,AX914),"")</f>
        <v>129</v>
      </c>
      <c r="AX914" s="148" t="str">
        <f t="shared" si="160"/>
        <v>Thu</v>
      </c>
      <c r="AY914" s="149">
        <f>'Raw Data'!A904</f>
        <v>42509</v>
      </c>
      <c r="AZ914" s="150" t="str">
        <f>'Raw Data'!E904</f>
        <v>$15 Off,FS on $75</v>
      </c>
      <c r="BA914" s="150">
        <f>'Raw Data'!I904</f>
        <v>902</v>
      </c>
      <c r="BB914" s="112"/>
      <c r="BC914" s="112"/>
      <c r="BD914" s="112">
        <f>'Raw Data'!O904</f>
        <v>2</v>
      </c>
    </row>
    <row r="915" spans="23:56">
      <c r="W915" s="21"/>
      <c r="AC915" s="21"/>
      <c r="AD915" s="21"/>
      <c r="AE915" s="21"/>
      <c r="AS915" s="112" t="str">
        <f t="shared" si="159"/>
        <v/>
      </c>
      <c r="AT915" s="112" t="str">
        <f>IF(AS915="","",COUNTIF($AS$13:AS915,AS915))</f>
        <v/>
      </c>
      <c r="AU915" s="147">
        <f t="shared" si="158"/>
        <v>902</v>
      </c>
      <c r="AV915" s="147">
        <f>COUNTIF($AZ$14:AZ915,AZ915)</f>
        <v>69</v>
      </c>
      <c r="AW915" s="147">
        <f>IFERROR(COUNTIF(AX$14:$BL915,AX915),"")</f>
        <v>129</v>
      </c>
      <c r="AX915" s="148" t="str">
        <f t="shared" si="160"/>
        <v>Fri</v>
      </c>
      <c r="AY915" s="149">
        <f>'Raw Data'!A905</f>
        <v>42510</v>
      </c>
      <c r="AZ915" s="150" t="str">
        <f>'Raw Data'!E905</f>
        <v>Free Ship No Min</v>
      </c>
      <c r="BA915" s="150">
        <f>'Raw Data'!I905</f>
        <v>916</v>
      </c>
      <c r="BB915" s="112"/>
      <c r="BC915" s="112"/>
      <c r="BD915" s="112">
        <f>'Raw Data'!O905</f>
        <v>1</v>
      </c>
    </row>
    <row r="916" spans="23:56">
      <c r="W916" s="21"/>
      <c r="AC916" s="21"/>
      <c r="AD916" s="21"/>
      <c r="AE916" s="21"/>
      <c r="AS916" s="112" t="str">
        <f t="shared" si="159"/>
        <v/>
      </c>
      <c r="AT916" s="112" t="str">
        <f>IF(AS916="","",COUNTIF($AS$13:AS916,AS916))</f>
        <v/>
      </c>
      <c r="AU916" s="147">
        <f t="shared" si="158"/>
        <v>903</v>
      </c>
      <c r="AV916" s="147">
        <f>COUNTIF($AZ$14:AZ916,AZ916)</f>
        <v>65</v>
      </c>
      <c r="AW916" s="147">
        <f>IFERROR(COUNTIF(AX$14:$BL916,AX916),"")</f>
        <v>129</v>
      </c>
      <c r="AX916" s="148" t="str">
        <f t="shared" si="160"/>
        <v>Sat</v>
      </c>
      <c r="AY916" s="149">
        <f>'Raw Data'!A906</f>
        <v>42511</v>
      </c>
      <c r="AZ916" s="150" t="str">
        <f>'Raw Data'!E906</f>
        <v>Up To 40% Off,FS on $49</v>
      </c>
      <c r="BA916" s="150">
        <f>'Raw Data'!I906</f>
        <v>560</v>
      </c>
      <c r="BB916" s="112"/>
      <c r="BC916" s="112"/>
      <c r="BD916" s="112">
        <f>'Raw Data'!O906</f>
        <v>1</v>
      </c>
    </row>
    <row r="917" spans="23:56">
      <c r="W917" s="21"/>
      <c r="AC917" s="21"/>
      <c r="AD917" s="21"/>
      <c r="AE917" s="21"/>
      <c r="AS917" s="112" t="str">
        <f t="shared" si="159"/>
        <v/>
      </c>
      <c r="AT917" s="112" t="str">
        <f>IF(AS917="","",COUNTIF($AS$13:AS917,AS917))</f>
        <v/>
      </c>
      <c r="AU917" s="147">
        <f t="shared" si="158"/>
        <v>904</v>
      </c>
      <c r="AV917" s="147">
        <f>COUNTIF($AZ$14:AZ917,AZ917)</f>
        <v>24</v>
      </c>
      <c r="AW917" s="147">
        <f>IFERROR(COUNTIF(AX$14:$BL917,AX917),"")</f>
        <v>130</v>
      </c>
      <c r="AX917" s="148" t="str">
        <f t="shared" si="160"/>
        <v>Sun</v>
      </c>
      <c r="AY917" s="149">
        <f>'Raw Data'!A907</f>
        <v>42512</v>
      </c>
      <c r="AZ917" s="150" t="str">
        <f>'Raw Data'!E907</f>
        <v>$30 Off,FS on $100</v>
      </c>
      <c r="BA917" s="150">
        <f>'Raw Data'!I907</f>
        <v>417</v>
      </c>
      <c r="BB917" s="112"/>
      <c r="BC917" s="112"/>
      <c r="BD917" s="112">
        <f>'Raw Data'!O907</f>
        <v>1</v>
      </c>
    </row>
    <row r="918" spans="23:56">
      <c r="W918" s="21"/>
      <c r="AC918" s="21"/>
      <c r="AD918" s="21"/>
      <c r="AE918" s="21"/>
      <c r="AS918" s="112" t="str">
        <f t="shared" si="159"/>
        <v/>
      </c>
      <c r="AT918" s="112" t="str">
        <f>IF(AS918="","",COUNTIF($AS$13:AS918,AS918))</f>
        <v/>
      </c>
      <c r="AU918" s="147">
        <f t="shared" si="158"/>
        <v>905</v>
      </c>
      <c r="AV918" s="147">
        <f>COUNTIF($AZ$14:AZ918,AZ918)</f>
        <v>11</v>
      </c>
      <c r="AW918" s="147">
        <f>IFERROR(COUNTIF(AX$14:$BL918,AX918),"")</f>
        <v>130</v>
      </c>
      <c r="AX918" s="148" t="str">
        <f t="shared" si="160"/>
        <v>Mon</v>
      </c>
      <c r="AY918" s="149">
        <f>'Raw Data'!A908</f>
        <v>42513</v>
      </c>
      <c r="AZ918" s="150" t="str">
        <f>'Raw Data'!E908</f>
        <v>Up To 20% Off,FS on $49</v>
      </c>
      <c r="BA918" s="150">
        <f>'Raw Data'!I908</f>
        <v>905</v>
      </c>
      <c r="BB918" s="112"/>
      <c r="BC918" s="112"/>
      <c r="BD918" s="112">
        <f>'Raw Data'!O908</f>
        <v>1</v>
      </c>
    </row>
    <row r="919" spans="23:56">
      <c r="W919" s="21"/>
      <c r="AC919" s="21"/>
      <c r="AD919" s="21"/>
      <c r="AE919" s="21"/>
      <c r="AS919" s="112" t="str">
        <f t="shared" si="159"/>
        <v/>
      </c>
      <c r="AT919" s="112" t="str">
        <f>IF(AS919="","",COUNTIF($AS$13:AS919,AS919))</f>
        <v/>
      </c>
      <c r="AU919" s="147">
        <f t="shared" si="158"/>
        <v>906</v>
      </c>
      <c r="AV919" s="147">
        <f>COUNTIF($AZ$14:AZ919,AZ919)</f>
        <v>25</v>
      </c>
      <c r="AW919" s="147">
        <f>IFERROR(COUNTIF(AX$14:$BL919,AX919),"")</f>
        <v>130</v>
      </c>
      <c r="AX919" s="148" t="str">
        <f t="shared" si="160"/>
        <v>Tue</v>
      </c>
      <c r="AY919" s="149">
        <f>'Raw Data'!A909</f>
        <v>42514</v>
      </c>
      <c r="AZ919" s="150" t="str">
        <f>'Raw Data'!E909</f>
        <v>$30 Off,FS on $100</v>
      </c>
      <c r="BA919" s="150">
        <f>'Raw Data'!I909</f>
        <v>841</v>
      </c>
      <c r="BB919" s="112"/>
      <c r="BC919" s="112"/>
      <c r="BD919" s="112">
        <f>'Raw Data'!O909</f>
        <v>2</v>
      </c>
    </row>
    <row r="920" spans="23:56">
      <c r="W920" s="21"/>
      <c r="AC920" s="21"/>
      <c r="AD920" s="21"/>
      <c r="AE920" s="21"/>
      <c r="AS920" s="112" t="str">
        <f t="shared" si="159"/>
        <v/>
      </c>
      <c r="AT920" s="112" t="str">
        <f>IF(AS920="","",COUNTIF($AS$13:AS920,AS920))</f>
        <v/>
      </c>
      <c r="AU920" s="147">
        <f t="shared" si="158"/>
        <v>907</v>
      </c>
      <c r="AV920" s="147">
        <f>COUNTIF($AZ$14:AZ920,AZ920)</f>
        <v>70</v>
      </c>
      <c r="AW920" s="147">
        <f>IFERROR(COUNTIF(AX$14:$BL920,AX920),"")</f>
        <v>130</v>
      </c>
      <c r="AX920" s="148" t="str">
        <f t="shared" si="160"/>
        <v>Wed</v>
      </c>
      <c r="AY920" s="149">
        <f>'Raw Data'!A910</f>
        <v>42515</v>
      </c>
      <c r="AZ920" s="150" t="str">
        <f>'Raw Data'!E910</f>
        <v>Free Ship No Min</v>
      </c>
      <c r="BA920" s="150">
        <f>'Raw Data'!I910</f>
        <v>918</v>
      </c>
      <c r="BB920" s="112"/>
      <c r="BC920" s="112"/>
      <c r="BD920" s="112">
        <f>'Raw Data'!O910</f>
        <v>1</v>
      </c>
    </row>
    <row r="921" spans="23:56">
      <c r="W921" s="21"/>
      <c r="AC921" s="21"/>
      <c r="AD921" s="21"/>
      <c r="AE921" s="21"/>
      <c r="AS921" s="112" t="str">
        <f t="shared" si="159"/>
        <v/>
      </c>
      <c r="AT921" s="112" t="str">
        <f>IF(AS921="","",COUNTIF($AS$13:AS921,AS921))</f>
        <v/>
      </c>
      <c r="AU921" s="147">
        <f t="shared" si="158"/>
        <v>908</v>
      </c>
      <c r="AV921" s="147">
        <f>COUNTIF($AZ$14:AZ921,AZ921)</f>
        <v>32</v>
      </c>
      <c r="AW921" s="147">
        <f>IFERROR(COUNTIF(AX$14:$BL921,AX921),"")</f>
        <v>130</v>
      </c>
      <c r="AX921" s="148" t="str">
        <f t="shared" si="160"/>
        <v>Thu</v>
      </c>
      <c r="AY921" s="149">
        <f>'Raw Data'!A911</f>
        <v>42516</v>
      </c>
      <c r="AZ921" s="150" t="str">
        <f>'Raw Data'!E911</f>
        <v>Up To 50% Off,FS on $49</v>
      </c>
      <c r="BA921" s="150">
        <f>'Raw Data'!I911</f>
        <v>803</v>
      </c>
      <c r="BB921" s="112"/>
      <c r="BC921" s="112"/>
      <c r="BD921" s="112">
        <f>'Raw Data'!O911</f>
        <v>2</v>
      </c>
    </row>
    <row r="922" spans="23:56">
      <c r="W922" s="21"/>
      <c r="AC922" s="21"/>
      <c r="AD922" s="21"/>
      <c r="AE922" s="21"/>
      <c r="AS922" s="112" t="str">
        <f t="shared" si="159"/>
        <v/>
      </c>
      <c r="AT922" s="112" t="str">
        <f>IF(AS922="","",COUNTIF($AS$13:AS922,AS922))</f>
        <v/>
      </c>
      <c r="AU922" s="147">
        <f t="shared" si="158"/>
        <v>909</v>
      </c>
      <c r="AV922" s="147">
        <f>COUNTIF($AZ$14:AZ922,AZ922)</f>
        <v>33</v>
      </c>
      <c r="AW922" s="147">
        <f>IFERROR(COUNTIF(AX$14:$BL922,AX922),"")</f>
        <v>130</v>
      </c>
      <c r="AX922" s="148" t="str">
        <f t="shared" si="160"/>
        <v>Fri</v>
      </c>
      <c r="AY922" s="149">
        <f>'Raw Data'!A912</f>
        <v>42517</v>
      </c>
      <c r="AZ922" s="150" t="str">
        <f>'Raw Data'!E912</f>
        <v>Up To 50% Off,FS on $49</v>
      </c>
      <c r="BA922" s="150">
        <f>'Raw Data'!I912</f>
        <v>878</v>
      </c>
      <c r="BB922" s="112"/>
      <c r="BC922" s="112"/>
      <c r="BD922" s="112">
        <f>'Raw Data'!O912</f>
        <v>2</v>
      </c>
    </row>
    <row r="923" spans="23:56">
      <c r="W923" s="21"/>
      <c r="AC923" s="21"/>
      <c r="AD923" s="21"/>
      <c r="AE923" s="21"/>
      <c r="AS923" s="112" t="str">
        <f t="shared" si="159"/>
        <v/>
      </c>
      <c r="AT923" s="112" t="str">
        <f>IF(AS923="","",COUNTIF($AS$13:AS923,AS923))</f>
        <v/>
      </c>
      <c r="AU923" s="147">
        <f t="shared" si="158"/>
        <v>910</v>
      </c>
      <c r="AV923" s="147">
        <f>COUNTIF($AZ$14:AZ923,AZ923)</f>
        <v>34</v>
      </c>
      <c r="AW923" s="147">
        <f>IFERROR(COUNTIF(AX$14:$BL923,AX923),"")</f>
        <v>130</v>
      </c>
      <c r="AX923" s="148" t="str">
        <f t="shared" si="160"/>
        <v>Sat</v>
      </c>
      <c r="AY923" s="149">
        <f>'Raw Data'!A913</f>
        <v>42518</v>
      </c>
      <c r="AZ923" s="150" t="str">
        <f>'Raw Data'!E913</f>
        <v>Up To 50% Off,FS on $49</v>
      </c>
      <c r="BA923" s="150">
        <f>'Raw Data'!I913</f>
        <v>543</v>
      </c>
      <c r="BB923" s="112"/>
      <c r="BC923" s="112"/>
      <c r="BD923" s="112">
        <f>'Raw Data'!O913</f>
        <v>1</v>
      </c>
    </row>
    <row r="924" spans="23:56">
      <c r="W924" s="21"/>
      <c r="AC924" s="21"/>
      <c r="AD924" s="21"/>
      <c r="AE924" s="21"/>
    </row>
    <row r="925" spans="23:56">
      <c r="W925" s="21"/>
      <c r="AC925" s="21"/>
      <c r="AD925" s="21"/>
      <c r="AE925" s="21"/>
    </row>
    <row r="926" spans="23:56">
      <c r="W926" s="21"/>
      <c r="AC926" s="21"/>
      <c r="AD926" s="21"/>
      <c r="AE926" s="21"/>
    </row>
    <row r="927" spans="23:56">
      <c r="W927" s="21"/>
      <c r="AC927" s="21"/>
      <c r="AD927" s="21"/>
      <c r="AE927" s="21"/>
    </row>
    <row r="928" spans="23:56">
      <c r="W928" s="21"/>
      <c r="AC928" s="21"/>
      <c r="AD928" s="21"/>
      <c r="AE928" s="21"/>
    </row>
    <row r="929" spans="23:31">
      <c r="W929" s="21"/>
      <c r="AC929" s="21"/>
      <c r="AD929" s="21"/>
      <c r="AE929" s="21"/>
    </row>
    <row r="930" spans="23:31">
      <c r="W930" s="21"/>
      <c r="AC930" s="21"/>
      <c r="AD930" s="21"/>
      <c r="AE930" s="21"/>
    </row>
    <row r="931" spans="23:31">
      <c r="W931" s="21"/>
      <c r="AC931" s="21"/>
      <c r="AD931" s="21"/>
      <c r="AE931" s="21"/>
    </row>
    <row r="932" spans="23:31">
      <c r="W932" s="21"/>
      <c r="AC932" s="21"/>
      <c r="AD932" s="21"/>
      <c r="AE932" s="21"/>
    </row>
    <row r="933" spans="23:31">
      <c r="W933" s="21"/>
      <c r="AC933" s="21"/>
      <c r="AD933" s="21"/>
      <c r="AE933" s="21"/>
    </row>
    <row r="934" spans="23:31">
      <c r="W934" s="21"/>
      <c r="AC934" s="21"/>
      <c r="AD934" s="21"/>
      <c r="AE934" s="21"/>
    </row>
    <row r="935" spans="23:31">
      <c r="W935" s="21"/>
      <c r="AC935" s="21"/>
      <c r="AD935" s="21"/>
      <c r="AE935" s="21"/>
    </row>
    <row r="936" spans="23:31">
      <c r="W936" s="21"/>
      <c r="AC936" s="21"/>
      <c r="AD936" s="21"/>
      <c r="AE936" s="21"/>
    </row>
    <row r="937" spans="23:31">
      <c r="W937" s="21"/>
      <c r="AC937" s="21"/>
      <c r="AD937" s="21"/>
      <c r="AE937" s="21"/>
    </row>
    <row r="938" spans="23:31">
      <c r="W938" s="21"/>
      <c r="AC938" s="21"/>
      <c r="AD938" s="21"/>
      <c r="AE938" s="21"/>
    </row>
    <row r="939" spans="23:31">
      <c r="W939" s="21"/>
      <c r="AC939" s="21"/>
      <c r="AD939" s="21"/>
      <c r="AE939" s="21"/>
    </row>
    <row r="940" spans="23:31">
      <c r="W940" s="21"/>
      <c r="AC940" s="21"/>
      <c r="AD940" s="21"/>
      <c r="AE940" s="21"/>
    </row>
    <row r="941" spans="23:31">
      <c r="W941" s="21"/>
      <c r="AC941" s="21"/>
      <c r="AD941" s="21"/>
      <c r="AE941" s="21"/>
    </row>
    <row r="942" spans="23:31">
      <c r="W942" s="21"/>
      <c r="AC942" s="21"/>
      <c r="AD942" s="21"/>
      <c r="AE942" s="21"/>
    </row>
    <row r="943" spans="23:31">
      <c r="W943" s="21"/>
      <c r="AC943" s="21"/>
      <c r="AD943" s="21"/>
      <c r="AE943" s="21"/>
    </row>
    <row r="944" spans="23:31">
      <c r="W944" s="21"/>
      <c r="AC944" s="21"/>
      <c r="AD944" s="21"/>
      <c r="AE944" s="21"/>
    </row>
    <row r="945" spans="23:31">
      <c r="W945" s="21"/>
      <c r="AC945" s="21"/>
      <c r="AD945" s="21"/>
      <c r="AE945" s="21"/>
    </row>
    <row r="946" spans="23:31">
      <c r="W946" s="21"/>
      <c r="AC946" s="21"/>
      <c r="AD946" s="21"/>
      <c r="AE946" s="21"/>
    </row>
    <row r="947" spans="23:31">
      <c r="W947" s="21"/>
      <c r="AC947" s="21"/>
      <c r="AD947" s="21"/>
      <c r="AE947" s="21"/>
    </row>
    <row r="948" spans="23:31">
      <c r="W948" s="21"/>
      <c r="AC948" s="21"/>
      <c r="AD948" s="21"/>
      <c r="AE948" s="21"/>
    </row>
    <row r="949" spans="23:31">
      <c r="W949" s="21"/>
      <c r="AC949" s="21"/>
      <c r="AD949" s="21"/>
      <c r="AE949" s="21"/>
    </row>
    <row r="950" spans="23:31">
      <c r="W950" s="21"/>
      <c r="AC950" s="21"/>
      <c r="AD950" s="21"/>
      <c r="AE950" s="21"/>
    </row>
    <row r="951" spans="23:31">
      <c r="W951" s="21"/>
      <c r="AC951" s="21"/>
      <c r="AD951" s="21"/>
      <c r="AE951" s="21"/>
    </row>
    <row r="952" spans="23:31">
      <c r="W952" s="21"/>
      <c r="AC952" s="21"/>
      <c r="AD952" s="21"/>
      <c r="AE952" s="21"/>
    </row>
    <row r="953" spans="23:31">
      <c r="W953" s="21"/>
      <c r="AC953" s="21"/>
      <c r="AD953" s="21"/>
      <c r="AE953" s="21"/>
    </row>
    <row r="954" spans="23:31">
      <c r="W954" s="21"/>
      <c r="AC954" s="21"/>
      <c r="AD954" s="21"/>
      <c r="AE954" s="21"/>
    </row>
    <row r="955" spans="23:31">
      <c r="W955" s="21"/>
      <c r="AC955" s="21"/>
      <c r="AD955" s="21"/>
      <c r="AE955" s="21"/>
    </row>
    <row r="956" spans="23:31">
      <c r="W956" s="21"/>
      <c r="AC956" s="21"/>
      <c r="AD956" s="21"/>
      <c r="AE956" s="21"/>
    </row>
    <row r="957" spans="23:31">
      <c r="W957" s="21"/>
      <c r="AC957" s="21"/>
      <c r="AD957" s="21"/>
      <c r="AE957" s="21"/>
    </row>
    <row r="958" spans="23:31">
      <c r="W958" s="21"/>
      <c r="AC958" s="21"/>
      <c r="AD958" s="21"/>
      <c r="AE958" s="21"/>
    </row>
    <row r="959" spans="23:31">
      <c r="W959" s="21"/>
      <c r="AC959" s="21"/>
      <c r="AD959" s="21"/>
      <c r="AE959" s="21"/>
    </row>
    <row r="960" spans="23:31">
      <c r="W960" s="21"/>
      <c r="AC960" s="21"/>
      <c r="AD960" s="21"/>
      <c r="AE960" s="21"/>
    </row>
    <row r="961" spans="23:31">
      <c r="W961" s="21"/>
      <c r="AC961" s="21"/>
      <c r="AD961" s="21"/>
      <c r="AE961" s="21"/>
    </row>
    <row r="962" spans="23:31">
      <c r="W962" s="21"/>
      <c r="AC962" s="21"/>
      <c r="AD962" s="21"/>
      <c r="AE962" s="21"/>
    </row>
    <row r="963" spans="23:31">
      <c r="W963" s="21"/>
      <c r="AC963" s="21"/>
      <c r="AD963" s="21"/>
      <c r="AE963" s="21"/>
    </row>
    <row r="964" spans="23:31">
      <c r="W964" s="21"/>
      <c r="AC964" s="21"/>
      <c r="AD964" s="21"/>
      <c r="AE964" s="21"/>
    </row>
    <row r="965" spans="23:31">
      <c r="W965" s="21"/>
      <c r="AC965" s="21"/>
      <c r="AD965" s="21"/>
      <c r="AE965" s="21"/>
    </row>
    <row r="966" spans="23:31">
      <c r="W966" s="21"/>
      <c r="AC966" s="21"/>
      <c r="AD966" s="21"/>
      <c r="AE966" s="21"/>
    </row>
    <row r="967" spans="23:31">
      <c r="W967" s="21"/>
      <c r="AC967" s="21"/>
      <c r="AD967" s="21"/>
      <c r="AE967" s="21"/>
    </row>
    <row r="968" spans="23:31">
      <c r="W968" s="21"/>
      <c r="AC968" s="21"/>
      <c r="AD968" s="21"/>
      <c r="AE968" s="21"/>
    </row>
    <row r="969" spans="23:31">
      <c r="W969" s="21"/>
      <c r="AC969" s="21"/>
      <c r="AD969" s="21"/>
      <c r="AE969" s="21"/>
    </row>
    <row r="970" spans="23:31">
      <c r="W970" s="21"/>
      <c r="AC970" s="21"/>
      <c r="AD970" s="21"/>
      <c r="AE970" s="21"/>
    </row>
    <row r="971" spans="23:31">
      <c r="W971" s="21"/>
      <c r="AC971" s="21"/>
      <c r="AD971" s="21"/>
      <c r="AE971" s="21"/>
    </row>
    <row r="972" spans="23:31">
      <c r="W972" s="21"/>
      <c r="AC972" s="21"/>
      <c r="AD972" s="21"/>
      <c r="AE972" s="21"/>
    </row>
    <row r="973" spans="23:31">
      <c r="W973" s="21"/>
      <c r="AC973" s="21"/>
      <c r="AD973" s="21"/>
      <c r="AE973" s="21"/>
    </row>
    <row r="974" spans="23:31">
      <c r="W974" s="21"/>
      <c r="AC974" s="21"/>
      <c r="AD974" s="21"/>
      <c r="AE974" s="21"/>
    </row>
    <row r="975" spans="23:31">
      <c r="W975" s="21"/>
      <c r="AC975" s="21"/>
      <c r="AD975" s="21"/>
      <c r="AE975" s="21"/>
    </row>
    <row r="976" spans="23:31">
      <c r="W976" s="21"/>
      <c r="AC976" s="21"/>
      <c r="AD976" s="21"/>
      <c r="AE976" s="21"/>
    </row>
    <row r="977" spans="23:31">
      <c r="W977" s="21"/>
      <c r="AC977" s="21"/>
      <c r="AD977" s="21"/>
      <c r="AE977" s="21"/>
    </row>
    <row r="978" spans="23:31">
      <c r="W978" s="21"/>
      <c r="AC978" s="21"/>
      <c r="AD978" s="21"/>
      <c r="AE978" s="21"/>
    </row>
    <row r="979" spans="23:31">
      <c r="W979" s="21"/>
      <c r="AC979" s="21"/>
      <c r="AD979" s="21"/>
      <c r="AE979" s="21"/>
    </row>
    <row r="980" spans="23:31">
      <c r="W980" s="21"/>
      <c r="AC980" s="21"/>
      <c r="AD980" s="21"/>
      <c r="AE980" s="21"/>
    </row>
    <row r="981" spans="23:31">
      <c r="W981" s="21"/>
      <c r="AC981" s="21"/>
      <c r="AD981" s="21"/>
      <c r="AE981" s="21"/>
    </row>
    <row r="982" spans="23:31">
      <c r="W982" s="21"/>
      <c r="AC982" s="21"/>
      <c r="AD982" s="21"/>
      <c r="AE982" s="21"/>
    </row>
    <row r="983" spans="23:31">
      <c r="W983" s="21"/>
      <c r="AC983" s="21"/>
      <c r="AD983" s="21"/>
      <c r="AE983" s="21"/>
    </row>
    <row r="984" spans="23:31">
      <c r="W984" s="21"/>
      <c r="AC984" s="21"/>
      <c r="AD984" s="21"/>
      <c r="AE984" s="21"/>
    </row>
    <row r="985" spans="23:31">
      <c r="W985" s="21"/>
      <c r="AC985" s="21"/>
      <c r="AD985" s="21"/>
      <c r="AE985" s="21"/>
    </row>
    <row r="986" spans="23:31">
      <c r="W986" s="21"/>
      <c r="AC986" s="21"/>
      <c r="AD986" s="21"/>
      <c r="AE986" s="21"/>
    </row>
    <row r="987" spans="23:31">
      <c r="W987" s="21"/>
      <c r="AC987" s="21"/>
      <c r="AD987" s="21"/>
      <c r="AE987" s="21"/>
    </row>
    <row r="988" spans="23:31">
      <c r="W988" s="21"/>
      <c r="AC988" s="21"/>
      <c r="AD988" s="21"/>
      <c r="AE988" s="21"/>
    </row>
    <row r="989" spans="23:31">
      <c r="W989" s="21"/>
      <c r="AC989" s="21"/>
      <c r="AD989" s="21"/>
      <c r="AE989" s="21"/>
    </row>
    <row r="990" spans="23:31">
      <c r="W990" s="21"/>
      <c r="AC990" s="21"/>
      <c r="AD990" s="21"/>
      <c r="AE990" s="21"/>
    </row>
    <row r="991" spans="23:31">
      <c r="W991" s="21"/>
      <c r="AC991" s="21"/>
      <c r="AD991" s="21"/>
      <c r="AE991" s="21"/>
    </row>
    <row r="992" spans="23:31">
      <c r="W992" s="21"/>
      <c r="AC992" s="21"/>
      <c r="AD992" s="21"/>
      <c r="AE992" s="21"/>
    </row>
    <row r="993" spans="23:31">
      <c r="W993" s="21"/>
      <c r="AC993" s="21"/>
      <c r="AD993" s="21"/>
      <c r="AE993" s="21"/>
    </row>
    <row r="994" spans="23:31">
      <c r="W994" s="21"/>
      <c r="AC994" s="21"/>
      <c r="AD994" s="21"/>
      <c r="AE994" s="21"/>
    </row>
    <row r="995" spans="23:31">
      <c r="W995" s="21"/>
      <c r="AC995" s="21"/>
      <c r="AD995" s="21"/>
      <c r="AE995" s="21"/>
    </row>
    <row r="996" spans="23:31">
      <c r="W996" s="21"/>
      <c r="AC996" s="21"/>
      <c r="AD996" s="21"/>
      <c r="AE996" s="21"/>
    </row>
    <row r="997" spans="23:31">
      <c r="W997" s="21"/>
      <c r="AC997" s="21"/>
      <c r="AD997" s="21"/>
      <c r="AE997" s="21"/>
    </row>
    <row r="998" spans="23:31">
      <c r="W998" s="21"/>
      <c r="AC998" s="21"/>
      <c r="AD998" s="21"/>
      <c r="AE998" s="21"/>
    </row>
    <row r="999" spans="23:31">
      <c r="W999" s="21"/>
      <c r="AC999" s="21"/>
      <c r="AD999" s="21"/>
      <c r="AE999" s="21"/>
    </row>
    <row r="1000" spans="23:31">
      <c r="W1000" s="21"/>
      <c r="AC1000" s="21"/>
      <c r="AD1000" s="21"/>
      <c r="AE1000" s="21"/>
    </row>
    <row r="1001" spans="23:31">
      <c r="W1001" s="21"/>
      <c r="AC1001" s="21"/>
      <c r="AD1001" s="21"/>
      <c r="AE1001" s="21"/>
    </row>
    <row r="1002" spans="23:31">
      <c r="W1002" s="21"/>
      <c r="AC1002" s="21"/>
      <c r="AD1002" s="21"/>
      <c r="AE1002" s="21"/>
    </row>
    <row r="1003" spans="23:31">
      <c r="W1003" s="21"/>
      <c r="AC1003" s="21"/>
      <c r="AD1003" s="21"/>
      <c r="AE1003" s="21"/>
    </row>
    <row r="1004" spans="23:31">
      <c r="W1004" s="21"/>
      <c r="AC1004" s="21"/>
      <c r="AD1004" s="21"/>
      <c r="AE1004" s="21"/>
    </row>
    <row r="1005" spans="23:31">
      <c r="W1005" s="21"/>
      <c r="AC1005" s="21"/>
      <c r="AD1005" s="21"/>
      <c r="AE1005" s="21"/>
    </row>
    <row r="1006" spans="23:31">
      <c r="W1006" s="21"/>
      <c r="AC1006" s="21"/>
      <c r="AD1006" s="21"/>
      <c r="AE1006" s="21"/>
    </row>
    <row r="1007" spans="23:31">
      <c r="W1007" s="21"/>
      <c r="AC1007" s="21"/>
      <c r="AD1007" s="21"/>
      <c r="AE1007" s="21"/>
    </row>
    <row r="1008" spans="23:31">
      <c r="W1008" s="21"/>
      <c r="AC1008" s="21"/>
      <c r="AD1008" s="21"/>
      <c r="AE1008" s="21"/>
    </row>
    <row r="1009" spans="23:31">
      <c r="W1009" s="21"/>
      <c r="AC1009" s="21"/>
      <c r="AD1009" s="21"/>
      <c r="AE1009" s="21"/>
    </row>
    <row r="1010" spans="23:31">
      <c r="W1010" s="21"/>
      <c r="AC1010" s="21"/>
      <c r="AD1010" s="21"/>
      <c r="AE1010" s="21"/>
    </row>
    <row r="1011" spans="23:31">
      <c r="W1011" s="21"/>
      <c r="AC1011" s="21"/>
      <c r="AD1011" s="21"/>
      <c r="AE1011" s="21"/>
    </row>
    <row r="1012" spans="23:31">
      <c r="W1012" s="21"/>
      <c r="AC1012" s="21"/>
      <c r="AD1012" s="21"/>
      <c r="AE1012" s="21"/>
    </row>
    <row r="1013" spans="23:31">
      <c r="W1013" s="21"/>
      <c r="AC1013" s="21"/>
      <c r="AD1013" s="21"/>
      <c r="AE1013" s="21"/>
    </row>
    <row r="1014" spans="23:31">
      <c r="W1014" s="21"/>
      <c r="AC1014" s="21"/>
      <c r="AD1014" s="21"/>
      <c r="AE1014" s="21"/>
    </row>
    <row r="1015" spans="23:31">
      <c r="W1015" s="21"/>
      <c r="AC1015" s="21"/>
      <c r="AD1015" s="21"/>
      <c r="AE1015" s="21"/>
    </row>
    <row r="1016" spans="23:31">
      <c r="W1016" s="21"/>
      <c r="AC1016" s="21"/>
      <c r="AD1016" s="21"/>
      <c r="AE1016" s="21"/>
    </row>
    <row r="1017" spans="23:31">
      <c r="W1017" s="21"/>
      <c r="AC1017" s="21"/>
      <c r="AD1017" s="21"/>
      <c r="AE1017" s="21"/>
    </row>
    <row r="1018" spans="23:31">
      <c r="W1018" s="21"/>
      <c r="AC1018" s="21"/>
      <c r="AD1018" s="21"/>
      <c r="AE1018" s="21"/>
    </row>
    <row r="1019" spans="23:31">
      <c r="W1019" s="21"/>
      <c r="AC1019" s="21"/>
      <c r="AD1019" s="21"/>
      <c r="AE1019" s="21"/>
    </row>
    <row r="1020" spans="23:31">
      <c r="W1020" s="21"/>
      <c r="AC1020" s="21"/>
      <c r="AD1020" s="21"/>
      <c r="AE1020" s="21"/>
    </row>
    <row r="1021" spans="23:31">
      <c r="W1021" s="21"/>
      <c r="AC1021" s="21"/>
      <c r="AD1021" s="21"/>
      <c r="AE1021" s="21"/>
    </row>
    <row r="1022" spans="23:31">
      <c r="W1022" s="21"/>
      <c r="AC1022" s="21"/>
      <c r="AD1022" s="21"/>
      <c r="AE1022" s="21"/>
    </row>
    <row r="1023" spans="23:31">
      <c r="W1023" s="21"/>
      <c r="AC1023" s="21"/>
      <c r="AD1023" s="21"/>
      <c r="AE1023" s="21"/>
    </row>
    <row r="1024" spans="23:31">
      <c r="W1024" s="21"/>
      <c r="AC1024" s="21"/>
      <c r="AD1024" s="21"/>
      <c r="AE1024" s="21"/>
    </row>
    <row r="1025" spans="23:31">
      <c r="W1025" s="21"/>
      <c r="AC1025" s="21"/>
      <c r="AD1025" s="21"/>
      <c r="AE1025" s="21"/>
    </row>
    <row r="1026" spans="23:31">
      <c r="W1026" s="21"/>
      <c r="AC1026" s="21"/>
      <c r="AD1026" s="21"/>
      <c r="AE1026" s="21"/>
    </row>
    <row r="1027" spans="23:31">
      <c r="W1027" s="21"/>
      <c r="AC1027" s="21"/>
      <c r="AD1027" s="21"/>
      <c r="AE1027" s="21"/>
    </row>
    <row r="1028" spans="23:31">
      <c r="W1028" s="21"/>
      <c r="AC1028" s="21"/>
      <c r="AD1028" s="21"/>
      <c r="AE1028" s="21"/>
    </row>
    <row r="1029" spans="23:31">
      <c r="W1029" s="21"/>
      <c r="AC1029" s="21"/>
      <c r="AD1029" s="21"/>
      <c r="AE1029" s="21"/>
    </row>
    <row r="1030" spans="23:31">
      <c r="W1030" s="21"/>
      <c r="AC1030" s="21"/>
      <c r="AD1030" s="21"/>
      <c r="AE1030" s="21"/>
    </row>
    <row r="1031" spans="23:31">
      <c r="W1031" s="21"/>
      <c r="AC1031" s="21"/>
      <c r="AD1031" s="21"/>
      <c r="AE1031" s="21"/>
    </row>
    <row r="1032" spans="23:31">
      <c r="W1032" s="21"/>
      <c r="AC1032" s="21"/>
      <c r="AD1032" s="21"/>
      <c r="AE1032" s="21"/>
    </row>
    <row r="1033" spans="23:31">
      <c r="W1033" s="21"/>
      <c r="AC1033" s="21"/>
      <c r="AD1033" s="21"/>
      <c r="AE1033" s="21"/>
    </row>
    <row r="1034" spans="23:31">
      <c r="W1034" s="21"/>
      <c r="AC1034" s="21"/>
      <c r="AD1034" s="21"/>
      <c r="AE1034" s="21"/>
    </row>
    <row r="1035" spans="23:31">
      <c r="W1035" s="21"/>
      <c r="AC1035" s="21"/>
      <c r="AD1035" s="21"/>
      <c r="AE1035" s="21"/>
    </row>
    <row r="1036" spans="23:31">
      <c r="W1036" s="21"/>
      <c r="AC1036" s="21"/>
      <c r="AD1036" s="21"/>
      <c r="AE1036" s="21"/>
    </row>
    <row r="1037" spans="23:31">
      <c r="W1037" s="21"/>
      <c r="AC1037" s="21"/>
      <c r="AD1037" s="21"/>
      <c r="AE1037" s="21"/>
    </row>
    <row r="1038" spans="23:31">
      <c r="W1038" s="21"/>
      <c r="AC1038" s="21"/>
      <c r="AD1038" s="21"/>
      <c r="AE1038" s="21"/>
    </row>
    <row r="1039" spans="23:31">
      <c r="W1039" s="21"/>
      <c r="AC1039" s="21"/>
      <c r="AD1039" s="21"/>
      <c r="AE1039" s="21"/>
    </row>
    <row r="1040" spans="23:31">
      <c r="W1040" s="21"/>
      <c r="AC1040" s="21"/>
      <c r="AD1040" s="21"/>
      <c r="AE1040" s="21"/>
    </row>
    <row r="1041" spans="23:31">
      <c r="W1041" s="21"/>
      <c r="AC1041" s="21"/>
      <c r="AD1041" s="21"/>
      <c r="AE1041" s="21"/>
    </row>
    <row r="1042" spans="23:31">
      <c r="W1042" s="21"/>
      <c r="AC1042" s="21"/>
      <c r="AD1042" s="21"/>
      <c r="AE1042" s="21"/>
    </row>
  </sheetData>
  <mergeCells count="4">
    <mergeCell ref="G6:G7"/>
    <mergeCell ref="H6:H7"/>
    <mergeCell ref="AX9:BB10"/>
    <mergeCell ref="N14:P14"/>
  </mergeCells>
  <conditionalFormatting sqref="H5:H6 AX14:AY923">
    <cfRule type="cellIs" dxfId="19" priority="46" operator="equal">
      <formula>0</formula>
    </cfRule>
  </conditionalFormatting>
  <conditionalFormatting sqref="G16:G62 T16:T130 M16:M110">
    <cfRule type="cellIs" dxfId="18" priority="43" operator="greaterThan">
      <formula>0</formula>
    </cfRule>
  </conditionalFormatting>
  <conditionalFormatting sqref="H16:H62">
    <cfRule type="expression" dxfId="17" priority="38">
      <formula>IF(G16&gt;0,1,0)</formula>
    </cfRule>
  </conditionalFormatting>
  <conditionalFormatting sqref="N16:N110">
    <cfRule type="expression" dxfId="16" priority="35">
      <formula>IF(M16&gt;0,1,0)</formula>
    </cfRule>
  </conditionalFormatting>
  <conditionalFormatting sqref="O16">
    <cfRule type="expression" dxfId="15" priority="34">
      <formula>IF(N16&gt;0,1,0)</formula>
    </cfRule>
  </conditionalFormatting>
  <conditionalFormatting sqref="O16:O110">
    <cfRule type="expression" dxfId="14" priority="32">
      <formula>IF(N16&gt;0,1,0)</formula>
    </cfRule>
  </conditionalFormatting>
  <conditionalFormatting sqref="N16:N110">
    <cfRule type="expression" dxfId="13" priority="31">
      <formula>IF(M16&gt;0,1,0)</formula>
    </cfRule>
  </conditionalFormatting>
  <conditionalFormatting sqref="N16:N110">
    <cfRule type="expression" dxfId="12" priority="30">
      <formula>IF(M16&gt;0,1,0)</formula>
    </cfRule>
  </conditionalFormatting>
  <conditionalFormatting sqref="AC15:AE36 I16:I82 AE409:AE411 AE16:AE363 W16:W130 P16:P110">
    <cfRule type="cellIs" dxfId="11" priority="16" operator="greaterThanOrEqual">
      <formula>1</formula>
    </cfRule>
    <cfRule type="cellIs" dxfId="10" priority="17" operator="equal">
      <formula>2</formula>
    </cfRule>
  </conditionalFormatting>
  <conditionalFormatting sqref="U16:U130">
    <cfRule type="notContainsBlanks" dxfId="9" priority="7">
      <formula>LEN(TRIM(U16))&gt;0</formula>
    </cfRule>
  </conditionalFormatting>
  <conditionalFormatting sqref="V16:V130">
    <cfRule type="expression" dxfId="8" priority="6">
      <formula>IF(U16&gt;0,1,0)</formula>
    </cfRule>
  </conditionalFormatting>
  <conditionalFormatting sqref="V16:V135">
    <cfRule type="expression" dxfId="7" priority="5">
      <formula>IF(U16&gt;0,1,0)</formula>
    </cfRule>
  </conditionalFormatting>
  <conditionalFormatting sqref="H9">
    <cfRule type="cellIs" dxfId="6" priority="3" operator="equal">
      <formula>2</formula>
    </cfRule>
  </conditionalFormatting>
  <conditionalFormatting sqref="AE409:AE411 AE15:AE363">
    <cfRule type="cellIs" dxfId="5" priority="2" operator="equal">
      <formula>$AH$11</formula>
    </cfRule>
  </conditionalFormatting>
  <conditionalFormatting sqref="AJ15:AJ491">
    <cfRule type="cellIs" dxfId="4" priority="1" operator="equal">
      <formula>$AI$11</formula>
    </cfRule>
  </conditionalFormatting>
  <dataValidations count="3">
    <dataValidation type="list" allowBlank="1" showInputMessage="1" showErrorMessage="1" sqref="H8">
      <formula1>$BK$13:$BK$50</formula1>
    </dataValidation>
    <dataValidation type="list" allowBlank="1" showInputMessage="1" showErrorMessage="1" sqref="BC14:BC923">
      <formula1>"Special day,Season"</formula1>
    </dataValidation>
    <dataValidation type="list" allowBlank="1" showInputMessage="1" showErrorMessage="1" sqref="AJ12">
      <formula1>$AM$2:$AM$27</formula1>
    </dataValidation>
  </dataValidations>
  <pageMargins left="0.7" right="0.7" top="0.75" bottom="0.75" header="0.3" footer="0.3"/>
  <pageSetup orientation="portrait" r:id="rId1"/>
  <ignoredErrors>
    <ignoredError sqref="H3" evalError="1"/>
  </ignoredErrors>
  <legacyDrawing r:id="rId2"/>
  <controls>
    <control shapeId="1030" r:id="rId3" name="ScrollB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AD225"/>
  <sheetViews>
    <sheetView showGridLines="0" workbookViewId="0">
      <pane xSplit="1" ySplit="1" topLeftCell="B2" activePane="bottomRight" state="frozen"/>
      <selection activeCell="Q21" sqref="Q21"/>
      <selection pane="topRight" activeCell="Q21" sqref="Q21"/>
      <selection pane="bottomLeft" activeCell="Q21" sqref="Q21"/>
      <selection pane="bottomRight" activeCell="B2" sqref="B2"/>
    </sheetView>
  </sheetViews>
  <sheetFormatPr defaultRowHeight="15" outlineLevelCol="1"/>
  <cols>
    <col min="1" max="1" width="10.140625" bestFit="1" customWidth="1"/>
    <col min="2" max="2" width="5.140625" bestFit="1" customWidth="1"/>
    <col min="3" max="3" width="25.85546875" bestFit="1" customWidth="1"/>
    <col min="4" max="4" width="12.85546875" style="136" customWidth="1"/>
    <col min="5" max="5" width="14.85546875" bestFit="1" customWidth="1"/>
    <col min="7" max="7" width="15.140625" hidden="1" customWidth="1" outlineLevel="1"/>
    <col min="8" max="8" width="12.85546875" customWidth="1" collapsed="1"/>
    <col min="9" max="9" width="7.85546875" customWidth="1"/>
    <col min="10" max="10" width="9.7109375" bestFit="1" customWidth="1"/>
    <col min="11" max="12" width="9.140625" hidden="1" customWidth="1" outlineLevel="1"/>
    <col min="13" max="13" width="9.140625" collapsed="1"/>
    <col min="16" max="16" width="9.7109375" bestFit="1" customWidth="1"/>
    <col min="19" max="19" width="10" style="137" bestFit="1" customWidth="1"/>
  </cols>
  <sheetData>
    <row r="1" spans="1:30" ht="48.75" customHeight="1">
      <c r="A1" s="14" t="s">
        <v>0</v>
      </c>
      <c r="B1" s="14" t="s">
        <v>6</v>
      </c>
      <c r="C1" s="14" t="s">
        <v>730</v>
      </c>
      <c r="D1" s="133" t="s">
        <v>731</v>
      </c>
      <c r="E1" s="14" t="s">
        <v>736</v>
      </c>
      <c r="F1" s="14" t="s">
        <v>9</v>
      </c>
      <c r="G1" s="14" t="s">
        <v>734</v>
      </c>
      <c r="H1" s="14" t="s">
        <v>735</v>
      </c>
      <c r="I1" s="126" t="s">
        <v>733</v>
      </c>
      <c r="J1" s="14" t="s">
        <v>775</v>
      </c>
      <c r="K1" s="14" t="s">
        <v>8</v>
      </c>
      <c r="L1" s="14" t="s">
        <v>732</v>
      </c>
      <c r="R1" s="139" t="s">
        <v>6</v>
      </c>
      <c r="S1" s="140" t="s">
        <v>0</v>
      </c>
      <c r="T1" s="139" t="s">
        <v>8</v>
      </c>
    </row>
    <row r="2" spans="1:30">
      <c r="A2" s="121">
        <v>42582</v>
      </c>
      <c r="B2" s="28" t="str">
        <f>TEXT(A2,"DDD")</f>
        <v>Sun</v>
      </c>
      <c r="C2" s="28" t="s">
        <v>293</v>
      </c>
      <c r="D2" s="134">
        <v>1</v>
      </c>
      <c r="E2" s="28"/>
      <c r="F2" s="122"/>
      <c r="G2" s="123"/>
      <c r="H2" s="123"/>
      <c r="I2" s="17">
        <f t="shared" ref="I2:I29" si="0">VLOOKUP($A2,$Q$2:$V$716,6,0)</f>
        <v>692</v>
      </c>
      <c r="J2" s="13"/>
      <c r="K2" s="10"/>
      <c r="L2" s="10"/>
      <c r="M2" s="84"/>
      <c r="O2" s="132">
        <f>ROUND(I2,0)</f>
        <v>692</v>
      </c>
      <c r="P2" t="str">
        <f>TEXT(Q2,"DDD")</f>
        <v>Sun</v>
      </c>
      <c r="Q2" s="138">
        <v>42582</v>
      </c>
      <c r="R2" s="139" t="str">
        <f>TEXT(S2,"DDD")</f>
        <v>Sun</v>
      </c>
      <c r="S2" s="140">
        <v>42239</v>
      </c>
      <c r="T2" s="139">
        <v>778</v>
      </c>
      <c r="U2">
        <v>2</v>
      </c>
      <c r="V2" s="141">
        <f>AVERAGE(T2:T3)</f>
        <v>692</v>
      </c>
      <c r="X2">
        <f t="array" ref="X2:AD2">TRANSPOSE(O2:O8)</f>
        <v>692</v>
      </c>
      <c r="Y2">
        <v>1279</v>
      </c>
      <c r="Z2">
        <v>1012</v>
      </c>
      <c r="AA2">
        <v>1249</v>
      </c>
      <c r="AB2">
        <v>1405</v>
      </c>
      <c r="AC2">
        <v>1261</v>
      </c>
      <c r="AD2">
        <v>960</v>
      </c>
    </row>
    <row r="3" spans="1:30">
      <c r="A3" s="121">
        <f>A2+1</f>
        <v>42583</v>
      </c>
      <c r="B3" s="28" t="str">
        <f t="shared" ref="B3:B29" si="1">TEXT(A3,"DDD")</f>
        <v>Mon</v>
      </c>
      <c r="C3" s="28" t="s">
        <v>293</v>
      </c>
      <c r="D3" s="134">
        <v>1</v>
      </c>
      <c r="E3" s="28"/>
      <c r="F3" s="122"/>
      <c r="G3" s="123"/>
      <c r="H3" s="123"/>
      <c r="I3" s="17">
        <f t="shared" si="0"/>
        <v>1279</v>
      </c>
      <c r="J3" s="13"/>
      <c r="K3" s="10"/>
      <c r="L3" s="10"/>
      <c r="M3" s="84"/>
      <c r="N3" s="21"/>
      <c r="O3" s="132">
        <f t="shared" ref="O3:O36" si="2">ROUND(I3,0)</f>
        <v>1279</v>
      </c>
      <c r="R3" s="139" t="str">
        <f>TEXT(S3,"DDD")</f>
        <v>Sun</v>
      </c>
      <c r="S3" s="140">
        <v>41847</v>
      </c>
      <c r="T3" s="139">
        <v>606</v>
      </c>
      <c r="U3">
        <v>1</v>
      </c>
      <c r="X3">
        <f t="array" ref="X3:AD3">TRANSPOSE(O9:O15)</f>
        <v>904</v>
      </c>
      <c r="Y3">
        <v>1208</v>
      </c>
      <c r="Z3">
        <v>1166</v>
      </c>
      <c r="AA3">
        <v>1145</v>
      </c>
      <c r="AB3">
        <v>1188</v>
      </c>
      <c r="AC3">
        <v>1184</v>
      </c>
      <c r="AD3">
        <v>947</v>
      </c>
    </row>
    <row r="4" spans="1:30">
      <c r="A4" s="121">
        <f t="shared" ref="A4:A29" si="3">A3+1</f>
        <v>42584</v>
      </c>
      <c r="B4" s="28" t="str">
        <f t="shared" si="1"/>
        <v>Tue</v>
      </c>
      <c r="C4" s="28" t="s">
        <v>293</v>
      </c>
      <c r="D4" s="134">
        <v>1</v>
      </c>
      <c r="E4" s="28"/>
      <c r="F4" s="122"/>
      <c r="G4" s="123"/>
      <c r="H4" s="122"/>
      <c r="I4" s="17">
        <f t="shared" si="0"/>
        <v>1012.0000000000001</v>
      </c>
      <c r="J4" s="13"/>
      <c r="K4" s="10"/>
      <c r="L4" s="10"/>
      <c r="M4" s="84"/>
      <c r="N4" s="33"/>
      <c r="O4" s="132">
        <f t="shared" si="2"/>
        <v>1012</v>
      </c>
      <c r="R4" s="139"/>
      <c r="S4" s="140"/>
      <c r="T4" s="139"/>
      <c r="X4">
        <f t="array" ref="X4:AD4">TRANSPOSE(O16:O22)</f>
        <v>676</v>
      </c>
      <c r="Y4">
        <v>1212</v>
      </c>
      <c r="Z4">
        <v>1072</v>
      </c>
      <c r="AA4">
        <v>1127</v>
      </c>
      <c r="AB4">
        <v>1087</v>
      </c>
      <c r="AC4">
        <v>1305</v>
      </c>
      <c r="AD4">
        <v>960</v>
      </c>
    </row>
    <row r="5" spans="1:30">
      <c r="A5" s="121">
        <f t="shared" si="3"/>
        <v>42585</v>
      </c>
      <c r="B5" s="28" t="str">
        <f t="shared" si="1"/>
        <v>Wed</v>
      </c>
      <c r="C5" s="28" t="s">
        <v>110</v>
      </c>
      <c r="D5" s="134">
        <v>2</v>
      </c>
      <c r="E5" s="28"/>
      <c r="F5" s="122"/>
      <c r="G5" s="123"/>
      <c r="H5" s="122"/>
      <c r="I5" s="17">
        <f t="shared" si="0"/>
        <v>1249</v>
      </c>
      <c r="J5" s="13"/>
      <c r="K5" s="10"/>
      <c r="L5" s="10"/>
      <c r="M5" s="84"/>
      <c r="N5" s="33"/>
      <c r="O5" s="132">
        <f t="shared" si="2"/>
        <v>1249</v>
      </c>
      <c r="P5" t="str">
        <f>TEXT(Q5,"DDD")</f>
        <v>Mon</v>
      </c>
      <c r="Q5" s="138">
        <f>Q2+1</f>
        <v>42583</v>
      </c>
      <c r="R5" s="139" t="str">
        <f t="shared" ref="R5" si="4">TEXT(S5,"DDD")</f>
        <v>Mon</v>
      </c>
      <c r="S5" s="140">
        <v>42240</v>
      </c>
      <c r="T5" s="139">
        <v>1279</v>
      </c>
      <c r="U5">
        <v>1</v>
      </c>
      <c r="V5" s="141">
        <f>AVERAGE(T5:T6)</f>
        <v>1279</v>
      </c>
      <c r="X5">
        <f t="array" ref="X5:AD5">TRANSPOSE(O23:O29)</f>
        <v>645</v>
      </c>
      <c r="Y5">
        <v>1220</v>
      </c>
      <c r="Z5">
        <v>1254</v>
      </c>
      <c r="AA5">
        <v>1249</v>
      </c>
      <c r="AB5">
        <v>1096</v>
      </c>
      <c r="AC5">
        <v>1101</v>
      </c>
      <c r="AD5">
        <v>761</v>
      </c>
    </row>
    <row r="6" spans="1:30">
      <c r="A6" s="121">
        <f t="shared" si="3"/>
        <v>42586</v>
      </c>
      <c r="B6" s="28" t="str">
        <f t="shared" si="1"/>
        <v>Thu</v>
      </c>
      <c r="C6" s="28" t="s">
        <v>311</v>
      </c>
      <c r="D6" s="134">
        <v>2</v>
      </c>
      <c r="E6" s="28"/>
      <c r="F6" s="122"/>
      <c r="G6" s="123"/>
      <c r="H6" s="122"/>
      <c r="I6" s="17">
        <f t="shared" si="0"/>
        <v>1405</v>
      </c>
      <c r="J6" s="13"/>
      <c r="K6" s="10"/>
      <c r="L6" s="10"/>
      <c r="M6" s="84"/>
      <c r="N6" s="33"/>
      <c r="O6" s="132">
        <f t="shared" si="2"/>
        <v>1405</v>
      </c>
      <c r="R6" s="139"/>
      <c r="S6" s="140"/>
      <c r="T6" s="139"/>
      <c r="V6" s="141"/>
      <c r="X6">
        <f t="array" ref="X6:AD6">TRANSPOSE(O30:O36)</f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>
      <c r="A7" s="121">
        <f t="shared" si="3"/>
        <v>42587</v>
      </c>
      <c r="B7" s="28" t="str">
        <f t="shared" si="1"/>
        <v>Fri</v>
      </c>
      <c r="C7" s="28" t="s">
        <v>17</v>
      </c>
      <c r="D7" s="134">
        <v>2</v>
      </c>
      <c r="E7" s="28"/>
      <c r="F7" s="122"/>
      <c r="G7" s="123"/>
      <c r="H7" s="122"/>
      <c r="I7" s="17">
        <f t="shared" si="0"/>
        <v>1260.5</v>
      </c>
      <c r="J7" s="13"/>
      <c r="K7" s="10"/>
      <c r="L7" s="10"/>
      <c r="M7" s="84"/>
      <c r="O7" s="132">
        <f t="shared" si="2"/>
        <v>1261</v>
      </c>
      <c r="R7" s="139"/>
      <c r="S7" s="140"/>
      <c r="T7" s="139"/>
      <c r="V7" s="141"/>
    </row>
    <row r="8" spans="1:30">
      <c r="A8" s="121">
        <f t="shared" si="3"/>
        <v>42588</v>
      </c>
      <c r="B8" s="28" t="str">
        <f t="shared" si="1"/>
        <v>Sat</v>
      </c>
      <c r="C8" s="28" t="s">
        <v>110</v>
      </c>
      <c r="D8" s="134">
        <v>1</v>
      </c>
      <c r="E8" s="28"/>
      <c r="F8" s="122"/>
      <c r="G8" s="123"/>
      <c r="H8" s="122"/>
      <c r="I8" s="17">
        <f t="shared" si="0"/>
        <v>960</v>
      </c>
      <c r="J8" s="13"/>
      <c r="K8" s="10"/>
      <c r="L8" s="10"/>
      <c r="M8" s="84"/>
      <c r="N8" s="132">
        <f>SUM(I2:I8)</f>
        <v>7857.5</v>
      </c>
      <c r="O8" s="132">
        <f t="shared" si="2"/>
        <v>960</v>
      </c>
      <c r="R8" s="139"/>
      <c r="S8" s="140"/>
      <c r="T8" s="139"/>
      <c r="V8" s="141"/>
    </row>
    <row r="9" spans="1:30">
      <c r="A9" s="121">
        <f t="shared" si="3"/>
        <v>42589</v>
      </c>
      <c r="B9" s="28" t="str">
        <f t="shared" si="1"/>
        <v>Sun</v>
      </c>
      <c r="C9" s="28" t="s">
        <v>17</v>
      </c>
      <c r="D9" s="134">
        <v>2</v>
      </c>
      <c r="E9" s="28"/>
      <c r="F9" s="122"/>
      <c r="G9" s="123"/>
      <c r="H9" s="122"/>
      <c r="I9" s="17">
        <f t="shared" si="0"/>
        <v>904</v>
      </c>
      <c r="J9" s="13"/>
      <c r="K9" s="10"/>
      <c r="L9" s="10"/>
      <c r="M9" s="84"/>
      <c r="O9" s="132">
        <f t="shared" si="2"/>
        <v>904</v>
      </c>
      <c r="P9" t="str">
        <f>TEXT(Q9,"DDD")</f>
        <v>Tue</v>
      </c>
      <c r="Q9" s="138">
        <f>Q5+1</f>
        <v>42584</v>
      </c>
      <c r="R9" s="139" t="str">
        <f t="shared" ref="R9:R32" si="5">TEXT(S9,"DDD")</f>
        <v>Tue</v>
      </c>
      <c r="S9" s="140">
        <v>42241</v>
      </c>
      <c r="T9" s="139">
        <v>920</v>
      </c>
      <c r="U9">
        <v>1</v>
      </c>
      <c r="V9" s="141">
        <f>AVERAGE(T9:T11)*1.1</f>
        <v>1012.0000000000001</v>
      </c>
    </row>
    <row r="10" spans="1:30">
      <c r="A10" s="121">
        <f t="shared" si="3"/>
        <v>42590</v>
      </c>
      <c r="B10" s="28" t="str">
        <f t="shared" si="1"/>
        <v>Mon</v>
      </c>
      <c r="C10" s="28" t="s">
        <v>1142</v>
      </c>
      <c r="D10" s="134">
        <v>1</v>
      </c>
      <c r="E10" s="28"/>
      <c r="F10" s="122"/>
      <c r="G10" s="123"/>
      <c r="H10" s="122"/>
      <c r="I10" s="17">
        <f t="shared" si="0"/>
        <v>1207.8499999999999</v>
      </c>
      <c r="J10" s="13"/>
      <c r="K10" s="10"/>
      <c r="L10" s="10"/>
      <c r="M10" s="84"/>
      <c r="O10" s="132">
        <f t="shared" si="2"/>
        <v>1208</v>
      </c>
      <c r="R10" s="139"/>
      <c r="S10" s="140"/>
      <c r="T10" s="139"/>
      <c r="V10" s="141"/>
    </row>
    <row r="11" spans="1:30">
      <c r="A11" s="121">
        <f t="shared" si="3"/>
        <v>42591</v>
      </c>
      <c r="B11" s="28" t="str">
        <f t="shared" si="1"/>
        <v>Tue</v>
      </c>
      <c r="C11" s="28" t="s">
        <v>48</v>
      </c>
      <c r="D11" s="134">
        <v>1</v>
      </c>
      <c r="E11" s="28"/>
      <c r="F11" s="122"/>
      <c r="G11" s="123"/>
      <c r="H11" s="122"/>
      <c r="I11" s="17">
        <f t="shared" si="0"/>
        <v>1165.6499999999999</v>
      </c>
      <c r="J11" s="13"/>
      <c r="K11" s="10"/>
      <c r="L11" s="10"/>
      <c r="M11" s="84"/>
      <c r="O11" s="132">
        <f t="shared" si="2"/>
        <v>1166</v>
      </c>
      <c r="R11" s="139"/>
      <c r="S11" s="140"/>
      <c r="T11" s="139"/>
      <c r="V11" s="141"/>
    </row>
    <row r="12" spans="1:30">
      <c r="A12" s="121">
        <f t="shared" si="3"/>
        <v>42592</v>
      </c>
      <c r="B12" s="28" t="str">
        <f t="shared" si="1"/>
        <v>Wed</v>
      </c>
      <c r="C12" s="28" t="s">
        <v>1142</v>
      </c>
      <c r="D12" s="134">
        <v>1</v>
      </c>
      <c r="E12" s="28"/>
      <c r="F12" s="122"/>
      <c r="G12" s="123"/>
      <c r="H12" s="122"/>
      <c r="I12" s="17">
        <f t="shared" si="0"/>
        <v>1144.5</v>
      </c>
      <c r="J12" s="13"/>
      <c r="K12" s="10"/>
      <c r="L12" s="10"/>
      <c r="M12" s="84"/>
      <c r="O12" s="132">
        <f t="shared" si="2"/>
        <v>1145</v>
      </c>
      <c r="R12" s="139"/>
      <c r="S12" s="140"/>
      <c r="T12" s="139"/>
      <c r="V12" s="141"/>
    </row>
    <row r="13" spans="1:30">
      <c r="A13" s="121">
        <f t="shared" si="3"/>
        <v>42593</v>
      </c>
      <c r="B13" s="28" t="str">
        <f t="shared" si="1"/>
        <v>Thu</v>
      </c>
      <c r="C13" s="28" t="s">
        <v>1142</v>
      </c>
      <c r="D13" s="134">
        <v>1</v>
      </c>
      <c r="E13" s="28"/>
      <c r="F13" s="122"/>
      <c r="G13" s="123"/>
      <c r="H13" s="122"/>
      <c r="I13" s="17">
        <f t="shared" si="0"/>
        <v>1188</v>
      </c>
      <c r="J13" s="13"/>
      <c r="K13" s="10"/>
      <c r="L13" s="10"/>
      <c r="M13" s="84"/>
      <c r="O13" s="132">
        <f t="shared" si="2"/>
        <v>1188</v>
      </c>
      <c r="P13" t="str">
        <f>TEXT(Q13,"DDD")</f>
        <v>Wed</v>
      </c>
      <c r="Q13" s="138">
        <f>Q9+1</f>
        <v>42585</v>
      </c>
      <c r="R13" s="139" t="str">
        <f t="shared" si="5"/>
        <v>Wed</v>
      </c>
      <c r="S13" s="140">
        <v>42473</v>
      </c>
      <c r="T13" s="139">
        <v>1249</v>
      </c>
      <c r="U13">
        <v>2</v>
      </c>
      <c r="V13" s="141">
        <f>AVERAGE(T13:T15)</f>
        <v>1249</v>
      </c>
    </row>
    <row r="14" spans="1:30">
      <c r="A14" s="121">
        <f t="shared" si="3"/>
        <v>42594</v>
      </c>
      <c r="B14" s="28" t="str">
        <f t="shared" si="1"/>
        <v>Fri</v>
      </c>
      <c r="C14" s="28" t="s">
        <v>1142</v>
      </c>
      <c r="D14" s="134">
        <v>1</v>
      </c>
      <c r="E14" s="28"/>
      <c r="F14" s="122"/>
      <c r="G14" s="123"/>
      <c r="H14" s="122"/>
      <c r="I14" s="17">
        <f t="shared" si="0"/>
        <v>1184.48</v>
      </c>
      <c r="J14" s="13"/>
      <c r="K14" s="10"/>
      <c r="L14" s="10"/>
      <c r="M14" s="84"/>
      <c r="O14" s="132">
        <f t="shared" si="2"/>
        <v>1184</v>
      </c>
      <c r="R14" s="139"/>
      <c r="S14" s="140"/>
      <c r="T14" s="139"/>
      <c r="V14" s="141"/>
    </row>
    <row r="15" spans="1:30">
      <c r="A15" s="121">
        <f t="shared" si="3"/>
        <v>42595</v>
      </c>
      <c r="B15" s="28" t="str">
        <f t="shared" si="1"/>
        <v>Sat</v>
      </c>
      <c r="C15" s="28" t="s">
        <v>957</v>
      </c>
      <c r="D15" s="134">
        <v>1</v>
      </c>
      <c r="E15" s="28"/>
      <c r="F15" s="122"/>
      <c r="G15" s="123"/>
      <c r="H15" s="122"/>
      <c r="I15" s="17">
        <f t="shared" si="0"/>
        <v>946.9</v>
      </c>
      <c r="J15" s="13"/>
      <c r="K15" s="10"/>
      <c r="L15" s="10"/>
      <c r="M15" s="84"/>
      <c r="N15" s="132">
        <f>SUM(I9:I15)</f>
        <v>7741.3799999999992</v>
      </c>
      <c r="O15" s="132">
        <f t="shared" si="2"/>
        <v>947</v>
      </c>
      <c r="R15" s="139"/>
      <c r="S15" s="140"/>
      <c r="T15" s="139"/>
      <c r="V15" s="141"/>
    </row>
    <row r="16" spans="1:30">
      <c r="A16" s="121">
        <f t="shared" si="3"/>
        <v>42596</v>
      </c>
      <c r="B16" s="28" t="str">
        <f t="shared" si="1"/>
        <v>Sun</v>
      </c>
      <c r="C16" s="28" t="s">
        <v>110</v>
      </c>
      <c r="D16" s="134">
        <v>1</v>
      </c>
      <c r="E16" s="28"/>
      <c r="F16" s="122"/>
      <c r="G16" s="123"/>
      <c r="H16" s="122"/>
      <c r="I16" s="17">
        <f t="shared" si="0"/>
        <v>676</v>
      </c>
      <c r="J16" s="13"/>
      <c r="K16" s="10"/>
      <c r="L16" s="10"/>
      <c r="M16" s="84"/>
      <c r="O16" s="132">
        <f t="shared" si="2"/>
        <v>676</v>
      </c>
      <c r="P16" t="str">
        <f>TEXT(Q16,"DDD")</f>
        <v>Thu</v>
      </c>
      <c r="Q16" s="138">
        <f>Q13+1</f>
        <v>42586</v>
      </c>
      <c r="R16" s="139" t="str">
        <f t="shared" si="5"/>
        <v>Thu</v>
      </c>
      <c r="S16" s="140">
        <v>42495</v>
      </c>
      <c r="T16" s="139">
        <v>1135</v>
      </c>
      <c r="U16">
        <v>2</v>
      </c>
      <c r="V16" s="141">
        <f>AVERAGE(T16:T17)</f>
        <v>1405</v>
      </c>
    </row>
    <row r="17" spans="1:22">
      <c r="A17" s="121">
        <f t="shared" si="3"/>
        <v>42597</v>
      </c>
      <c r="B17" s="28" t="str">
        <f t="shared" si="1"/>
        <v>Mon</v>
      </c>
      <c r="C17" s="28" t="s">
        <v>484</v>
      </c>
      <c r="D17" s="134">
        <v>1</v>
      </c>
      <c r="E17" s="28"/>
      <c r="F17" s="122"/>
      <c r="G17" s="123"/>
      <c r="H17" s="122"/>
      <c r="I17" s="17">
        <f t="shared" si="0"/>
        <v>1211.8500000000001</v>
      </c>
      <c r="J17" s="13"/>
      <c r="K17" s="10"/>
      <c r="L17" s="10"/>
      <c r="M17" s="84"/>
      <c r="O17" s="132">
        <f t="shared" si="2"/>
        <v>1212</v>
      </c>
      <c r="R17" s="139" t="str">
        <f t="shared" si="5"/>
        <v>Thu</v>
      </c>
      <c r="S17" s="140">
        <v>42446</v>
      </c>
      <c r="T17" s="139">
        <v>1675</v>
      </c>
      <c r="U17">
        <v>2</v>
      </c>
      <c r="V17" s="141"/>
    </row>
    <row r="18" spans="1:22">
      <c r="A18" s="121">
        <f t="shared" si="3"/>
        <v>42598</v>
      </c>
      <c r="B18" s="28" t="str">
        <f t="shared" si="1"/>
        <v>Tue</v>
      </c>
      <c r="C18" s="28" t="s">
        <v>484</v>
      </c>
      <c r="D18" s="134">
        <v>1</v>
      </c>
      <c r="E18" s="28"/>
      <c r="F18" s="122"/>
      <c r="G18" s="123"/>
      <c r="H18" s="122"/>
      <c r="I18" s="17">
        <f t="shared" si="0"/>
        <v>1071.5</v>
      </c>
      <c r="J18" s="13"/>
      <c r="K18" s="10"/>
      <c r="L18" s="10"/>
      <c r="M18" s="84"/>
      <c r="O18" s="132">
        <f t="shared" si="2"/>
        <v>1072</v>
      </c>
      <c r="R18" s="139"/>
      <c r="S18" s="140"/>
      <c r="T18" s="139"/>
      <c r="V18" s="141"/>
    </row>
    <row r="19" spans="1:22">
      <c r="A19" s="121">
        <f t="shared" si="3"/>
        <v>42599</v>
      </c>
      <c r="B19" s="28" t="str">
        <f t="shared" si="1"/>
        <v>Wed</v>
      </c>
      <c r="C19" s="28" t="s">
        <v>484</v>
      </c>
      <c r="D19" s="134">
        <v>1</v>
      </c>
      <c r="E19" s="28"/>
      <c r="F19" s="122"/>
      <c r="G19" s="123"/>
      <c r="H19" s="122"/>
      <c r="I19" s="17">
        <f t="shared" si="0"/>
        <v>1126.7</v>
      </c>
      <c r="J19" s="13"/>
      <c r="K19" s="10"/>
      <c r="L19" s="10"/>
      <c r="M19" s="84"/>
      <c r="O19" s="132">
        <f t="shared" si="2"/>
        <v>1127</v>
      </c>
      <c r="R19" s="139"/>
      <c r="S19" s="140"/>
      <c r="T19" s="139"/>
      <c r="V19" s="141"/>
    </row>
    <row r="20" spans="1:22">
      <c r="A20" s="121">
        <f t="shared" si="3"/>
        <v>42600</v>
      </c>
      <c r="B20" s="28" t="str">
        <f t="shared" si="1"/>
        <v>Thu</v>
      </c>
      <c r="C20" s="28" t="s">
        <v>110</v>
      </c>
      <c r="D20" s="134">
        <v>1</v>
      </c>
      <c r="E20" s="28"/>
      <c r="F20" s="122"/>
      <c r="G20" s="123"/>
      <c r="H20" s="122"/>
      <c r="I20" s="17">
        <f t="shared" si="0"/>
        <v>1087.2</v>
      </c>
      <c r="J20" s="13"/>
      <c r="K20" s="10"/>
      <c r="L20" s="10"/>
      <c r="M20" s="84"/>
      <c r="O20" s="132">
        <f t="shared" si="2"/>
        <v>1087</v>
      </c>
      <c r="P20" t="str">
        <f>TEXT(Q20,"DDD")</f>
        <v>Fri</v>
      </c>
      <c r="Q20" s="138">
        <f>Q16+1</f>
        <v>42587</v>
      </c>
      <c r="R20" s="139" t="str">
        <f t="shared" si="5"/>
        <v>Fri</v>
      </c>
      <c r="S20" s="140">
        <v>42503</v>
      </c>
      <c r="T20" s="139">
        <v>961</v>
      </c>
      <c r="U20">
        <v>2</v>
      </c>
      <c r="V20" s="141">
        <f>AVERAGE(T21:T22)</f>
        <v>1260.5</v>
      </c>
    </row>
    <row r="21" spans="1:22">
      <c r="A21" s="121">
        <f t="shared" si="3"/>
        <v>42601</v>
      </c>
      <c r="B21" s="28" t="str">
        <f t="shared" si="1"/>
        <v>Fri</v>
      </c>
      <c r="C21" s="28" t="s">
        <v>311</v>
      </c>
      <c r="D21" s="134">
        <v>2</v>
      </c>
      <c r="E21" s="28"/>
      <c r="F21" s="122"/>
      <c r="G21" s="123"/>
      <c r="H21" s="122"/>
      <c r="I21" s="17">
        <f t="shared" si="0"/>
        <v>1305.25</v>
      </c>
      <c r="J21" s="13"/>
      <c r="K21" s="10"/>
      <c r="L21" s="10"/>
      <c r="M21" s="84"/>
      <c r="O21" s="132">
        <f t="shared" si="2"/>
        <v>1305</v>
      </c>
      <c r="R21" s="139" t="str">
        <f t="shared" si="5"/>
        <v>Fri</v>
      </c>
      <c r="S21" s="140">
        <v>42482</v>
      </c>
      <c r="T21" s="139">
        <v>1119</v>
      </c>
      <c r="U21">
        <v>2</v>
      </c>
      <c r="V21" s="141"/>
    </row>
    <row r="22" spans="1:22">
      <c r="A22" s="121">
        <f t="shared" si="3"/>
        <v>42602</v>
      </c>
      <c r="B22" s="28" t="str">
        <f t="shared" si="1"/>
        <v>Sat</v>
      </c>
      <c r="C22" s="28" t="s">
        <v>110</v>
      </c>
      <c r="D22" s="134">
        <v>1</v>
      </c>
      <c r="E22" s="28"/>
      <c r="F22" s="122"/>
      <c r="G22" s="123"/>
      <c r="H22" s="122"/>
      <c r="I22" s="17">
        <f t="shared" si="0"/>
        <v>960</v>
      </c>
      <c r="J22" s="13"/>
      <c r="K22" s="10"/>
      <c r="L22" s="10"/>
      <c r="M22" s="84"/>
      <c r="N22" s="132">
        <f>SUM(I16:I22)</f>
        <v>7438.5</v>
      </c>
      <c r="O22" s="132">
        <f t="shared" si="2"/>
        <v>960</v>
      </c>
      <c r="R22" s="139" t="str">
        <f t="shared" si="5"/>
        <v>Fri</v>
      </c>
      <c r="S22" s="140">
        <v>42461</v>
      </c>
      <c r="T22" s="139">
        <v>1402</v>
      </c>
      <c r="U22">
        <v>2</v>
      </c>
      <c r="V22" s="141"/>
    </row>
    <row r="23" spans="1:22">
      <c r="A23" s="121">
        <f t="shared" si="3"/>
        <v>42603</v>
      </c>
      <c r="B23" s="28" t="str">
        <f t="shared" si="1"/>
        <v>Sun</v>
      </c>
      <c r="C23" s="28" t="s">
        <v>191</v>
      </c>
      <c r="D23" s="134">
        <v>1</v>
      </c>
      <c r="E23" s="28"/>
      <c r="F23" s="122"/>
      <c r="G23" s="123"/>
      <c r="H23" s="122"/>
      <c r="I23" s="17">
        <f t="shared" si="0"/>
        <v>645.15</v>
      </c>
      <c r="J23" s="13"/>
      <c r="K23" s="10"/>
      <c r="L23" s="10"/>
      <c r="M23" s="84"/>
      <c r="N23" s="21"/>
      <c r="O23" s="132">
        <f t="shared" si="2"/>
        <v>645</v>
      </c>
      <c r="R23" s="139"/>
      <c r="S23" s="140"/>
      <c r="T23" s="139"/>
      <c r="V23" s="141"/>
    </row>
    <row r="24" spans="1:22">
      <c r="A24" s="121">
        <f t="shared" si="3"/>
        <v>42604</v>
      </c>
      <c r="B24" s="28" t="str">
        <f t="shared" si="1"/>
        <v>Mon</v>
      </c>
      <c r="C24" s="28" t="s">
        <v>191</v>
      </c>
      <c r="D24" s="134">
        <v>1</v>
      </c>
      <c r="E24" s="28"/>
      <c r="F24" s="122"/>
      <c r="G24" s="123"/>
      <c r="H24" s="122"/>
      <c r="I24" s="17">
        <f t="shared" si="0"/>
        <v>1220.4000000000001</v>
      </c>
      <c r="J24" s="13"/>
      <c r="K24" s="10"/>
      <c r="L24" s="10"/>
      <c r="M24" s="84"/>
      <c r="N24" s="33"/>
      <c r="O24" s="132">
        <f t="shared" si="2"/>
        <v>1220</v>
      </c>
      <c r="P24" t="str">
        <f>TEXT(Q24,"DDD")</f>
        <v>Sat</v>
      </c>
      <c r="Q24" s="138">
        <f>Q20+1</f>
        <v>42588</v>
      </c>
      <c r="R24" s="139" t="str">
        <f t="shared" si="5"/>
        <v>Sat</v>
      </c>
      <c r="S24" s="140">
        <v>41706</v>
      </c>
      <c r="T24" s="139">
        <v>960</v>
      </c>
      <c r="U24">
        <v>1</v>
      </c>
      <c r="V24" s="141">
        <f>AVERAGE(T24)</f>
        <v>960</v>
      </c>
    </row>
    <row r="25" spans="1:22">
      <c r="A25" s="121">
        <f t="shared" si="3"/>
        <v>42605</v>
      </c>
      <c r="B25" s="28" t="str">
        <f t="shared" si="1"/>
        <v>Tue</v>
      </c>
      <c r="C25" s="28" t="s">
        <v>191</v>
      </c>
      <c r="D25" s="134">
        <v>1</v>
      </c>
      <c r="E25" s="28"/>
      <c r="F25" s="122"/>
      <c r="G25" s="123"/>
      <c r="H25" s="122"/>
      <c r="I25" s="17">
        <f t="shared" si="0"/>
        <v>1254</v>
      </c>
      <c r="J25" s="13"/>
      <c r="K25" s="10"/>
      <c r="L25" s="10"/>
      <c r="M25" s="84"/>
      <c r="N25" s="33"/>
      <c r="O25" s="132">
        <f t="shared" si="2"/>
        <v>1254</v>
      </c>
      <c r="R25" s="139" t="str">
        <f t="shared" si="5"/>
        <v>Mon</v>
      </c>
      <c r="S25" s="140">
        <v>42513</v>
      </c>
      <c r="T25" s="139">
        <v>905</v>
      </c>
      <c r="U25">
        <v>1</v>
      </c>
      <c r="V25" s="141"/>
    </row>
    <row r="26" spans="1:22" ht="15" customHeight="1">
      <c r="A26" s="121">
        <f t="shared" si="3"/>
        <v>42606</v>
      </c>
      <c r="B26" s="28" t="str">
        <f t="shared" si="1"/>
        <v>Wed</v>
      </c>
      <c r="C26" s="28" t="s">
        <v>110</v>
      </c>
      <c r="D26" s="134">
        <v>1</v>
      </c>
      <c r="E26" s="28"/>
      <c r="F26" s="122"/>
      <c r="G26" s="123"/>
      <c r="H26" s="122"/>
      <c r="I26" s="17">
        <f t="shared" si="0"/>
        <v>1249</v>
      </c>
      <c r="J26" s="13"/>
      <c r="K26" s="10"/>
      <c r="L26" s="10"/>
      <c r="M26" s="84"/>
      <c r="N26" s="33"/>
      <c r="O26" s="132">
        <f t="shared" si="2"/>
        <v>1249</v>
      </c>
      <c r="R26" s="139"/>
      <c r="S26" s="140"/>
      <c r="T26" s="139"/>
      <c r="V26" s="141"/>
    </row>
    <row r="27" spans="1:22" ht="12.75" customHeight="1">
      <c r="A27" s="121">
        <f t="shared" si="3"/>
        <v>42607</v>
      </c>
      <c r="B27" s="28" t="str">
        <f t="shared" si="1"/>
        <v>Thu</v>
      </c>
      <c r="C27" s="28" t="s">
        <v>110</v>
      </c>
      <c r="D27" s="134">
        <v>1</v>
      </c>
      <c r="E27" s="28"/>
      <c r="F27" s="122"/>
      <c r="G27" s="123"/>
      <c r="H27" s="122"/>
      <c r="I27" s="17">
        <f t="shared" si="0"/>
        <v>1096.26</v>
      </c>
      <c r="J27" s="13"/>
      <c r="K27" s="10"/>
      <c r="L27" s="10"/>
      <c r="M27" s="84"/>
      <c r="N27" s="33"/>
      <c r="O27" s="132">
        <f t="shared" si="2"/>
        <v>1096</v>
      </c>
      <c r="R27" s="139"/>
      <c r="S27" s="140"/>
      <c r="T27" s="139"/>
      <c r="V27" s="141"/>
    </row>
    <row r="28" spans="1:22">
      <c r="A28" s="121">
        <f t="shared" si="3"/>
        <v>42608</v>
      </c>
      <c r="B28" s="28" t="str">
        <f t="shared" si="1"/>
        <v>Fri</v>
      </c>
      <c r="C28" s="28" t="s">
        <v>17</v>
      </c>
      <c r="D28" s="134">
        <v>1</v>
      </c>
      <c r="E28" s="28"/>
      <c r="F28" s="122"/>
      <c r="G28" s="123"/>
      <c r="H28" s="122"/>
      <c r="I28" s="17">
        <f t="shared" si="0"/>
        <v>1101</v>
      </c>
      <c r="J28" s="13"/>
      <c r="K28" s="10"/>
      <c r="L28" s="10"/>
      <c r="M28" s="84"/>
      <c r="N28" s="33"/>
      <c r="O28" s="132">
        <f t="shared" si="2"/>
        <v>1101</v>
      </c>
      <c r="P28" t="str">
        <f>TEXT(Q28,"DDD")</f>
        <v>Sun</v>
      </c>
      <c r="Q28" s="138">
        <f>Q24+1</f>
        <v>42589</v>
      </c>
      <c r="R28" s="139" t="str">
        <f t="shared" si="5"/>
        <v>Sun</v>
      </c>
      <c r="S28" s="140">
        <v>42449</v>
      </c>
      <c r="T28" s="139">
        <v>987</v>
      </c>
      <c r="U28">
        <v>2</v>
      </c>
      <c r="V28" s="141">
        <f>AVERAGE(T28:T29)</f>
        <v>904</v>
      </c>
    </row>
    <row r="29" spans="1:22">
      <c r="A29" s="121">
        <f t="shared" si="3"/>
        <v>42609</v>
      </c>
      <c r="B29" s="28" t="str">
        <f t="shared" si="1"/>
        <v>Sat</v>
      </c>
      <c r="C29" s="28" t="s">
        <v>10</v>
      </c>
      <c r="D29" s="134">
        <v>0</v>
      </c>
      <c r="E29" s="28"/>
      <c r="F29" s="122"/>
      <c r="G29" s="28"/>
      <c r="H29" s="28"/>
      <c r="I29" s="17">
        <f t="shared" si="0"/>
        <v>761.3</v>
      </c>
      <c r="J29" s="123"/>
      <c r="K29" s="10"/>
      <c r="L29" s="10"/>
      <c r="M29" s="84"/>
      <c r="N29" s="132">
        <f>SUM(I23:I29)</f>
        <v>7327.1100000000006</v>
      </c>
      <c r="O29" s="132">
        <f t="shared" si="2"/>
        <v>761</v>
      </c>
      <c r="R29" s="139" t="str">
        <f t="shared" si="5"/>
        <v>Sun</v>
      </c>
      <c r="S29" s="140">
        <v>42435</v>
      </c>
      <c r="T29" s="139">
        <v>821</v>
      </c>
      <c r="U29">
        <v>2</v>
      </c>
      <c r="V29" s="141"/>
    </row>
    <row r="30" spans="1:22">
      <c r="D30"/>
      <c r="K30" s="144"/>
      <c r="L30" s="144"/>
      <c r="M30" s="84"/>
      <c r="N30" s="132"/>
      <c r="O30" s="132">
        <f t="shared" si="2"/>
        <v>0</v>
      </c>
      <c r="R30" s="139"/>
      <c r="S30" s="140"/>
      <c r="T30" s="139"/>
      <c r="V30" s="141"/>
    </row>
    <row r="31" spans="1:22">
      <c r="D31"/>
      <c r="K31" s="144"/>
      <c r="L31" s="144"/>
      <c r="M31" s="84"/>
      <c r="N31" s="132"/>
      <c r="O31" s="132">
        <f t="shared" si="2"/>
        <v>0</v>
      </c>
      <c r="R31" s="139"/>
      <c r="S31" s="140"/>
      <c r="T31" s="139"/>
      <c r="V31" s="141"/>
    </row>
    <row r="32" spans="1:22">
      <c r="D32"/>
      <c r="K32" s="144"/>
      <c r="L32" s="144"/>
      <c r="M32" s="84"/>
      <c r="N32" s="132"/>
      <c r="O32" s="132">
        <f t="shared" si="2"/>
        <v>0</v>
      </c>
      <c r="P32" t="str">
        <f>TEXT(Q32,"DDD")</f>
        <v>Mon</v>
      </c>
      <c r="Q32" s="138">
        <f>Q28+1</f>
        <v>42590</v>
      </c>
      <c r="R32" s="139" t="str">
        <f t="shared" si="5"/>
        <v>Mon</v>
      </c>
      <c r="S32" s="140">
        <v>42436</v>
      </c>
      <c r="T32" s="139">
        <v>1421</v>
      </c>
      <c r="U32">
        <v>2</v>
      </c>
      <c r="V32" s="141">
        <f>T32*0.85</f>
        <v>1207.8499999999999</v>
      </c>
    </row>
    <row r="33" spans="1:22">
      <c r="D33"/>
      <c r="K33" s="144"/>
      <c r="L33" s="144"/>
      <c r="M33" s="84"/>
      <c r="N33" s="132"/>
      <c r="O33" s="132">
        <f t="shared" si="2"/>
        <v>0</v>
      </c>
      <c r="R33" s="139"/>
      <c r="S33" s="140"/>
      <c r="T33" s="139"/>
      <c r="V33" s="141"/>
    </row>
    <row r="34" spans="1:22">
      <c r="D34"/>
      <c r="K34" s="144"/>
      <c r="L34" s="144"/>
      <c r="M34" s="84"/>
      <c r="N34" s="132"/>
      <c r="O34" s="132">
        <f t="shared" si="2"/>
        <v>0</v>
      </c>
      <c r="R34" s="139"/>
      <c r="S34" s="140"/>
      <c r="T34" s="139"/>
      <c r="V34" s="141"/>
    </row>
    <row r="35" spans="1:22">
      <c r="D35"/>
      <c r="O35" s="132">
        <f t="shared" si="2"/>
        <v>0</v>
      </c>
      <c r="R35" s="139"/>
      <c r="S35" s="140"/>
      <c r="T35" s="139"/>
      <c r="V35" s="141"/>
    </row>
    <row r="36" spans="1:22">
      <c r="D36"/>
      <c r="N36" s="132">
        <f>SUM(I30:I36)</f>
        <v>0</v>
      </c>
      <c r="O36" s="132">
        <f t="shared" si="2"/>
        <v>0</v>
      </c>
      <c r="P36" t="str">
        <f>TEXT(Q36,"DDD")</f>
        <v>Tue</v>
      </c>
      <c r="Q36" s="138">
        <f>Q32+1</f>
        <v>42591</v>
      </c>
      <c r="R36" s="139" t="str">
        <f t="shared" ref="R36:R37" si="6">TEXT(S36,"DDD")</f>
        <v>Tue</v>
      </c>
      <c r="S36" s="140">
        <v>42437</v>
      </c>
      <c r="T36" s="139">
        <v>1227</v>
      </c>
      <c r="U36">
        <v>1</v>
      </c>
      <c r="V36" s="141">
        <f>T36*0.95</f>
        <v>1165.6499999999999</v>
      </c>
    </row>
    <row r="37" spans="1:22">
      <c r="A37" s="129"/>
      <c r="B37" s="30"/>
      <c r="C37" s="30"/>
      <c r="D37" s="135"/>
      <c r="E37" s="30"/>
      <c r="F37" s="130"/>
      <c r="G37" s="30"/>
      <c r="H37" s="30"/>
      <c r="I37" s="131"/>
      <c r="J37" s="131">
        <v>30</v>
      </c>
      <c r="R37" s="139" t="str">
        <f t="shared" si="6"/>
        <v>Tue</v>
      </c>
      <c r="S37" s="140">
        <v>41961</v>
      </c>
      <c r="T37" s="139">
        <v>1141</v>
      </c>
      <c r="U37">
        <v>1</v>
      </c>
      <c r="V37" s="141"/>
    </row>
    <row r="38" spans="1:22">
      <c r="A38" s="129"/>
      <c r="B38" s="30"/>
      <c r="C38" s="30"/>
      <c r="D38" s="135">
        <v>1</v>
      </c>
      <c r="E38" s="30"/>
      <c r="F38" s="130"/>
      <c r="G38" s="30"/>
      <c r="H38" s="30"/>
      <c r="I38" s="131"/>
      <c r="J38" s="131">
        <v>31</v>
      </c>
      <c r="R38" s="139"/>
      <c r="S38" s="140"/>
      <c r="T38" s="139"/>
      <c r="V38" s="141"/>
    </row>
    <row r="39" spans="1:22">
      <c r="A39" s="129"/>
      <c r="B39" s="30"/>
      <c r="C39" s="30"/>
      <c r="D39" s="135">
        <v>1</v>
      </c>
      <c r="E39" s="30"/>
      <c r="F39" s="130"/>
      <c r="G39" s="30"/>
      <c r="H39" s="30"/>
      <c r="I39" s="142">
        <f>SUM(I2:I36)</f>
        <v>30364.49</v>
      </c>
      <c r="J39" s="131">
        <v>32</v>
      </c>
      <c r="N39" s="132">
        <f>AVERAGE(N29,N22,N15,N8,N36)</f>
        <v>6072.8979999999992</v>
      </c>
      <c r="O39" s="132">
        <f>SUM(O2:O36)</f>
        <v>30365</v>
      </c>
      <c r="P39" t="str">
        <f>TEXT(Q39,"DDD")</f>
        <v>Wed</v>
      </c>
      <c r="Q39" s="138">
        <f>Q36+1</f>
        <v>42592</v>
      </c>
      <c r="R39" s="139" t="str">
        <f t="shared" ref="R39:R40" si="7">TEXT(S39,"DDD")</f>
        <v>Wed</v>
      </c>
      <c r="S39" s="140">
        <v>42438</v>
      </c>
      <c r="T39" s="139">
        <v>1635</v>
      </c>
      <c r="U39">
        <v>2</v>
      </c>
      <c r="V39" s="141">
        <f>AVERAGE(T39)*0.7</f>
        <v>1144.5</v>
      </c>
    </row>
    <row r="40" spans="1:22">
      <c r="A40" s="129"/>
      <c r="B40" s="30"/>
      <c r="C40" s="30"/>
      <c r="D40" s="135"/>
      <c r="E40" s="30"/>
      <c r="F40" s="130"/>
      <c r="G40" s="30"/>
      <c r="H40" s="30"/>
      <c r="I40" s="131"/>
      <c r="J40" s="131">
        <v>33</v>
      </c>
      <c r="R40" s="139"/>
      <c r="S40" s="140"/>
      <c r="T40" s="139"/>
      <c r="V40" s="141"/>
    </row>
    <row r="41" spans="1:22">
      <c r="A41" s="129"/>
      <c r="B41" s="30"/>
      <c r="C41" s="30"/>
      <c r="D41" s="135"/>
      <c r="E41" s="30"/>
      <c r="F41" s="130"/>
      <c r="G41" s="30"/>
      <c r="H41" s="30"/>
      <c r="I41" s="131"/>
      <c r="J41" s="131">
        <v>34</v>
      </c>
      <c r="R41" s="139"/>
      <c r="S41" s="140"/>
      <c r="T41" s="139"/>
      <c r="V41" s="141"/>
    </row>
    <row r="42" spans="1:22">
      <c r="A42" s="129"/>
      <c r="B42" s="30"/>
      <c r="C42" s="30"/>
      <c r="D42" s="135"/>
      <c r="E42" s="30"/>
      <c r="F42" s="130"/>
      <c r="G42" s="30"/>
      <c r="H42" s="30"/>
      <c r="I42" s="131"/>
      <c r="J42" s="131">
        <v>35</v>
      </c>
      <c r="P42" t="str">
        <f>TEXT(Q42,"DDD")</f>
        <v>Thu</v>
      </c>
      <c r="Q42" s="138">
        <f>Q39+1</f>
        <v>42593</v>
      </c>
      <c r="R42" s="139" t="str">
        <f t="shared" ref="R42:R43" si="8">TEXT(S42,"DDD")</f>
        <v>Thu</v>
      </c>
      <c r="S42" s="140">
        <v>42439</v>
      </c>
      <c r="T42" s="139">
        <v>1485</v>
      </c>
      <c r="U42">
        <v>2</v>
      </c>
      <c r="V42" s="141">
        <f>T42*0.8</f>
        <v>1188</v>
      </c>
    </row>
    <row r="43" spans="1:22">
      <c r="R43" s="139"/>
      <c r="S43" s="140"/>
      <c r="T43" s="139"/>
      <c r="V43" s="141"/>
    </row>
    <row r="44" spans="1:22">
      <c r="R44" s="139"/>
      <c r="S44" s="140"/>
      <c r="T44" s="139"/>
      <c r="V44" s="141"/>
    </row>
    <row r="45" spans="1:22">
      <c r="P45" t="str">
        <f>TEXT(Q45,"DDD")</f>
        <v>Fri</v>
      </c>
      <c r="Q45" s="138">
        <f>Q42+1</f>
        <v>42594</v>
      </c>
      <c r="R45" s="139" t="str">
        <f t="shared" ref="R45:R52" si="9">TEXT(S45,"DDD")</f>
        <v>Fri</v>
      </c>
      <c r="S45" s="140">
        <v>42440</v>
      </c>
      <c r="T45" s="139">
        <v>1346</v>
      </c>
      <c r="U45">
        <v>1</v>
      </c>
      <c r="V45" s="141">
        <f>AVERAGE(T45)*0.88</f>
        <v>1184.48</v>
      </c>
    </row>
    <row r="46" spans="1:22">
      <c r="R46" s="139"/>
      <c r="S46" s="140"/>
      <c r="T46" s="139"/>
      <c r="V46" s="141"/>
    </row>
    <row r="47" spans="1:22">
      <c r="N47" s="21"/>
      <c r="R47" s="139"/>
      <c r="S47" s="140"/>
      <c r="T47" s="139"/>
      <c r="V47" s="141"/>
    </row>
    <row r="48" spans="1:22">
      <c r="N48" s="33"/>
      <c r="P48" t="str">
        <f>TEXT(Q48,"DDD")</f>
        <v>Sat</v>
      </c>
      <c r="Q48" s="138">
        <f>Q45+1</f>
        <v>42595</v>
      </c>
      <c r="R48" s="139" t="str">
        <f t="shared" si="9"/>
        <v>Sat</v>
      </c>
      <c r="S48" s="140">
        <v>42441</v>
      </c>
      <c r="T48" s="139">
        <v>1018</v>
      </c>
      <c r="U48">
        <v>2</v>
      </c>
      <c r="V48" s="141">
        <f>AVERAGE(T48:T49)*0.85</f>
        <v>946.9</v>
      </c>
    </row>
    <row r="49" spans="14:22">
      <c r="N49" s="33"/>
      <c r="R49" s="139" t="str">
        <f t="shared" si="9"/>
        <v>Sat</v>
      </c>
      <c r="S49" s="140">
        <v>42378</v>
      </c>
      <c r="T49" s="139">
        <v>1210</v>
      </c>
      <c r="U49">
        <v>1</v>
      </c>
      <c r="V49" s="141"/>
    </row>
    <row r="50" spans="14:22">
      <c r="N50" s="33"/>
      <c r="R50" s="139"/>
      <c r="S50" s="140"/>
      <c r="T50" s="139"/>
      <c r="V50" s="141"/>
    </row>
    <row r="51" spans="14:22">
      <c r="P51" t="str">
        <f>TEXT(Q51,"DDD")</f>
        <v>Sun</v>
      </c>
      <c r="Q51" s="138">
        <f>Q48+1</f>
        <v>42596</v>
      </c>
      <c r="R51" s="139" t="str">
        <f t="shared" si="9"/>
        <v>Sun</v>
      </c>
      <c r="S51" s="140">
        <v>42484</v>
      </c>
      <c r="T51" s="139">
        <v>585</v>
      </c>
      <c r="U51">
        <v>2</v>
      </c>
      <c r="V51" s="141">
        <f>AVERAGE(T51:T52)</f>
        <v>676</v>
      </c>
    </row>
    <row r="52" spans="14:22">
      <c r="R52" s="139" t="str">
        <f t="shared" si="9"/>
        <v>Sun</v>
      </c>
      <c r="S52" s="140">
        <v>41700</v>
      </c>
      <c r="T52" s="139">
        <v>767</v>
      </c>
      <c r="U52">
        <v>1</v>
      </c>
      <c r="V52" s="141"/>
    </row>
    <row r="53" spans="14:22">
      <c r="R53" s="139"/>
      <c r="S53" s="140"/>
      <c r="T53" s="139"/>
      <c r="V53" s="141"/>
    </row>
    <row r="54" spans="14:22">
      <c r="P54" t="str">
        <f>TEXT(Q54,"DDD")</f>
        <v>Mon</v>
      </c>
      <c r="Q54" s="138">
        <f>Q51+1</f>
        <v>42597</v>
      </c>
      <c r="R54" s="139" t="str">
        <f t="shared" ref="R54:R55" si="10">TEXT(S54,"DDD")</f>
        <v>Mon</v>
      </c>
      <c r="S54" s="140">
        <v>42464</v>
      </c>
      <c r="T54" s="139">
        <v>1383</v>
      </c>
      <c r="U54">
        <v>1</v>
      </c>
      <c r="V54" s="141">
        <f>AVERAGE(T54:T55)*0.9</f>
        <v>1211.8500000000001</v>
      </c>
    </row>
    <row r="55" spans="14:22">
      <c r="R55" s="139" t="str">
        <f t="shared" si="10"/>
        <v>Mon</v>
      </c>
      <c r="S55" s="140">
        <v>42310</v>
      </c>
      <c r="T55" s="139">
        <v>1310</v>
      </c>
      <c r="U55">
        <v>1</v>
      </c>
      <c r="V55" s="141"/>
    </row>
    <row r="56" spans="14:22">
      <c r="R56" s="139"/>
      <c r="S56" s="140"/>
      <c r="T56" s="139"/>
      <c r="V56" s="141"/>
    </row>
    <row r="57" spans="14:22">
      <c r="R57" s="139"/>
      <c r="S57" s="140"/>
      <c r="T57" s="139"/>
      <c r="V57" s="141"/>
    </row>
    <row r="58" spans="14:22">
      <c r="P58" t="str">
        <f>TEXT(Q58,"DDD")</f>
        <v>Tue</v>
      </c>
      <c r="Q58" s="138">
        <f>Q54+1</f>
        <v>42598</v>
      </c>
      <c r="R58" s="139" t="str">
        <f t="shared" ref="R58:R69" si="11">TEXT(S58,"DDD")</f>
        <v>Tue</v>
      </c>
      <c r="S58" s="140">
        <v>42507</v>
      </c>
      <c r="T58" s="139">
        <v>854</v>
      </c>
      <c r="U58">
        <v>1</v>
      </c>
      <c r="V58" s="141">
        <f>AVERAGE(T58:T59)</f>
        <v>1071.5</v>
      </c>
    </row>
    <row r="59" spans="14:22">
      <c r="R59" s="139" t="str">
        <f t="shared" si="11"/>
        <v>Tue</v>
      </c>
      <c r="S59" s="140">
        <v>42206</v>
      </c>
      <c r="T59" s="139">
        <v>1289</v>
      </c>
      <c r="U59">
        <v>1</v>
      </c>
      <c r="V59" s="141"/>
    </row>
    <row r="60" spans="14:22">
      <c r="R60" s="139"/>
      <c r="S60" s="140"/>
      <c r="T60" s="139"/>
      <c r="V60" s="141"/>
    </row>
    <row r="61" spans="14:22">
      <c r="P61" t="str">
        <f>TEXT(Q61,"DDD")</f>
        <v>Wed</v>
      </c>
      <c r="Q61" s="138">
        <f>Q58+1</f>
        <v>42599</v>
      </c>
      <c r="R61" s="139" t="str">
        <f t="shared" si="11"/>
        <v>Wed</v>
      </c>
      <c r="S61" s="140">
        <v>42508</v>
      </c>
      <c r="T61" s="139">
        <v>918</v>
      </c>
      <c r="U61">
        <v>2</v>
      </c>
      <c r="V61" s="141">
        <f>AVERAGE(T61:T62)*0.95</f>
        <v>1126.7</v>
      </c>
    </row>
    <row r="62" spans="14:22">
      <c r="R62" s="139" t="str">
        <f t="shared" si="11"/>
        <v>Wed</v>
      </c>
      <c r="S62" s="140">
        <v>42480</v>
      </c>
      <c r="T62" s="139">
        <v>1454</v>
      </c>
      <c r="U62">
        <v>2</v>
      </c>
      <c r="V62" s="141"/>
    </row>
    <row r="63" spans="14:22">
      <c r="R63" s="139"/>
      <c r="S63" s="140"/>
      <c r="T63" s="139"/>
      <c r="V63" s="141"/>
    </row>
    <row r="64" spans="14:22">
      <c r="R64" s="139"/>
      <c r="S64" s="140"/>
      <c r="T64" s="139"/>
      <c r="V64" s="141"/>
    </row>
    <row r="65" spans="16:22">
      <c r="P65" t="str">
        <f>TEXT(Q65,"DDD")</f>
        <v>Thu</v>
      </c>
      <c r="Q65" s="138">
        <f>Q61+1</f>
        <v>42600</v>
      </c>
      <c r="R65" s="139" t="str">
        <f t="shared" si="11"/>
        <v>Thu</v>
      </c>
      <c r="S65" s="140">
        <v>42271</v>
      </c>
      <c r="T65" s="139">
        <v>906</v>
      </c>
      <c r="U65">
        <v>1</v>
      </c>
      <c r="V65" s="141">
        <f>T65*1.2</f>
        <v>1087.2</v>
      </c>
    </row>
    <row r="66" spans="16:22">
      <c r="R66" s="139"/>
      <c r="S66" s="140"/>
      <c r="T66" s="139"/>
      <c r="V66" s="141"/>
    </row>
    <row r="67" spans="16:22">
      <c r="R67" s="139"/>
      <c r="S67" s="140"/>
      <c r="T67" s="139"/>
      <c r="V67" s="141"/>
    </row>
    <row r="68" spans="16:22">
      <c r="P68" t="str">
        <f>TEXT(Q68,"DDD")</f>
        <v>Fri</v>
      </c>
      <c r="Q68" s="138">
        <f>Q65+1</f>
        <v>42601</v>
      </c>
      <c r="R68" s="139" t="str">
        <f t="shared" si="11"/>
        <v>Thu</v>
      </c>
      <c r="S68" s="140">
        <v>42495</v>
      </c>
      <c r="T68" s="139">
        <v>1135</v>
      </c>
      <c r="U68">
        <v>2</v>
      </c>
      <c r="V68" s="141">
        <f>T68*1.15</f>
        <v>1305.25</v>
      </c>
    </row>
    <row r="69" spans="16:22">
      <c r="R69" s="139"/>
      <c r="S69" s="140"/>
      <c r="T69" s="139"/>
      <c r="V69" s="141"/>
    </row>
    <row r="70" spans="16:22">
      <c r="R70" s="139"/>
      <c r="S70" s="140"/>
      <c r="T70" s="139"/>
      <c r="V70" s="141"/>
    </row>
    <row r="71" spans="16:22">
      <c r="R71" s="139"/>
      <c r="S71" s="140"/>
      <c r="T71" s="139"/>
      <c r="V71" s="141"/>
    </row>
    <row r="72" spans="16:22">
      <c r="P72" t="str">
        <f>TEXT(Q72,"DDD")</f>
        <v>Sat</v>
      </c>
      <c r="Q72" s="138">
        <f>Q68+1</f>
        <v>42602</v>
      </c>
      <c r="R72" s="139" t="str">
        <f t="shared" ref="R72" si="12">TEXT(S72,"DDD")</f>
        <v>Sat</v>
      </c>
      <c r="S72" s="140">
        <v>41706</v>
      </c>
      <c r="T72" s="139">
        <v>960</v>
      </c>
      <c r="U72">
        <v>1</v>
      </c>
      <c r="V72" s="141">
        <f>AVERAGE(T72)</f>
        <v>960</v>
      </c>
    </row>
    <row r="73" spans="16:22">
      <c r="R73" s="139"/>
      <c r="S73" s="140"/>
      <c r="T73" s="139"/>
      <c r="V73" s="141"/>
    </row>
    <row r="74" spans="16:22">
      <c r="R74" s="139"/>
      <c r="S74" s="140"/>
      <c r="T74" s="139"/>
      <c r="V74" s="141"/>
    </row>
    <row r="75" spans="16:22">
      <c r="R75" s="139"/>
      <c r="S75" s="140"/>
      <c r="T75" s="139"/>
      <c r="V75" s="141"/>
    </row>
    <row r="76" spans="16:22">
      <c r="P76" t="str">
        <f>TEXT(Q76,"DDD")</f>
        <v>Sun</v>
      </c>
      <c r="Q76" s="138">
        <f>Q72+1</f>
        <v>42603</v>
      </c>
      <c r="R76" s="139" t="str">
        <f t="shared" ref="R76:R84" si="13">TEXT(S76,"DDD")</f>
        <v>Sun</v>
      </c>
      <c r="S76" s="140">
        <v>42512</v>
      </c>
      <c r="T76" s="139">
        <v>417</v>
      </c>
      <c r="U76">
        <v>1</v>
      </c>
      <c r="V76" s="141">
        <f>AVERAGE(T76:T77)*1.15</f>
        <v>645.15</v>
      </c>
    </row>
    <row r="77" spans="16:22">
      <c r="R77" s="139" t="str">
        <f t="shared" si="13"/>
        <v>Sun</v>
      </c>
      <c r="S77" s="140">
        <v>42421</v>
      </c>
      <c r="T77" s="139">
        <v>705</v>
      </c>
      <c r="U77">
        <v>1</v>
      </c>
      <c r="V77" s="141"/>
    </row>
    <row r="78" spans="16:22">
      <c r="R78" s="139"/>
      <c r="S78" s="140"/>
      <c r="T78" s="139"/>
      <c r="V78" s="141"/>
    </row>
    <row r="79" spans="16:22">
      <c r="R79" s="139"/>
      <c r="S79" s="140"/>
      <c r="T79" s="139"/>
      <c r="V79" s="141"/>
    </row>
    <row r="80" spans="16:22">
      <c r="P80" t="str">
        <f>TEXT(Q80,"DDD")</f>
        <v>Mon</v>
      </c>
      <c r="Q80" s="138">
        <f>Q76+1</f>
        <v>42604</v>
      </c>
      <c r="R80" s="139" t="str">
        <f t="shared" si="13"/>
        <v>Mon</v>
      </c>
      <c r="S80" s="140">
        <v>42212</v>
      </c>
      <c r="T80" s="139">
        <v>1526</v>
      </c>
      <c r="U80">
        <v>1</v>
      </c>
      <c r="V80" s="141">
        <f>AVERAGE(T80:T81)*0.9</f>
        <v>1220.4000000000001</v>
      </c>
    </row>
    <row r="81" spans="16:22">
      <c r="R81" s="139" t="str">
        <f t="shared" si="13"/>
        <v>Mon</v>
      </c>
      <c r="S81" s="140">
        <v>41827</v>
      </c>
      <c r="T81" s="139">
        <v>1186</v>
      </c>
      <c r="U81">
        <v>1</v>
      </c>
      <c r="V81" s="141"/>
    </row>
    <row r="82" spans="16:22">
      <c r="R82" s="139"/>
      <c r="S82" s="140"/>
      <c r="T82" s="139"/>
      <c r="V82" s="141"/>
    </row>
    <row r="83" spans="16:22">
      <c r="P83" t="str">
        <f>TEXT(Q83,"DDD")</f>
        <v>Tue</v>
      </c>
      <c r="Q83" s="138">
        <f>Q80+1</f>
        <v>42605</v>
      </c>
      <c r="R83" s="139" t="str">
        <f t="shared" si="13"/>
        <v>Tue</v>
      </c>
      <c r="S83" s="140">
        <v>42423</v>
      </c>
      <c r="T83" s="139">
        <v>1510</v>
      </c>
      <c r="U83">
        <v>1</v>
      </c>
      <c r="V83" s="141">
        <f>AVERAGE(T83:T84)*0.8</f>
        <v>1254</v>
      </c>
    </row>
    <row r="84" spans="16:22">
      <c r="R84" s="139" t="str">
        <f t="shared" si="13"/>
        <v>Tue</v>
      </c>
      <c r="S84" s="140">
        <v>42416</v>
      </c>
      <c r="T84" s="139">
        <v>1625</v>
      </c>
      <c r="U84">
        <v>1</v>
      </c>
      <c r="V84" s="141"/>
    </row>
    <row r="85" spans="16:22">
      <c r="R85" s="139"/>
      <c r="S85" s="140"/>
      <c r="T85" s="139"/>
      <c r="V85" s="141"/>
    </row>
    <row r="86" spans="16:22">
      <c r="R86" s="139"/>
      <c r="S86" s="140"/>
      <c r="T86" s="139"/>
      <c r="V86" s="141"/>
    </row>
    <row r="87" spans="16:22">
      <c r="P87" t="str">
        <f>TEXT(Q87,"DDD")</f>
        <v>Wed</v>
      </c>
      <c r="Q87" s="138">
        <f>Q83+1</f>
        <v>42606</v>
      </c>
      <c r="R87" s="139" t="str">
        <f t="shared" ref="R87:R88" si="14">TEXT(S87,"DDD")</f>
        <v>Wed</v>
      </c>
      <c r="S87" s="140">
        <v>42473</v>
      </c>
      <c r="T87" s="139">
        <v>1249</v>
      </c>
      <c r="U87">
        <v>2</v>
      </c>
      <c r="V87" s="141">
        <f>T87</f>
        <v>1249</v>
      </c>
    </row>
    <row r="88" spans="16:22">
      <c r="R88" s="139" t="str">
        <f t="shared" si="14"/>
        <v>Fri</v>
      </c>
      <c r="S88" s="140">
        <v>41705</v>
      </c>
      <c r="T88" s="139">
        <v>1151</v>
      </c>
      <c r="U88">
        <v>1</v>
      </c>
      <c r="V88" s="141"/>
    </row>
    <row r="89" spans="16:22">
      <c r="R89" s="139"/>
      <c r="S89" s="140"/>
      <c r="T89" s="139"/>
      <c r="V89" s="141"/>
    </row>
    <row r="90" spans="16:22">
      <c r="R90" s="139"/>
      <c r="S90" s="140"/>
      <c r="T90" s="139"/>
      <c r="V90" s="141"/>
    </row>
    <row r="91" spans="16:22">
      <c r="R91" s="139"/>
      <c r="S91" s="140"/>
      <c r="T91" s="139"/>
      <c r="V91" s="141"/>
    </row>
    <row r="92" spans="16:22">
      <c r="P92" t="str">
        <f>TEXT(Q92,"DDD")</f>
        <v>Thu</v>
      </c>
      <c r="Q92" s="138">
        <f>Q87+1</f>
        <v>42607</v>
      </c>
      <c r="R92" s="139" t="str">
        <f t="shared" ref="R92:R100" si="15">TEXT(S92,"DDD")</f>
        <v>Thu</v>
      </c>
      <c r="S92" s="140">
        <v>42271</v>
      </c>
      <c r="T92" s="139">
        <v>906</v>
      </c>
      <c r="U92">
        <v>1</v>
      </c>
      <c r="V92" s="141">
        <f>T92*1.21</f>
        <v>1096.26</v>
      </c>
    </row>
    <row r="93" spans="16:22">
      <c r="R93" s="139"/>
      <c r="S93" s="140"/>
      <c r="T93" s="139"/>
      <c r="V93" s="141"/>
    </row>
    <row r="94" spans="16:22">
      <c r="R94" s="139"/>
      <c r="S94" s="140"/>
      <c r="T94" s="139"/>
    </row>
    <row r="95" spans="16:22">
      <c r="P95" t="str">
        <f>TEXT(Q95,"DDD")</f>
        <v>Fri</v>
      </c>
      <c r="Q95" s="138">
        <f>Q92+1</f>
        <v>42608</v>
      </c>
      <c r="R95" s="139" t="str">
        <f t="shared" si="15"/>
        <v>Fri</v>
      </c>
      <c r="S95" s="140">
        <v>42510</v>
      </c>
      <c r="T95" s="139">
        <v>916</v>
      </c>
      <c r="U95">
        <v>1</v>
      </c>
      <c r="V95" s="141">
        <f>AVERAGE(T95:T97)*1.2</f>
        <v>1101</v>
      </c>
    </row>
    <row r="96" spans="16:22">
      <c r="R96" s="139" t="str">
        <f t="shared" si="15"/>
        <v>Fri</v>
      </c>
      <c r="S96" s="140">
        <v>42489</v>
      </c>
      <c r="T96" s="139">
        <v>919</v>
      </c>
      <c r="U96">
        <v>1</v>
      </c>
      <c r="V96" s="141"/>
    </row>
    <row r="97" spans="14:22">
      <c r="R97" s="139"/>
      <c r="S97" s="140"/>
      <c r="T97" s="139"/>
    </row>
    <row r="98" spans="14:22">
      <c r="R98" s="139"/>
      <c r="S98" s="140"/>
      <c r="T98" s="139"/>
    </row>
    <row r="99" spans="14:22">
      <c r="N99" s="21"/>
      <c r="P99" t="str">
        <f>TEXT(Q99,"DDD")</f>
        <v>Sat</v>
      </c>
      <c r="Q99" s="138">
        <f>Q95+1</f>
        <v>42609</v>
      </c>
      <c r="R99" s="139" t="str">
        <f t="shared" si="15"/>
        <v>Sat</v>
      </c>
      <c r="S99" s="140">
        <v>42294</v>
      </c>
      <c r="T99" s="139">
        <v>565</v>
      </c>
      <c r="V99" s="141">
        <f>AVERAGE(T99:T101)*1.15</f>
        <v>761.3</v>
      </c>
    </row>
    <row r="100" spans="14:22">
      <c r="N100" s="33"/>
      <c r="R100" s="139" t="str">
        <f t="shared" si="15"/>
        <v>Sat</v>
      </c>
      <c r="S100" s="140">
        <v>42259</v>
      </c>
      <c r="T100" s="139">
        <v>759</v>
      </c>
    </row>
    <row r="101" spans="14:22">
      <c r="N101" s="33"/>
      <c r="R101" s="139"/>
      <c r="S101" s="140"/>
      <c r="T101" s="139"/>
    </row>
    <row r="102" spans="14:22">
      <c r="N102" s="33"/>
      <c r="R102" s="139"/>
      <c r="S102" s="140"/>
      <c r="T102" s="139"/>
      <c r="V102" s="141"/>
    </row>
    <row r="103" spans="14:22">
      <c r="R103" s="139"/>
      <c r="S103" s="140"/>
      <c r="T103" s="139"/>
    </row>
    <row r="104" spans="14:22">
      <c r="R104" s="139"/>
      <c r="S104" s="140"/>
      <c r="T104" s="139"/>
    </row>
    <row r="105" spans="14:22">
      <c r="P105" t="str">
        <f>TEXT(Q105,"DDD")</f>
        <v>Sun</v>
      </c>
      <c r="Q105" s="138">
        <f>Q99+1</f>
        <v>42610</v>
      </c>
      <c r="R105" s="139" t="str">
        <f t="shared" ref="R105:R106" si="16">TEXT(S105,"DDD")</f>
        <v>Sat</v>
      </c>
      <c r="S105" s="140"/>
      <c r="T105" s="139"/>
      <c r="V105" s="141">
        <f>T105*1.2</f>
        <v>0</v>
      </c>
    </row>
    <row r="106" spans="14:22">
      <c r="R106" s="139" t="str">
        <f t="shared" si="16"/>
        <v>Sat</v>
      </c>
      <c r="S106" s="140"/>
      <c r="T106" s="139"/>
    </row>
    <row r="107" spans="14:22">
      <c r="R107" s="139"/>
      <c r="S107" s="140"/>
      <c r="T107" s="139"/>
    </row>
    <row r="108" spans="14:22">
      <c r="R108" s="139"/>
      <c r="S108" s="140"/>
      <c r="T108" s="139"/>
      <c r="V108" s="141"/>
    </row>
    <row r="109" spans="14:22">
      <c r="R109" s="139"/>
      <c r="S109" s="140"/>
      <c r="T109" s="139"/>
    </row>
    <row r="110" spans="14:22">
      <c r="N110" s="21"/>
      <c r="R110" s="139"/>
      <c r="S110" s="140"/>
      <c r="T110" s="139"/>
    </row>
    <row r="111" spans="14:22">
      <c r="N111" s="33"/>
      <c r="P111" t="str">
        <f>TEXT(Q111,"DDD")</f>
        <v>Mon</v>
      </c>
      <c r="Q111" s="138">
        <f>Q105+1</f>
        <v>42611</v>
      </c>
      <c r="R111" s="139" t="str">
        <f t="shared" ref="R111:R112" si="17">TEXT(S111,"DDD")</f>
        <v>Sat</v>
      </c>
      <c r="S111" s="140"/>
      <c r="T111" s="139"/>
      <c r="V111" t="e">
        <f>AVERAGE(T111:T112)</f>
        <v>#DIV/0!</v>
      </c>
    </row>
    <row r="112" spans="14:22">
      <c r="N112" s="33"/>
      <c r="R112" s="139" t="str">
        <f t="shared" si="17"/>
        <v>Sat</v>
      </c>
      <c r="S112" s="140"/>
      <c r="T112" s="139"/>
      <c r="V112" s="141"/>
    </row>
    <row r="113" spans="14:22">
      <c r="R113" s="139"/>
      <c r="S113" s="140"/>
      <c r="T113" s="139"/>
    </row>
    <row r="114" spans="14:22">
      <c r="R114" s="139"/>
      <c r="S114" s="140"/>
      <c r="T114" s="139"/>
    </row>
    <row r="115" spans="14:22">
      <c r="R115" s="139"/>
      <c r="S115" s="140"/>
      <c r="T115" s="139"/>
      <c r="V115" s="141"/>
    </row>
    <row r="116" spans="14:22">
      <c r="R116" s="139"/>
      <c r="S116" s="140"/>
      <c r="T116" s="139"/>
    </row>
    <row r="117" spans="14:22">
      <c r="P117" t="str">
        <f>TEXT(Q117,"DDD")</f>
        <v>Tue</v>
      </c>
      <c r="Q117" s="138">
        <f>Q111+1</f>
        <v>42612</v>
      </c>
      <c r="R117" s="139" t="str">
        <f t="shared" ref="R117:R119" si="18">TEXT(S117,"DDD")</f>
        <v>Sat</v>
      </c>
      <c r="S117" s="140"/>
      <c r="T117" s="139"/>
      <c r="V117" s="141" t="e">
        <f>AVERAGE(T117:T119)*0.9</f>
        <v>#DIV/0!</v>
      </c>
    </row>
    <row r="118" spans="14:22">
      <c r="R118" s="139" t="str">
        <f t="shared" si="18"/>
        <v>Sat</v>
      </c>
      <c r="S118" s="140"/>
      <c r="T118" s="139"/>
      <c r="V118" s="141"/>
    </row>
    <row r="119" spans="14:22">
      <c r="R119" s="139" t="str">
        <f t="shared" si="18"/>
        <v>Sat</v>
      </c>
      <c r="S119" s="140"/>
      <c r="T119" s="139"/>
    </row>
    <row r="120" spans="14:22">
      <c r="R120" s="139"/>
      <c r="S120" s="140"/>
      <c r="T120" s="139"/>
    </row>
    <row r="121" spans="14:22">
      <c r="R121" s="139"/>
      <c r="S121" s="140"/>
      <c r="T121" s="139"/>
    </row>
    <row r="122" spans="14:22">
      <c r="R122" s="139"/>
      <c r="S122" s="140"/>
      <c r="T122" s="139"/>
    </row>
    <row r="123" spans="14:22">
      <c r="P123" t="str">
        <f>TEXT(Q123,"DDD")</f>
        <v>Wed</v>
      </c>
      <c r="Q123" s="138">
        <f>Q117+1</f>
        <v>42613</v>
      </c>
      <c r="R123" s="139" t="str">
        <f t="shared" ref="R123" si="19">TEXT(S123,"DDD")</f>
        <v>Sat</v>
      </c>
      <c r="S123" s="140"/>
      <c r="T123" s="139"/>
      <c r="V123" s="141">
        <f>T123*0.95</f>
        <v>0</v>
      </c>
    </row>
    <row r="124" spans="14:22">
      <c r="R124" s="139"/>
      <c r="S124" s="140"/>
      <c r="T124" s="139"/>
    </row>
    <row r="125" spans="14:22">
      <c r="N125" s="21"/>
      <c r="R125" s="139"/>
      <c r="S125" s="140"/>
      <c r="T125" s="139"/>
    </row>
    <row r="126" spans="14:22">
      <c r="N126" s="33"/>
      <c r="R126" s="139"/>
      <c r="S126" s="140"/>
      <c r="T126" s="139"/>
    </row>
    <row r="127" spans="14:22">
      <c r="N127" s="33"/>
      <c r="R127" s="139"/>
      <c r="S127" s="140"/>
      <c r="T127" s="139"/>
    </row>
    <row r="128" spans="14:22">
      <c r="N128" s="33"/>
      <c r="R128" s="139"/>
      <c r="S128" s="140"/>
      <c r="T128" s="139"/>
    </row>
    <row r="129" spans="14:22">
      <c r="P129" t="str">
        <f>TEXT(Q129,"DDD")</f>
        <v>Thu</v>
      </c>
      <c r="Q129" s="138">
        <f>Q123+1</f>
        <v>42614</v>
      </c>
      <c r="R129" s="139" t="str">
        <f t="shared" ref="R129" si="20">TEXT(S129,"DDD")</f>
        <v>Sat</v>
      </c>
      <c r="S129" s="140"/>
      <c r="T129" s="139"/>
      <c r="V129" s="141">
        <f>T129</f>
        <v>0</v>
      </c>
    </row>
    <row r="130" spans="14:22">
      <c r="R130" s="139"/>
      <c r="S130" s="140"/>
      <c r="T130" s="139"/>
    </row>
    <row r="131" spans="14:22">
      <c r="R131" s="139"/>
      <c r="S131" s="140"/>
      <c r="T131" s="139"/>
    </row>
    <row r="132" spans="14:22">
      <c r="R132" s="139"/>
      <c r="S132" s="140"/>
      <c r="T132" s="139"/>
    </row>
    <row r="133" spans="14:22">
      <c r="N133" s="21"/>
      <c r="R133" s="139"/>
      <c r="S133" s="140"/>
      <c r="T133" s="139"/>
    </row>
    <row r="134" spans="14:22">
      <c r="N134" s="33"/>
      <c r="R134" s="139"/>
      <c r="S134" s="140"/>
      <c r="T134" s="139"/>
    </row>
    <row r="135" spans="14:22">
      <c r="N135" s="33"/>
      <c r="P135" t="str">
        <f>TEXT(Q135,"DDD")</f>
        <v>Fri</v>
      </c>
      <c r="Q135" s="138">
        <f>Q129+1</f>
        <v>42615</v>
      </c>
      <c r="R135" s="139" t="str">
        <f t="shared" ref="R135:R137" si="21">TEXT(S135,"DDD")</f>
        <v>Sat</v>
      </c>
      <c r="S135" s="140"/>
      <c r="T135" s="139"/>
      <c r="V135" s="141">
        <f>T135</f>
        <v>0</v>
      </c>
    </row>
    <row r="136" spans="14:22">
      <c r="N136" s="33"/>
      <c r="R136" s="139" t="str">
        <f t="shared" si="21"/>
        <v>Sat</v>
      </c>
      <c r="S136" s="140"/>
      <c r="T136" s="139"/>
    </row>
    <row r="137" spans="14:22">
      <c r="R137" s="139" t="str">
        <f t="shared" si="21"/>
        <v>Sat</v>
      </c>
      <c r="S137" s="140"/>
      <c r="T137" s="139"/>
    </row>
    <row r="138" spans="14:22">
      <c r="R138" s="139"/>
      <c r="S138" s="140"/>
      <c r="T138" s="139"/>
    </row>
    <row r="139" spans="14:22">
      <c r="R139" s="139"/>
      <c r="S139" s="140"/>
      <c r="T139" s="139"/>
    </row>
    <row r="140" spans="14:22">
      <c r="R140" s="139"/>
      <c r="S140" s="140"/>
      <c r="T140" s="139"/>
    </row>
    <row r="141" spans="14:22">
      <c r="P141" t="str">
        <f>TEXT(Q141,"DDD")</f>
        <v>Sat</v>
      </c>
      <c r="Q141" s="138">
        <f>Q135+1</f>
        <v>42616</v>
      </c>
      <c r="R141" s="139" t="str">
        <f t="shared" ref="R141:R142" si="22">TEXT(S141,"DDD")</f>
        <v>Sat</v>
      </c>
      <c r="S141" s="140"/>
      <c r="T141" s="139"/>
      <c r="V141" s="141" t="e">
        <f>AVERAGE(T141:T142)*1.15</f>
        <v>#DIV/0!</v>
      </c>
    </row>
    <row r="142" spans="14:22">
      <c r="R142" s="139" t="str">
        <f t="shared" si="22"/>
        <v>Sat</v>
      </c>
      <c r="S142" s="140"/>
      <c r="T142" s="139"/>
    </row>
    <row r="143" spans="14:22">
      <c r="R143" s="139"/>
      <c r="S143" s="140"/>
      <c r="T143" s="139"/>
    </row>
    <row r="144" spans="14:22">
      <c r="R144" s="139"/>
      <c r="S144" s="140"/>
      <c r="T144" s="139"/>
    </row>
    <row r="145" spans="14:20">
      <c r="R145" s="139"/>
      <c r="S145" s="140"/>
      <c r="T145" s="139"/>
    </row>
    <row r="146" spans="14:20">
      <c r="R146" s="139"/>
      <c r="S146" s="140"/>
      <c r="T146" s="139"/>
    </row>
    <row r="147" spans="14:20">
      <c r="N147" s="21"/>
    </row>
    <row r="148" spans="14:20">
      <c r="N148" s="33"/>
    </row>
    <row r="149" spans="14:20">
      <c r="N149" s="33"/>
    </row>
    <row r="160" spans="14:20">
      <c r="N160" s="21"/>
    </row>
    <row r="161" spans="14:14">
      <c r="N161" s="33"/>
    </row>
    <row r="162" spans="14:14">
      <c r="N162" s="33"/>
    </row>
    <row r="166" spans="14:14">
      <c r="N166" s="21"/>
    </row>
    <row r="167" spans="14:14">
      <c r="N167" s="33"/>
    </row>
    <row r="168" spans="14:14">
      <c r="N168" s="33"/>
    </row>
    <row r="169" spans="14:14">
      <c r="N169" s="33"/>
    </row>
    <row r="172" spans="14:14">
      <c r="N172" s="21"/>
    </row>
    <row r="173" spans="14:14">
      <c r="N173" s="33"/>
    </row>
    <row r="174" spans="14:14">
      <c r="N174" s="33"/>
    </row>
    <row r="175" spans="14:14">
      <c r="N175" s="33"/>
    </row>
    <row r="176" spans="14:14">
      <c r="N176" s="33"/>
    </row>
    <row r="177" spans="14:14">
      <c r="N177" s="33"/>
    </row>
    <row r="181" spans="14:14">
      <c r="N181" s="21"/>
    </row>
    <row r="182" spans="14:14">
      <c r="N182" s="33"/>
    </row>
    <row r="183" spans="14:14">
      <c r="N183" s="33"/>
    </row>
    <row r="187" spans="14:14">
      <c r="N187" s="21"/>
    </row>
    <row r="188" spans="14:14">
      <c r="N188" s="33"/>
    </row>
    <row r="189" spans="14:14">
      <c r="N189" s="33"/>
    </row>
    <row r="199" spans="14:14">
      <c r="N199" s="21"/>
    </row>
    <row r="200" spans="14:14">
      <c r="N200" s="33"/>
    </row>
    <row r="201" spans="14:14">
      <c r="N201" s="33"/>
    </row>
    <row r="202" spans="14:14">
      <c r="N202" s="33"/>
    </row>
    <row r="203" spans="14:14">
      <c r="N203" s="33"/>
    </row>
    <row r="207" spans="14:14">
      <c r="N207" s="21"/>
    </row>
    <row r="208" spans="14:14">
      <c r="N208" s="33"/>
    </row>
    <row r="209" spans="14:14">
      <c r="N209" s="33"/>
    </row>
    <row r="210" spans="14:14">
      <c r="N210" s="33"/>
    </row>
    <row r="211" spans="14:14">
      <c r="N211" s="33"/>
    </row>
    <row r="212" spans="14:14">
      <c r="N212" s="33"/>
    </row>
    <row r="213" spans="14:14">
      <c r="N213" s="33"/>
    </row>
    <row r="215" spans="14:14">
      <c r="N215" s="21"/>
    </row>
    <row r="216" spans="14:14">
      <c r="N216" s="33"/>
    </row>
    <row r="217" spans="14:14">
      <c r="N217" s="33"/>
    </row>
    <row r="218" spans="14:14">
      <c r="N218" s="33"/>
    </row>
    <row r="219" spans="14:14">
      <c r="N219" s="33"/>
    </row>
    <row r="222" spans="14:14">
      <c r="N222" s="21"/>
    </row>
    <row r="223" spans="14:14">
      <c r="N223" s="33"/>
    </row>
    <row r="224" spans="14:14">
      <c r="N224" s="33"/>
    </row>
    <row r="225" spans="14:14">
      <c r="N225" s="33"/>
    </row>
  </sheetData>
  <conditionalFormatting sqref="N148:N149 N161:N162 N167:N169 N173:N177 N182:N183 N188:N189 N216:N219 N200:N203 N208:N213 N223:N225 N111:N112 N126:N128 N134:N136 N100:N102 N4:N6 N24:N28 N48:N50">
    <cfRule type="cellIs" dxfId="3" priority="397" operator="greaterThanOrEqual">
      <formula>1</formula>
    </cfRule>
    <cfRule type="cellIs" dxfId="2" priority="398" operator="equal">
      <formula>2</formula>
    </cfRule>
  </conditionalFormatting>
  <pageMargins left="0.7" right="0.7" top="0.75" bottom="0.75" header="0.3" footer="0.3"/>
  <ignoredErrors>
    <ignoredError sqref="V20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H933"/>
  <sheetViews>
    <sheetView showGridLines="0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2.75" outlineLevelCol="1"/>
  <cols>
    <col min="1" max="1" width="10.5703125" style="6" bestFit="1" customWidth="1"/>
    <col min="2" max="2" width="10.5703125" style="3" bestFit="1" customWidth="1"/>
    <col min="3" max="3" width="8.42578125" style="3" bestFit="1" customWidth="1"/>
    <col min="4" max="4" width="7.5703125" style="3" bestFit="1" customWidth="1"/>
    <col min="5" max="5" width="49.5703125" style="3" customWidth="1"/>
    <col min="6" max="6" width="75.5703125" style="3" customWidth="1"/>
    <col min="7" max="7" width="64.42578125" style="3" customWidth="1"/>
    <col min="8" max="8" width="46" style="3" customWidth="1"/>
    <col min="9" max="9" width="15.7109375" style="4" customWidth="1"/>
    <col min="10" max="11" width="15.7109375" style="4" customWidth="1" outlineLevel="1"/>
    <col min="12" max="14" width="9.140625" style="5" customWidth="1" outlineLevel="1"/>
    <col min="15" max="15" width="10.85546875" style="5" bestFit="1" customWidth="1"/>
    <col min="16" max="16" width="30.42578125" style="5" hidden="1" customWidth="1"/>
    <col min="17" max="33" width="0" style="5" hidden="1" customWidth="1"/>
    <col min="34" max="16384" width="9.140625" style="5"/>
  </cols>
  <sheetData>
    <row r="1" spans="1:33">
      <c r="A1" s="2"/>
      <c r="B1" s="2"/>
      <c r="C1" s="2"/>
      <c r="D1" s="2"/>
      <c r="E1" s="2"/>
      <c r="F1" s="2"/>
      <c r="L1" s="3" t="s">
        <v>10</v>
      </c>
      <c r="R1" s="5" t="s">
        <v>860</v>
      </c>
      <c r="S1" s="5" t="s">
        <v>910</v>
      </c>
      <c r="T1" s="5" t="s">
        <v>911</v>
      </c>
      <c r="U1" s="5" t="s">
        <v>912</v>
      </c>
      <c r="V1" s="5" t="s">
        <v>913</v>
      </c>
      <c r="W1" s="5" t="s">
        <v>914</v>
      </c>
      <c r="X1" s="5" t="s">
        <v>252</v>
      </c>
    </row>
    <row r="2" spans="1:33">
      <c r="I2" s="169" t="s">
        <v>8</v>
      </c>
      <c r="J2" s="169"/>
      <c r="K2" s="169"/>
    </row>
    <row r="3" spans="1:33">
      <c r="A3" s="55" t="s">
        <v>0</v>
      </c>
      <c r="B3" s="56" t="s">
        <v>6</v>
      </c>
      <c r="C3" s="56" t="s">
        <v>20</v>
      </c>
      <c r="D3" s="56" t="s">
        <v>21</v>
      </c>
      <c r="E3" s="56" t="s">
        <v>22</v>
      </c>
      <c r="F3" s="56" t="s">
        <v>23</v>
      </c>
      <c r="G3" s="56" t="s">
        <v>24</v>
      </c>
      <c r="H3" s="56" t="s">
        <v>25</v>
      </c>
      <c r="I3" s="127" t="s">
        <v>1000</v>
      </c>
      <c r="J3" s="57" t="s">
        <v>1000</v>
      </c>
      <c r="K3" s="57" t="s">
        <v>26</v>
      </c>
      <c r="L3" s="58">
        <v>1</v>
      </c>
      <c r="M3" s="58">
        <v>2</v>
      </c>
      <c r="N3" s="118">
        <v>3</v>
      </c>
      <c r="O3" s="57" t="s">
        <v>795</v>
      </c>
      <c r="P3" s="57" t="s">
        <v>825</v>
      </c>
      <c r="Q3" s="57" t="s">
        <v>826</v>
      </c>
      <c r="R3" s="57" t="s">
        <v>827</v>
      </c>
      <c r="S3" s="57" t="s">
        <v>828</v>
      </c>
      <c r="T3" s="57" t="s">
        <v>829</v>
      </c>
      <c r="U3" s="57" t="s">
        <v>830</v>
      </c>
      <c r="V3" s="57" t="s">
        <v>831</v>
      </c>
      <c r="W3" s="57" t="s">
        <v>832</v>
      </c>
      <c r="X3" s="57" t="s">
        <v>833</v>
      </c>
      <c r="AA3" s="5" t="s">
        <v>910</v>
      </c>
      <c r="AB3" s="5" t="s">
        <v>911</v>
      </c>
      <c r="AC3" s="5" t="s">
        <v>860</v>
      </c>
      <c r="AD3" s="5" t="s">
        <v>912</v>
      </c>
      <c r="AE3" s="5" t="s">
        <v>913</v>
      </c>
      <c r="AF3" s="5" t="s">
        <v>914</v>
      </c>
      <c r="AG3" s="5" t="s">
        <v>252</v>
      </c>
    </row>
    <row r="4" spans="1:33">
      <c r="A4" s="59">
        <v>41609</v>
      </c>
      <c r="B4" s="60" t="str">
        <f>TEXT(A4,"DDD")</f>
        <v>Sun</v>
      </c>
      <c r="C4" s="60" t="s">
        <v>27</v>
      </c>
      <c r="D4" s="60" t="s">
        <v>28</v>
      </c>
      <c r="E4" s="60" t="s">
        <v>29</v>
      </c>
      <c r="F4" s="59" t="s">
        <v>30</v>
      </c>
      <c r="G4" s="61" t="s">
        <v>31</v>
      </c>
      <c r="H4" s="60"/>
      <c r="I4" s="105">
        <v>1112</v>
      </c>
      <c r="J4" s="60"/>
      <c r="K4" s="60"/>
      <c r="L4" s="58">
        <f>IF(E4=$L$1,0,1)</f>
        <v>1</v>
      </c>
      <c r="M4" s="58">
        <f>IF(ISBLANK(G4),0,1)</f>
        <v>1</v>
      </c>
      <c r="N4" s="58">
        <f>IF(ISBLANK(H4),0,1)</f>
        <v>0</v>
      </c>
      <c r="O4" s="58">
        <f>SUM(L4:N4)</f>
        <v>2</v>
      </c>
      <c r="P4" s="5" t="s">
        <v>29</v>
      </c>
    </row>
    <row r="5" spans="1:33">
      <c r="A5" s="59">
        <v>41610</v>
      </c>
      <c r="B5" s="60" t="str">
        <f t="shared" ref="B5:B103" si="0">TEXT(A5,"DDD")</f>
        <v>Mon</v>
      </c>
      <c r="C5" s="60" t="s">
        <v>27</v>
      </c>
      <c r="D5" s="60" t="s">
        <v>28</v>
      </c>
      <c r="E5" s="60" t="s">
        <v>32</v>
      </c>
      <c r="F5" s="59" t="s">
        <v>33</v>
      </c>
      <c r="G5" s="61" t="s">
        <v>34</v>
      </c>
      <c r="H5" s="60"/>
      <c r="I5" s="105">
        <v>1953</v>
      </c>
      <c r="J5" s="60"/>
      <c r="K5" s="60"/>
      <c r="L5" s="58">
        <f t="shared" ref="L5:L103" si="1">IF(E5=$L$1,0,1)</f>
        <v>1</v>
      </c>
      <c r="M5" s="58">
        <f t="shared" ref="M5:M103" si="2">IF(ISBLANK(G5),0,1)</f>
        <v>1</v>
      </c>
      <c r="N5" s="58">
        <f t="shared" ref="N5:N103" si="3">IF(ISBLANK(H5),0,1)</f>
        <v>0</v>
      </c>
      <c r="O5" s="58">
        <f t="shared" ref="O5:O103" si="4">SUM(L5:N5)</f>
        <v>2</v>
      </c>
      <c r="P5" s="5" t="s">
        <v>32</v>
      </c>
    </row>
    <row r="6" spans="1:33">
      <c r="A6" s="59">
        <v>41611</v>
      </c>
      <c r="B6" s="60" t="str">
        <f t="shared" si="0"/>
        <v>Tue</v>
      </c>
      <c r="C6" s="60" t="s">
        <v>27</v>
      </c>
      <c r="D6" s="60" t="s">
        <v>28</v>
      </c>
      <c r="E6" s="60" t="s">
        <v>32</v>
      </c>
      <c r="F6" s="59" t="s">
        <v>35</v>
      </c>
      <c r="G6" s="61"/>
      <c r="H6" s="60"/>
      <c r="I6" s="105">
        <v>1753</v>
      </c>
      <c r="J6" s="60"/>
      <c r="K6" s="60"/>
      <c r="L6" s="58">
        <f t="shared" si="1"/>
        <v>1</v>
      </c>
      <c r="M6" s="58">
        <f t="shared" si="2"/>
        <v>0</v>
      </c>
      <c r="N6" s="58">
        <f t="shared" si="3"/>
        <v>0</v>
      </c>
      <c r="O6" s="58">
        <f t="shared" si="4"/>
        <v>1</v>
      </c>
      <c r="P6" s="5" t="s">
        <v>32</v>
      </c>
    </row>
    <row r="7" spans="1:33">
      <c r="A7" s="59">
        <v>41612</v>
      </c>
      <c r="B7" s="60" t="str">
        <f t="shared" si="0"/>
        <v>Wed</v>
      </c>
      <c r="C7" s="60" t="s">
        <v>27</v>
      </c>
      <c r="D7" s="60" t="s">
        <v>28</v>
      </c>
      <c r="E7" s="60" t="s">
        <v>32</v>
      </c>
      <c r="F7" s="59" t="s">
        <v>10</v>
      </c>
      <c r="G7" s="61"/>
      <c r="H7" s="60"/>
      <c r="I7" s="105">
        <v>1609</v>
      </c>
      <c r="J7" s="60"/>
      <c r="K7" s="60"/>
      <c r="L7" s="58">
        <f t="shared" si="1"/>
        <v>1</v>
      </c>
      <c r="M7" s="58">
        <f t="shared" si="2"/>
        <v>0</v>
      </c>
      <c r="N7" s="58">
        <f t="shared" si="3"/>
        <v>0</v>
      </c>
      <c r="O7" s="58">
        <f t="shared" si="4"/>
        <v>1</v>
      </c>
      <c r="P7" s="5" t="s">
        <v>32</v>
      </c>
    </row>
    <row r="8" spans="1:33">
      <c r="A8" s="59">
        <v>41613</v>
      </c>
      <c r="B8" s="60" t="str">
        <f t="shared" si="0"/>
        <v>Thu</v>
      </c>
      <c r="C8" s="60" t="s">
        <v>27</v>
      </c>
      <c r="D8" s="60" t="s">
        <v>28</v>
      </c>
      <c r="E8" s="60" t="s">
        <v>32</v>
      </c>
      <c r="F8" s="59" t="s">
        <v>37</v>
      </c>
      <c r="G8" s="61" t="s">
        <v>38</v>
      </c>
      <c r="H8" s="60"/>
      <c r="I8" s="105">
        <v>1865</v>
      </c>
      <c r="J8" s="60"/>
      <c r="K8" s="60"/>
      <c r="L8" s="58">
        <f t="shared" si="1"/>
        <v>1</v>
      </c>
      <c r="M8" s="58">
        <f t="shared" si="2"/>
        <v>1</v>
      </c>
      <c r="N8" s="58">
        <f t="shared" si="3"/>
        <v>0</v>
      </c>
      <c r="O8" s="58">
        <f t="shared" si="4"/>
        <v>2</v>
      </c>
      <c r="P8" s="5" t="s">
        <v>32</v>
      </c>
    </row>
    <row r="9" spans="1:33">
      <c r="A9" s="59">
        <v>41614</v>
      </c>
      <c r="B9" s="60" t="str">
        <f t="shared" si="0"/>
        <v>Fri</v>
      </c>
      <c r="C9" s="60" t="s">
        <v>27</v>
      </c>
      <c r="D9" s="60" t="s">
        <v>28</v>
      </c>
      <c r="E9" s="60" t="s">
        <v>10</v>
      </c>
      <c r="F9" s="59" t="s">
        <v>10</v>
      </c>
      <c r="G9" s="61"/>
      <c r="H9" s="60"/>
      <c r="I9" s="105">
        <v>1458</v>
      </c>
      <c r="J9" s="60"/>
      <c r="K9" s="60"/>
      <c r="L9" s="58">
        <f t="shared" si="1"/>
        <v>0</v>
      </c>
      <c r="M9" s="58">
        <f t="shared" si="2"/>
        <v>0</v>
      </c>
      <c r="N9" s="58">
        <f t="shared" si="3"/>
        <v>0</v>
      </c>
      <c r="O9" s="58">
        <f t="shared" si="4"/>
        <v>0</v>
      </c>
      <c r="P9" s="5" t="s">
        <v>10</v>
      </c>
    </row>
    <row r="10" spans="1:33">
      <c r="A10" s="59">
        <v>41615</v>
      </c>
      <c r="B10" s="60" t="str">
        <f t="shared" si="0"/>
        <v>Sat</v>
      </c>
      <c r="C10" s="60" t="s">
        <v>27</v>
      </c>
      <c r="D10" s="60" t="s">
        <v>28</v>
      </c>
      <c r="E10" s="60" t="s">
        <v>10</v>
      </c>
      <c r="F10" s="59" t="s">
        <v>10</v>
      </c>
      <c r="G10" s="61"/>
      <c r="H10" s="60"/>
      <c r="I10" s="105">
        <v>1083</v>
      </c>
      <c r="J10" s="60"/>
      <c r="K10" s="60"/>
      <c r="L10" s="58">
        <f t="shared" si="1"/>
        <v>0</v>
      </c>
      <c r="M10" s="58">
        <f t="shared" si="2"/>
        <v>0</v>
      </c>
      <c r="N10" s="58">
        <f t="shared" si="3"/>
        <v>0</v>
      </c>
      <c r="O10" s="58">
        <f t="shared" si="4"/>
        <v>0</v>
      </c>
      <c r="P10" s="5" t="s">
        <v>10</v>
      </c>
    </row>
    <row r="11" spans="1:33">
      <c r="A11" s="59">
        <v>41616</v>
      </c>
      <c r="B11" s="60" t="str">
        <f t="shared" si="0"/>
        <v>Sun</v>
      </c>
      <c r="C11" s="60" t="s">
        <v>27</v>
      </c>
      <c r="D11" s="60" t="s">
        <v>39</v>
      </c>
      <c r="E11" s="60" t="s">
        <v>40</v>
      </c>
      <c r="F11" s="59" t="s">
        <v>41</v>
      </c>
      <c r="G11" s="61"/>
      <c r="H11" s="60"/>
      <c r="I11" s="105">
        <v>796</v>
      </c>
      <c r="J11" s="60"/>
      <c r="K11" s="60"/>
      <c r="L11" s="58">
        <f t="shared" si="1"/>
        <v>1</v>
      </c>
      <c r="M11" s="58">
        <f t="shared" si="2"/>
        <v>0</v>
      </c>
      <c r="N11" s="58">
        <f t="shared" si="3"/>
        <v>0</v>
      </c>
      <c r="O11" s="58">
        <f t="shared" si="4"/>
        <v>1</v>
      </c>
      <c r="P11" s="5" t="s">
        <v>834</v>
      </c>
      <c r="Q11" s="5" t="s">
        <v>281</v>
      </c>
    </row>
    <row r="12" spans="1:33">
      <c r="A12" s="59">
        <v>41617</v>
      </c>
      <c r="B12" s="60" t="str">
        <f t="shared" si="0"/>
        <v>Mon</v>
      </c>
      <c r="C12" s="60" t="s">
        <v>27</v>
      </c>
      <c r="D12" s="60" t="s">
        <v>39</v>
      </c>
      <c r="E12" s="60" t="s">
        <v>42</v>
      </c>
      <c r="F12" s="59" t="s">
        <v>43</v>
      </c>
      <c r="G12" s="61"/>
      <c r="H12" s="60"/>
      <c r="I12" s="105">
        <v>1917</v>
      </c>
      <c r="J12" s="60"/>
      <c r="K12" s="60"/>
      <c r="L12" s="58">
        <f t="shared" si="1"/>
        <v>1</v>
      </c>
      <c r="M12" s="58">
        <f t="shared" si="2"/>
        <v>0</v>
      </c>
      <c r="N12" s="58">
        <f t="shared" si="3"/>
        <v>0</v>
      </c>
      <c r="O12" s="58">
        <f t="shared" si="4"/>
        <v>1</v>
      </c>
      <c r="P12" s="5" t="s">
        <v>834</v>
      </c>
      <c r="Q12" s="5" t="s">
        <v>835</v>
      </c>
      <c r="R12" s="5" t="s">
        <v>836</v>
      </c>
    </row>
    <row r="13" spans="1:33">
      <c r="A13" s="59">
        <v>41618</v>
      </c>
      <c r="B13" s="60" t="str">
        <f t="shared" si="0"/>
        <v>Tue</v>
      </c>
      <c r="C13" s="60" t="s">
        <v>27</v>
      </c>
      <c r="D13" s="60" t="s">
        <v>39</v>
      </c>
      <c r="E13" s="60" t="s">
        <v>40</v>
      </c>
      <c r="F13" s="59" t="s">
        <v>44</v>
      </c>
      <c r="G13" s="61"/>
      <c r="H13" s="60"/>
      <c r="I13" s="105">
        <v>1652</v>
      </c>
      <c r="J13" s="60"/>
      <c r="K13" s="60"/>
      <c r="L13" s="58">
        <f t="shared" si="1"/>
        <v>1</v>
      </c>
      <c r="M13" s="58">
        <f t="shared" si="2"/>
        <v>0</v>
      </c>
      <c r="N13" s="58">
        <f t="shared" si="3"/>
        <v>0</v>
      </c>
      <c r="O13" s="58">
        <f t="shared" si="4"/>
        <v>1</v>
      </c>
      <c r="P13" s="5" t="s">
        <v>834</v>
      </c>
      <c r="Q13" s="5" t="s">
        <v>281</v>
      </c>
    </row>
    <row r="14" spans="1:33">
      <c r="A14" s="59">
        <v>41619</v>
      </c>
      <c r="B14" s="60" t="str">
        <f t="shared" si="0"/>
        <v>Wed</v>
      </c>
      <c r="C14" s="60" t="s">
        <v>27</v>
      </c>
      <c r="D14" s="60" t="s">
        <v>39</v>
      </c>
      <c r="E14" s="60" t="s">
        <v>10</v>
      </c>
      <c r="F14" s="59" t="s">
        <v>10</v>
      </c>
      <c r="G14" s="61"/>
      <c r="H14" s="60"/>
      <c r="I14" s="105">
        <v>1510</v>
      </c>
      <c r="J14" s="60"/>
      <c r="K14" s="60"/>
      <c r="L14" s="58">
        <f t="shared" si="1"/>
        <v>0</v>
      </c>
      <c r="M14" s="58">
        <f t="shared" si="2"/>
        <v>0</v>
      </c>
      <c r="N14" s="58">
        <f t="shared" si="3"/>
        <v>0</v>
      </c>
      <c r="O14" s="58">
        <f t="shared" si="4"/>
        <v>0</v>
      </c>
      <c r="P14" s="5" t="s">
        <v>10</v>
      </c>
    </row>
    <row r="15" spans="1:33">
      <c r="A15" s="59">
        <v>41620</v>
      </c>
      <c r="B15" s="60" t="str">
        <f t="shared" si="0"/>
        <v>Thu</v>
      </c>
      <c r="C15" s="60" t="s">
        <v>27</v>
      </c>
      <c r="D15" s="60" t="s">
        <v>39</v>
      </c>
      <c r="E15" s="60" t="s">
        <v>40</v>
      </c>
      <c r="F15" s="59" t="s">
        <v>45</v>
      </c>
      <c r="G15" s="61"/>
      <c r="H15" s="60"/>
      <c r="I15" s="105">
        <v>1704</v>
      </c>
      <c r="J15" s="60"/>
      <c r="K15" s="60"/>
      <c r="L15" s="58">
        <f t="shared" si="1"/>
        <v>1</v>
      </c>
      <c r="M15" s="58">
        <f t="shared" si="2"/>
        <v>0</v>
      </c>
      <c r="N15" s="58">
        <f t="shared" si="3"/>
        <v>0</v>
      </c>
      <c r="O15" s="58">
        <f t="shared" si="4"/>
        <v>1</v>
      </c>
      <c r="P15" s="5" t="s">
        <v>834</v>
      </c>
      <c r="Q15" s="5" t="s">
        <v>281</v>
      </c>
    </row>
    <row r="16" spans="1:33">
      <c r="A16" s="59">
        <v>41621</v>
      </c>
      <c r="B16" s="60" t="str">
        <f t="shared" si="0"/>
        <v>Fri</v>
      </c>
      <c r="C16" s="60" t="s">
        <v>27</v>
      </c>
      <c r="D16" s="60" t="s">
        <v>39</v>
      </c>
      <c r="E16" s="60" t="s">
        <v>17</v>
      </c>
      <c r="F16" s="59" t="s">
        <v>46</v>
      </c>
      <c r="G16" s="61"/>
      <c r="H16" s="60"/>
      <c r="I16" s="105">
        <v>1564</v>
      </c>
      <c r="J16" s="60"/>
      <c r="K16" s="60"/>
      <c r="L16" s="58">
        <f t="shared" si="1"/>
        <v>1</v>
      </c>
      <c r="M16" s="58">
        <f t="shared" si="2"/>
        <v>0</v>
      </c>
      <c r="N16" s="58">
        <f t="shared" si="3"/>
        <v>0</v>
      </c>
      <c r="O16" s="58">
        <f t="shared" si="4"/>
        <v>1</v>
      </c>
      <c r="P16" s="5" t="s">
        <v>17</v>
      </c>
    </row>
    <row r="17" spans="1:18">
      <c r="A17" s="59">
        <v>41622</v>
      </c>
      <c r="B17" s="60" t="str">
        <f t="shared" si="0"/>
        <v>Sat</v>
      </c>
      <c r="C17" s="60" t="s">
        <v>27</v>
      </c>
      <c r="D17" s="60" t="s">
        <v>39</v>
      </c>
      <c r="E17" s="60" t="s">
        <v>10</v>
      </c>
      <c r="F17" s="59" t="s">
        <v>10</v>
      </c>
      <c r="G17" s="61"/>
      <c r="H17" s="60"/>
      <c r="I17" s="105">
        <v>1170</v>
      </c>
      <c r="J17" s="60"/>
      <c r="K17" s="60"/>
      <c r="L17" s="58">
        <f t="shared" si="1"/>
        <v>0</v>
      </c>
      <c r="M17" s="58">
        <f t="shared" si="2"/>
        <v>0</v>
      </c>
      <c r="N17" s="58">
        <f t="shared" si="3"/>
        <v>0</v>
      </c>
      <c r="O17" s="58">
        <f t="shared" si="4"/>
        <v>0</v>
      </c>
      <c r="P17" s="5" t="s">
        <v>10</v>
      </c>
    </row>
    <row r="18" spans="1:18">
      <c r="A18" s="59">
        <v>41623</v>
      </c>
      <c r="B18" s="60" t="str">
        <f t="shared" si="0"/>
        <v>Sun</v>
      </c>
      <c r="C18" s="60" t="s">
        <v>27</v>
      </c>
      <c r="D18" s="60" t="s">
        <v>47</v>
      </c>
      <c r="E18" s="60" t="s">
        <v>10</v>
      </c>
      <c r="F18" s="59" t="s">
        <v>10</v>
      </c>
      <c r="G18" s="61"/>
      <c r="H18" s="60"/>
      <c r="I18" s="105">
        <v>1039</v>
      </c>
      <c r="J18" s="60"/>
      <c r="K18" s="60"/>
      <c r="L18" s="58">
        <f t="shared" si="1"/>
        <v>0</v>
      </c>
      <c r="M18" s="58">
        <f t="shared" si="2"/>
        <v>0</v>
      </c>
      <c r="N18" s="58">
        <f t="shared" si="3"/>
        <v>0</v>
      </c>
      <c r="O18" s="58">
        <f t="shared" si="4"/>
        <v>0</v>
      </c>
      <c r="P18" s="5" t="s">
        <v>10</v>
      </c>
    </row>
    <row r="19" spans="1:18">
      <c r="A19" s="59">
        <v>41624</v>
      </c>
      <c r="B19" s="60" t="str">
        <f t="shared" si="0"/>
        <v>Mon</v>
      </c>
      <c r="C19" s="60" t="s">
        <v>27</v>
      </c>
      <c r="D19" s="60" t="s">
        <v>47</v>
      </c>
      <c r="E19" s="60" t="s">
        <v>48</v>
      </c>
      <c r="F19" s="59" t="s">
        <v>49</v>
      </c>
      <c r="G19" s="61" t="s">
        <v>50</v>
      </c>
      <c r="H19" s="60"/>
      <c r="I19" s="105">
        <v>2119</v>
      </c>
      <c r="J19" s="60"/>
      <c r="K19" s="60"/>
      <c r="L19" s="58">
        <f t="shared" si="1"/>
        <v>1</v>
      </c>
      <c r="M19" s="58">
        <f t="shared" si="2"/>
        <v>1</v>
      </c>
      <c r="N19" s="58">
        <f t="shared" si="3"/>
        <v>0</v>
      </c>
      <c r="O19" s="58">
        <f t="shared" si="4"/>
        <v>2</v>
      </c>
      <c r="P19" s="5" t="s">
        <v>837</v>
      </c>
      <c r="Q19" s="5" t="s">
        <v>281</v>
      </c>
    </row>
    <row r="20" spans="1:18">
      <c r="A20" s="59">
        <v>41625</v>
      </c>
      <c r="B20" s="60" t="str">
        <f t="shared" si="0"/>
        <v>Tue</v>
      </c>
      <c r="C20" s="60" t="s">
        <v>27</v>
      </c>
      <c r="D20" s="60" t="s">
        <v>47</v>
      </c>
      <c r="E20" s="60" t="s">
        <v>48</v>
      </c>
      <c r="F20" s="59" t="s">
        <v>51</v>
      </c>
      <c r="G20" s="61" t="s">
        <v>52</v>
      </c>
      <c r="H20" s="60"/>
      <c r="I20" s="105">
        <v>1858</v>
      </c>
      <c r="J20" s="60"/>
      <c r="K20" s="60"/>
      <c r="L20" s="58">
        <f t="shared" si="1"/>
        <v>1</v>
      </c>
      <c r="M20" s="58">
        <f t="shared" si="2"/>
        <v>1</v>
      </c>
      <c r="N20" s="58">
        <f t="shared" si="3"/>
        <v>0</v>
      </c>
      <c r="O20" s="58">
        <f t="shared" si="4"/>
        <v>2</v>
      </c>
      <c r="P20" s="5" t="s">
        <v>837</v>
      </c>
      <c r="Q20" s="5" t="s">
        <v>281</v>
      </c>
    </row>
    <row r="21" spans="1:18">
      <c r="A21" s="59">
        <v>41626</v>
      </c>
      <c r="B21" s="60" t="str">
        <f t="shared" si="0"/>
        <v>Wed</v>
      </c>
      <c r="C21" s="60" t="s">
        <v>27</v>
      </c>
      <c r="D21" s="60" t="s">
        <v>47</v>
      </c>
      <c r="E21" s="60" t="s">
        <v>53</v>
      </c>
      <c r="F21" s="59" t="s">
        <v>54</v>
      </c>
      <c r="G21" s="61" t="s">
        <v>55</v>
      </c>
      <c r="H21" s="60"/>
      <c r="I21" s="105">
        <v>1888</v>
      </c>
      <c r="J21" s="60"/>
      <c r="K21" s="60"/>
      <c r="L21" s="58">
        <f t="shared" si="1"/>
        <v>1</v>
      </c>
      <c r="M21" s="58">
        <f t="shared" si="2"/>
        <v>1</v>
      </c>
      <c r="N21" s="58">
        <f t="shared" si="3"/>
        <v>0</v>
      </c>
      <c r="O21" s="58">
        <f t="shared" si="4"/>
        <v>2</v>
      </c>
      <c r="P21" s="5" t="s">
        <v>53</v>
      </c>
    </row>
    <row r="22" spans="1:18">
      <c r="A22" s="59">
        <v>41627</v>
      </c>
      <c r="B22" s="60" t="str">
        <f t="shared" si="0"/>
        <v>Thu</v>
      </c>
      <c r="C22" s="60" t="s">
        <v>27</v>
      </c>
      <c r="D22" s="60" t="s">
        <v>47</v>
      </c>
      <c r="E22" s="59" t="s">
        <v>56</v>
      </c>
      <c r="F22" s="59" t="s">
        <v>57</v>
      </c>
      <c r="G22" s="61"/>
      <c r="H22" s="60"/>
      <c r="I22" s="105">
        <v>2056</v>
      </c>
      <c r="J22" s="60"/>
      <c r="K22" s="60"/>
      <c r="L22" s="58">
        <f t="shared" si="1"/>
        <v>1</v>
      </c>
      <c r="M22" s="58">
        <f t="shared" si="2"/>
        <v>0</v>
      </c>
      <c r="N22" s="58">
        <f t="shared" si="3"/>
        <v>0</v>
      </c>
      <c r="O22" s="58">
        <f t="shared" si="4"/>
        <v>1</v>
      </c>
      <c r="P22" s="5" t="s">
        <v>838</v>
      </c>
      <c r="Q22" s="5" t="s">
        <v>839</v>
      </c>
    </row>
    <row r="23" spans="1:18">
      <c r="A23" s="59">
        <v>41628</v>
      </c>
      <c r="B23" s="60" t="str">
        <f t="shared" si="0"/>
        <v>Fri</v>
      </c>
      <c r="C23" s="60" t="s">
        <v>27</v>
      </c>
      <c r="D23" s="60" t="s">
        <v>47</v>
      </c>
      <c r="E23" s="60" t="s">
        <v>58</v>
      </c>
      <c r="F23" s="59" t="s">
        <v>59</v>
      </c>
      <c r="G23" s="61" t="s">
        <v>60</v>
      </c>
      <c r="H23" s="60" t="s">
        <v>61</v>
      </c>
      <c r="I23" s="105">
        <v>1868</v>
      </c>
      <c r="J23" s="60"/>
      <c r="K23" s="60"/>
      <c r="L23" s="58">
        <f t="shared" si="1"/>
        <v>1</v>
      </c>
      <c r="M23" s="58">
        <f t="shared" si="2"/>
        <v>1</v>
      </c>
      <c r="N23" s="58">
        <f t="shared" si="3"/>
        <v>1</v>
      </c>
      <c r="O23" s="58">
        <f t="shared" si="4"/>
        <v>3</v>
      </c>
      <c r="P23" s="5" t="s">
        <v>840</v>
      </c>
      <c r="Q23" s="5" t="s">
        <v>281</v>
      </c>
    </row>
    <row r="24" spans="1:18">
      <c r="A24" s="59">
        <v>41629</v>
      </c>
      <c r="B24" s="60" t="str">
        <f t="shared" si="0"/>
        <v>Sat</v>
      </c>
      <c r="C24" s="60" t="s">
        <v>27</v>
      </c>
      <c r="D24" s="60" t="s">
        <v>47</v>
      </c>
      <c r="E24" s="60" t="s">
        <v>62</v>
      </c>
      <c r="F24" s="59" t="s">
        <v>10</v>
      </c>
      <c r="G24" s="61"/>
      <c r="H24" s="60"/>
      <c r="I24" s="105">
        <v>1107</v>
      </c>
      <c r="J24" s="60"/>
      <c r="K24" s="60"/>
      <c r="L24" s="58">
        <f t="shared" si="1"/>
        <v>1</v>
      </c>
      <c r="M24" s="58">
        <f t="shared" si="2"/>
        <v>0</v>
      </c>
      <c r="N24" s="58">
        <f t="shared" si="3"/>
        <v>0</v>
      </c>
      <c r="O24" s="58">
        <f t="shared" si="4"/>
        <v>1</v>
      </c>
      <c r="P24" s="5" t="s">
        <v>62</v>
      </c>
    </row>
    <row r="25" spans="1:18">
      <c r="A25" s="59">
        <v>41630</v>
      </c>
      <c r="B25" s="60" t="str">
        <f t="shared" si="0"/>
        <v>Sun</v>
      </c>
      <c r="C25" s="60" t="s">
        <v>27</v>
      </c>
      <c r="D25" s="60" t="s">
        <v>63</v>
      </c>
      <c r="E25" s="60" t="s">
        <v>64</v>
      </c>
      <c r="F25" s="59" t="s">
        <v>65</v>
      </c>
      <c r="G25" s="61"/>
      <c r="H25" s="60"/>
      <c r="I25" s="105">
        <v>830</v>
      </c>
      <c r="J25" s="60"/>
      <c r="K25" s="60"/>
      <c r="L25" s="58">
        <f t="shared" si="1"/>
        <v>1</v>
      </c>
      <c r="M25" s="58">
        <f t="shared" si="2"/>
        <v>0</v>
      </c>
      <c r="N25" s="58">
        <f t="shared" si="3"/>
        <v>0</v>
      </c>
      <c r="O25" s="58">
        <f t="shared" si="4"/>
        <v>1</v>
      </c>
      <c r="P25" s="5" t="s">
        <v>64</v>
      </c>
    </row>
    <row r="26" spans="1:18">
      <c r="A26" s="59">
        <v>41631</v>
      </c>
      <c r="B26" s="60" t="str">
        <f t="shared" si="0"/>
        <v>Mon</v>
      </c>
      <c r="C26" s="60" t="s">
        <v>27</v>
      </c>
      <c r="D26" s="60" t="s">
        <v>63</v>
      </c>
      <c r="E26" s="60" t="s">
        <v>66</v>
      </c>
      <c r="F26" s="59" t="s">
        <v>67</v>
      </c>
      <c r="G26" s="61"/>
      <c r="H26" s="60"/>
      <c r="I26" s="105">
        <v>1390</v>
      </c>
      <c r="J26" s="60"/>
      <c r="K26" s="60"/>
      <c r="L26" s="58">
        <f t="shared" si="1"/>
        <v>1</v>
      </c>
      <c r="M26" s="58">
        <f t="shared" si="2"/>
        <v>0</v>
      </c>
      <c r="N26" s="58">
        <f t="shared" si="3"/>
        <v>0</v>
      </c>
      <c r="O26" s="58">
        <f t="shared" si="4"/>
        <v>1</v>
      </c>
      <c r="P26" s="5" t="s">
        <v>66</v>
      </c>
    </row>
    <row r="27" spans="1:18">
      <c r="A27" s="59">
        <v>41632</v>
      </c>
      <c r="B27" s="60" t="str">
        <f t="shared" si="0"/>
        <v>Tue</v>
      </c>
      <c r="C27" s="60" t="s">
        <v>27</v>
      </c>
      <c r="D27" s="60" t="s">
        <v>63</v>
      </c>
      <c r="E27" s="60" t="s">
        <v>68</v>
      </c>
      <c r="F27" s="59" t="s">
        <v>69</v>
      </c>
      <c r="G27" s="61"/>
      <c r="H27" s="60"/>
      <c r="I27" s="105">
        <v>868</v>
      </c>
      <c r="J27" s="60"/>
      <c r="K27" s="60"/>
      <c r="L27" s="58">
        <f t="shared" si="1"/>
        <v>1</v>
      </c>
      <c r="M27" s="58">
        <f t="shared" si="2"/>
        <v>0</v>
      </c>
      <c r="N27" s="58">
        <f t="shared" si="3"/>
        <v>0</v>
      </c>
      <c r="O27" s="58">
        <f t="shared" si="4"/>
        <v>1</v>
      </c>
      <c r="P27" s="5" t="s">
        <v>841</v>
      </c>
      <c r="Q27" s="5" t="s">
        <v>842</v>
      </c>
      <c r="R27" s="5" t="s">
        <v>281</v>
      </c>
    </row>
    <row r="28" spans="1:18">
      <c r="A28" s="59">
        <v>41633</v>
      </c>
      <c r="B28" s="60" t="str">
        <f t="shared" si="0"/>
        <v>Wed</v>
      </c>
      <c r="C28" s="60" t="s">
        <v>27</v>
      </c>
      <c r="D28" s="60" t="s">
        <v>63</v>
      </c>
      <c r="E28" s="60" t="s">
        <v>70</v>
      </c>
      <c r="F28" s="59" t="s">
        <v>71</v>
      </c>
      <c r="G28" s="61"/>
      <c r="H28" s="60"/>
      <c r="I28" s="105">
        <v>0</v>
      </c>
      <c r="J28" s="60"/>
      <c r="K28" s="60"/>
      <c r="L28" s="58">
        <f t="shared" si="1"/>
        <v>1</v>
      </c>
      <c r="M28" s="58">
        <f t="shared" si="2"/>
        <v>0</v>
      </c>
      <c r="N28" s="58">
        <f t="shared" si="3"/>
        <v>0</v>
      </c>
      <c r="O28" s="58">
        <f t="shared" si="4"/>
        <v>1</v>
      </c>
      <c r="P28" s="5" t="s">
        <v>70</v>
      </c>
    </row>
    <row r="29" spans="1:18">
      <c r="A29" s="59">
        <v>41634</v>
      </c>
      <c r="B29" s="60" t="str">
        <f t="shared" si="0"/>
        <v>Thu</v>
      </c>
      <c r="C29" s="60" t="s">
        <v>27</v>
      </c>
      <c r="D29" s="60" t="s">
        <v>63</v>
      </c>
      <c r="E29" s="60" t="s">
        <v>10</v>
      </c>
      <c r="F29" s="59" t="s">
        <v>10</v>
      </c>
      <c r="G29" s="61"/>
      <c r="H29" s="60"/>
      <c r="I29" s="105">
        <v>1485</v>
      </c>
      <c r="J29" s="60"/>
      <c r="K29" s="60"/>
      <c r="L29" s="58">
        <f t="shared" si="1"/>
        <v>0</v>
      </c>
      <c r="M29" s="58">
        <f t="shared" si="2"/>
        <v>0</v>
      </c>
      <c r="N29" s="58">
        <f t="shared" si="3"/>
        <v>0</v>
      </c>
      <c r="O29" s="58">
        <f t="shared" si="4"/>
        <v>0</v>
      </c>
      <c r="P29" s="5" t="s">
        <v>10</v>
      </c>
    </row>
    <row r="30" spans="1:18">
      <c r="A30" s="59">
        <v>41635</v>
      </c>
      <c r="B30" s="60" t="str">
        <f t="shared" si="0"/>
        <v>Fri</v>
      </c>
      <c r="C30" s="60" t="s">
        <v>27</v>
      </c>
      <c r="D30" s="60" t="s">
        <v>63</v>
      </c>
      <c r="E30" s="60" t="s">
        <v>72</v>
      </c>
      <c r="F30" s="59" t="s">
        <v>73</v>
      </c>
      <c r="G30" s="61"/>
      <c r="H30" s="60"/>
      <c r="I30" s="105">
        <v>1431</v>
      </c>
      <c r="J30" s="60"/>
      <c r="K30" s="60"/>
      <c r="L30" s="58">
        <f t="shared" si="1"/>
        <v>1</v>
      </c>
      <c r="M30" s="58">
        <f t="shared" si="2"/>
        <v>0</v>
      </c>
      <c r="N30" s="58">
        <f t="shared" si="3"/>
        <v>0</v>
      </c>
      <c r="O30" s="58">
        <f t="shared" si="4"/>
        <v>1</v>
      </c>
      <c r="P30" s="5" t="s">
        <v>843</v>
      </c>
      <c r="Q30" s="5" t="s">
        <v>281</v>
      </c>
    </row>
    <row r="31" spans="1:18">
      <c r="A31" s="59">
        <v>41636</v>
      </c>
      <c r="B31" s="60" t="str">
        <f t="shared" si="0"/>
        <v>Sat</v>
      </c>
      <c r="C31" s="60" t="s">
        <v>27</v>
      </c>
      <c r="D31" s="60" t="s">
        <v>63</v>
      </c>
      <c r="E31" s="60" t="s">
        <v>10</v>
      </c>
      <c r="F31" s="59" t="s">
        <v>10</v>
      </c>
      <c r="G31" s="61"/>
      <c r="H31" s="60"/>
      <c r="I31" s="105">
        <v>1006</v>
      </c>
      <c r="J31" s="60"/>
      <c r="K31" s="60"/>
      <c r="L31" s="58">
        <f t="shared" si="1"/>
        <v>0</v>
      </c>
      <c r="M31" s="58">
        <f t="shared" si="2"/>
        <v>0</v>
      </c>
      <c r="N31" s="58">
        <f t="shared" si="3"/>
        <v>0</v>
      </c>
      <c r="O31" s="58">
        <f t="shared" si="4"/>
        <v>0</v>
      </c>
      <c r="P31" s="5" t="s">
        <v>10</v>
      </c>
    </row>
    <row r="32" spans="1:18">
      <c r="A32" s="104">
        <f>A31+1</f>
        <v>41637</v>
      </c>
      <c r="B32" s="60" t="str">
        <f t="shared" si="0"/>
        <v>Sun</v>
      </c>
      <c r="C32" s="60" t="s">
        <v>1022</v>
      </c>
      <c r="D32" s="60" t="s">
        <v>520</v>
      </c>
      <c r="E32" s="105" t="s">
        <v>78</v>
      </c>
      <c r="F32" s="104" t="s">
        <v>1002</v>
      </c>
      <c r="G32" s="146"/>
      <c r="H32" s="105"/>
      <c r="I32" s="105">
        <v>1060</v>
      </c>
      <c r="J32" s="105"/>
      <c r="K32" s="105"/>
      <c r="L32" s="58">
        <f t="shared" ref="L32:L66" si="5">IF(E32=$L$1,0,1)</f>
        <v>1</v>
      </c>
      <c r="M32" s="58">
        <f t="shared" ref="M32:M66" si="6">IF(ISBLANK(G32),0,1)</f>
        <v>0</v>
      </c>
      <c r="N32" s="58">
        <f t="shared" ref="N32:N66" si="7">IF(ISBLANK(H32),0,1)</f>
        <v>0</v>
      </c>
      <c r="O32" s="58">
        <f t="shared" ref="O32:O66" si="8">SUM(L32:N32)</f>
        <v>1</v>
      </c>
    </row>
    <row r="33" spans="1:15">
      <c r="A33" s="104">
        <f t="shared" ref="A33:A66" si="9">A32+1</f>
        <v>41638</v>
      </c>
      <c r="B33" s="60" t="str">
        <f t="shared" si="0"/>
        <v>Mon</v>
      </c>
      <c r="C33" s="60" t="s">
        <v>1022</v>
      </c>
      <c r="D33" s="60" t="s">
        <v>520</v>
      </c>
      <c r="E33" s="105" t="s">
        <v>78</v>
      </c>
      <c r="F33" s="104" t="s">
        <v>1003</v>
      </c>
      <c r="G33" s="146"/>
      <c r="H33" s="105"/>
      <c r="I33" s="105">
        <v>1661</v>
      </c>
      <c r="J33" s="105"/>
      <c r="K33" s="105"/>
      <c r="L33" s="58">
        <f t="shared" si="5"/>
        <v>1</v>
      </c>
      <c r="M33" s="58">
        <f t="shared" si="6"/>
        <v>0</v>
      </c>
      <c r="N33" s="58">
        <f t="shared" si="7"/>
        <v>0</v>
      </c>
      <c r="O33" s="58">
        <f t="shared" si="8"/>
        <v>1</v>
      </c>
    </row>
    <row r="34" spans="1:15">
      <c r="A34" s="104">
        <f t="shared" si="9"/>
        <v>41639</v>
      </c>
      <c r="B34" s="60" t="str">
        <f t="shared" si="0"/>
        <v>Tue</v>
      </c>
      <c r="C34" s="60" t="s">
        <v>1022</v>
      </c>
      <c r="D34" s="60" t="s">
        <v>520</v>
      </c>
      <c r="E34" s="105" t="s">
        <v>10</v>
      </c>
      <c r="F34" s="104" t="s">
        <v>10</v>
      </c>
      <c r="G34" s="146" t="s">
        <v>36</v>
      </c>
      <c r="H34" s="105"/>
      <c r="I34" s="105">
        <v>1203</v>
      </c>
      <c r="J34" s="105"/>
      <c r="K34" s="105"/>
      <c r="L34" s="58">
        <f t="shared" si="5"/>
        <v>0</v>
      </c>
      <c r="M34" s="58">
        <f t="shared" si="6"/>
        <v>1</v>
      </c>
      <c r="N34" s="58">
        <f t="shared" si="7"/>
        <v>0</v>
      </c>
      <c r="O34" s="58">
        <f t="shared" si="8"/>
        <v>1</v>
      </c>
    </row>
    <row r="35" spans="1:15">
      <c r="A35" s="104">
        <f t="shared" si="9"/>
        <v>41640</v>
      </c>
      <c r="B35" s="60" t="str">
        <f t="shared" si="0"/>
        <v>Wed</v>
      </c>
      <c r="C35" s="60" t="s">
        <v>1022</v>
      </c>
      <c r="D35" s="60" t="s">
        <v>520</v>
      </c>
      <c r="E35" s="105" t="s">
        <v>48</v>
      </c>
      <c r="F35" s="104" t="s">
        <v>1004</v>
      </c>
      <c r="G35" s="146"/>
      <c r="H35" s="105"/>
      <c r="I35" s="105">
        <v>745</v>
      </c>
      <c r="J35" s="105"/>
      <c r="K35" s="105"/>
      <c r="L35" s="58">
        <f t="shared" si="5"/>
        <v>1</v>
      </c>
      <c r="M35" s="58">
        <f t="shared" si="6"/>
        <v>0</v>
      </c>
      <c r="N35" s="58">
        <f t="shared" si="7"/>
        <v>0</v>
      </c>
      <c r="O35" s="58">
        <f t="shared" si="8"/>
        <v>1</v>
      </c>
    </row>
    <row r="36" spans="1:15">
      <c r="A36" s="104">
        <f t="shared" si="9"/>
        <v>41641</v>
      </c>
      <c r="B36" s="60" t="str">
        <f t="shared" si="0"/>
        <v>Thu</v>
      </c>
      <c r="C36" s="60" t="s">
        <v>1022</v>
      </c>
      <c r="D36" s="60" t="s">
        <v>520</v>
      </c>
      <c r="E36" s="105" t="s">
        <v>10</v>
      </c>
      <c r="F36" s="104" t="s">
        <v>10</v>
      </c>
      <c r="G36" s="146" t="s">
        <v>36</v>
      </c>
      <c r="H36" s="105"/>
      <c r="I36" s="105">
        <v>1513</v>
      </c>
      <c r="J36" s="105"/>
      <c r="K36" s="105"/>
      <c r="L36" s="58">
        <f t="shared" si="5"/>
        <v>0</v>
      </c>
      <c r="M36" s="58">
        <f t="shared" si="6"/>
        <v>1</v>
      </c>
      <c r="N36" s="58">
        <f t="shared" si="7"/>
        <v>0</v>
      </c>
      <c r="O36" s="58">
        <f t="shared" si="8"/>
        <v>1</v>
      </c>
    </row>
    <row r="37" spans="1:15">
      <c r="A37" s="104">
        <f t="shared" si="9"/>
        <v>41642</v>
      </c>
      <c r="B37" s="60" t="str">
        <f t="shared" si="0"/>
        <v>Fri</v>
      </c>
      <c r="C37" s="60" t="s">
        <v>1022</v>
      </c>
      <c r="D37" s="60" t="s">
        <v>520</v>
      </c>
      <c r="E37" s="105" t="s">
        <v>10</v>
      </c>
      <c r="F37" s="104" t="s">
        <v>10</v>
      </c>
      <c r="G37" s="146" t="s">
        <v>36</v>
      </c>
      <c r="H37" s="105"/>
      <c r="I37" s="105">
        <v>1358</v>
      </c>
      <c r="J37" s="105"/>
      <c r="K37" s="105"/>
      <c r="L37" s="58">
        <f t="shared" si="5"/>
        <v>0</v>
      </c>
      <c r="M37" s="58">
        <f t="shared" si="6"/>
        <v>1</v>
      </c>
      <c r="N37" s="58">
        <f t="shared" si="7"/>
        <v>0</v>
      </c>
      <c r="O37" s="58">
        <f t="shared" si="8"/>
        <v>1</v>
      </c>
    </row>
    <row r="38" spans="1:15">
      <c r="A38" s="104">
        <f t="shared" si="9"/>
        <v>41643</v>
      </c>
      <c r="B38" s="60" t="str">
        <f t="shared" si="0"/>
        <v>Sat</v>
      </c>
      <c r="C38" s="60" t="s">
        <v>1022</v>
      </c>
      <c r="D38" s="60" t="s">
        <v>520</v>
      </c>
      <c r="E38" s="105" t="s">
        <v>10</v>
      </c>
      <c r="F38" s="104" t="s">
        <v>10</v>
      </c>
      <c r="G38" s="146" t="s">
        <v>36</v>
      </c>
      <c r="H38" s="105"/>
      <c r="I38" s="105">
        <v>1055</v>
      </c>
      <c r="J38" s="105"/>
      <c r="K38" s="105"/>
      <c r="L38" s="58">
        <f t="shared" si="5"/>
        <v>0</v>
      </c>
      <c r="M38" s="58">
        <f t="shared" si="6"/>
        <v>1</v>
      </c>
      <c r="N38" s="58">
        <f t="shared" si="7"/>
        <v>0</v>
      </c>
      <c r="O38" s="58">
        <f t="shared" si="8"/>
        <v>1</v>
      </c>
    </row>
    <row r="39" spans="1:15">
      <c r="A39" s="104">
        <f t="shared" si="9"/>
        <v>41644</v>
      </c>
      <c r="B39" s="60" t="str">
        <f t="shared" si="0"/>
        <v>Sun</v>
      </c>
      <c r="C39" s="60" t="s">
        <v>1022</v>
      </c>
      <c r="D39" s="60" t="s">
        <v>532</v>
      </c>
      <c r="E39" s="105" t="s">
        <v>48</v>
      </c>
      <c r="F39" s="104" t="s">
        <v>1005</v>
      </c>
      <c r="G39" s="146"/>
      <c r="H39" s="105"/>
      <c r="I39" s="105">
        <v>1037</v>
      </c>
      <c r="J39" s="105"/>
      <c r="K39" s="105"/>
      <c r="L39" s="58">
        <f t="shared" si="5"/>
        <v>1</v>
      </c>
      <c r="M39" s="58">
        <f t="shared" si="6"/>
        <v>0</v>
      </c>
      <c r="N39" s="58">
        <f t="shared" si="7"/>
        <v>0</v>
      </c>
      <c r="O39" s="58">
        <f t="shared" si="8"/>
        <v>1</v>
      </c>
    </row>
    <row r="40" spans="1:15">
      <c r="A40" s="104">
        <f t="shared" si="9"/>
        <v>41645</v>
      </c>
      <c r="B40" s="60" t="str">
        <f t="shared" si="0"/>
        <v>Mon</v>
      </c>
      <c r="C40" s="60" t="s">
        <v>1022</v>
      </c>
      <c r="D40" s="60" t="s">
        <v>532</v>
      </c>
      <c r="E40" s="105" t="s">
        <v>10</v>
      </c>
      <c r="F40" s="104" t="s">
        <v>10</v>
      </c>
      <c r="G40" s="146" t="s">
        <v>36</v>
      </c>
      <c r="H40" s="105"/>
      <c r="I40" s="105">
        <v>1632</v>
      </c>
      <c r="J40" s="105"/>
      <c r="K40" s="105"/>
      <c r="L40" s="58">
        <f t="shared" si="5"/>
        <v>0</v>
      </c>
      <c r="M40" s="58">
        <f t="shared" si="6"/>
        <v>1</v>
      </c>
      <c r="N40" s="58">
        <f t="shared" si="7"/>
        <v>0</v>
      </c>
      <c r="O40" s="58">
        <f t="shared" si="8"/>
        <v>1</v>
      </c>
    </row>
    <row r="41" spans="1:15">
      <c r="A41" s="104">
        <f t="shared" si="9"/>
        <v>41646</v>
      </c>
      <c r="B41" s="60" t="str">
        <f t="shared" si="0"/>
        <v>Tue</v>
      </c>
      <c r="C41" s="60" t="s">
        <v>1022</v>
      </c>
      <c r="D41" s="60" t="s">
        <v>532</v>
      </c>
      <c r="E41" s="105" t="s">
        <v>10</v>
      </c>
      <c r="F41" s="104" t="s">
        <v>10</v>
      </c>
      <c r="G41" s="146" t="s">
        <v>36</v>
      </c>
      <c r="H41" s="105"/>
      <c r="I41" s="105">
        <v>1308</v>
      </c>
      <c r="J41" s="105"/>
      <c r="K41" s="105"/>
      <c r="L41" s="58">
        <f t="shared" si="5"/>
        <v>0</v>
      </c>
      <c r="M41" s="58">
        <f t="shared" si="6"/>
        <v>1</v>
      </c>
      <c r="N41" s="58">
        <f t="shared" si="7"/>
        <v>0</v>
      </c>
      <c r="O41" s="58">
        <f t="shared" si="8"/>
        <v>1</v>
      </c>
    </row>
    <row r="42" spans="1:15">
      <c r="A42" s="104">
        <f t="shared" si="9"/>
        <v>41647</v>
      </c>
      <c r="B42" s="60" t="str">
        <f t="shared" si="0"/>
        <v>Wed</v>
      </c>
      <c r="C42" s="60" t="s">
        <v>1022</v>
      </c>
      <c r="D42" s="60" t="s">
        <v>532</v>
      </c>
      <c r="E42" s="105" t="s">
        <v>48</v>
      </c>
      <c r="F42" s="104" t="s">
        <v>1006</v>
      </c>
      <c r="G42" s="146"/>
      <c r="H42" s="105"/>
      <c r="I42" s="105">
        <v>1506</v>
      </c>
      <c r="J42" s="105"/>
      <c r="K42" s="105"/>
      <c r="L42" s="58">
        <f t="shared" si="5"/>
        <v>1</v>
      </c>
      <c r="M42" s="58">
        <f t="shared" si="6"/>
        <v>0</v>
      </c>
      <c r="N42" s="58">
        <f t="shared" si="7"/>
        <v>0</v>
      </c>
      <c r="O42" s="58">
        <f t="shared" si="8"/>
        <v>1</v>
      </c>
    </row>
    <row r="43" spans="1:15">
      <c r="A43" s="104">
        <f t="shared" si="9"/>
        <v>41648</v>
      </c>
      <c r="B43" s="60" t="str">
        <f t="shared" si="0"/>
        <v>Thu</v>
      </c>
      <c r="C43" s="60" t="s">
        <v>1022</v>
      </c>
      <c r="D43" s="60" t="s">
        <v>532</v>
      </c>
      <c r="E43" s="105" t="s">
        <v>10</v>
      </c>
      <c r="F43" s="104" t="s">
        <v>10</v>
      </c>
      <c r="G43" s="146" t="s">
        <v>36</v>
      </c>
      <c r="H43" s="105"/>
      <c r="I43" s="105">
        <v>1359</v>
      </c>
      <c r="J43" s="105"/>
      <c r="K43" s="105"/>
      <c r="L43" s="58">
        <f t="shared" si="5"/>
        <v>0</v>
      </c>
      <c r="M43" s="58">
        <f t="shared" si="6"/>
        <v>1</v>
      </c>
      <c r="N43" s="58">
        <f t="shared" si="7"/>
        <v>0</v>
      </c>
      <c r="O43" s="58">
        <f t="shared" si="8"/>
        <v>1</v>
      </c>
    </row>
    <row r="44" spans="1:15">
      <c r="A44" s="104">
        <f t="shared" si="9"/>
        <v>41649</v>
      </c>
      <c r="B44" s="60" t="str">
        <f t="shared" si="0"/>
        <v>Fri</v>
      </c>
      <c r="C44" s="60" t="s">
        <v>1022</v>
      </c>
      <c r="D44" s="60" t="s">
        <v>532</v>
      </c>
      <c r="E44" s="105" t="s">
        <v>191</v>
      </c>
      <c r="F44" s="104" t="s">
        <v>1007</v>
      </c>
      <c r="G44" s="146"/>
      <c r="H44" s="105"/>
      <c r="I44" s="105">
        <v>1721</v>
      </c>
      <c r="J44" s="105"/>
      <c r="K44" s="105"/>
      <c r="L44" s="58">
        <f t="shared" si="5"/>
        <v>1</v>
      </c>
      <c r="M44" s="58">
        <f t="shared" si="6"/>
        <v>0</v>
      </c>
      <c r="N44" s="58">
        <f t="shared" si="7"/>
        <v>0</v>
      </c>
      <c r="O44" s="58">
        <f t="shared" si="8"/>
        <v>1</v>
      </c>
    </row>
    <row r="45" spans="1:15">
      <c r="A45" s="104">
        <f t="shared" si="9"/>
        <v>41650</v>
      </c>
      <c r="B45" s="60" t="str">
        <f t="shared" si="0"/>
        <v>Sat</v>
      </c>
      <c r="C45" s="60" t="s">
        <v>1022</v>
      </c>
      <c r="D45" s="60" t="s">
        <v>532</v>
      </c>
      <c r="E45" s="105" t="s">
        <v>191</v>
      </c>
      <c r="F45" s="104" t="s">
        <v>1008</v>
      </c>
      <c r="G45" s="146"/>
      <c r="H45" s="105"/>
      <c r="I45" s="105">
        <v>1565</v>
      </c>
      <c r="J45" s="105"/>
      <c r="K45" s="105"/>
      <c r="L45" s="58">
        <f t="shared" si="5"/>
        <v>1</v>
      </c>
      <c r="M45" s="58">
        <f t="shared" si="6"/>
        <v>0</v>
      </c>
      <c r="N45" s="58">
        <f t="shared" si="7"/>
        <v>0</v>
      </c>
      <c r="O45" s="58">
        <f t="shared" si="8"/>
        <v>1</v>
      </c>
    </row>
    <row r="46" spans="1:15">
      <c r="A46" s="104">
        <f t="shared" si="9"/>
        <v>41651</v>
      </c>
      <c r="B46" s="60" t="str">
        <f t="shared" si="0"/>
        <v>Sun</v>
      </c>
      <c r="C46" s="60" t="s">
        <v>1022</v>
      </c>
      <c r="D46" s="60" t="s">
        <v>542</v>
      </c>
      <c r="E46" s="105" t="s">
        <v>191</v>
      </c>
      <c r="F46" s="104" t="s">
        <v>1009</v>
      </c>
      <c r="G46" s="146"/>
      <c r="H46" s="105"/>
      <c r="I46" s="105">
        <v>1655</v>
      </c>
      <c r="J46" s="105"/>
      <c r="K46" s="105"/>
      <c r="L46" s="58">
        <f t="shared" si="5"/>
        <v>1</v>
      </c>
      <c r="M46" s="58">
        <f t="shared" si="6"/>
        <v>0</v>
      </c>
      <c r="N46" s="58">
        <f t="shared" si="7"/>
        <v>0</v>
      </c>
      <c r="O46" s="58">
        <f t="shared" si="8"/>
        <v>1</v>
      </c>
    </row>
    <row r="47" spans="1:15">
      <c r="A47" s="104">
        <f t="shared" si="9"/>
        <v>41652</v>
      </c>
      <c r="B47" s="60" t="str">
        <f t="shared" si="0"/>
        <v>Mon</v>
      </c>
      <c r="C47" s="60" t="s">
        <v>1022</v>
      </c>
      <c r="D47" s="60" t="s">
        <v>542</v>
      </c>
      <c r="E47" s="105" t="s">
        <v>10</v>
      </c>
      <c r="F47" s="104" t="s">
        <v>10</v>
      </c>
      <c r="G47" s="146" t="s">
        <v>36</v>
      </c>
      <c r="H47" s="105"/>
      <c r="I47" s="105">
        <v>1432</v>
      </c>
      <c r="J47" s="105"/>
      <c r="K47" s="105"/>
      <c r="L47" s="58">
        <f t="shared" si="5"/>
        <v>0</v>
      </c>
      <c r="M47" s="58">
        <f t="shared" si="6"/>
        <v>1</v>
      </c>
      <c r="N47" s="58">
        <f t="shared" si="7"/>
        <v>0</v>
      </c>
      <c r="O47" s="58">
        <f t="shared" si="8"/>
        <v>1</v>
      </c>
    </row>
    <row r="48" spans="1:15">
      <c r="A48" s="104">
        <f t="shared" si="9"/>
        <v>41653</v>
      </c>
      <c r="B48" s="60" t="str">
        <f t="shared" si="0"/>
        <v>Tue</v>
      </c>
      <c r="C48" s="60" t="s">
        <v>1022</v>
      </c>
      <c r="D48" s="60" t="s">
        <v>542</v>
      </c>
      <c r="E48" s="105" t="s">
        <v>157</v>
      </c>
      <c r="F48" s="104" t="s">
        <v>1010</v>
      </c>
      <c r="G48" s="146"/>
      <c r="H48" s="105"/>
      <c r="I48" s="105">
        <v>1533</v>
      </c>
      <c r="J48" s="105"/>
      <c r="K48" s="105"/>
      <c r="L48" s="58">
        <f t="shared" si="5"/>
        <v>1</v>
      </c>
      <c r="M48" s="58">
        <f t="shared" si="6"/>
        <v>0</v>
      </c>
      <c r="N48" s="58">
        <f t="shared" si="7"/>
        <v>0</v>
      </c>
      <c r="O48" s="58">
        <f t="shared" si="8"/>
        <v>1</v>
      </c>
    </row>
    <row r="49" spans="1:15">
      <c r="A49" s="104">
        <f t="shared" si="9"/>
        <v>41654</v>
      </c>
      <c r="B49" s="60" t="str">
        <f t="shared" si="0"/>
        <v>Wed</v>
      </c>
      <c r="C49" s="60" t="s">
        <v>1022</v>
      </c>
      <c r="D49" s="60" t="s">
        <v>542</v>
      </c>
      <c r="E49" s="105" t="s">
        <v>10</v>
      </c>
      <c r="F49" s="104" t="s">
        <v>10</v>
      </c>
      <c r="G49" s="146" t="s">
        <v>36</v>
      </c>
      <c r="H49" s="105"/>
      <c r="I49" s="105">
        <v>1254</v>
      </c>
      <c r="J49" s="105"/>
      <c r="K49" s="105"/>
      <c r="L49" s="58">
        <f t="shared" si="5"/>
        <v>0</v>
      </c>
      <c r="M49" s="58">
        <f t="shared" si="6"/>
        <v>1</v>
      </c>
      <c r="N49" s="58">
        <f t="shared" si="7"/>
        <v>0</v>
      </c>
      <c r="O49" s="58">
        <f t="shared" si="8"/>
        <v>1</v>
      </c>
    </row>
    <row r="50" spans="1:15">
      <c r="A50" s="104">
        <f t="shared" si="9"/>
        <v>41655</v>
      </c>
      <c r="B50" s="60" t="str">
        <f t="shared" si="0"/>
        <v>Thu</v>
      </c>
      <c r="C50" s="60" t="s">
        <v>1022</v>
      </c>
      <c r="D50" s="60" t="s">
        <v>542</v>
      </c>
      <c r="E50" s="105" t="s">
        <v>157</v>
      </c>
      <c r="F50" s="104" t="s">
        <v>1011</v>
      </c>
      <c r="G50" s="146"/>
      <c r="H50" s="105"/>
      <c r="I50" s="105">
        <v>1390</v>
      </c>
      <c r="J50" s="105"/>
      <c r="K50" s="105"/>
      <c r="L50" s="58">
        <f t="shared" si="5"/>
        <v>1</v>
      </c>
      <c r="M50" s="58">
        <f t="shared" si="6"/>
        <v>0</v>
      </c>
      <c r="N50" s="58">
        <f t="shared" si="7"/>
        <v>0</v>
      </c>
      <c r="O50" s="58">
        <f t="shared" si="8"/>
        <v>1</v>
      </c>
    </row>
    <row r="51" spans="1:15">
      <c r="A51" s="104">
        <f t="shared" si="9"/>
        <v>41656</v>
      </c>
      <c r="B51" s="60" t="str">
        <f t="shared" si="0"/>
        <v>Fri</v>
      </c>
      <c r="C51" s="60" t="s">
        <v>1022</v>
      </c>
      <c r="D51" s="60" t="s">
        <v>542</v>
      </c>
      <c r="E51" s="105" t="s">
        <v>10</v>
      </c>
      <c r="F51" s="104" t="s">
        <v>10</v>
      </c>
      <c r="G51" s="146" t="s">
        <v>36</v>
      </c>
      <c r="H51" s="105"/>
      <c r="I51" s="105">
        <v>1268</v>
      </c>
      <c r="J51" s="105"/>
      <c r="K51" s="105"/>
      <c r="L51" s="58">
        <f t="shared" si="5"/>
        <v>0</v>
      </c>
      <c r="M51" s="58">
        <f t="shared" si="6"/>
        <v>1</v>
      </c>
      <c r="N51" s="58">
        <f t="shared" si="7"/>
        <v>0</v>
      </c>
      <c r="O51" s="58">
        <f t="shared" si="8"/>
        <v>1</v>
      </c>
    </row>
    <row r="52" spans="1:15">
      <c r="A52" s="104">
        <f t="shared" si="9"/>
        <v>41657</v>
      </c>
      <c r="B52" s="60" t="str">
        <f t="shared" si="0"/>
        <v>Sat</v>
      </c>
      <c r="C52" s="60" t="s">
        <v>1022</v>
      </c>
      <c r="D52" s="60" t="s">
        <v>542</v>
      </c>
      <c r="E52" s="105" t="s">
        <v>10</v>
      </c>
      <c r="F52" s="104" t="s">
        <v>10</v>
      </c>
      <c r="G52" s="146" t="s">
        <v>36</v>
      </c>
      <c r="H52" s="105"/>
      <c r="I52" s="105">
        <v>919</v>
      </c>
      <c r="J52" s="105"/>
      <c r="K52" s="105"/>
      <c r="L52" s="58">
        <f t="shared" si="5"/>
        <v>0</v>
      </c>
      <c r="M52" s="58">
        <f t="shared" si="6"/>
        <v>1</v>
      </c>
      <c r="N52" s="58">
        <f t="shared" si="7"/>
        <v>0</v>
      </c>
      <c r="O52" s="58">
        <f t="shared" si="8"/>
        <v>1</v>
      </c>
    </row>
    <row r="53" spans="1:15">
      <c r="A53" s="104">
        <f t="shared" si="9"/>
        <v>41658</v>
      </c>
      <c r="B53" s="60" t="str">
        <f t="shared" si="0"/>
        <v>Sun</v>
      </c>
      <c r="C53" s="60" t="s">
        <v>1022</v>
      </c>
      <c r="D53" s="60" t="s">
        <v>552</v>
      </c>
      <c r="E53" s="105" t="s">
        <v>78</v>
      </c>
      <c r="F53" s="104" t="s">
        <v>1012</v>
      </c>
      <c r="G53" s="146"/>
      <c r="H53" s="105"/>
      <c r="I53" s="105">
        <v>809</v>
      </c>
      <c r="J53" s="105"/>
      <c r="K53" s="105"/>
      <c r="L53" s="58">
        <f t="shared" si="5"/>
        <v>1</v>
      </c>
      <c r="M53" s="58">
        <f t="shared" si="6"/>
        <v>0</v>
      </c>
      <c r="N53" s="58">
        <f t="shared" si="7"/>
        <v>0</v>
      </c>
      <c r="O53" s="58">
        <f t="shared" si="8"/>
        <v>1</v>
      </c>
    </row>
    <row r="54" spans="1:15">
      <c r="A54" s="104">
        <f t="shared" si="9"/>
        <v>41659</v>
      </c>
      <c r="B54" s="60" t="str">
        <f t="shared" si="0"/>
        <v>Mon</v>
      </c>
      <c r="C54" s="60" t="s">
        <v>1022</v>
      </c>
      <c r="D54" s="60" t="s">
        <v>552</v>
      </c>
      <c r="E54" s="105" t="s">
        <v>10</v>
      </c>
      <c r="F54" s="104" t="s">
        <v>10</v>
      </c>
      <c r="G54" s="146" t="s">
        <v>36</v>
      </c>
      <c r="H54" s="105"/>
      <c r="I54" s="105">
        <v>1324</v>
      </c>
      <c r="J54" s="105"/>
      <c r="K54" s="105"/>
      <c r="L54" s="58">
        <f t="shared" si="5"/>
        <v>0</v>
      </c>
      <c r="M54" s="58">
        <f t="shared" si="6"/>
        <v>1</v>
      </c>
      <c r="N54" s="58">
        <f t="shared" si="7"/>
        <v>0</v>
      </c>
      <c r="O54" s="58">
        <f t="shared" si="8"/>
        <v>1</v>
      </c>
    </row>
    <row r="55" spans="1:15">
      <c r="A55" s="104">
        <f t="shared" si="9"/>
        <v>41660</v>
      </c>
      <c r="B55" s="60" t="str">
        <f t="shared" si="0"/>
        <v>Tue</v>
      </c>
      <c r="C55" s="60" t="s">
        <v>1022</v>
      </c>
      <c r="D55" s="60" t="s">
        <v>552</v>
      </c>
      <c r="E55" s="105" t="s">
        <v>78</v>
      </c>
      <c r="F55" s="104" t="s">
        <v>1013</v>
      </c>
      <c r="G55" s="146"/>
      <c r="H55" s="105"/>
      <c r="I55" s="105">
        <v>1221</v>
      </c>
      <c r="J55" s="105"/>
      <c r="K55" s="105"/>
      <c r="L55" s="58">
        <f t="shared" si="5"/>
        <v>1</v>
      </c>
      <c r="M55" s="58">
        <f t="shared" si="6"/>
        <v>0</v>
      </c>
      <c r="N55" s="58">
        <f t="shared" si="7"/>
        <v>0</v>
      </c>
      <c r="O55" s="58">
        <f t="shared" si="8"/>
        <v>1</v>
      </c>
    </row>
    <row r="56" spans="1:15">
      <c r="A56" s="104">
        <f t="shared" si="9"/>
        <v>41661</v>
      </c>
      <c r="B56" s="60" t="str">
        <f t="shared" si="0"/>
        <v>Wed</v>
      </c>
      <c r="C56" s="60" t="s">
        <v>1022</v>
      </c>
      <c r="D56" s="60" t="s">
        <v>552</v>
      </c>
      <c r="E56" s="105" t="s">
        <v>10</v>
      </c>
      <c r="F56" s="104" t="s">
        <v>10</v>
      </c>
      <c r="G56" s="146" t="s">
        <v>36</v>
      </c>
      <c r="H56" s="105"/>
      <c r="I56" s="105">
        <v>1195</v>
      </c>
      <c r="J56" s="105"/>
      <c r="K56" s="105"/>
      <c r="L56" s="58">
        <f t="shared" si="5"/>
        <v>0</v>
      </c>
      <c r="M56" s="58">
        <f t="shared" si="6"/>
        <v>1</v>
      </c>
      <c r="N56" s="58">
        <f t="shared" si="7"/>
        <v>0</v>
      </c>
      <c r="O56" s="58">
        <f t="shared" si="8"/>
        <v>1</v>
      </c>
    </row>
    <row r="57" spans="1:15">
      <c r="A57" s="104">
        <f t="shared" si="9"/>
        <v>41662</v>
      </c>
      <c r="B57" s="60" t="str">
        <f t="shared" si="0"/>
        <v>Thu</v>
      </c>
      <c r="C57" s="60" t="s">
        <v>1022</v>
      </c>
      <c r="D57" s="60" t="s">
        <v>552</v>
      </c>
      <c r="E57" s="105" t="s">
        <v>78</v>
      </c>
      <c r="F57" s="104" t="s">
        <v>1014</v>
      </c>
      <c r="G57" s="146"/>
      <c r="H57" s="105"/>
      <c r="I57" s="105">
        <v>1212</v>
      </c>
      <c r="J57" s="105"/>
      <c r="K57" s="105"/>
      <c r="L57" s="58">
        <f t="shared" si="5"/>
        <v>1</v>
      </c>
      <c r="M57" s="58">
        <f t="shared" si="6"/>
        <v>0</v>
      </c>
      <c r="N57" s="58">
        <f t="shared" si="7"/>
        <v>0</v>
      </c>
      <c r="O57" s="58">
        <f t="shared" si="8"/>
        <v>1</v>
      </c>
    </row>
    <row r="58" spans="1:15">
      <c r="A58" s="104">
        <f t="shared" si="9"/>
        <v>41663</v>
      </c>
      <c r="B58" s="60" t="str">
        <f t="shared" si="0"/>
        <v>Fri</v>
      </c>
      <c r="C58" s="60" t="s">
        <v>1022</v>
      </c>
      <c r="D58" s="60" t="s">
        <v>552</v>
      </c>
      <c r="E58" s="105" t="s">
        <v>10</v>
      </c>
      <c r="F58" s="104" t="s">
        <v>10</v>
      </c>
      <c r="G58" s="146" t="s">
        <v>36</v>
      </c>
      <c r="H58" s="105"/>
      <c r="I58" s="105">
        <v>1138</v>
      </c>
      <c r="J58" s="105"/>
      <c r="K58" s="105"/>
      <c r="L58" s="58">
        <f t="shared" si="5"/>
        <v>0</v>
      </c>
      <c r="M58" s="58">
        <f t="shared" si="6"/>
        <v>1</v>
      </c>
      <c r="N58" s="58">
        <f t="shared" si="7"/>
        <v>0</v>
      </c>
      <c r="O58" s="58">
        <f t="shared" si="8"/>
        <v>1</v>
      </c>
    </row>
    <row r="59" spans="1:15">
      <c r="A59" s="104">
        <f t="shared" si="9"/>
        <v>41664</v>
      </c>
      <c r="B59" s="60" t="str">
        <f t="shared" si="0"/>
        <v>Sat</v>
      </c>
      <c r="C59" s="60" t="s">
        <v>1022</v>
      </c>
      <c r="D59" s="60" t="s">
        <v>552</v>
      </c>
      <c r="E59" s="105" t="s">
        <v>78</v>
      </c>
      <c r="F59" s="104" t="s">
        <v>1015</v>
      </c>
      <c r="G59" s="146"/>
      <c r="H59" s="105"/>
      <c r="I59" s="105">
        <v>1055</v>
      </c>
      <c r="J59" s="105"/>
      <c r="K59" s="105"/>
      <c r="L59" s="58">
        <f t="shared" si="5"/>
        <v>1</v>
      </c>
      <c r="M59" s="58">
        <f t="shared" si="6"/>
        <v>0</v>
      </c>
      <c r="N59" s="58">
        <f t="shared" si="7"/>
        <v>0</v>
      </c>
      <c r="O59" s="58">
        <f t="shared" si="8"/>
        <v>1</v>
      </c>
    </row>
    <row r="60" spans="1:15">
      <c r="A60" s="104">
        <f t="shared" si="9"/>
        <v>41665</v>
      </c>
      <c r="B60" s="60" t="str">
        <f t="shared" si="0"/>
        <v>Sun</v>
      </c>
      <c r="C60" s="60" t="s">
        <v>1022</v>
      </c>
      <c r="D60" s="60" t="s">
        <v>560</v>
      </c>
      <c r="E60" s="105" t="s">
        <v>1001</v>
      </c>
      <c r="F60" s="104" t="s">
        <v>1016</v>
      </c>
      <c r="G60" s="146" t="s">
        <v>1020</v>
      </c>
      <c r="H60" s="105"/>
      <c r="I60" s="105">
        <v>1016</v>
      </c>
      <c r="J60" s="105"/>
      <c r="K60" s="105"/>
      <c r="L60" s="58">
        <f t="shared" si="5"/>
        <v>1</v>
      </c>
      <c r="M60" s="58">
        <f t="shared" si="6"/>
        <v>1</v>
      </c>
      <c r="N60" s="58">
        <f t="shared" si="7"/>
        <v>0</v>
      </c>
      <c r="O60" s="58">
        <f t="shared" si="8"/>
        <v>2</v>
      </c>
    </row>
    <row r="61" spans="1:15">
      <c r="A61" s="104">
        <f t="shared" si="9"/>
        <v>41666</v>
      </c>
      <c r="B61" s="60" t="str">
        <f t="shared" si="0"/>
        <v>Mon</v>
      </c>
      <c r="C61" s="60" t="s">
        <v>1022</v>
      </c>
      <c r="D61" s="60" t="s">
        <v>560</v>
      </c>
      <c r="E61" s="105" t="s">
        <v>10</v>
      </c>
      <c r="F61" s="104" t="s">
        <v>10</v>
      </c>
      <c r="G61" s="146" t="s">
        <v>36</v>
      </c>
      <c r="H61" s="105"/>
      <c r="I61" s="105">
        <v>1134</v>
      </c>
      <c r="J61" s="105"/>
      <c r="K61" s="105"/>
      <c r="L61" s="58">
        <f t="shared" si="5"/>
        <v>0</v>
      </c>
      <c r="M61" s="58">
        <f t="shared" si="6"/>
        <v>1</v>
      </c>
      <c r="N61" s="58">
        <f t="shared" si="7"/>
        <v>0</v>
      </c>
      <c r="O61" s="58">
        <f t="shared" si="8"/>
        <v>1</v>
      </c>
    </row>
    <row r="62" spans="1:15">
      <c r="A62" s="104">
        <f t="shared" si="9"/>
        <v>41667</v>
      </c>
      <c r="B62" s="60" t="str">
        <f t="shared" si="0"/>
        <v>Tue</v>
      </c>
      <c r="C62" s="60" t="s">
        <v>1022</v>
      </c>
      <c r="D62" s="60" t="s">
        <v>560</v>
      </c>
      <c r="E62" s="105" t="s">
        <v>141</v>
      </c>
      <c r="F62" s="104" t="s">
        <v>1017</v>
      </c>
      <c r="G62" s="146" t="s">
        <v>1021</v>
      </c>
      <c r="H62" s="105"/>
      <c r="I62" s="105">
        <v>1946</v>
      </c>
      <c r="J62" s="105"/>
      <c r="K62" s="105"/>
      <c r="L62" s="58">
        <f t="shared" si="5"/>
        <v>1</v>
      </c>
      <c r="M62" s="58">
        <f t="shared" si="6"/>
        <v>1</v>
      </c>
      <c r="N62" s="58">
        <f t="shared" si="7"/>
        <v>0</v>
      </c>
      <c r="O62" s="58">
        <f t="shared" si="8"/>
        <v>2</v>
      </c>
    </row>
    <row r="63" spans="1:15">
      <c r="A63" s="104">
        <f t="shared" si="9"/>
        <v>41668</v>
      </c>
      <c r="B63" s="60" t="str">
        <f t="shared" si="0"/>
        <v>Wed</v>
      </c>
      <c r="C63" s="60" t="s">
        <v>1022</v>
      </c>
      <c r="D63" s="60" t="s">
        <v>560</v>
      </c>
      <c r="E63" s="105" t="s">
        <v>141</v>
      </c>
      <c r="F63" s="104" t="s">
        <v>1018</v>
      </c>
      <c r="G63" s="146"/>
      <c r="H63" s="105"/>
      <c r="I63" s="105">
        <v>1641</v>
      </c>
      <c r="J63" s="105"/>
      <c r="K63" s="105"/>
      <c r="L63" s="58">
        <f t="shared" si="5"/>
        <v>1</v>
      </c>
      <c r="M63" s="58">
        <f t="shared" si="6"/>
        <v>0</v>
      </c>
      <c r="N63" s="58">
        <f t="shared" si="7"/>
        <v>0</v>
      </c>
      <c r="O63" s="58">
        <f t="shared" si="8"/>
        <v>1</v>
      </c>
    </row>
    <row r="64" spans="1:15">
      <c r="A64" s="104">
        <f t="shared" si="9"/>
        <v>41669</v>
      </c>
      <c r="B64" s="60" t="str">
        <f t="shared" si="0"/>
        <v>Thu</v>
      </c>
      <c r="C64" s="60" t="s">
        <v>1022</v>
      </c>
      <c r="D64" s="60" t="s">
        <v>560</v>
      </c>
      <c r="E64" s="105" t="s">
        <v>10</v>
      </c>
      <c r="F64" s="104" t="s">
        <v>10</v>
      </c>
      <c r="G64" s="146" t="s">
        <v>36</v>
      </c>
      <c r="H64" s="105"/>
      <c r="I64" s="105">
        <v>1049</v>
      </c>
      <c r="J64" s="105"/>
      <c r="K64" s="105"/>
      <c r="L64" s="58">
        <f t="shared" si="5"/>
        <v>0</v>
      </c>
      <c r="M64" s="58">
        <f t="shared" si="6"/>
        <v>1</v>
      </c>
      <c r="N64" s="58">
        <f t="shared" si="7"/>
        <v>0</v>
      </c>
      <c r="O64" s="58">
        <f t="shared" si="8"/>
        <v>1</v>
      </c>
    </row>
    <row r="65" spans="1:18">
      <c r="A65" s="104">
        <f t="shared" si="9"/>
        <v>41670</v>
      </c>
      <c r="B65" s="60" t="str">
        <f t="shared" si="0"/>
        <v>Fri</v>
      </c>
      <c r="C65" s="60" t="s">
        <v>1022</v>
      </c>
      <c r="D65" s="60" t="s">
        <v>560</v>
      </c>
      <c r="E65" s="105" t="s">
        <v>17</v>
      </c>
      <c r="F65" s="104" t="s">
        <v>1019</v>
      </c>
      <c r="G65" s="146"/>
      <c r="H65" s="105"/>
      <c r="I65" s="105">
        <v>1395</v>
      </c>
      <c r="J65" s="105"/>
      <c r="K65" s="105"/>
      <c r="L65" s="58">
        <f t="shared" si="5"/>
        <v>1</v>
      </c>
      <c r="M65" s="58">
        <f t="shared" si="6"/>
        <v>0</v>
      </c>
      <c r="N65" s="58">
        <f t="shared" si="7"/>
        <v>0</v>
      </c>
      <c r="O65" s="58">
        <f t="shared" si="8"/>
        <v>1</v>
      </c>
    </row>
    <row r="66" spans="1:18">
      <c r="A66" s="104">
        <f t="shared" si="9"/>
        <v>41671</v>
      </c>
      <c r="B66" s="60" t="str">
        <f t="shared" si="0"/>
        <v>Sat</v>
      </c>
      <c r="C66" s="60" t="s">
        <v>1022</v>
      </c>
      <c r="D66" s="60" t="s">
        <v>560</v>
      </c>
      <c r="E66" s="105" t="s">
        <v>10</v>
      </c>
      <c r="F66" s="104" t="s">
        <v>10</v>
      </c>
      <c r="G66" s="146"/>
      <c r="H66" s="105"/>
      <c r="I66" s="105">
        <v>944</v>
      </c>
      <c r="J66" s="105"/>
      <c r="K66" s="105"/>
      <c r="L66" s="58">
        <f t="shared" si="5"/>
        <v>0</v>
      </c>
      <c r="M66" s="58">
        <f t="shared" si="6"/>
        <v>0</v>
      </c>
      <c r="N66" s="58">
        <f t="shared" si="7"/>
        <v>0</v>
      </c>
      <c r="O66" s="58">
        <f t="shared" si="8"/>
        <v>0</v>
      </c>
    </row>
    <row r="67" spans="1:18">
      <c r="A67" s="59">
        <v>41672</v>
      </c>
      <c r="B67" s="60" t="str">
        <f t="shared" si="0"/>
        <v>Sun</v>
      </c>
      <c r="C67" s="60" t="s">
        <v>74</v>
      </c>
      <c r="D67" s="60" t="s">
        <v>75</v>
      </c>
      <c r="E67" s="59" t="s">
        <v>76</v>
      </c>
      <c r="F67" s="59" t="s">
        <v>77</v>
      </c>
      <c r="G67" s="61"/>
      <c r="H67" s="60"/>
      <c r="I67" s="117">
        <v>842</v>
      </c>
      <c r="J67" s="62"/>
      <c r="K67" s="62"/>
      <c r="L67" s="58">
        <f t="shared" si="1"/>
        <v>1</v>
      </c>
      <c r="M67" s="58">
        <f t="shared" si="2"/>
        <v>0</v>
      </c>
      <c r="N67" s="58">
        <f t="shared" si="3"/>
        <v>0</v>
      </c>
      <c r="O67" s="58">
        <f t="shared" si="4"/>
        <v>1</v>
      </c>
      <c r="P67" s="5" t="s">
        <v>844</v>
      </c>
      <c r="Q67" s="5" t="s">
        <v>845</v>
      </c>
      <c r="R67" s="5" t="s">
        <v>281</v>
      </c>
    </row>
    <row r="68" spans="1:18">
      <c r="A68" s="59">
        <v>41673</v>
      </c>
      <c r="B68" s="60" t="str">
        <f t="shared" si="0"/>
        <v>Mon</v>
      </c>
      <c r="C68" s="60" t="s">
        <v>74</v>
      </c>
      <c r="D68" s="60" t="s">
        <v>75</v>
      </c>
      <c r="E68" s="59" t="s">
        <v>78</v>
      </c>
      <c r="F68" s="59" t="s">
        <v>79</v>
      </c>
      <c r="G68" s="61"/>
      <c r="H68" s="60"/>
      <c r="I68" s="117">
        <v>1461</v>
      </c>
      <c r="J68" s="62"/>
      <c r="K68" s="62"/>
      <c r="L68" s="58">
        <f t="shared" si="1"/>
        <v>1</v>
      </c>
      <c r="M68" s="58">
        <f t="shared" si="2"/>
        <v>0</v>
      </c>
      <c r="N68" s="58">
        <f t="shared" si="3"/>
        <v>0</v>
      </c>
      <c r="O68" s="58">
        <f t="shared" si="4"/>
        <v>1</v>
      </c>
      <c r="P68" s="5" t="s">
        <v>845</v>
      </c>
      <c r="Q68" s="5" t="s">
        <v>281</v>
      </c>
    </row>
    <row r="69" spans="1:18">
      <c r="A69" s="59">
        <v>41674</v>
      </c>
      <c r="B69" s="60" t="str">
        <f t="shared" si="0"/>
        <v>Tue</v>
      </c>
      <c r="C69" s="60" t="s">
        <v>74</v>
      </c>
      <c r="D69" s="60" t="s">
        <v>75</v>
      </c>
      <c r="E69" s="59" t="s">
        <v>10</v>
      </c>
      <c r="F69" s="59" t="s">
        <v>10</v>
      </c>
      <c r="G69" s="61"/>
      <c r="H69" s="60"/>
      <c r="I69" s="117">
        <v>1341</v>
      </c>
      <c r="J69" s="62"/>
      <c r="K69" s="62"/>
      <c r="L69" s="58">
        <f t="shared" si="1"/>
        <v>0</v>
      </c>
      <c r="M69" s="58">
        <f t="shared" si="2"/>
        <v>0</v>
      </c>
      <c r="N69" s="58">
        <f t="shared" si="3"/>
        <v>0</v>
      </c>
      <c r="O69" s="58">
        <f t="shared" si="4"/>
        <v>0</v>
      </c>
      <c r="P69" s="5" t="s">
        <v>10</v>
      </c>
    </row>
    <row r="70" spans="1:18">
      <c r="A70" s="59">
        <v>41675</v>
      </c>
      <c r="B70" s="60" t="str">
        <f t="shared" si="0"/>
        <v>Wed</v>
      </c>
      <c r="C70" s="60" t="s">
        <v>74</v>
      </c>
      <c r="D70" s="60" t="s">
        <v>75</v>
      </c>
      <c r="E70" s="59" t="s">
        <v>78</v>
      </c>
      <c r="F70" s="59" t="s">
        <v>80</v>
      </c>
      <c r="G70" s="61" t="s">
        <v>81</v>
      </c>
      <c r="H70" s="60"/>
      <c r="I70" s="117">
        <v>1744</v>
      </c>
      <c r="J70" s="62"/>
      <c r="K70" s="62"/>
      <c r="L70" s="58">
        <f t="shared" si="1"/>
        <v>1</v>
      </c>
      <c r="M70" s="58">
        <f t="shared" si="2"/>
        <v>1</v>
      </c>
      <c r="N70" s="58">
        <f t="shared" si="3"/>
        <v>0</v>
      </c>
      <c r="O70" s="58">
        <f t="shared" si="4"/>
        <v>2</v>
      </c>
      <c r="P70" s="5" t="s">
        <v>845</v>
      </c>
      <c r="Q70" s="5" t="s">
        <v>281</v>
      </c>
    </row>
    <row r="71" spans="1:18">
      <c r="A71" s="59">
        <v>41676</v>
      </c>
      <c r="B71" s="60" t="str">
        <f t="shared" si="0"/>
        <v>Thu</v>
      </c>
      <c r="C71" s="60" t="s">
        <v>74</v>
      </c>
      <c r="D71" s="60" t="s">
        <v>75</v>
      </c>
      <c r="E71" s="59" t="s">
        <v>82</v>
      </c>
      <c r="F71" s="59" t="s">
        <v>83</v>
      </c>
      <c r="G71" s="61"/>
      <c r="H71" s="60"/>
      <c r="I71" s="117">
        <v>1346</v>
      </c>
      <c r="J71" s="62"/>
      <c r="K71" s="62"/>
      <c r="L71" s="58">
        <f t="shared" si="1"/>
        <v>1</v>
      </c>
      <c r="M71" s="58">
        <f t="shared" si="2"/>
        <v>0</v>
      </c>
      <c r="N71" s="58">
        <f t="shared" si="3"/>
        <v>0</v>
      </c>
      <c r="O71" s="58">
        <f t="shared" si="4"/>
        <v>1</v>
      </c>
      <c r="P71" s="5" t="s">
        <v>18</v>
      </c>
      <c r="Q71" s="5" t="s">
        <v>281</v>
      </c>
    </row>
    <row r="72" spans="1:18">
      <c r="A72" s="59">
        <v>41677</v>
      </c>
      <c r="B72" s="60" t="str">
        <f t="shared" si="0"/>
        <v>Fri</v>
      </c>
      <c r="C72" s="60" t="s">
        <v>74</v>
      </c>
      <c r="D72" s="60" t="s">
        <v>75</v>
      </c>
      <c r="E72" s="59" t="s">
        <v>10</v>
      </c>
      <c r="F72" s="59" t="s">
        <v>10</v>
      </c>
      <c r="G72" s="61"/>
      <c r="H72" s="60"/>
      <c r="I72" s="117">
        <v>1096</v>
      </c>
      <c r="J72" s="62"/>
      <c r="K72" s="62"/>
      <c r="L72" s="58">
        <f t="shared" si="1"/>
        <v>0</v>
      </c>
      <c r="M72" s="58">
        <f t="shared" si="2"/>
        <v>0</v>
      </c>
      <c r="N72" s="58">
        <f t="shared" si="3"/>
        <v>0</v>
      </c>
      <c r="O72" s="58">
        <f t="shared" si="4"/>
        <v>0</v>
      </c>
      <c r="P72" s="5" t="s">
        <v>10</v>
      </c>
    </row>
    <row r="73" spans="1:18">
      <c r="A73" s="59">
        <v>41678</v>
      </c>
      <c r="B73" s="60" t="str">
        <f t="shared" si="0"/>
        <v>Sat</v>
      </c>
      <c r="C73" s="60" t="s">
        <v>74</v>
      </c>
      <c r="D73" s="60" t="s">
        <v>75</v>
      </c>
      <c r="E73" s="59" t="s">
        <v>58</v>
      </c>
      <c r="F73" s="59" t="s">
        <v>84</v>
      </c>
      <c r="G73" s="61"/>
      <c r="H73" s="60"/>
      <c r="I73" s="117">
        <v>1174</v>
      </c>
      <c r="J73" s="62"/>
      <c r="K73" s="62"/>
      <c r="L73" s="58">
        <f t="shared" si="1"/>
        <v>1</v>
      </c>
      <c r="M73" s="58">
        <f t="shared" si="2"/>
        <v>0</v>
      </c>
      <c r="N73" s="58">
        <f t="shared" si="3"/>
        <v>0</v>
      </c>
      <c r="O73" s="58">
        <f t="shared" si="4"/>
        <v>1</v>
      </c>
      <c r="P73" s="5" t="s">
        <v>840</v>
      </c>
      <c r="Q73" s="5" t="s">
        <v>281</v>
      </c>
    </row>
    <row r="74" spans="1:18">
      <c r="A74" s="59">
        <v>41679</v>
      </c>
      <c r="B74" s="60" t="str">
        <f t="shared" si="0"/>
        <v>Sun</v>
      </c>
      <c r="C74" s="60" t="s">
        <v>74</v>
      </c>
      <c r="D74" s="60" t="s">
        <v>85</v>
      </c>
      <c r="E74" s="59" t="s">
        <v>86</v>
      </c>
      <c r="F74" s="59" t="s">
        <v>87</v>
      </c>
      <c r="G74" s="61"/>
      <c r="H74" s="60"/>
      <c r="I74" s="117">
        <v>830</v>
      </c>
      <c r="J74" s="62"/>
      <c r="K74" s="62"/>
      <c r="L74" s="58">
        <f t="shared" si="1"/>
        <v>1</v>
      </c>
      <c r="M74" s="58">
        <f t="shared" si="2"/>
        <v>0</v>
      </c>
      <c r="N74" s="58">
        <f t="shared" si="3"/>
        <v>0</v>
      </c>
      <c r="O74" s="58">
        <f t="shared" si="4"/>
        <v>1</v>
      </c>
      <c r="P74" s="5" t="s">
        <v>846</v>
      </c>
      <c r="Q74" s="5" t="s">
        <v>281</v>
      </c>
    </row>
    <row r="75" spans="1:18">
      <c r="A75" s="59">
        <v>41680</v>
      </c>
      <c r="B75" s="60" t="str">
        <f t="shared" si="0"/>
        <v>Mon</v>
      </c>
      <c r="C75" s="60" t="s">
        <v>74</v>
      </c>
      <c r="D75" s="60" t="s">
        <v>85</v>
      </c>
      <c r="E75" s="59" t="s">
        <v>10</v>
      </c>
      <c r="F75" s="59" t="s">
        <v>10</v>
      </c>
      <c r="G75" s="61"/>
      <c r="H75" s="60"/>
      <c r="I75" s="117">
        <v>1216</v>
      </c>
      <c r="J75" s="62"/>
      <c r="K75" s="62"/>
      <c r="L75" s="58">
        <f t="shared" si="1"/>
        <v>0</v>
      </c>
      <c r="M75" s="58">
        <f t="shared" si="2"/>
        <v>0</v>
      </c>
      <c r="N75" s="58">
        <f t="shared" si="3"/>
        <v>0</v>
      </c>
      <c r="O75" s="58">
        <f t="shared" si="4"/>
        <v>0</v>
      </c>
      <c r="P75" s="5" t="s">
        <v>10</v>
      </c>
    </row>
    <row r="76" spans="1:18">
      <c r="A76" s="59">
        <v>41681</v>
      </c>
      <c r="B76" s="60" t="str">
        <f t="shared" si="0"/>
        <v>Tue</v>
      </c>
      <c r="C76" s="60" t="s">
        <v>74</v>
      </c>
      <c r="D76" s="60" t="s">
        <v>85</v>
      </c>
      <c r="E76" s="59" t="s">
        <v>86</v>
      </c>
      <c r="F76" s="59" t="s">
        <v>88</v>
      </c>
      <c r="G76" s="61"/>
      <c r="H76" s="60"/>
      <c r="I76" s="117">
        <v>1312</v>
      </c>
      <c r="J76" s="62"/>
      <c r="K76" s="62"/>
      <c r="L76" s="58">
        <f t="shared" si="1"/>
        <v>1</v>
      </c>
      <c r="M76" s="58">
        <f t="shared" si="2"/>
        <v>0</v>
      </c>
      <c r="N76" s="58">
        <f t="shared" si="3"/>
        <v>0</v>
      </c>
      <c r="O76" s="58">
        <f t="shared" si="4"/>
        <v>1</v>
      </c>
      <c r="P76" s="5" t="s">
        <v>846</v>
      </c>
      <c r="Q76" s="5" t="s">
        <v>281</v>
      </c>
    </row>
    <row r="77" spans="1:18">
      <c r="A77" s="59">
        <v>41682</v>
      </c>
      <c r="B77" s="60" t="str">
        <f t="shared" si="0"/>
        <v>Wed</v>
      </c>
      <c r="C77" s="60" t="s">
        <v>74</v>
      </c>
      <c r="D77" s="60" t="s">
        <v>85</v>
      </c>
      <c r="E77" s="59" t="s">
        <v>10</v>
      </c>
      <c r="F77" s="59" t="s">
        <v>10</v>
      </c>
      <c r="G77" s="61"/>
      <c r="H77" s="60"/>
      <c r="I77" s="117">
        <v>1162</v>
      </c>
      <c r="J77" s="62"/>
      <c r="K77" s="62"/>
      <c r="L77" s="58">
        <f t="shared" si="1"/>
        <v>0</v>
      </c>
      <c r="M77" s="58">
        <f t="shared" si="2"/>
        <v>0</v>
      </c>
      <c r="N77" s="58">
        <f t="shared" si="3"/>
        <v>0</v>
      </c>
      <c r="O77" s="58">
        <f t="shared" si="4"/>
        <v>0</v>
      </c>
      <c r="P77" s="5" t="s">
        <v>10</v>
      </c>
    </row>
    <row r="78" spans="1:18">
      <c r="A78" s="59">
        <v>41683</v>
      </c>
      <c r="B78" s="60" t="str">
        <f t="shared" si="0"/>
        <v>Thu</v>
      </c>
      <c r="C78" s="60" t="s">
        <v>74</v>
      </c>
      <c r="D78" s="60" t="s">
        <v>85</v>
      </c>
      <c r="E78" s="59" t="s">
        <v>86</v>
      </c>
      <c r="F78" s="59" t="s">
        <v>89</v>
      </c>
      <c r="G78" s="61"/>
      <c r="H78" s="60"/>
      <c r="I78" s="117">
        <v>1193</v>
      </c>
      <c r="J78" s="62"/>
      <c r="K78" s="62"/>
      <c r="L78" s="58">
        <f t="shared" si="1"/>
        <v>1</v>
      </c>
      <c r="M78" s="58">
        <f t="shared" si="2"/>
        <v>0</v>
      </c>
      <c r="N78" s="58">
        <f t="shared" si="3"/>
        <v>0</v>
      </c>
      <c r="O78" s="58">
        <f t="shared" si="4"/>
        <v>1</v>
      </c>
      <c r="P78" s="5" t="s">
        <v>846</v>
      </c>
      <c r="Q78" s="5" t="s">
        <v>281</v>
      </c>
    </row>
    <row r="79" spans="1:18">
      <c r="A79" s="59">
        <v>41684</v>
      </c>
      <c r="B79" s="60" t="str">
        <f t="shared" si="0"/>
        <v>Fri</v>
      </c>
      <c r="C79" s="60" t="s">
        <v>74</v>
      </c>
      <c r="D79" s="60" t="s">
        <v>85</v>
      </c>
      <c r="E79" s="59" t="s">
        <v>90</v>
      </c>
      <c r="F79" s="59" t="s">
        <v>91</v>
      </c>
      <c r="G79" s="61"/>
      <c r="H79" s="60"/>
      <c r="I79" s="117">
        <v>1228</v>
      </c>
      <c r="J79" s="62"/>
      <c r="K79" s="62"/>
      <c r="L79" s="58">
        <f t="shared" si="1"/>
        <v>1</v>
      </c>
      <c r="M79" s="58">
        <f t="shared" si="2"/>
        <v>0</v>
      </c>
      <c r="N79" s="58">
        <f t="shared" si="3"/>
        <v>0</v>
      </c>
      <c r="O79" s="58">
        <f t="shared" si="4"/>
        <v>1</v>
      </c>
      <c r="P79" s="5" t="s">
        <v>847</v>
      </c>
      <c r="Q79" s="5" t="s">
        <v>848</v>
      </c>
      <c r="R79" s="5" t="s">
        <v>281</v>
      </c>
    </row>
    <row r="80" spans="1:18">
      <c r="A80" s="59">
        <v>41685</v>
      </c>
      <c r="B80" s="60" t="str">
        <f t="shared" si="0"/>
        <v>Sat</v>
      </c>
      <c r="C80" s="60" t="s">
        <v>74</v>
      </c>
      <c r="D80" s="60" t="s">
        <v>85</v>
      </c>
      <c r="E80" s="59" t="s">
        <v>90</v>
      </c>
      <c r="F80" s="59" t="s">
        <v>92</v>
      </c>
      <c r="G80" s="61"/>
      <c r="H80" s="60"/>
      <c r="I80" s="117">
        <v>1126</v>
      </c>
      <c r="J80" s="62"/>
      <c r="K80" s="62"/>
      <c r="L80" s="58">
        <f t="shared" si="1"/>
        <v>1</v>
      </c>
      <c r="M80" s="58">
        <f t="shared" si="2"/>
        <v>0</v>
      </c>
      <c r="N80" s="58">
        <f t="shared" si="3"/>
        <v>0</v>
      </c>
      <c r="O80" s="58">
        <f t="shared" si="4"/>
        <v>1</v>
      </c>
      <c r="P80" s="5" t="s">
        <v>847</v>
      </c>
      <c r="Q80" s="5" t="s">
        <v>848</v>
      </c>
      <c r="R80" s="5" t="s">
        <v>281</v>
      </c>
    </row>
    <row r="81" spans="1:18">
      <c r="A81" s="59">
        <v>41686</v>
      </c>
      <c r="B81" s="60" t="str">
        <f t="shared" si="0"/>
        <v>Sun</v>
      </c>
      <c r="C81" s="60" t="s">
        <v>74</v>
      </c>
      <c r="D81" s="60" t="s">
        <v>93</v>
      </c>
      <c r="E81" s="59" t="s">
        <v>10</v>
      </c>
      <c r="F81" s="59" t="s">
        <v>10</v>
      </c>
      <c r="G81" s="61"/>
      <c r="H81" s="60"/>
      <c r="I81" s="117">
        <v>777</v>
      </c>
      <c r="J81" s="62"/>
      <c r="K81" s="62"/>
      <c r="L81" s="58">
        <f t="shared" si="1"/>
        <v>0</v>
      </c>
      <c r="M81" s="58">
        <f t="shared" si="2"/>
        <v>0</v>
      </c>
      <c r="N81" s="58">
        <f t="shared" si="3"/>
        <v>0</v>
      </c>
      <c r="O81" s="58">
        <f t="shared" si="4"/>
        <v>0</v>
      </c>
      <c r="P81" s="5" t="s">
        <v>10</v>
      </c>
    </row>
    <row r="82" spans="1:18">
      <c r="A82" s="59">
        <v>41687</v>
      </c>
      <c r="B82" s="60" t="str">
        <f t="shared" si="0"/>
        <v>Mon</v>
      </c>
      <c r="C82" s="60" t="s">
        <v>74</v>
      </c>
      <c r="D82" s="60" t="s">
        <v>93</v>
      </c>
      <c r="E82" s="59" t="s">
        <v>94</v>
      </c>
      <c r="F82" s="59" t="s">
        <v>95</v>
      </c>
      <c r="G82" s="61"/>
      <c r="H82" s="60"/>
      <c r="I82" s="117">
        <v>1337</v>
      </c>
      <c r="J82" s="62"/>
      <c r="K82" s="62"/>
      <c r="L82" s="58">
        <f t="shared" si="1"/>
        <v>1</v>
      </c>
      <c r="M82" s="58">
        <f t="shared" si="2"/>
        <v>0</v>
      </c>
      <c r="N82" s="58">
        <f t="shared" si="3"/>
        <v>0</v>
      </c>
      <c r="O82" s="58">
        <f t="shared" si="4"/>
        <v>1</v>
      </c>
      <c r="P82" s="5" t="s">
        <v>849</v>
      </c>
      <c r="Q82" s="5" t="s">
        <v>845</v>
      </c>
      <c r="R82" s="5" t="s">
        <v>281</v>
      </c>
    </row>
    <row r="83" spans="1:18">
      <c r="A83" s="59">
        <v>41688</v>
      </c>
      <c r="B83" s="60" t="str">
        <f t="shared" si="0"/>
        <v>Tue</v>
      </c>
      <c r="C83" s="60" t="s">
        <v>74</v>
      </c>
      <c r="D83" s="60" t="s">
        <v>93</v>
      </c>
      <c r="E83" s="59" t="s">
        <v>10</v>
      </c>
      <c r="F83" s="59" t="s">
        <v>10</v>
      </c>
      <c r="G83" s="61"/>
      <c r="H83" s="60"/>
      <c r="I83" s="117">
        <v>1083</v>
      </c>
      <c r="J83" s="62"/>
      <c r="K83" s="62"/>
      <c r="L83" s="58">
        <f t="shared" si="1"/>
        <v>0</v>
      </c>
      <c r="M83" s="58">
        <f t="shared" si="2"/>
        <v>0</v>
      </c>
      <c r="N83" s="58">
        <f t="shared" si="3"/>
        <v>0</v>
      </c>
      <c r="O83" s="58">
        <f t="shared" si="4"/>
        <v>0</v>
      </c>
      <c r="P83" s="5" t="s">
        <v>10</v>
      </c>
    </row>
    <row r="84" spans="1:18">
      <c r="A84" s="59">
        <v>41689</v>
      </c>
      <c r="B84" s="60" t="str">
        <f t="shared" si="0"/>
        <v>Wed</v>
      </c>
      <c r="C84" s="60" t="s">
        <v>74</v>
      </c>
      <c r="D84" s="60" t="s">
        <v>93</v>
      </c>
      <c r="E84" s="59" t="s">
        <v>94</v>
      </c>
      <c r="F84" s="59" t="s">
        <v>96</v>
      </c>
      <c r="G84" s="61"/>
      <c r="H84" s="60"/>
      <c r="I84" s="117">
        <v>1380</v>
      </c>
      <c r="J84" s="62"/>
      <c r="K84" s="62"/>
      <c r="L84" s="58">
        <f t="shared" si="1"/>
        <v>1</v>
      </c>
      <c r="M84" s="58">
        <f t="shared" si="2"/>
        <v>0</v>
      </c>
      <c r="N84" s="58">
        <f t="shared" si="3"/>
        <v>0</v>
      </c>
      <c r="O84" s="58">
        <f t="shared" si="4"/>
        <v>1</v>
      </c>
      <c r="P84" s="5" t="s">
        <v>849</v>
      </c>
      <c r="Q84" s="5" t="s">
        <v>845</v>
      </c>
      <c r="R84" s="5" t="s">
        <v>281</v>
      </c>
    </row>
    <row r="85" spans="1:18">
      <c r="A85" s="59">
        <v>41690</v>
      </c>
      <c r="B85" s="60" t="str">
        <f t="shared" si="0"/>
        <v>Thu</v>
      </c>
      <c r="C85" s="60" t="s">
        <v>74</v>
      </c>
      <c r="D85" s="60" t="s">
        <v>93</v>
      </c>
      <c r="E85" s="59" t="s">
        <v>82</v>
      </c>
      <c r="F85" s="59" t="s">
        <v>97</v>
      </c>
      <c r="G85" s="61"/>
      <c r="H85" s="60"/>
      <c r="I85" s="117">
        <v>1219</v>
      </c>
      <c r="J85" s="62"/>
      <c r="K85" s="62"/>
      <c r="L85" s="58">
        <f t="shared" si="1"/>
        <v>1</v>
      </c>
      <c r="M85" s="58">
        <f t="shared" si="2"/>
        <v>0</v>
      </c>
      <c r="N85" s="58">
        <f t="shared" si="3"/>
        <v>0</v>
      </c>
      <c r="O85" s="58">
        <f t="shared" si="4"/>
        <v>1</v>
      </c>
      <c r="P85" s="5" t="s">
        <v>18</v>
      </c>
      <c r="Q85" s="5" t="s">
        <v>281</v>
      </c>
    </row>
    <row r="86" spans="1:18">
      <c r="A86" s="59">
        <v>41691</v>
      </c>
      <c r="B86" s="60" t="str">
        <f t="shared" si="0"/>
        <v>Fri</v>
      </c>
      <c r="C86" s="60" t="s">
        <v>74</v>
      </c>
      <c r="D86" s="60" t="s">
        <v>93</v>
      </c>
      <c r="E86" s="59" t="s">
        <v>10</v>
      </c>
      <c r="F86" s="59" t="s">
        <v>10</v>
      </c>
      <c r="G86" s="61"/>
      <c r="H86" s="60"/>
      <c r="I86" s="117">
        <v>1006</v>
      </c>
      <c r="J86" s="62"/>
      <c r="K86" s="62"/>
      <c r="L86" s="58">
        <f t="shared" si="1"/>
        <v>0</v>
      </c>
      <c r="M86" s="58">
        <f t="shared" si="2"/>
        <v>0</v>
      </c>
      <c r="N86" s="58">
        <f t="shared" si="3"/>
        <v>0</v>
      </c>
      <c r="O86" s="58">
        <f t="shared" si="4"/>
        <v>0</v>
      </c>
      <c r="P86" s="5" t="s">
        <v>10</v>
      </c>
    </row>
    <row r="87" spans="1:18">
      <c r="A87" s="59">
        <v>41692</v>
      </c>
      <c r="B87" s="60" t="str">
        <f t="shared" si="0"/>
        <v>Sat</v>
      </c>
      <c r="C87" s="60" t="s">
        <v>74</v>
      </c>
      <c r="D87" s="60" t="s">
        <v>93</v>
      </c>
      <c r="E87" s="59" t="s">
        <v>98</v>
      </c>
      <c r="F87" s="59" t="s">
        <v>99</v>
      </c>
      <c r="G87" s="61"/>
      <c r="H87" s="60"/>
      <c r="I87" s="117">
        <v>998</v>
      </c>
      <c r="J87" s="62"/>
      <c r="K87" s="62"/>
      <c r="L87" s="58">
        <f t="shared" si="1"/>
        <v>1</v>
      </c>
      <c r="M87" s="58">
        <f t="shared" si="2"/>
        <v>0</v>
      </c>
      <c r="N87" s="58">
        <f t="shared" si="3"/>
        <v>0</v>
      </c>
      <c r="O87" s="58">
        <f t="shared" si="4"/>
        <v>1</v>
      </c>
      <c r="P87" s="5" t="s">
        <v>252</v>
      </c>
      <c r="Q87" s="5" t="s">
        <v>850</v>
      </c>
      <c r="R87" s="5" t="s">
        <v>281</v>
      </c>
    </row>
    <row r="88" spans="1:18">
      <c r="A88" s="59">
        <v>41693</v>
      </c>
      <c r="B88" s="60" t="str">
        <f t="shared" si="0"/>
        <v>Sun</v>
      </c>
      <c r="C88" s="60" t="s">
        <v>74</v>
      </c>
      <c r="D88" s="60" t="s">
        <v>100</v>
      </c>
      <c r="E88" s="59" t="s">
        <v>101</v>
      </c>
      <c r="F88" s="59" t="s">
        <v>102</v>
      </c>
      <c r="G88" s="61"/>
      <c r="H88" s="60"/>
      <c r="I88" s="117">
        <v>1213</v>
      </c>
      <c r="J88" s="62"/>
      <c r="K88" s="62"/>
      <c r="L88" s="58">
        <f t="shared" si="1"/>
        <v>1</v>
      </c>
      <c r="M88" s="58">
        <f t="shared" si="2"/>
        <v>0</v>
      </c>
      <c r="N88" s="58">
        <f t="shared" si="3"/>
        <v>0</v>
      </c>
      <c r="O88" s="58">
        <f t="shared" si="4"/>
        <v>1</v>
      </c>
      <c r="P88" s="5" t="s">
        <v>17</v>
      </c>
      <c r="Q88" s="5" t="s">
        <v>845</v>
      </c>
    </row>
    <row r="89" spans="1:18">
      <c r="A89" s="59">
        <v>41694</v>
      </c>
      <c r="B89" s="60" t="str">
        <f t="shared" si="0"/>
        <v>Mon</v>
      </c>
      <c r="C89" s="60" t="s">
        <v>74</v>
      </c>
      <c r="D89" s="60" t="s">
        <v>100</v>
      </c>
      <c r="E89" s="59" t="s">
        <v>101</v>
      </c>
      <c r="F89" s="59" t="s">
        <v>103</v>
      </c>
      <c r="G89" s="61"/>
      <c r="H89" s="60"/>
      <c r="I89" s="117">
        <v>1914</v>
      </c>
      <c r="J89" s="62"/>
      <c r="K89" s="62"/>
      <c r="L89" s="58">
        <f t="shared" si="1"/>
        <v>1</v>
      </c>
      <c r="M89" s="58">
        <f t="shared" si="2"/>
        <v>0</v>
      </c>
      <c r="N89" s="58">
        <f t="shared" si="3"/>
        <v>0</v>
      </c>
      <c r="O89" s="58">
        <f t="shared" si="4"/>
        <v>1</v>
      </c>
      <c r="P89" s="5" t="s">
        <v>17</v>
      </c>
      <c r="Q89" s="5" t="s">
        <v>845</v>
      </c>
    </row>
    <row r="90" spans="1:18">
      <c r="A90" s="59">
        <v>41695</v>
      </c>
      <c r="B90" s="60" t="str">
        <f t="shared" si="0"/>
        <v>Tue</v>
      </c>
      <c r="C90" s="60" t="s">
        <v>74</v>
      </c>
      <c r="D90" s="60" t="s">
        <v>100</v>
      </c>
      <c r="E90" s="59" t="s">
        <v>10</v>
      </c>
      <c r="F90" s="59" t="s">
        <v>10</v>
      </c>
      <c r="G90" s="61"/>
      <c r="H90" s="60"/>
      <c r="I90" s="117">
        <v>1208</v>
      </c>
      <c r="J90" s="62"/>
      <c r="K90" s="62"/>
      <c r="L90" s="58">
        <f t="shared" si="1"/>
        <v>0</v>
      </c>
      <c r="M90" s="58">
        <f t="shared" si="2"/>
        <v>0</v>
      </c>
      <c r="N90" s="58">
        <f t="shared" si="3"/>
        <v>0</v>
      </c>
      <c r="O90" s="58">
        <f t="shared" si="4"/>
        <v>0</v>
      </c>
      <c r="P90" s="5" t="s">
        <v>10</v>
      </c>
    </row>
    <row r="91" spans="1:18">
      <c r="A91" s="59">
        <v>41696</v>
      </c>
      <c r="B91" s="60" t="str">
        <f t="shared" si="0"/>
        <v>Wed</v>
      </c>
      <c r="C91" s="60" t="s">
        <v>74</v>
      </c>
      <c r="D91" s="60" t="s">
        <v>100</v>
      </c>
      <c r="E91" s="59" t="s">
        <v>104</v>
      </c>
      <c r="F91" s="59" t="s">
        <v>105</v>
      </c>
      <c r="G91" s="61" t="s">
        <v>106</v>
      </c>
      <c r="H91" s="60"/>
      <c r="I91" s="117">
        <v>1492</v>
      </c>
      <c r="J91" s="62"/>
      <c r="K91" s="62"/>
      <c r="L91" s="58">
        <f t="shared" si="1"/>
        <v>1</v>
      </c>
      <c r="M91" s="58">
        <f t="shared" si="2"/>
        <v>1</v>
      </c>
      <c r="N91" s="58">
        <f t="shared" si="3"/>
        <v>0</v>
      </c>
      <c r="O91" s="58">
        <f t="shared" si="4"/>
        <v>2</v>
      </c>
      <c r="P91" s="5" t="s">
        <v>851</v>
      </c>
      <c r="Q91" s="5" t="s">
        <v>852</v>
      </c>
    </row>
    <row r="92" spans="1:18">
      <c r="A92" s="59">
        <v>41697</v>
      </c>
      <c r="B92" s="60" t="str">
        <f t="shared" si="0"/>
        <v>Thu</v>
      </c>
      <c r="C92" s="60" t="s">
        <v>74</v>
      </c>
      <c r="D92" s="60" t="s">
        <v>100</v>
      </c>
      <c r="E92" s="59" t="s">
        <v>18</v>
      </c>
      <c r="F92" s="59" t="s">
        <v>107</v>
      </c>
      <c r="G92" s="61"/>
      <c r="H92" s="60"/>
      <c r="I92" s="117">
        <v>1297</v>
      </c>
      <c r="J92" s="62"/>
      <c r="K92" s="62"/>
      <c r="L92" s="58">
        <f t="shared" si="1"/>
        <v>1</v>
      </c>
      <c r="M92" s="58">
        <f t="shared" si="2"/>
        <v>0</v>
      </c>
      <c r="N92" s="58">
        <f t="shared" si="3"/>
        <v>0</v>
      </c>
      <c r="O92" s="58">
        <f t="shared" si="4"/>
        <v>1</v>
      </c>
      <c r="P92" s="5" t="s">
        <v>18</v>
      </c>
    </row>
    <row r="93" spans="1:18">
      <c r="A93" s="59">
        <v>41698</v>
      </c>
      <c r="B93" s="60" t="str">
        <f t="shared" si="0"/>
        <v>Fri</v>
      </c>
      <c r="C93" s="60" t="s">
        <v>74</v>
      </c>
      <c r="D93" s="60" t="s">
        <v>100</v>
      </c>
      <c r="E93" s="59" t="s">
        <v>10</v>
      </c>
      <c r="F93" s="59" t="s">
        <v>10</v>
      </c>
      <c r="G93" s="61"/>
      <c r="H93" s="60"/>
      <c r="I93" s="117">
        <v>1191</v>
      </c>
      <c r="J93" s="62"/>
      <c r="K93" s="62"/>
      <c r="L93" s="58">
        <f t="shared" si="1"/>
        <v>0</v>
      </c>
      <c r="M93" s="58">
        <f t="shared" si="2"/>
        <v>0</v>
      </c>
      <c r="N93" s="58">
        <f t="shared" si="3"/>
        <v>0</v>
      </c>
      <c r="O93" s="58">
        <f t="shared" si="4"/>
        <v>0</v>
      </c>
      <c r="P93" s="5" t="s">
        <v>10</v>
      </c>
    </row>
    <row r="94" spans="1:18">
      <c r="A94" s="59">
        <v>41699</v>
      </c>
      <c r="B94" s="60" t="str">
        <f t="shared" si="0"/>
        <v>Sat</v>
      </c>
      <c r="C94" s="60" t="s">
        <v>74</v>
      </c>
      <c r="D94" s="60" t="s">
        <v>100</v>
      </c>
      <c r="E94" s="59" t="s">
        <v>10</v>
      </c>
      <c r="F94" s="59" t="s">
        <v>10</v>
      </c>
      <c r="G94" s="61"/>
      <c r="H94" s="60"/>
      <c r="I94" s="117">
        <v>1127</v>
      </c>
      <c r="J94" s="62"/>
      <c r="K94" s="62"/>
      <c r="L94" s="58">
        <f t="shared" si="1"/>
        <v>0</v>
      </c>
      <c r="M94" s="58">
        <f t="shared" si="2"/>
        <v>0</v>
      </c>
      <c r="N94" s="58">
        <f t="shared" si="3"/>
        <v>0</v>
      </c>
      <c r="O94" s="58">
        <f t="shared" si="4"/>
        <v>0</v>
      </c>
      <c r="P94" s="5" t="s">
        <v>10</v>
      </c>
    </row>
    <row r="95" spans="1:18">
      <c r="A95" s="59">
        <v>41700</v>
      </c>
      <c r="B95" s="60" t="str">
        <f t="shared" si="0"/>
        <v>Sun</v>
      </c>
      <c r="C95" s="60" t="s">
        <v>108</v>
      </c>
      <c r="D95" s="60" t="s">
        <v>109</v>
      </c>
      <c r="E95" s="59" t="s">
        <v>110</v>
      </c>
      <c r="F95" s="59" t="s">
        <v>111</v>
      </c>
      <c r="G95" s="61"/>
      <c r="H95" s="60"/>
      <c r="I95" s="117">
        <v>767</v>
      </c>
      <c r="J95" s="62"/>
      <c r="K95" s="62"/>
      <c r="L95" s="58">
        <f t="shared" si="1"/>
        <v>1</v>
      </c>
      <c r="M95" s="58">
        <f t="shared" si="2"/>
        <v>0</v>
      </c>
      <c r="N95" s="58">
        <f t="shared" si="3"/>
        <v>0</v>
      </c>
      <c r="O95" s="58">
        <f t="shared" si="4"/>
        <v>1</v>
      </c>
      <c r="P95" s="5" t="s">
        <v>853</v>
      </c>
      <c r="Q95" s="5" t="s">
        <v>281</v>
      </c>
    </row>
    <row r="96" spans="1:18">
      <c r="A96" s="59">
        <v>41701</v>
      </c>
      <c r="B96" s="60" t="str">
        <f t="shared" si="0"/>
        <v>Mon</v>
      </c>
      <c r="C96" s="60" t="s">
        <v>108</v>
      </c>
      <c r="D96" s="60" t="s">
        <v>109</v>
      </c>
      <c r="E96" s="59" t="s">
        <v>10</v>
      </c>
      <c r="F96" s="59" t="s">
        <v>10</v>
      </c>
      <c r="G96" s="61"/>
      <c r="H96" s="60"/>
      <c r="I96" s="117">
        <v>1205</v>
      </c>
      <c r="J96" s="62"/>
      <c r="K96" s="62"/>
      <c r="L96" s="58">
        <f t="shared" si="1"/>
        <v>0</v>
      </c>
      <c r="M96" s="58">
        <f t="shared" si="2"/>
        <v>0</v>
      </c>
      <c r="N96" s="58">
        <f t="shared" si="3"/>
        <v>0</v>
      </c>
      <c r="O96" s="58">
        <f t="shared" si="4"/>
        <v>0</v>
      </c>
      <c r="P96" s="5" t="s">
        <v>10</v>
      </c>
    </row>
    <row r="97" spans="1:18">
      <c r="A97" s="59">
        <v>41702</v>
      </c>
      <c r="B97" s="60" t="str">
        <f t="shared" si="0"/>
        <v>Tue</v>
      </c>
      <c r="C97" s="60" t="s">
        <v>108</v>
      </c>
      <c r="D97" s="60" t="s">
        <v>109</v>
      </c>
      <c r="E97" s="59" t="s">
        <v>110</v>
      </c>
      <c r="F97" s="59" t="s">
        <v>112</v>
      </c>
      <c r="G97" s="61"/>
      <c r="H97" s="60"/>
      <c r="I97" s="117">
        <v>1274</v>
      </c>
      <c r="J97" s="62"/>
      <c r="K97" s="62"/>
      <c r="L97" s="58">
        <f t="shared" si="1"/>
        <v>1</v>
      </c>
      <c r="M97" s="58">
        <f t="shared" si="2"/>
        <v>0</v>
      </c>
      <c r="N97" s="58">
        <f t="shared" si="3"/>
        <v>0</v>
      </c>
      <c r="O97" s="58">
        <f t="shared" si="4"/>
        <v>1</v>
      </c>
      <c r="P97" s="5" t="s">
        <v>853</v>
      </c>
      <c r="Q97" s="5" t="s">
        <v>281</v>
      </c>
    </row>
    <row r="98" spans="1:18">
      <c r="A98" s="59">
        <v>41703</v>
      </c>
      <c r="B98" s="60" t="str">
        <f t="shared" si="0"/>
        <v>Wed</v>
      </c>
      <c r="C98" s="60" t="s">
        <v>108</v>
      </c>
      <c r="D98" s="60" t="s">
        <v>109</v>
      </c>
      <c r="E98" s="59" t="s">
        <v>10</v>
      </c>
      <c r="F98" s="59" t="s">
        <v>10</v>
      </c>
      <c r="G98" s="61"/>
      <c r="H98" s="60"/>
      <c r="I98" s="117">
        <v>1120</v>
      </c>
      <c r="J98" s="62"/>
      <c r="K98" s="62"/>
      <c r="L98" s="58">
        <f t="shared" si="1"/>
        <v>0</v>
      </c>
      <c r="M98" s="58">
        <f t="shared" si="2"/>
        <v>0</v>
      </c>
      <c r="N98" s="58">
        <f t="shared" si="3"/>
        <v>0</v>
      </c>
      <c r="O98" s="58">
        <f t="shared" si="4"/>
        <v>0</v>
      </c>
      <c r="P98" s="5" t="s">
        <v>10</v>
      </c>
    </row>
    <row r="99" spans="1:18">
      <c r="A99" s="59">
        <v>41704</v>
      </c>
      <c r="B99" s="60" t="str">
        <f t="shared" si="0"/>
        <v>Thu</v>
      </c>
      <c r="C99" s="60" t="s">
        <v>108</v>
      </c>
      <c r="D99" s="60" t="s">
        <v>109</v>
      </c>
      <c r="E99" s="59" t="s">
        <v>113</v>
      </c>
      <c r="F99" s="59" t="s">
        <v>114</v>
      </c>
      <c r="G99" s="61"/>
      <c r="H99" s="60"/>
      <c r="I99" s="117">
        <v>1410</v>
      </c>
      <c r="J99" s="62"/>
      <c r="K99" s="62"/>
      <c r="L99" s="58">
        <f t="shared" si="1"/>
        <v>1</v>
      </c>
      <c r="M99" s="58">
        <f t="shared" si="2"/>
        <v>0</v>
      </c>
      <c r="N99" s="58">
        <f t="shared" si="3"/>
        <v>0</v>
      </c>
      <c r="O99" s="58">
        <f t="shared" si="4"/>
        <v>1</v>
      </c>
      <c r="P99" s="5" t="s">
        <v>18</v>
      </c>
      <c r="Q99" s="5" t="s">
        <v>854</v>
      </c>
    </row>
    <row r="100" spans="1:18">
      <c r="A100" s="59">
        <v>41705</v>
      </c>
      <c r="B100" s="60" t="str">
        <f t="shared" si="0"/>
        <v>Fri</v>
      </c>
      <c r="C100" s="60" t="s">
        <v>108</v>
      </c>
      <c r="D100" s="60" t="s">
        <v>109</v>
      </c>
      <c r="E100" s="59" t="s">
        <v>110</v>
      </c>
      <c r="F100" s="59" t="s">
        <v>115</v>
      </c>
      <c r="G100" s="61"/>
      <c r="H100" s="60"/>
      <c r="I100" s="117">
        <v>1151</v>
      </c>
      <c r="J100" s="62"/>
      <c r="K100" s="62"/>
      <c r="L100" s="58">
        <f t="shared" si="1"/>
        <v>1</v>
      </c>
      <c r="M100" s="58">
        <f t="shared" si="2"/>
        <v>0</v>
      </c>
      <c r="N100" s="58">
        <f t="shared" si="3"/>
        <v>0</v>
      </c>
      <c r="O100" s="58">
        <f t="shared" si="4"/>
        <v>1</v>
      </c>
      <c r="P100" s="5" t="s">
        <v>853</v>
      </c>
      <c r="Q100" s="5" t="s">
        <v>281</v>
      </c>
    </row>
    <row r="101" spans="1:18">
      <c r="A101" s="59">
        <v>41706</v>
      </c>
      <c r="B101" s="60" t="str">
        <f t="shared" si="0"/>
        <v>Sat</v>
      </c>
      <c r="C101" s="60" t="s">
        <v>108</v>
      </c>
      <c r="D101" s="60" t="s">
        <v>109</v>
      </c>
      <c r="E101" s="59" t="s">
        <v>110</v>
      </c>
      <c r="F101" s="59" t="s">
        <v>116</v>
      </c>
      <c r="G101" s="61"/>
      <c r="H101" s="60"/>
      <c r="I101" s="117">
        <v>960</v>
      </c>
      <c r="J101" s="62"/>
      <c r="K101" s="62"/>
      <c r="L101" s="58">
        <f t="shared" si="1"/>
        <v>1</v>
      </c>
      <c r="M101" s="58">
        <f t="shared" si="2"/>
        <v>0</v>
      </c>
      <c r="N101" s="58">
        <f t="shared" si="3"/>
        <v>0</v>
      </c>
      <c r="O101" s="58">
        <f t="shared" si="4"/>
        <v>1</v>
      </c>
      <c r="P101" s="5" t="s">
        <v>853</v>
      </c>
      <c r="Q101" s="5" t="s">
        <v>281</v>
      </c>
    </row>
    <row r="102" spans="1:18">
      <c r="A102" s="59">
        <v>41707</v>
      </c>
      <c r="B102" s="60" t="str">
        <f t="shared" si="0"/>
        <v>Sun</v>
      </c>
      <c r="C102" s="60" t="s">
        <v>108</v>
      </c>
      <c r="D102" s="60" t="s">
        <v>117</v>
      </c>
      <c r="E102" s="59" t="s">
        <v>48</v>
      </c>
      <c r="F102" s="59" t="s">
        <v>118</v>
      </c>
      <c r="G102" s="61"/>
      <c r="H102" s="60"/>
      <c r="I102" s="117">
        <v>881</v>
      </c>
      <c r="J102" s="62"/>
      <c r="K102" s="62"/>
      <c r="L102" s="58">
        <f t="shared" si="1"/>
        <v>1</v>
      </c>
      <c r="M102" s="58">
        <f t="shared" si="2"/>
        <v>0</v>
      </c>
      <c r="N102" s="58">
        <f t="shared" si="3"/>
        <v>0</v>
      </c>
      <c r="O102" s="58">
        <f t="shared" si="4"/>
        <v>1</v>
      </c>
      <c r="P102" s="5" t="s">
        <v>837</v>
      </c>
      <c r="Q102" s="5" t="s">
        <v>281</v>
      </c>
    </row>
    <row r="103" spans="1:18">
      <c r="A103" s="59">
        <v>41708</v>
      </c>
      <c r="B103" s="60" t="str">
        <f t="shared" si="0"/>
        <v>Mon</v>
      </c>
      <c r="C103" s="60" t="s">
        <v>108</v>
      </c>
      <c r="D103" s="60" t="s">
        <v>117</v>
      </c>
      <c r="E103" s="59" t="s">
        <v>10</v>
      </c>
      <c r="F103" s="59" t="s">
        <v>10</v>
      </c>
      <c r="G103" s="61"/>
      <c r="H103" s="60"/>
      <c r="I103" s="117">
        <v>1226</v>
      </c>
      <c r="J103" s="62"/>
      <c r="K103" s="62"/>
      <c r="L103" s="58">
        <f t="shared" si="1"/>
        <v>0</v>
      </c>
      <c r="M103" s="58">
        <f t="shared" si="2"/>
        <v>0</v>
      </c>
      <c r="N103" s="58">
        <f t="shared" si="3"/>
        <v>0</v>
      </c>
      <c r="O103" s="58">
        <f t="shared" si="4"/>
        <v>0</v>
      </c>
      <c r="P103" s="5" t="s">
        <v>10</v>
      </c>
    </row>
    <row r="104" spans="1:18">
      <c r="A104" s="59">
        <v>41709</v>
      </c>
      <c r="B104" s="60" t="str">
        <f t="shared" ref="B104:B167" si="10">TEXT(A104,"DDD")</f>
        <v>Tue</v>
      </c>
      <c r="C104" s="60" t="s">
        <v>108</v>
      </c>
      <c r="D104" s="60" t="s">
        <v>117</v>
      </c>
      <c r="E104" s="59" t="s">
        <v>48</v>
      </c>
      <c r="F104" s="59" t="s">
        <v>119</v>
      </c>
      <c r="G104" s="61"/>
      <c r="H104" s="60"/>
      <c r="I104" s="117">
        <v>1219</v>
      </c>
      <c r="J104" s="62"/>
      <c r="K104" s="62"/>
      <c r="L104" s="58">
        <f t="shared" ref="L104:L167" si="11">IF(E104=$L$1,0,1)</f>
        <v>1</v>
      </c>
      <c r="M104" s="58">
        <f t="shared" ref="M104:M167" si="12">IF(ISBLANK(G104),0,1)</f>
        <v>0</v>
      </c>
      <c r="N104" s="58">
        <f t="shared" ref="N104:N167" si="13">IF(ISBLANK(H104),0,1)</f>
        <v>0</v>
      </c>
      <c r="O104" s="58">
        <f t="shared" ref="O104:O167" si="14">SUM(L104:N104)</f>
        <v>1</v>
      </c>
      <c r="P104" s="5" t="s">
        <v>837</v>
      </c>
      <c r="Q104" s="5" t="s">
        <v>281</v>
      </c>
    </row>
    <row r="105" spans="1:18">
      <c r="A105" s="59">
        <v>41710</v>
      </c>
      <c r="B105" s="60" t="str">
        <f t="shared" si="10"/>
        <v>Wed</v>
      </c>
      <c r="C105" s="60" t="s">
        <v>108</v>
      </c>
      <c r="D105" s="60" t="s">
        <v>117</v>
      </c>
      <c r="E105" s="59" t="s">
        <v>10</v>
      </c>
      <c r="F105" s="59" t="s">
        <v>10</v>
      </c>
      <c r="G105" s="61"/>
      <c r="H105" s="60"/>
      <c r="I105" s="117">
        <v>1114</v>
      </c>
      <c r="J105" s="62"/>
      <c r="K105" s="62"/>
      <c r="L105" s="58">
        <f t="shared" si="11"/>
        <v>0</v>
      </c>
      <c r="M105" s="58">
        <f t="shared" si="12"/>
        <v>0</v>
      </c>
      <c r="N105" s="58">
        <f t="shared" si="13"/>
        <v>0</v>
      </c>
      <c r="O105" s="58">
        <f t="shared" si="14"/>
        <v>0</v>
      </c>
      <c r="P105" s="5" t="s">
        <v>10</v>
      </c>
    </row>
    <row r="106" spans="1:18">
      <c r="A106" s="59">
        <v>41711</v>
      </c>
      <c r="B106" s="60" t="str">
        <f t="shared" si="10"/>
        <v>Thu</v>
      </c>
      <c r="C106" s="60" t="s">
        <v>108</v>
      </c>
      <c r="D106" s="60" t="s">
        <v>117</v>
      </c>
      <c r="E106" s="59" t="s">
        <v>48</v>
      </c>
      <c r="F106" s="59" t="s">
        <v>120</v>
      </c>
      <c r="G106" s="61"/>
      <c r="H106" s="60"/>
      <c r="I106" s="117">
        <v>1214</v>
      </c>
      <c r="J106" s="62"/>
      <c r="K106" s="62"/>
      <c r="L106" s="58">
        <f t="shared" si="11"/>
        <v>1</v>
      </c>
      <c r="M106" s="58">
        <f t="shared" si="12"/>
        <v>0</v>
      </c>
      <c r="N106" s="58">
        <f t="shared" si="13"/>
        <v>0</v>
      </c>
      <c r="O106" s="58">
        <f t="shared" si="14"/>
        <v>1</v>
      </c>
      <c r="P106" s="5" t="s">
        <v>837</v>
      </c>
      <c r="Q106" s="5" t="s">
        <v>281</v>
      </c>
    </row>
    <row r="107" spans="1:18">
      <c r="A107" s="59">
        <v>41712</v>
      </c>
      <c r="B107" s="60" t="str">
        <f t="shared" si="10"/>
        <v>Fri</v>
      </c>
      <c r="C107" s="60" t="s">
        <v>108</v>
      </c>
      <c r="D107" s="60" t="s">
        <v>117</v>
      </c>
      <c r="E107" s="59" t="s">
        <v>121</v>
      </c>
      <c r="F107" s="59" t="s">
        <v>122</v>
      </c>
      <c r="G107" s="61"/>
      <c r="H107" s="60"/>
      <c r="I107" s="117">
        <v>1122</v>
      </c>
      <c r="J107" s="62"/>
      <c r="K107" s="62"/>
      <c r="L107" s="58">
        <f t="shared" si="11"/>
        <v>1</v>
      </c>
      <c r="M107" s="58">
        <f t="shared" si="12"/>
        <v>0</v>
      </c>
      <c r="N107" s="58">
        <f t="shared" si="13"/>
        <v>0</v>
      </c>
      <c r="O107" s="58">
        <f t="shared" si="14"/>
        <v>1</v>
      </c>
      <c r="P107" s="5" t="s">
        <v>855</v>
      </c>
      <c r="Q107" s="5" t="s">
        <v>856</v>
      </c>
      <c r="R107" s="5" t="s">
        <v>281</v>
      </c>
    </row>
    <row r="108" spans="1:18">
      <c r="A108" s="59">
        <v>41713</v>
      </c>
      <c r="B108" s="60" t="str">
        <f t="shared" si="10"/>
        <v>Sat</v>
      </c>
      <c r="C108" s="60" t="s">
        <v>108</v>
      </c>
      <c r="D108" s="60" t="s">
        <v>117</v>
      </c>
      <c r="E108" s="59" t="s">
        <v>10</v>
      </c>
      <c r="F108" s="59" t="s">
        <v>10</v>
      </c>
      <c r="G108" s="61"/>
      <c r="H108" s="60"/>
      <c r="I108" s="117">
        <v>761</v>
      </c>
      <c r="J108" s="62"/>
      <c r="K108" s="62"/>
      <c r="L108" s="58">
        <f t="shared" si="11"/>
        <v>0</v>
      </c>
      <c r="M108" s="58">
        <f t="shared" si="12"/>
        <v>0</v>
      </c>
      <c r="N108" s="58">
        <f t="shared" si="13"/>
        <v>0</v>
      </c>
      <c r="O108" s="58">
        <f t="shared" si="14"/>
        <v>0</v>
      </c>
      <c r="P108" s="5" t="s">
        <v>10</v>
      </c>
    </row>
    <row r="109" spans="1:18">
      <c r="A109" s="59">
        <v>41714</v>
      </c>
      <c r="B109" s="60" t="str">
        <f t="shared" si="10"/>
        <v>Sun</v>
      </c>
      <c r="C109" s="60" t="s">
        <v>108</v>
      </c>
      <c r="D109" s="60" t="s">
        <v>123</v>
      </c>
      <c r="E109" s="59" t="s">
        <v>121</v>
      </c>
      <c r="F109" s="59" t="s">
        <v>124</v>
      </c>
      <c r="G109" s="61"/>
      <c r="H109" s="60"/>
      <c r="I109" s="117">
        <v>710</v>
      </c>
      <c r="J109" s="62"/>
      <c r="K109" s="62"/>
      <c r="L109" s="58">
        <f t="shared" si="11"/>
        <v>1</v>
      </c>
      <c r="M109" s="58">
        <f t="shared" si="12"/>
        <v>0</v>
      </c>
      <c r="N109" s="58">
        <f t="shared" si="13"/>
        <v>0</v>
      </c>
      <c r="O109" s="58">
        <f t="shared" si="14"/>
        <v>1</v>
      </c>
      <c r="P109" s="5" t="s">
        <v>855</v>
      </c>
      <c r="Q109" s="5" t="s">
        <v>856</v>
      </c>
      <c r="R109" s="5" t="s">
        <v>281</v>
      </c>
    </row>
    <row r="110" spans="1:18">
      <c r="A110" s="59">
        <v>41715</v>
      </c>
      <c r="B110" s="60" t="str">
        <f t="shared" si="10"/>
        <v>Mon</v>
      </c>
      <c r="C110" s="60" t="s">
        <v>108</v>
      </c>
      <c r="D110" s="60" t="s">
        <v>123</v>
      </c>
      <c r="E110" s="59" t="s">
        <v>121</v>
      </c>
      <c r="F110" s="59" t="s">
        <v>125</v>
      </c>
      <c r="G110" s="61"/>
      <c r="H110" s="60"/>
      <c r="I110" s="117">
        <v>1178</v>
      </c>
      <c r="J110" s="62"/>
      <c r="K110" s="62"/>
      <c r="L110" s="58">
        <f t="shared" si="11"/>
        <v>1</v>
      </c>
      <c r="M110" s="58">
        <f t="shared" si="12"/>
        <v>0</v>
      </c>
      <c r="N110" s="58">
        <f t="shared" si="13"/>
        <v>0</v>
      </c>
      <c r="O110" s="58">
        <f t="shared" si="14"/>
        <v>1</v>
      </c>
      <c r="P110" s="5" t="s">
        <v>855</v>
      </c>
      <c r="Q110" s="5" t="s">
        <v>856</v>
      </c>
      <c r="R110" s="5" t="s">
        <v>281</v>
      </c>
    </row>
    <row r="111" spans="1:18">
      <c r="A111" s="59">
        <v>41716</v>
      </c>
      <c r="B111" s="60" t="str">
        <f t="shared" si="10"/>
        <v>Tue</v>
      </c>
      <c r="C111" s="60" t="s">
        <v>108</v>
      </c>
      <c r="D111" s="60" t="s">
        <v>123</v>
      </c>
      <c r="E111" s="59" t="s">
        <v>58</v>
      </c>
      <c r="F111" s="59" t="s">
        <v>126</v>
      </c>
      <c r="G111" s="61"/>
      <c r="H111" s="60"/>
      <c r="I111" s="117">
        <v>1511</v>
      </c>
      <c r="J111" s="62"/>
      <c r="K111" s="62"/>
      <c r="L111" s="58">
        <f t="shared" si="11"/>
        <v>1</v>
      </c>
      <c r="M111" s="58">
        <f t="shared" si="12"/>
        <v>0</v>
      </c>
      <c r="N111" s="58">
        <f t="shared" si="13"/>
        <v>0</v>
      </c>
      <c r="O111" s="58">
        <f t="shared" si="14"/>
        <v>1</v>
      </c>
      <c r="P111" s="5" t="s">
        <v>840</v>
      </c>
      <c r="Q111" s="5" t="s">
        <v>281</v>
      </c>
    </row>
    <row r="112" spans="1:18">
      <c r="A112" s="59">
        <v>41717</v>
      </c>
      <c r="B112" s="60" t="str">
        <f t="shared" si="10"/>
        <v>Wed</v>
      </c>
      <c r="C112" s="60" t="s">
        <v>108</v>
      </c>
      <c r="D112" s="60" t="s">
        <v>123</v>
      </c>
      <c r="E112" s="59" t="s">
        <v>58</v>
      </c>
      <c r="F112" s="59" t="s">
        <v>127</v>
      </c>
      <c r="G112" s="61"/>
      <c r="H112" s="60"/>
      <c r="I112" s="117">
        <v>1501</v>
      </c>
      <c r="J112" s="62"/>
      <c r="K112" s="62"/>
      <c r="L112" s="58">
        <f t="shared" si="11"/>
        <v>1</v>
      </c>
      <c r="M112" s="58">
        <f t="shared" si="12"/>
        <v>0</v>
      </c>
      <c r="N112" s="58">
        <f t="shared" si="13"/>
        <v>0</v>
      </c>
      <c r="O112" s="58">
        <f t="shared" si="14"/>
        <v>1</v>
      </c>
      <c r="P112" s="5" t="s">
        <v>840</v>
      </c>
      <c r="Q112" s="5" t="s">
        <v>281</v>
      </c>
    </row>
    <row r="113" spans="1:20">
      <c r="A113" s="59">
        <v>41718</v>
      </c>
      <c r="B113" s="60" t="str">
        <f t="shared" si="10"/>
        <v>Thu</v>
      </c>
      <c r="C113" s="60" t="s">
        <v>108</v>
      </c>
      <c r="D113" s="60" t="s">
        <v>123</v>
      </c>
      <c r="E113" s="59" t="s">
        <v>17</v>
      </c>
      <c r="F113" s="59" t="s">
        <v>128</v>
      </c>
      <c r="G113" s="61"/>
      <c r="H113" s="60"/>
      <c r="I113" s="117">
        <v>1093</v>
      </c>
      <c r="J113" s="62"/>
      <c r="K113" s="62"/>
      <c r="L113" s="58">
        <f t="shared" si="11"/>
        <v>1</v>
      </c>
      <c r="M113" s="58">
        <f t="shared" si="12"/>
        <v>0</v>
      </c>
      <c r="N113" s="58">
        <f t="shared" si="13"/>
        <v>0</v>
      </c>
      <c r="O113" s="58">
        <f t="shared" si="14"/>
        <v>1</v>
      </c>
      <c r="P113" s="5" t="s">
        <v>17</v>
      </c>
    </row>
    <row r="114" spans="1:20">
      <c r="A114" s="59">
        <v>41719</v>
      </c>
      <c r="B114" s="60" t="str">
        <f t="shared" si="10"/>
        <v>Fri</v>
      </c>
      <c r="C114" s="60" t="s">
        <v>108</v>
      </c>
      <c r="D114" s="60" t="s">
        <v>123</v>
      </c>
      <c r="E114" s="59" t="s">
        <v>110</v>
      </c>
      <c r="F114" s="59" t="s">
        <v>129</v>
      </c>
      <c r="G114" s="61"/>
      <c r="H114" s="60"/>
      <c r="I114" s="117">
        <v>1457</v>
      </c>
      <c r="J114" s="62"/>
      <c r="K114" s="62"/>
      <c r="L114" s="58">
        <f t="shared" si="11"/>
        <v>1</v>
      </c>
      <c r="M114" s="58">
        <f t="shared" si="12"/>
        <v>0</v>
      </c>
      <c r="N114" s="58">
        <f t="shared" si="13"/>
        <v>0</v>
      </c>
      <c r="O114" s="58">
        <f t="shared" si="14"/>
        <v>1</v>
      </c>
      <c r="P114" s="5" t="s">
        <v>853</v>
      </c>
      <c r="Q114" s="5" t="s">
        <v>281</v>
      </c>
    </row>
    <row r="115" spans="1:20">
      <c r="A115" s="59">
        <v>41720</v>
      </c>
      <c r="B115" s="60" t="str">
        <f t="shared" si="10"/>
        <v>Sat</v>
      </c>
      <c r="C115" s="60" t="s">
        <v>108</v>
      </c>
      <c r="D115" s="60" t="s">
        <v>123</v>
      </c>
      <c r="E115" s="59" t="s">
        <v>10</v>
      </c>
      <c r="F115" s="59" t="s">
        <v>10</v>
      </c>
      <c r="G115" s="61"/>
      <c r="H115" s="60"/>
      <c r="I115" s="117">
        <v>928</v>
      </c>
      <c r="J115" s="62"/>
      <c r="K115" s="62"/>
      <c r="L115" s="58">
        <f t="shared" si="11"/>
        <v>0</v>
      </c>
      <c r="M115" s="58">
        <f t="shared" si="12"/>
        <v>0</v>
      </c>
      <c r="N115" s="58">
        <f t="shared" si="13"/>
        <v>0</v>
      </c>
      <c r="O115" s="58">
        <f t="shared" si="14"/>
        <v>0</v>
      </c>
      <c r="P115" s="5" t="s">
        <v>10</v>
      </c>
    </row>
    <row r="116" spans="1:20">
      <c r="A116" s="59">
        <v>41721</v>
      </c>
      <c r="B116" s="60" t="str">
        <f t="shared" si="10"/>
        <v>Sun</v>
      </c>
      <c r="C116" s="60" t="s">
        <v>108</v>
      </c>
      <c r="D116" s="60" t="s">
        <v>130</v>
      </c>
      <c r="E116" s="59" t="s">
        <v>131</v>
      </c>
      <c r="F116" s="59" t="s">
        <v>132</v>
      </c>
      <c r="G116" s="61" t="s">
        <v>133</v>
      </c>
      <c r="H116" s="60"/>
      <c r="I116" s="117">
        <v>979</v>
      </c>
      <c r="J116" s="62"/>
      <c r="K116" s="62"/>
      <c r="L116" s="58">
        <f t="shared" si="11"/>
        <v>1</v>
      </c>
      <c r="M116" s="58">
        <f t="shared" si="12"/>
        <v>1</v>
      </c>
      <c r="N116" s="58">
        <f t="shared" si="13"/>
        <v>0</v>
      </c>
      <c r="O116" s="58">
        <f t="shared" si="14"/>
        <v>2</v>
      </c>
      <c r="P116" s="5" t="s">
        <v>857</v>
      </c>
      <c r="Q116" s="5">
        <v>20</v>
      </c>
      <c r="R116" s="5">
        <v>25</v>
      </c>
      <c r="S116" s="5" t="s">
        <v>858</v>
      </c>
      <c r="T116" s="5" t="s">
        <v>836</v>
      </c>
    </row>
    <row r="117" spans="1:20">
      <c r="A117" s="59">
        <v>41722</v>
      </c>
      <c r="B117" s="60" t="str">
        <f t="shared" si="10"/>
        <v>Mon</v>
      </c>
      <c r="C117" s="60" t="s">
        <v>108</v>
      </c>
      <c r="D117" s="60" t="s">
        <v>130</v>
      </c>
      <c r="E117" s="59" t="s">
        <v>10</v>
      </c>
      <c r="F117" s="59" t="s">
        <v>10</v>
      </c>
      <c r="G117" s="61"/>
      <c r="H117" s="60"/>
      <c r="I117" s="117">
        <v>1167</v>
      </c>
      <c r="J117" s="62"/>
      <c r="K117" s="62"/>
      <c r="L117" s="58">
        <f t="shared" si="11"/>
        <v>0</v>
      </c>
      <c r="M117" s="58">
        <f t="shared" si="12"/>
        <v>0</v>
      </c>
      <c r="N117" s="58">
        <f t="shared" si="13"/>
        <v>0</v>
      </c>
      <c r="O117" s="58">
        <f t="shared" si="14"/>
        <v>0</v>
      </c>
      <c r="P117" s="5" t="s">
        <v>10</v>
      </c>
    </row>
    <row r="118" spans="1:20">
      <c r="A118" s="59">
        <v>41723</v>
      </c>
      <c r="B118" s="60" t="str">
        <f t="shared" si="10"/>
        <v>Tue</v>
      </c>
      <c r="C118" s="60" t="s">
        <v>108</v>
      </c>
      <c r="D118" s="60" t="s">
        <v>130</v>
      </c>
      <c r="E118" s="59" t="s">
        <v>58</v>
      </c>
      <c r="F118" s="59" t="s">
        <v>134</v>
      </c>
      <c r="G118" s="61"/>
      <c r="H118" s="60"/>
      <c r="I118" s="117">
        <v>1329</v>
      </c>
      <c r="J118" s="62"/>
      <c r="K118" s="62"/>
      <c r="L118" s="58">
        <f t="shared" si="11"/>
        <v>1</v>
      </c>
      <c r="M118" s="58">
        <f t="shared" si="12"/>
        <v>0</v>
      </c>
      <c r="N118" s="58">
        <f t="shared" si="13"/>
        <v>0</v>
      </c>
      <c r="O118" s="58">
        <f t="shared" si="14"/>
        <v>1</v>
      </c>
      <c r="P118" s="5" t="s">
        <v>840</v>
      </c>
      <c r="Q118" s="5" t="s">
        <v>281</v>
      </c>
    </row>
    <row r="119" spans="1:20">
      <c r="A119" s="59">
        <v>41724</v>
      </c>
      <c r="B119" s="60" t="str">
        <f t="shared" si="10"/>
        <v>Wed</v>
      </c>
      <c r="C119" s="60" t="s">
        <v>108</v>
      </c>
      <c r="D119" s="60" t="s">
        <v>130</v>
      </c>
      <c r="E119" s="59" t="s">
        <v>58</v>
      </c>
      <c r="F119" s="59" t="s">
        <v>135</v>
      </c>
      <c r="G119" s="61"/>
      <c r="H119" s="60"/>
      <c r="I119" s="117">
        <v>1198</v>
      </c>
      <c r="J119" s="62"/>
      <c r="K119" s="62"/>
      <c r="L119" s="58">
        <f t="shared" si="11"/>
        <v>1</v>
      </c>
      <c r="M119" s="58">
        <f t="shared" si="12"/>
        <v>0</v>
      </c>
      <c r="N119" s="58">
        <f t="shared" si="13"/>
        <v>0</v>
      </c>
      <c r="O119" s="58">
        <f t="shared" si="14"/>
        <v>1</v>
      </c>
      <c r="P119" s="5" t="s">
        <v>840</v>
      </c>
      <c r="Q119" s="5" t="s">
        <v>281</v>
      </c>
    </row>
    <row r="120" spans="1:20">
      <c r="A120" s="59">
        <v>41725</v>
      </c>
      <c r="B120" s="60" t="str">
        <f t="shared" si="10"/>
        <v>Thu</v>
      </c>
      <c r="C120" s="60" t="s">
        <v>108</v>
      </c>
      <c r="D120" s="60" t="s">
        <v>130</v>
      </c>
      <c r="E120" s="59" t="s">
        <v>136</v>
      </c>
      <c r="F120" s="59" t="s">
        <v>137</v>
      </c>
      <c r="G120" s="61"/>
      <c r="H120" s="60"/>
      <c r="I120" s="117">
        <v>1090</v>
      </c>
      <c r="J120" s="62"/>
      <c r="K120" s="62"/>
      <c r="L120" s="58">
        <f t="shared" si="11"/>
        <v>1</v>
      </c>
      <c r="M120" s="58">
        <f t="shared" si="12"/>
        <v>0</v>
      </c>
      <c r="N120" s="58">
        <f t="shared" si="13"/>
        <v>0</v>
      </c>
      <c r="O120" s="58">
        <f t="shared" si="14"/>
        <v>1</v>
      </c>
      <c r="P120" s="5" t="s">
        <v>18</v>
      </c>
      <c r="Q120" s="5" t="s">
        <v>846</v>
      </c>
      <c r="R120" s="5" t="s">
        <v>859</v>
      </c>
      <c r="S120" s="5" t="s">
        <v>281</v>
      </c>
    </row>
    <row r="121" spans="1:20">
      <c r="A121" s="59">
        <v>41726</v>
      </c>
      <c r="B121" s="60" t="str">
        <f t="shared" si="10"/>
        <v>Fri</v>
      </c>
      <c r="C121" s="60" t="s">
        <v>108</v>
      </c>
      <c r="D121" s="60" t="s">
        <v>130</v>
      </c>
      <c r="E121" s="59" t="s">
        <v>10</v>
      </c>
      <c r="F121" s="59" t="s">
        <v>10</v>
      </c>
      <c r="G121" s="61"/>
      <c r="H121" s="60"/>
      <c r="I121" s="117">
        <v>1029</v>
      </c>
      <c r="J121" s="62"/>
      <c r="K121" s="62"/>
      <c r="L121" s="58">
        <f t="shared" si="11"/>
        <v>0</v>
      </c>
      <c r="M121" s="58">
        <f t="shared" si="12"/>
        <v>0</v>
      </c>
      <c r="N121" s="58">
        <f t="shared" si="13"/>
        <v>0</v>
      </c>
      <c r="O121" s="58">
        <f t="shared" si="14"/>
        <v>0</v>
      </c>
      <c r="P121" s="5" t="s">
        <v>10</v>
      </c>
    </row>
    <row r="122" spans="1:20">
      <c r="A122" s="59">
        <v>41727</v>
      </c>
      <c r="B122" s="60" t="str">
        <f t="shared" si="10"/>
        <v>Sat</v>
      </c>
      <c r="C122" s="60" t="s">
        <v>108</v>
      </c>
      <c r="D122" s="60" t="s">
        <v>130</v>
      </c>
      <c r="E122" s="59" t="s">
        <v>17</v>
      </c>
      <c r="F122" s="59" t="s">
        <v>138</v>
      </c>
      <c r="G122" s="61"/>
      <c r="H122" s="60"/>
      <c r="I122" s="117">
        <v>761</v>
      </c>
      <c r="J122" s="62"/>
      <c r="K122" s="62"/>
      <c r="L122" s="58">
        <f t="shared" si="11"/>
        <v>1</v>
      </c>
      <c r="M122" s="58">
        <f t="shared" si="12"/>
        <v>0</v>
      </c>
      <c r="N122" s="58">
        <f t="shared" si="13"/>
        <v>0</v>
      </c>
      <c r="O122" s="58">
        <f t="shared" si="14"/>
        <v>1</v>
      </c>
      <c r="P122" s="5" t="s">
        <v>17</v>
      </c>
    </row>
    <row r="123" spans="1:20">
      <c r="A123" s="59">
        <v>41728</v>
      </c>
      <c r="B123" s="60" t="str">
        <f t="shared" si="10"/>
        <v>Sun</v>
      </c>
      <c r="C123" s="60" t="s">
        <v>139</v>
      </c>
      <c r="D123" s="60" t="s">
        <v>140</v>
      </c>
      <c r="E123" s="59" t="s">
        <v>10</v>
      </c>
      <c r="F123" s="59" t="s">
        <v>10</v>
      </c>
      <c r="G123" s="61"/>
      <c r="H123" s="60"/>
      <c r="I123" s="117">
        <v>719</v>
      </c>
      <c r="J123" s="62"/>
      <c r="K123" s="62"/>
      <c r="L123" s="58">
        <f t="shared" si="11"/>
        <v>0</v>
      </c>
      <c r="M123" s="58">
        <f t="shared" si="12"/>
        <v>0</v>
      </c>
      <c r="N123" s="58">
        <f t="shared" si="13"/>
        <v>0</v>
      </c>
      <c r="O123" s="58">
        <f t="shared" si="14"/>
        <v>0</v>
      </c>
      <c r="P123" s="5" t="s">
        <v>10</v>
      </c>
    </row>
    <row r="124" spans="1:20">
      <c r="A124" s="59">
        <v>41729</v>
      </c>
      <c r="B124" s="60" t="str">
        <f t="shared" si="10"/>
        <v>Mon</v>
      </c>
      <c r="C124" s="60" t="s">
        <v>139</v>
      </c>
      <c r="D124" s="60" t="s">
        <v>140</v>
      </c>
      <c r="E124" s="59" t="s">
        <v>141</v>
      </c>
      <c r="F124" s="59" t="s">
        <v>142</v>
      </c>
      <c r="G124" s="61"/>
      <c r="H124" s="60"/>
      <c r="I124" s="117">
        <v>1629</v>
      </c>
      <c r="J124" s="62"/>
      <c r="K124" s="62"/>
      <c r="L124" s="58">
        <f t="shared" si="11"/>
        <v>1</v>
      </c>
      <c r="M124" s="58">
        <f t="shared" si="12"/>
        <v>0</v>
      </c>
      <c r="N124" s="58">
        <f t="shared" si="13"/>
        <v>0</v>
      </c>
      <c r="O124" s="58">
        <f t="shared" si="14"/>
        <v>1</v>
      </c>
      <c r="P124" s="5" t="s">
        <v>860</v>
      </c>
      <c r="Q124" s="5" t="s">
        <v>861</v>
      </c>
      <c r="R124" s="5" t="s">
        <v>281</v>
      </c>
    </row>
    <row r="125" spans="1:20">
      <c r="A125" s="59">
        <v>41730</v>
      </c>
      <c r="B125" s="60" t="str">
        <f t="shared" si="10"/>
        <v>Tue</v>
      </c>
      <c r="C125" s="60" t="s">
        <v>139</v>
      </c>
      <c r="D125" s="60" t="s">
        <v>140</v>
      </c>
      <c r="E125" s="59" t="s">
        <v>141</v>
      </c>
      <c r="F125" s="59" t="s">
        <v>143</v>
      </c>
      <c r="G125" s="61"/>
      <c r="H125" s="60"/>
      <c r="I125" s="117">
        <v>1424</v>
      </c>
      <c r="J125" s="62"/>
      <c r="K125" s="62"/>
      <c r="L125" s="58">
        <f t="shared" si="11"/>
        <v>1</v>
      </c>
      <c r="M125" s="58">
        <f t="shared" si="12"/>
        <v>0</v>
      </c>
      <c r="N125" s="58">
        <f t="shared" si="13"/>
        <v>0</v>
      </c>
      <c r="O125" s="58">
        <f t="shared" si="14"/>
        <v>1</v>
      </c>
      <c r="P125" s="5" t="s">
        <v>860</v>
      </c>
      <c r="Q125" s="5" t="s">
        <v>861</v>
      </c>
      <c r="R125" s="5" t="s">
        <v>281</v>
      </c>
    </row>
    <row r="126" spans="1:20">
      <c r="A126" s="59">
        <v>41731</v>
      </c>
      <c r="B126" s="60" t="str">
        <f t="shared" si="10"/>
        <v>Wed</v>
      </c>
      <c r="C126" s="60" t="s">
        <v>139</v>
      </c>
      <c r="D126" s="60" t="s">
        <v>140</v>
      </c>
      <c r="E126" s="59" t="s">
        <v>10</v>
      </c>
      <c r="F126" s="59" t="s">
        <v>10</v>
      </c>
      <c r="G126" s="61"/>
      <c r="H126" s="60"/>
      <c r="I126" s="117">
        <v>1108</v>
      </c>
      <c r="J126" s="62"/>
      <c r="K126" s="62"/>
      <c r="L126" s="58">
        <f t="shared" si="11"/>
        <v>0</v>
      </c>
      <c r="M126" s="58">
        <f t="shared" si="12"/>
        <v>0</v>
      </c>
      <c r="N126" s="58">
        <f t="shared" si="13"/>
        <v>0</v>
      </c>
      <c r="O126" s="58">
        <f t="shared" si="14"/>
        <v>0</v>
      </c>
      <c r="P126" s="5" t="s">
        <v>10</v>
      </c>
    </row>
    <row r="127" spans="1:20">
      <c r="A127" s="59">
        <v>41732</v>
      </c>
      <c r="B127" s="60" t="str">
        <f t="shared" si="10"/>
        <v>Thu</v>
      </c>
      <c r="C127" s="60" t="s">
        <v>139</v>
      </c>
      <c r="D127" s="60" t="s">
        <v>140</v>
      </c>
      <c r="E127" s="59" t="s">
        <v>144</v>
      </c>
      <c r="F127" s="59" t="s">
        <v>145</v>
      </c>
      <c r="G127" s="61"/>
      <c r="H127" s="60"/>
      <c r="I127" s="117">
        <v>1211</v>
      </c>
      <c r="J127" s="62"/>
      <c r="K127" s="62"/>
      <c r="L127" s="58">
        <f t="shared" si="11"/>
        <v>1</v>
      </c>
      <c r="M127" s="58">
        <f t="shared" si="12"/>
        <v>0</v>
      </c>
      <c r="N127" s="58">
        <f t="shared" si="13"/>
        <v>0</v>
      </c>
      <c r="O127" s="58">
        <f t="shared" si="14"/>
        <v>1</v>
      </c>
      <c r="P127" s="5" t="s">
        <v>18</v>
      </c>
      <c r="Q127" s="5" t="s">
        <v>862</v>
      </c>
      <c r="R127" s="5" t="s">
        <v>281</v>
      </c>
    </row>
    <row r="128" spans="1:20">
      <c r="A128" s="59">
        <v>41733</v>
      </c>
      <c r="B128" s="60" t="str">
        <f t="shared" si="10"/>
        <v>Fri</v>
      </c>
      <c r="C128" s="60" t="s">
        <v>139</v>
      </c>
      <c r="D128" s="60" t="s">
        <v>140</v>
      </c>
      <c r="E128" s="59" t="s">
        <v>146</v>
      </c>
      <c r="F128" s="59" t="s">
        <v>147</v>
      </c>
      <c r="G128" s="61"/>
      <c r="H128" s="60"/>
      <c r="I128" s="117">
        <v>1117</v>
      </c>
      <c r="J128" s="62"/>
      <c r="K128" s="62"/>
      <c r="L128" s="58">
        <f t="shared" si="11"/>
        <v>1</v>
      </c>
      <c r="M128" s="58">
        <f t="shared" si="12"/>
        <v>0</v>
      </c>
      <c r="N128" s="58">
        <f t="shared" si="13"/>
        <v>0</v>
      </c>
      <c r="O128" s="58">
        <f t="shared" si="14"/>
        <v>1</v>
      </c>
      <c r="P128" s="5" t="s">
        <v>863</v>
      </c>
      <c r="Q128" s="5" t="s">
        <v>864</v>
      </c>
    </row>
    <row r="129" spans="1:19">
      <c r="A129" s="59">
        <v>41734</v>
      </c>
      <c r="B129" s="60" t="str">
        <f t="shared" si="10"/>
        <v>Sat</v>
      </c>
      <c r="C129" s="60" t="s">
        <v>139</v>
      </c>
      <c r="D129" s="60" t="s">
        <v>140</v>
      </c>
      <c r="E129" s="59" t="s">
        <v>10</v>
      </c>
      <c r="F129" s="59" t="s">
        <v>10</v>
      </c>
      <c r="G129" s="61"/>
      <c r="H129" s="60"/>
      <c r="I129" s="117">
        <v>711</v>
      </c>
      <c r="J129" s="62"/>
      <c r="K129" s="62"/>
      <c r="L129" s="58">
        <f t="shared" si="11"/>
        <v>0</v>
      </c>
      <c r="M129" s="58">
        <f t="shared" si="12"/>
        <v>0</v>
      </c>
      <c r="N129" s="58">
        <f t="shared" si="13"/>
        <v>0</v>
      </c>
      <c r="O129" s="58">
        <f t="shared" si="14"/>
        <v>0</v>
      </c>
      <c r="P129" s="5" t="s">
        <v>10</v>
      </c>
    </row>
    <row r="130" spans="1:19">
      <c r="A130" s="59">
        <v>41735</v>
      </c>
      <c r="B130" s="60" t="str">
        <f t="shared" si="10"/>
        <v>Sun</v>
      </c>
      <c r="C130" s="60" t="s">
        <v>139</v>
      </c>
      <c r="D130" s="60" t="s">
        <v>148</v>
      </c>
      <c r="E130" s="59" t="s">
        <v>146</v>
      </c>
      <c r="F130" s="59" t="s">
        <v>149</v>
      </c>
      <c r="G130" s="61"/>
      <c r="H130" s="60"/>
      <c r="I130" s="117">
        <v>654</v>
      </c>
      <c r="J130" s="62"/>
      <c r="K130" s="62"/>
      <c r="L130" s="58">
        <f t="shared" si="11"/>
        <v>1</v>
      </c>
      <c r="M130" s="58">
        <f t="shared" si="12"/>
        <v>0</v>
      </c>
      <c r="N130" s="58">
        <f t="shared" si="13"/>
        <v>0</v>
      </c>
      <c r="O130" s="58">
        <f t="shared" si="14"/>
        <v>1</v>
      </c>
      <c r="P130" s="5" t="s">
        <v>863</v>
      </c>
      <c r="Q130" s="5" t="s">
        <v>864</v>
      </c>
    </row>
    <row r="131" spans="1:19">
      <c r="A131" s="59">
        <v>41736</v>
      </c>
      <c r="B131" s="60" t="str">
        <f t="shared" si="10"/>
        <v>Mon</v>
      </c>
      <c r="C131" s="60" t="s">
        <v>139</v>
      </c>
      <c r="D131" s="60" t="s">
        <v>148</v>
      </c>
      <c r="E131" s="59" t="s">
        <v>78</v>
      </c>
      <c r="F131" s="59" t="s">
        <v>150</v>
      </c>
      <c r="G131" s="61"/>
      <c r="H131" s="60"/>
      <c r="I131" s="117">
        <v>1102</v>
      </c>
      <c r="J131" s="62"/>
      <c r="K131" s="62"/>
      <c r="L131" s="58">
        <f t="shared" si="11"/>
        <v>1</v>
      </c>
      <c r="M131" s="58">
        <f t="shared" si="12"/>
        <v>0</v>
      </c>
      <c r="N131" s="58">
        <f t="shared" si="13"/>
        <v>0</v>
      </c>
      <c r="O131" s="58">
        <f t="shared" si="14"/>
        <v>1</v>
      </c>
      <c r="P131" s="5" t="s">
        <v>845</v>
      </c>
      <c r="Q131" s="5" t="s">
        <v>281</v>
      </c>
    </row>
    <row r="132" spans="1:19">
      <c r="A132" s="59">
        <v>41737</v>
      </c>
      <c r="B132" s="60" t="str">
        <f t="shared" si="10"/>
        <v>Tue</v>
      </c>
      <c r="C132" s="60" t="s">
        <v>139</v>
      </c>
      <c r="D132" s="60" t="s">
        <v>148</v>
      </c>
      <c r="E132" s="59" t="s">
        <v>58</v>
      </c>
      <c r="F132" s="59" t="s">
        <v>151</v>
      </c>
      <c r="G132" s="61"/>
      <c r="H132" s="60"/>
      <c r="I132" s="117">
        <v>1195</v>
      </c>
      <c r="J132" s="62"/>
      <c r="K132" s="62"/>
      <c r="L132" s="58">
        <f t="shared" si="11"/>
        <v>1</v>
      </c>
      <c r="M132" s="58">
        <f t="shared" si="12"/>
        <v>0</v>
      </c>
      <c r="N132" s="58">
        <f t="shared" si="13"/>
        <v>0</v>
      </c>
      <c r="O132" s="58">
        <f t="shared" si="14"/>
        <v>1</v>
      </c>
      <c r="P132" s="5" t="s">
        <v>840</v>
      </c>
      <c r="Q132" s="5" t="s">
        <v>281</v>
      </c>
    </row>
    <row r="133" spans="1:19">
      <c r="A133" s="59">
        <v>41738</v>
      </c>
      <c r="B133" s="60" t="str">
        <f t="shared" si="10"/>
        <v>Wed</v>
      </c>
      <c r="C133" s="60" t="s">
        <v>139</v>
      </c>
      <c r="D133" s="60" t="s">
        <v>148</v>
      </c>
      <c r="E133" s="59" t="s">
        <v>10</v>
      </c>
      <c r="F133" s="59" t="s">
        <v>10</v>
      </c>
      <c r="G133" s="61"/>
      <c r="H133" s="60"/>
      <c r="I133" s="117">
        <v>963</v>
      </c>
      <c r="J133" s="62"/>
      <c r="K133" s="62"/>
      <c r="L133" s="58">
        <f t="shared" si="11"/>
        <v>0</v>
      </c>
      <c r="M133" s="58">
        <f t="shared" si="12"/>
        <v>0</v>
      </c>
      <c r="N133" s="58">
        <f t="shared" si="13"/>
        <v>0</v>
      </c>
      <c r="O133" s="58">
        <f t="shared" si="14"/>
        <v>0</v>
      </c>
      <c r="P133" s="5" t="s">
        <v>10</v>
      </c>
    </row>
    <row r="134" spans="1:19">
      <c r="A134" s="59">
        <v>41739</v>
      </c>
      <c r="B134" s="60" t="str">
        <f t="shared" si="10"/>
        <v>Thu</v>
      </c>
      <c r="C134" s="60" t="s">
        <v>139</v>
      </c>
      <c r="D134" s="60" t="s">
        <v>148</v>
      </c>
      <c r="E134" s="59" t="s">
        <v>152</v>
      </c>
      <c r="F134" s="59" t="s">
        <v>153</v>
      </c>
      <c r="G134" s="61"/>
      <c r="H134" s="60"/>
      <c r="I134" s="117">
        <v>1076</v>
      </c>
      <c r="J134" s="62"/>
      <c r="K134" s="62"/>
      <c r="L134" s="58">
        <f t="shared" si="11"/>
        <v>1</v>
      </c>
      <c r="M134" s="58">
        <f t="shared" si="12"/>
        <v>0</v>
      </c>
      <c r="N134" s="58">
        <f t="shared" si="13"/>
        <v>0</v>
      </c>
      <c r="O134" s="58">
        <f t="shared" si="14"/>
        <v>1</v>
      </c>
      <c r="P134" s="5" t="s">
        <v>18</v>
      </c>
      <c r="Q134" s="5" t="s">
        <v>865</v>
      </c>
      <c r="R134" s="5" t="s">
        <v>281</v>
      </c>
    </row>
    <row r="135" spans="1:19">
      <c r="A135" s="59">
        <v>41740</v>
      </c>
      <c r="B135" s="60" t="str">
        <f t="shared" si="10"/>
        <v>Fri</v>
      </c>
      <c r="C135" s="60" t="s">
        <v>139</v>
      </c>
      <c r="D135" s="60" t="s">
        <v>148</v>
      </c>
      <c r="E135" s="59" t="s">
        <v>78</v>
      </c>
      <c r="F135" s="59" t="s">
        <v>154</v>
      </c>
      <c r="G135" s="61"/>
      <c r="H135" s="60"/>
      <c r="I135" s="117">
        <v>937</v>
      </c>
      <c r="J135" s="62"/>
      <c r="K135" s="62"/>
      <c r="L135" s="58">
        <f t="shared" si="11"/>
        <v>1</v>
      </c>
      <c r="M135" s="58">
        <f t="shared" si="12"/>
        <v>0</v>
      </c>
      <c r="N135" s="58">
        <f t="shared" si="13"/>
        <v>0</v>
      </c>
      <c r="O135" s="58">
        <f t="shared" si="14"/>
        <v>1</v>
      </c>
      <c r="P135" s="5" t="s">
        <v>845</v>
      </c>
      <c r="Q135" s="5" t="s">
        <v>281</v>
      </c>
    </row>
    <row r="136" spans="1:19">
      <c r="A136" s="59">
        <v>41741</v>
      </c>
      <c r="B136" s="60" t="str">
        <f t="shared" si="10"/>
        <v>Sat</v>
      </c>
      <c r="C136" s="60" t="s">
        <v>139</v>
      </c>
      <c r="D136" s="60" t="s">
        <v>148</v>
      </c>
      <c r="E136" s="59" t="s">
        <v>10</v>
      </c>
      <c r="F136" s="59" t="s">
        <v>10</v>
      </c>
      <c r="G136" s="61"/>
      <c r="H136" s="60"/>
      <c r="I136" s="117">
        <v>585</v>
      </c>
      <c r="J136" s="62"/>
      <c r="K136" s="62"/>
      <c r="L136" s="58">
        <f t="shared" si="11"/>
        <v>0</v>
      </c>
      <c r="M136" s="58">
        <f t="shared" si="12"/>
        <v>0</v>
      </c>
      <c r="N136" s="58">
        <f t="shared" si="13"/>
        <v>0</v>
      </c>
      <c r="O136" s="58">
        <f t="shared" si="14"/>
        <v>0</v>
      </c>
      <c r="P136" s="5" t="s">
        <v>10</v>
      </c>
    </row>
    <row r="137" spans="1:19">
      <c r="A137" s="59">
        <v>41742</v>
      </c>
      <c r="B137" s="60" t="str">
        <f t="shared" si="10"/>
        <v>Sun</v>
      </c>
      <c r="C137" s="60" t="s">
        <v>139</v>
      </c>
      <c r="D137" s="60" t="s">
        <v>155</v>
      </c>
      <c r="E137" s="59" t="s">
        <v>10</v>
      </c>
      <c r="F137" s="59" t="s">
        <v>10</v>
      </c>
      <c r="G137" s="61"/>
      <c r="H137" s="60"/>
      <c r="I137" s="117">
        <v>542</v>
      </c>
      <c r="J137" s="62"/>
      <c r="K137" s="62"/>
      <c r="L137" s="58">
        <f t="shared" si="11"/>
        <v>0</v>
      </c>
      <c r="M137" s="58">
        <f t="shared" si="12"/>
        <v>0</v>
      </c>
      <c r="N137" s="58">
        <f t="shared" si="13"/>
        <v>0</v>
      </c>
      <c r="O137" s="58">
        <f t="shared" si="14"/>
        <v>0</v>
      </c>
      <c r="P137" s="5" t="s">
        <v>10</v>
      </c>
    </row>
    <row r="138" spans="1:19">
      <c r="A138" s="59">
        <v>41743</v>
      </c>
      <c r="B138" s="60" t="str">
        <f t="shared" si="10"/>
        <v>Mon</v>
      </c>
      <c r="C138" s="60" t="s">
        <v>139</v>
      </c>
      <c r="D138" s="60" t="s">
        <v>155</v>
      </c>
      <c r="E138" s="59" t="s">
        <v>78</v>
      </c>
      <c r="F138" s="59" t="s">
        <v>156</v>
      </c>
      <c r="G138" s="61"/>
      <c r="H138" s="60"/>
      <c r="I138" s="117">
        <v>1111</v>
      </c>
      <c r="J138" s="62"/>
      <c r="K138" s="62"/>
      <c r="L138" s="58">
        <f t="shared" si="11"/>
        <v>1</v>
      </c>
      <c r="M138" s="58">
        <f t="shared" si="12"/>
        <v>0</v>
      </c>
      <c r="N138" s="58">
        <f t="shared" si="13"/>
        <v>0</v>
      </c>
      <c r="O138" s="58">
        <f t="shared" si="14"/>
        <v>1</v>
      </c>
      <c r="P138" s="5" t="s">
        <v>845</v>
      </c>
      <c r="Q138" s="5" t="s">
        <v>281</v>
      </c>
    </row>
    <row r="139" spans="1:19">
      <c r="A139" s="59">
        <v>41744</v>
      </c>
      <c r="B139" s="60" t="str">
        <f t="shared" si="10"/>
        <v>Tue</v>
      </c>
      <c r="C139" s="60" t="s">
        <v>139</v>
      </c>
      <c r="D139" s="60" t="s">
        <v>155</v>
      </c>
      <c r="E139" s="59" t="s">
        <v>157</v>
      </c>
      <c r="F139" s="59" t="s">
        <v>158</v>
      </c>
      <c r="G139" s="61"/>
      <c r="H139" s="60"/>
      <c r="I139" s="117">
        <v>1534</v>
      </c>
      <c r="J139" s="62"/>
      <c r="K139" s="62"/>
      <c r="L139" s="58">
        <f t="shared" si="11"/>
        <v>1</v>
      </c>
      <c r="M139" s="58">
        <f t="shared" si="12"/>
        <v>0</v>
      </c>
      <c r="N139" s="58">
        <f t="shared" si="13"/>
        <v>0</v>
      </c>
      <c r="O139" s="58">
        <f t="shared" si="14"/>
        <v>1</v>
      </c>
      <c r="P139" s="5" t="s">
        <v>835</v>
      </c>
      <c r="Q139" s="5" t="s">
        <v>281</v>
      </c>
    </row>
    <row r="140" spans="1:19">
      <c r="A140" s="59">
        <v>41745</v>
      </c>
      <c r="B140" s="60" t="str">
        <f t="shared" si="10"/>
        <v>Wed</v>
      </c>
      <c r="C140" s="60" t="s">
        <v>139</v>
      </c>
      <c r="D140" s="60" t="s">
        <v>155</v>
      </c>
      <c r="E140" s="59" t="s">
        <v>10</v>
      </c>
      <c r="F140" s="59" t="s">
        <v>10</v>
      </c>
      <c r="G140" s="61"/>
      <c r="H140" s="60"/>
      <c r="I140" s="117">
        <v>897</v>
      </c>
      <c r="J140" s="62"/>
      <c r="K140" s="62"/>
      <c r="L140" s="58">
        <f t="shared" si="11"/>
        <v>0</v>
      </c>
      <c r="M140" s="58">
        <f t="shared" si="12"/>
        <v>0</v>
      </c>
      <c r="N140" s="58">
        <f t="shared" si="13"/>
        <v>0</v>
      </c>
      <c r="O140" s="58">
        <f t="shared" si="14"/>
        <v>0</v>
      </c>
      <c r="P140" s="5" t="s">
        <v>10</v>
      </c>
    </row>
    <row r="141" spans="1:19">
      <c r="A141" s="59">
        <v>41746</v>
      </c>
      <c r="B141" s="60" t="str">
        <f t="shared" si="10"/>
        <v>Thu</v>
      </c>
      <c r="C141" s="60" t="s">
        <v>139</v>
      </c>
      <c r="D141" s="60" t="s">
        <v>155</v>
      </c>
      <c r="E141" s="59" t="s">
        <v>159</v>
      </c>
      <c r="F141" s="59" t="s">
        <v>160</v>
      </c>
      <c r="G141" s="61"/>
      <c r="H141" s="60"/>
      <c r="I141" s="117">
        <v>874</v>
      </c>
      <c r="J141" s="62"/>
      <c r="K141" s="62"/>
      <c r="L141" s="58">
        <f t="shared" si="11"/>
        <v>1</v>
      </c>
      <c r="M141" s="58">
        <f t="shared" si="12"/>
        <v>0</v>
      </c>
      <c r="N141" s="58">
        <f t="shared" si="13"/>
        <v>0</v>
      </c>
      <c r="O141" s="58">
        <f t="shared" si="14"/>
        <v>1</v>
      </c>
      <c r="P141" s="5" t="s">
        <v>18</v>
      </c>
      <c r="Q141" s="5" t="s">
        <v>866</v>
      </c>
      <c r="R141" s="5" t="s">
        <v>845</v>
      </c>
      <c r="S141" s="5" t="s">
        <v>281</v>
      </c>
    </row>
    <row r="142" spans="1:19">
      <c r="A142" s="59">
        <v>41747</v>
      </c>
      <c r="B142" s="60" t="str">
        <f t="shared" si="10"/>
        <v>Fri</v>
      </c>
      <c r="C142" s="60" t="s">
        <v>139</v>
      </c>
      <c r="D142" s="60" t="s">
        <v>155</v>
      </c>
      <c r="E142" s="59" t="s">
        <v>161</v>
      </c>
      <c r="F142" s="59" t="s">
        <v>162</v>
      </c>
      <c r="G142" s="61"/>
      <c r="H142" s="60"/>
      <c r="I142" s="117">
        <v>890</v>
      </c>
      <c r="J142" s="62"/>
      <c r="K142" s="62"/>
      <c r="L142" s="58">
        <f t="shared" si="11"/>
        <v>1</v>
      </c>
      <c r="M142" s="58">
        <f t="shared" si="12"/>
        <v>0</v>
      </c>
      <c r="N142" s="58">
        <f t="shared" si="13"/>
        <v>0</v>
      </c>
      <c r="O142" s="58">
        <f t="shared" si="14"/>
        <v>1</v>
      </c>
      <c r="P142" s="5" t="s">
        <v>851</v>
      </c>
      <c r="Q142" s="5" t="s">
        <v>836</v>
      </c>
    </row>
    <row r="143" spans="1:19">
      <c r="A143" s="59">
        <v>41748</v>
      </c>
      <c r="B143" s="60" t="str">
        <f t="shared" si="10"/>
        <v>Sat</v>
      </c>
      <c r="C143" s="60" t="s">
        <v>139</v>
      </c>
      <c r="D143" s="60" t="s">
        <v>155</v>
      </c>
      <c r="E143" s="59" t="s">
        <v>161</v>
      </c>
      <c r="F143" s="59" t="s">
        <v>163</v>
      </c>
      <c r="G143" s="61"/>
      <c r="H143" s="60"/>
      <c r="I143" s="117">
        <v>666</v>
      </c>
      <c r="J143" s="62"/>
      <c r="K143" s="62"/>
      <c r="L143" s="58">
        <f t="shared" si="11"/>
        <v>1</v>
      </c>
      <c r="M143" s="58">
        <f t="shared" si="12"/>
        <v>0</v>
      </c>
      <c r="N143" s="58">
        <f t="shared" si="13"/>
        <v>0</v>
      </c>
      <c r="O143" s="58">
        <f t="shared" si="14"/>
        <v>1</v>
      </c>
      <c r="P143" s="5" t="s">
        <v>851</v>
      </c>
      <c r="Q143" s="5" t="s">
        <v>836</v>
      </c>
    </row>
    <row r="144" spans="1:19">
      <c r="A144" s="59">
        <v>41749</v>
      </c>
      <c r="B144" s="60" t="str">
        <f t="shared" si="10"/>
        <v>Sun</v>
      </c>
      <c r="C144" s="60" t="s">
        <v>139</v>
      </c>
      <c r="D144" s="60" t="s">
        <v>164</v>
      </c>
      <c r="E144" s="59" t="s">
        <v>165</v>
      </c>
      <c r="F144" s="59" t="s">
        <v>166</v>
      </c>
      <c r="G144" s="61"/>
      <c r="H144" s="60"/>
      <c r="I144" s="117">
        <v>417</v>
      </c>
      <c r="J144" s="62"/>
      <c r="K144" s="62"/>
      <c r="L144" s="58">
        <f t="shared" si="11"/>
        <v>1</v>
      </c>
      <c r="M144" s="58">
        <f t="shared" si="12"/>
        <v>0</v>
      </c>
      <c r="N144" s="58">
        <f t="shared" si="13"/>
        <v>0</v>
      </c>
      <c r="O144" s="58">
        <f t="shared" si="14"/>
        <v>1</v>
      </c>
      <c r="P144" s="5" t="s">
        <v>867</v>
      </c>
      <c r="Q144" s="5" t="s">
        <v>281</v>
      </c>
    </row>
    <row r="145" spans="1:18">
      <c r="A145" s="59">
        <v>41750</v>
      </c>
      <c r="B145" s="60" t="str">
        <f t="shared" si="10"/>
        <v>Mon</v>
      </c>
      <c r="C145" s="60" t="s">
        <v>139</v>
      </c>
      <c r="D145" s="60" t="s">
        <v>164</v>
      </c>
      <c r="E145" s="59" t="s">
        <v>10</v>
      </c>
      <c r="F145" s="59" t="s">
        <v>10</v>
      </c>
      <c r="G145" s="61"/>
      <c r="H145" s="60"/>
      <c r="I145" s="117">
        <v>1020</v>
      </c>
      <c r="J145" s="62"/>
      <c r="K145" s="62"/>
      <c r="L145" s="58">
        <f t="shared" si="11"/>
        <v>0</v>
      </c>
      <c r="M145" s="58">
        <f t="shared" si="12"/>
        <v>0</v>
      </c>
      <c r="N145" s="58">
        <f t="shared" si="13"/>
        <v>0</v>
      </c>
      <c r="O145" s="58">
        <f t="shared" si="14"/>
        <v>0</v>
      </c>
      <c r="P145" s="5" t="s">
        <v>10</v>
      </c>
    </row>
    <row r="146" spans="1:18">
      <c r="A146" s="59">
        <v>41751</v>
      </c>
      <c r="B146" s="60" t="str">
        <f t="shared" si="10"/>
        <v>Tue</v>
      </c>
      <c r="C146" s="60" t="s">
        <v>139</v>
      </c>
      <c r="D146" s="60" t="s">
        <v>164</v>
      </c>
      <c r="E146" s="59" t="s">
        <v>48</v>
      </c>
      <c r="F146" s="59" t="s">
        <v>167</v>
      </c>
      <c r="G146" s="61"/>
      <c r="H146" s="60"/>
      <c r="I146" s="117">
        <v>1051</v>
      </c>
      <c r="J146" s="62"/>
      <c r="K146" s="62"/>
      <c r="L146" s="58">
        <f t="shared" si="11"/>
        <v>1</v>
      </c>
      <c r="M146" s="58">
        <f t="shared" si="12"/>
        <v>0</v>
      </c>
      <c r="N146" s="58">
        <f t="shared" si="13"/>
        <v>0</v>
      </c>
      <c r="O146" s="58">
        <f t="shared" si="14"/>
        <v>1</v>
      </c>
      <c r="P146" s="5" t="s">
        <v>837</v>
      </c>
      <c r="Q146" s="5" t="s">
        <v>281</v>
      </c>
    </row>
    <row r="147" spans="1:18">
      <c r="A147" s="59">
        <v>41752</v>
      </c>
      <c r="B147" s="60" t="str">
        <f t="shared" si="10"/>
        <v>Wed</v>
      </c>
      <c r="C147" s="60" t="s">
        <v>139</v>
      </c>
      <c r="D147" s="60" t="s">
        <v>164</v>
      </c>
      <c r="E147" s="59" t="s">
        <v>10</v>
      </c>
      <c r="F147" s="59" t="s">
        <v>10</v>
      </c>
      <c r="G147" s="61"/>
      <c r="H147" s="60"/>
      <c r="I147" s="117">
        <v>849</v>
      </c>
      <c r="J147" s="62"/>
      <c r="K147" s="62"/>
      <c r="L147" s="58">
        <f t="shared" si="11"/>
        <v>0</v>
      </c>
      <c r="M147" s="58">
        <f t="shared" si="12"/>
        <v>0</v>
      </c>
      <c r="N147" s="58">
        <f t="shared" si="13"/>
        <v>0</v>
      </c>
      <c r="O147" s="58">
        <f t="shared" si="14"/>
        <v>0</v>
      </c>
      <c r="P147" s="5" t="s">
        <v>10</v>
      </c>
    </row>
    <row r="148" spans="1:18">
      <c r="A148" s="59">
        <v>41753</v>
      </c>
      <c r="B148" s="60" t="str">
        <f t="shared" si="10"/>
        <v>Thu</v>
      </c>
      <c r="C148" s="60" t="s">
        <v>139</v>
      </c>
      <c r="D148" s="60" t="s">
        <v>164</v>
      </c>
      <c r="E148" s="59" t="s">
        <v>168</v>
      </c>
      <c r="F148" s="59" t="s">
        <v>169</v>
      </c>
      <c r="G148" s="61"/>
      <c r="H148" s="60"/>
      <c r="I148" s="117">
        <v>979</v>
      </c>
      <c r="J148" s="62"/>
      <c r="K148" s="62"/>
      <c r="L148" s="58">
        <f t="shared" si="11"/>
        <v>1</v>
      </c>
      <c r="M148" s="58">
        <f t="shared" si="12"/>
        <v>0</v>
      </c>
      <c r="N148" s="58">
        <f t="shared" si="13"/>
        <v>0</v>
      </c>
      <c r="O148" s="58">
        <f t="shared" si="14"/>
        <v>1</v>
      </c>
      <c r="P148" s="5" t="s">
        <v>18</v>
      </c>
      <c r="Q148" s="5" t="s">
        <v>868</v>
      </c>
      <c r="R148" s="5" t="s">
        <v>281</v>
      </c>
    </row>
    <row r="149" spans="1:18">
      <c r="A149" s="59">
        <v>41754</v>
      </c>
      <c r="B149" s="60" t="str">
        <f t="shared" si="10"/>
        <v>Fri</v>
      </c>
      <c r="C149" s="60" t="s">
        <v>139</v>
      </c>
      <c r="D149" s="60" t="s">
        <v>164</v>
      </c>
      <c r="E149" s="59" t="s">
        <v>170</v>
      </c>
      <c r="F149" s="59" t="s">
        <v>171</v>
      </c>
      <c r="G149" s="61"/>
      <c r="H149" s="60"/>
      <c r="I149" s="117">
        <v>1062</v>
      </c>
      <c r="J149" s="62"/>
      <c r="K149" s="62"/>
      <c r="L149" s="58">
        <f t="shared" si="11"/>
        <v>1</v>
      </c>
      <c r="M149" s="58">
        <f t="shared" si="12"/>
        <v>0</v>
      </c>
      <c r="N149" s="58">
        <f t="shared" si="13"/>
        <v>0</v>
      </c>
      <c r="O149" s="58">
        <f t="shared" si="14"/>
        <v>1</v>
      </c>
      <c r="P149" s="5" t="s">
        <v>17</v>
      </c>
      <c r="Q149" s="5" t="s">
        <v>867</v>
      </c>
    </row>
    <row r="150" spans="1:18">
      <c r="A150" s="59">
        <v>41755</v>
      </c>
      <c r="B150" s="60" t="str">
        <f t="shared" si="10"/>
        <v>Sat</v>
      </c>
      <c r="C150" s="60" t="s">
        <v>139</v>
      </c>
      <c r="D150" s="60" t="s">
        <v>164</v>
      </c>
      <c r="E150" s="59" t="s">
        <v>170</v>
      </c>
      <c r="F150" s="59" t="s">
        <v>172</v>
      </c>
      <c r="G150" s="61" t="s">
        <v>173</v>
      </c>
      <c r="H150" s="60"/>
      <c r="I150" s="117">
        <v>904</v>
      </c>
      <c r="J150" s="62"/>
      <c r="K150" s="62"/>
      <c r="L150" s="58">
        <f t="shared" si="11"/>
        <v>1</v>
      </c>
      <c r="M150" s="58">
        <f t="shared" si="12"/>
        <v>1</v>
      </c>
      <c r="N150" s="58">
        <f t="shared" si="13"/>
        <v>0</v>
      </c>
      <c r="O150" s="58">
        <f t="shared" si="14"/>
        <v>2</v>
      </c>
      <c r="P150" s="5" t="s">
        <v>17</v>
      </c>
      <c r="Q150" s="5" t="s">
        <v>867</v>
      </c>
    </row>
    <row r="151" spans="1:18">
      <c r="A151" s="59">
        <v>41756</v>
      </c>
      <c r="B151" s="60" t="str">
        <f t="shared" si="10"/>
        <v>Sun</v>
      </c>
      <c r="C151" s="60" t="s">
        <v>139</v>
      </c>
      <c r="D151" s="60" t="s">
        <v>174</v>
      </c>
      <c r="E151" s="59" t="s">
        <v>10</v>
      </c>
      <c r="F151" s="59" t="s">
        <v>10</v>
      </c>
      <c r="G151" s="61"/>
      <c r="H151" s="60"/>
      <c r="I151" s="117">
        <v>619</v>
      </c>
      <c r="J151" s="62"/>
      <c r="K151" s="62"/>
      <c r="L151" s="58">
        <f t="shared" si="11"/>
        <v>0</v>
      </c>
      <c r="M151" s="58">
        <f t="shared" si="12"/>
        <v>0</v>
      </c>
      <c r="N151" s="58">
        <f t="shared" si="13"/>
        <v>0</v>
      </c>
      <c r="O151" s="58">
        <f t="shared" si="14"/>
        <v>0</v>
      </c>
      <c r="P151" s="5" t="s">
        <v>10</v>
      </c>
    </row>
    <row r="152" spans="1:18">
      <c r="A152" s="59">
        <v>41757</v>
      </c>
      <c r="B152" s="60" t="str">
        <f t="shared" si="10"/>
        <v>Mon</v>
      </c>
      <c r="C152" s="60" t="s">
        <v>139</v>
      </c>
      <c r="D152" s="60" t="s">
        <v>174</v>
      </c>
      <c r="E152" s="59" t="s">
        <v>175</v>
      </c>
      <c r="F152" s="59" t="s">
        <v>176</v>
      </c>
      <c r="G152" s="61"/>
      <c r="H152" s="60"/>
      <c r="I152" s="117">
        <v>1077</v>
      </c>
      <c r="J152" s="62"/>
      <c r="K152" s="62"/>
      <c r="L152" s="58">
        <f t="shared" si="11"/>
        <v>1</v>
      </c>
      <c r="M152" s="58">
        <f t="shared" si="12"/>
        <v>0</v>
      </c>
      <c r="N152" s="58">
        <f t="shared" si="13"/>
        <v>0</v>
      </c>
      <c r="O152" s="58">
        <f t="shared" si="14"/>
        <v>1</v>
      </c>
      <c r="P152" s="5" t="s">
        <v>869</v>
      </c>
      <c r="Q152" s="5" t="s">
        <v>281</v>
      </c>
    </row>
    <row r="153" spans="1:18">
      <c r="A153" s="59">
        <v>41758</v>
      </c>
      <c r="B153" s="60" t="str">
        <f t="shared" si="10"/>
        <v>Tue</v>
      </c>
      <c r="C153" s="60" t="s">
        <v>139</v>
      </c>
      <c r="D153" s="60" t="s">
        <v>174</v>
      </c>
      <c r="E153" s="59" t="s">
        <v>10</v>
      </c>
      <c r="F153" s="59" t="s">
        <v>10</v>
      </c>
      <c r="G153" s="61"/>
      <c r="H153" s="60"/>
      <c r="I153" s="117">
        <v>1025</v>
      </c>
      <c r="J153" s="62"/>
      <c r="K153" s="62"/>
      <c r="L153" s="58">
        <f t="shared" si="11"/>
        <v>0</v>
      </c>
      <c r="M153" s="58">
        <f t="shared" si="12"/>
        <v>0</v>
      </c>
      <c r="N153" s="58">
        <f t="shared" si="13"/>
        <v>0</v>
      </c>
      <c r="O153" s="58">
        <f t="shared" si="14"/>
        <v>0</v>
      </c>
      <c r="P153" s="5" t="s">
        <v>10</v>
      </c>
    </row>
    <row r="154" spans="1:18">
      <c r="A154" s="59">
        <v>41759</v>
      </c>
      <c r="B154" s="60" t="str">
        <f t="shared" si="10"/>
        <v>Wed</v>
      </c>
      <c r="C154" s="60" t="s">
        <v>139</v>
      </c>
      <c r="D154" s="60" t="s">
        <v>174</v>
      </c>
      <c r="E154" s="59" t="s">
        <v>175</v>
      </c>
      <c r="F154" s="59" t="s">
        <v>177</v>
      </c>
      <c r="G154" s="61"/>
      <c r="H154" s="60"/>
      <c r="I154" s="117">
        <v>1026</v>
      </c>
      <c r="J154" s="62"/>
      <c r="K154" s="62"/>
      <c r="L154" s="58">
        <f t="shared" si="11"/>
        <v>1</v>
      </c>
      <c r="M154" s="58">
        <f t="shared" si="12"/>
        <v>0</v>
      </c>
      <c r="N154" s="58">
        <f t="shared" si="13"/>
        <v>0</v>
      </c>
      <c r="O154" s="58">
        <f t="shared" si="14"/>
        <v>1</v>
      </c>
      <c r="P154" s="5" t="s">
        <v>869</v>
      </c>
      <c r="Q154" s="5" t="s">
        <v>281</v>
      </c>
    </row>
    <row r="155" spans="1:18">
      <c r="A155" s="59">
        <v>41760</v>
      </c>
      <c r="B155" s="60" t="str">
        <f t="shared" si="10"/>
        <v>Thu</v>
      </c>
      <c r="C155" s="60" t="s">
        <v>139</v>
      </c>
      <c r="D155" s="60" t="s">
        <v>174</v>
      </c>
      <c r="E155" s="59" t="s">
        <v>152</v>
      </c>
      <c r="F155" s="59" t="s">
        <v>178</v>
      </c>
      <c r="G155" s="61"/>
      <c r="H155" s="60"/>
      <c r="I155" s="117">
        <v>1013</v>
      </c>
      <c r="J155" s="62"/>
      <c r="K155" s="62"/>
      <c r="L155" s="58">
        <f t="shared" si="11"/>
        <v>1</v>
      </c>
      <c r="M155" s="58">
        <f t="shared" si="12"/>
        <v>0</v>
      </c>
      <c r="N155" s="58">
        <f t="shared" si="13"/>
        <v>0</v>
      </c>
      <c r="O155" s="58">
        <f t="shared" si="14"/>
        <v>1</v>
      </c>
      <c r="P155" s="5" t="s">
        <v>18</v>
      </c>
      <c r="Q155" s="5" t="s">
        <v>865</v>
      </c>
      <c r="R155" s="5" t="s">
        <v>281</v>
      </c>
    </row>
    <row r="156" spans="1:18">
      <c r="A156" s="59">
        <v>41761</v>
      </c>
      <c r="B156" s="60" t="str">
        <f t="shared" si="10"/>
        <v>Fri</v>
      </c>
      <c r="C156" s="60" t="s">
        <v>139</v>
      </c>
      <c r="D156" s="60" t="s">
        <v>174</v>
      </c>
      <c r="E156" s="59" t="s">
        <v>58</v>
      </c>
      <c r="F156" s="59" t="s">
        <v>179</v>
      </c>
      <c r="G156" s="61" t="s">
        <v>180</v>
      </c>
      <c r="H156" s="60"/>
      <c r="I156" s="117">
        <v>1220</v>
      </c>
      <c r="J156" s="62"/>
      <c r="K156" s="62"/>
      <c r="L156" s="58">
        <f t="shared" si="11"/>
        <v>1</v>
      </c>
      <c r="M156" s="58">
        <f t="shared" si="12"/>
        <v>1</v>
      </c>
      <c r="N156" s="58">
        <f t="shared" si="13"/>
        <v>0</v>
      </c>
      <c r="O156" s="58">
        <f t="shared" si="14"/>
        <v>2</v>
      </c>
      <c r="P156" s="5" t="s">
        <v>840</v>
      </c>
      <c r="Q156" s="5" t="s">
        <v>281</v>
      </c>
    </row>
    <row r="157" spans="1:18">
      <c r="A157" s="59">
        <v>41762</v>
      </c>
      <c r="B157" s="60" t="str">
        <f t="shared" si="10"/>
        <v>Sat</v>
      </c>
      <c r="C157" s="60" t="s">
        <v>139</v>
      </c>
      <c r="D157" s="60" t="s">
        <v>174</v>
      </c>
      <c r="E157" s="59" t="s">
        <v>10</v>
      </c>
      <c r="F157" s="59" t="s">
        <v>10</v>
      </c>
      <c r="G157" s="61"/>
      <c r="H157" s="60"/>
      <c r="I157" s="117">
        <v>667</v>
      </c>
      <c r="J157" s="62"/>
      <c r="K157" s="62"/>
      <c r="L157" s="58">
        <f t="shared" si="11"/>
        <v>0</v>
      </c>
      <c r="M157" s="58">
        <f t="shared" si="12"/>
        <v>0</v>
      </c>
      <c r="N157" s="58">
        <f t="shared" si="13"/>
        <v>0</v>
      </c>
      <c r="O157" s="58">
        <f t="shared" si="14"/>
        <v>0</v>
      </c>
      <c r="P157" s="5" t="s">
        <v>10</v>
      </c>
    </row>
    <row r="158" spans="1:18">
      <c r="A158" s="59">
        <v>41763</v>
      </c>
      <c r="B158" s="60" t="str">
        <f t="shared" si="10"/>
        <v>Sun</v>
      </c>
      <c r="C158" s="60" t="s">
        <v>181</v>
      </c>
      <c r="D158" s="60" t="s">
        <v>182</v>
      </c>
      <c r="E158" s="59" t="s">
        <v>183</v>
      </c>
      <c r="F158" s="59" t="s">
        <v>184</v>
      </c>
      <c r="G158" s="61"/>
      <c r="H158" s="60"/>
      <c r="I158" s="117">
        <v>546</v>
      </c>
      <c r="J158" s="62"/>
      <c r="K158" s="62"/>
      <c r="L158" s="58">
        <f t="shared" si="11"/>
        <v>1</v>
      </c>
      <c r="M158" s="58">
        <f t="shared" si="12"/>
        <v>0</v>
      </c>
      <c r="N158" s="58">
        <f t="shared" si="13"/>
        <v>0</v>
      </c>
      <c r="O158" s="58">
        <f t="shared" si="14"/>
        <v>1</v>
      </c>
      <c r="P158" s="5" t="s">
        <v>252</v>
      </c>
      <c r="Q158" s="5" t="s">
        <v>870</v>
      </c>
      <c r="R158" s="5" t="s">
        <v>281</v>
      </c>
    </row>
    <row r="159" spans="1:18">
      <c r="A159" s="59">
        <v>41764</v>
      </c>
      <c r="B159" s="60" t="str">
        <f t="shared" si="10"/>
        <v>Mon</v>
      </c>
      <c r="C159" s="60" t="s">
        <v>181</v>
      </c>
      <c r="D159" s="60" t="s">
        <v>182</v>
      </c>
      <c r="E159" s="59" t="s">
        <v>185</v>
      </c>
      <c r="F159" s="59" t="s">
        <v>186</v>
      </c>
      <c r="G159" s="61"/>
      <c r="H159" s="60"/>
      <c r="I159" s="117">
        <v>1948</v>
      </c>
      <c r="J159" s="62"/>
      <c r="K159" s="62"/>
      <c r="L159" s="58">
        <f t="shared" si="11"/>
        <v>1</v>
      </c>
      <c r="M159" s="58">
        <f t="shared" si="12"/>
        <v>0</v>
      </c>
      <c r="N159" s="58">
        <f t="shared" si="13"/>
        <v>0</v>
      </c>
      <c r="O159" s="58">
        <f t="shared" si="14"/>
        <v>1</v>
      </c>
      <c r="P159" s="5" t="s">
        <v>848</v>
      </c>
      <c r="Q159" s="5" t="s">
        <v>281</v>
      </c>
    </row>
    <row r="160" spans="1:18">
      <c r="A160" s="59">
        <v>41765</v>
      </c>
      <c r="B160" s="60" t="str">
        <f t="shared" si="10"/>
        <v>Tue</v>
      </c>
      <c r="C160" s="60" t="s">
        <v>181</v>
      </c>
      <c r="D160" s="60" t="s">
        <v>182</v>
      </c>
      <c r="E160" s="59" t="s">
        <v>10</v>
      </c>
      <c r="F160" s="59" t="s">
        <v>10</v>
      </c>
      <c r="G160" s="61"/>
      <c r="H160" s="60"/>
      <c r="I160" s="117">
        <v>1083</v>
      </c>
      <c r="J160" s="62"/>
      <c r="K160" s="62"/>
      <c r="L160" s="58">
        <f t="shared" si="11"/>
        <v>0</v>
      </c>
      <c r="M160" s="58">
        <f t="shared" si="12"/>
        <v>0</v>
      </c>
      <c r="N160" s="58">
        <f t="shared" si="13"/>
        <v>0</v>
      </c>
      <c r="O160" s="58">
        <f t="shared" si="14"/>
        <v>0</v>
      </c>
      <c r="P160" s="5" t="s">
        <v>10</v>
      </c>
    </row>
    <row r="161" spans="1:18">
      <c r="A161" s="59">
        <v>41766</v>
      </c>
      <c r="B161" s="60" t="str">
        <f t="shared" si="10"/>
        <v>Wed</v>
      </c>
      <c r="C161" s="60" t="s">
        <v>181</v>
      </c>
      <c r="D161" s="60" t="s">
        <v>182</v>
      </c>
      <c r="E161" s="59" t="s">
        <v>10</v>
      </c>
      <c r="F161" s="59" t="s">
        <v>10</v>
      </c>
      <c r="G161" s="61"/>
      <c r="H161" s="60"/>
      <c r="I161" s="117">
        <v>914</v>
      </c>
      <c r="J161" s="62"/>
      <c r="K161" s="62"/>
      <c r="L161" s="58">
        <f t="shared" si="11"/>
        <v>0</v>
      </c>
      <c r="M161" s="58">
        <f t="shared" si="12"/>
        <v>0</v>
      </c>
      <c r="N161" s="58">
        <f t="shared" si="13"/>
        <v>0</v>
      </c>
      <c r="O161" s="58">
        <f t="shared" si="14"/>
        <v>0</v>
      </c>
      <c r="P161" s="5" t="s">
        <v>10</v>
      </c>
    </row>
    <row r="162" spans="1:18">
      <c r="A162" s="59">
        <v>41767</v>
      </c>
      <c r="B162" s="60" t="str">
        <f t="shared" si="10"/>
        <v>Thu</v>
      </c>
      <c r="C162" s="60" t="s">
        <v>181</v>
      </c>
      <c r="D162" s="60" t="s">
        <v>182</v>
      </c>
      <c r="E162" s="59" t="s">
        <v>187</v>
      </c>
      <c r="F162" s="59" t="s">
        <v>188</v>
      </c>
      <c r="G162" s="61"/>
      <c r="H162" s="60"/>
      <c r="I162" s="117">
        <v>1056</v>
      </c>
      <c r="J162" s="62"/>
      <c r="K162" s="62"/>
      <c r="L162" s="58">
        <f t="shared" si="11"/>
        <v>1</v>
      </c>
      <c r="M162" s="58">
        <f t="shared" si="12"/>
        <v>0</v>
      </c>
      <c r="N162" s="58">
        <f t="shared" si="13"/>
        <v>0</v>
      </c>
      <c r="O162" s="58">
        <f t="shared" si="14"/>
        <v>1</v>
      </c>
      <c r="P162" s="5" t="s">
        <v>18</v>
      </c>
      <c r="Q162" s="5" t="s">
        <v>840</v>
      </c>
    </row>
    <row r="163" spans="1:18">
      <c r="A163" s="59">
        <v>41768</v>
      </c>
      <c r="B163" s="60" t="str">
        <f t="shared" si="10"/>
        <v>Fri</v>
      </c>
      <c r="C163" s="60" t="s">
        <v>181</v>
      </c>
      <c r="D163" s="60" t="s">
        <v>182</v>
      </c>
      <c r="E163" s="59" t="s">
        <v>17</v>
      </c>
      <c r="F163" s="59" t="s">
        <v>189</v>
      </c>
      <c r="G163" s="61"/>
      <c r="H163" s="60"/>
      <c r="I163" s="117">
        <v>1002</v>
      </c>
      <c r="J163" s="62"/>
      <c r="K163" s="62"/>
      <c r="L163" s="58">
        <f t="shared" si="11"/>
        <v>1</v>
      </c>
      <c r="M163" s="58">
        <f t="shared" si="12"/>
        <v>0</v>
      </c>
      <c r="N163" s="58">
        <f t="shared" si="13"/>
        <v>0</v>
      </c>
      <c r="O163" s="58">
        <f t="shared" si="14"/>
        <v>1</v>
      </c>
      <c r="P163" s="5" t="s">
        <v>17</v>
      </c>
    </row>
    <row r="164" spans="1:18">
      <c r="A164" s="59">
        <v>41769</v>
      </c>
      <c r="B164" s="60" t="str">
        <f t="shared" si="10"/>
        <v>Sat</v>
      </c>
      <c r="C164" s="60" t="s">
        <v>181</v>
      </c>
      <c r="D164" s="60" t="s">
        <v>182</v>
      </c>
      <c r="E164" s="59" t="s">
        <v>10</v>
      </c>
      <c r="F164" s="59" t="s">
        <v>10</v>
      </c>
      <c r="G164" s="61"/>
      <c r="H164" s="60"/>
      <c r="I164" s="117">
        <v>518</v>
      </c>
      <c r="J164" s="62"/>
      <c r="K164" s="62"/>
      <c r="L164" s="58">
        <f t="shared" si="11"/>
        <v>0</v>
      </c>
      <c r="M164" s="58">
        <f t="shared" si="12"/>
        <v>0</v>
      </c>
      <c r="N164" s="58">
        <f t="shared" si="13"/>
        <v>0</v>
      </c>
      <c r="O164" s="58">
        <f t="shared" si="14"/>
        <v>0</v>
      </c>
      <c r="P164" s="5" t="s">
        <v>10</v>
      </c>
    </row>
    <row r="165" spans="1:18">
      <c r="A165" s="59">
        <v>41770</v>
      </c>
      <c r="B165" s="60" t="str">
        <f t="shared" si="10"/>
        <v>Sun</v>
      </c>
      <c r="C165" s="60" t="s">
        <v>181</v>
      </c>
      <c r="D165" s="60" t="s">
        <v>190</v>
      </c>
      <c r="E165" s="59" t="s">
        <v>191</v>
      </c>
      <c r="F165" s="59" t="s">
        <v>192</v>
      </c>
      <c r="G165" s="61"/>
      <c r="H165" s="60"/>
      <c r="I165" s="117">
        <v>446</v>
      </c>
      <c r="J165" s="62"/>
      <c r="K165" s="62"/>
      <c r="L165" s="58">
        <f t="shared" si="11"/>
        <v>1</v>
      </c>
      <c r="M165" s="58">
        <f t="shared" si="12"/>
        <v>0</v>
      </c>
      <c r="N165" s="58">
        <f t="shared" si="13"/>
        <v>0</v>
      </c>
      <c r="O165" s="58">
        <f t="shared" si="14"/>
        <v>1</v>
      </c>
      <c r="P165" s="5" t="s">
        <v>871</v>
      </c>
      <c r="Q165" s="5" t="s">
        <v>872</v>
      </c>
    </row>
    <row r="166" spans="1:18">
      <c r="A166" s="59">
        <v>41771</v>
      </c>
      <c r="B166" s="60" t="str">
        <f t="shared" si="10"/>
        <v>Mon</v>
      </c>
      <c r="C166" s="60" t="s">
        <v>181</v>
      </c>
      <c r="D166" s="60" t="s">
        <v>190</v>
      </c>
      <c r="E166" s="59" t="s">
        <v>191</v>
      </c>
      <c r="F166" s="59" t="s">
        <v>193</v>
      </c>
      <c r="G166" s="61"/>
      <c r="H166" s="60"/>
      <c r="I166" s="117">
        <v>1097</v>
      </c>
      <c r="J166" s="62"/>
      <c r="K166" s="62"/>
      <c r="L166" s="58">
        <f t="shared" si="11"/>
        <v>1</v>
      </c>
      <c r="M166" s="58">
        <f t="shared" si="12"/>
        <v>0</v>
      </c>
      <c r="N166" s="58">
        <f t="shared" si="13"/>
        <v>0</v>
      </c>
      <c r="O166" s="58">
        <f t="shared" si="14"/>
        <v>1</v>
      </c>
      <c r="P166" s="5" t="s">
        <v>871</v>
      </c>
      <c r="Q166" s="5" t="s">
        <v>872</v>
      </c>
    </row>
    <row r="167" spans="1:18">
      <c r="A167" s="59">
        <v>41772</v>
      </c>
      <c r="B167" s="60" t="str">
        <f t="shared" si="10"/>
        <v>Tue</v>
      </c>
      <c r="C167" s="60" t="s">
        <v>181</v>
      </c>
      <c r="D167" s="60" t="s">
        <v>190</v>
      </c>
      <c r="E167" s="59" t="s">
        <v>191</v>
      </c>
      <c r="F167" s="59" t="s">
        <v>194</v>
      </c>
      <c r="G167" s="61" t="s">
        <v>195</v>
      </c>
      <c r="H167" s="60"/>
      <c r="I167" s="117">
        <v>1211</v>
      </c>
      <c r="J167" s="62"/>
      <c r="K167" s="62"/>
      <c r="L167" s="58">
        <f t="shared" si="11"/>
        <v>1</v>
      </c>
      <c r="M167" s="58">
        <f t="shared" si="12"/>
        <v>1</v>
      </c>
      <c r="N167" s="58">
        <f t="shared" si="13"/>
        <v>0</v>
      </c>
      <c r="O167" s="58">
        <f t="shared" si="14"/>
        <v>2</v>
      </c>
      <c r="P167" s="5" t="s">
        <v>871</v>
      </c>
      <c r="Q167" s="5" t="s">
        <v>872</v>
      </c>
    </row>
    <row r="168" spans="1:18">
      <c r="A168" s="59">
        <v>41773</v>
      </c>
      <c r="B168" s="60" t="str">
        <f t="shared" ref="B168:B231" si="15">TEXT(A168,"DDD")</f>
        <v>Wed</v>
      </c>
      <c r="C168" s="60" t="s">
        <v>181</v>
      </c>
      <c r="D168" s="60" t="s">
        <v>190</v>
      </c>
      <c r="E168" s="59" t="s">
        <v>196</v>
      </c>
      <c r="F168" s="59" t="s">
        <v>197</v>
      </c>
      <c r="G168" s="61"/>
      <c r="H168" s="60"/>
      <c r="I168" s="117">
        <v>950</v>
      </c>
      <c r="J168" s="62"/>
      <c r="K168" s="62"/>
      <c r="L168" s="58">
        <f t="shared" ref="L168:L231" si="16">IF(E168=$L$1,0,1)</f>
        <v>1</v>
      </c>
      <c r="M168" s="58">
        <f t="shared" ref="M168:M231" si="17">IF(ISBLANK(G168),0,1)</f>
        <v>0</v>
      </c>
      <c r="N168" s="58">
        <f t="shared" ref="N168:N231" si="18">IF(ISBLANK(H168),0,1)</f>
        <v>0</v>
      </c>
      <c r="O168" s="58">
        <f t="shared" ref="O168:O231" si="19">SUM(L168:N168)</f>
        <v>1</v>
      </c>
      <c r="P168" s="5" t="s">
        <v>873</v>
      </c>
      <c r="Q168" s="5" t="s">
        <v>281</v>
      </c>
    </row>
    <row r="169" spans="1:18">
      <c r="A169" s="59">
        <v>41774</v>
      </c>
      <c r="B169" s="60" t="str">
        <f t="shared" si="15"/>
        <v>Thu</v>
      </c>
      <c r="C169" s="60" t="s">
        <v>181</v>
      </c>
      <c r="D169" s="60" t="s">
        <v>190</v>
      </c>
      <c r="E169" s="59" t="s">
        <v>152</v>
      </c>
      <c r="F169" s="59" t="s">
        <v>198</v>
      </c>
      <c r="G169" s="61"/>
      <c r="H169" s="60"/>
      <c r="I169" s="117">
        <v>869</v>
      </c>
      <c r="J169" s="62"/>
      <c r="K169" s="62"/>
      <c r="L169" s="58">
        <f t="shared" si="16"/>
        <v>1</v>
      </c>
      <c r="M169" s="58">
        <f t="shared" si="17"/>
        <v>0</v>
      </c>
      <c r="N169" s="58">
        <f t="shared" si="18"/>
        <v>0</v>
      </c>
      <c r="O169" s="58">
        <f t="shared" si="19"/>
        <v>1</v>
      </c>
      <c r="P169" s="5" t="s">
        <v>18</v>
      </c>
      <c r="Q169" s="5" t="s">
        <v>865</v>
      </c>
      <c r="R169" s="5" t="s">
        <v>281</v>
      </c>
    </row>
    <row r="170" spans="1:18">
      <c r="A170" s="59">
        <v>41775</v>
      </c>
      <c r="B170" s="60" t="str">
        <f t="shared" si="15"/>
        <v>Fri</v>
      </c>
      <c r="C170" s="60" t="s">
        <v>181</v>
      </c>
      <c r="D170" s="60" t="s">
        <v>190</v>
      </c>
      <c r="E170" s="59" t="s">
        <v>58</v>
      </c>
      <c r="F170" s="59" t="s">
        <v>199</v>
      </c>
      <c r="G170" s="61" t="s">
        <v>200</v>
      </c>
      <c r="H170" s="60"/>
      <c r="I170" s="117">
        <v>1055</v>
      </c>
      <c r="J170" s="62"/>
      <c r="K170" s="62"/>
      <c r="L170" s="58">
        <f t="shared" si="16"/>
        <v>1</v>
      </c>
      <c r="M170" s="58">
        <f t="shared" si="17"/>
        <v>1</v>
      </c>
      <c r="N170" s="58">
        <f t="shared" si="18"/>
        <v>0</v>
      </c>
      <c r="O170" s="58">
        <f t="shared" si="19"/>
        <v>2</v>
      </c>
      <c r="P170" s="5" t="s">
        <v>840</v>
      </c>
      <c r="Q170" s="5" t="s">
        <v>281</v>
      </c>
    </row>
    <row r="171" spans="1:18">
      <c r="A171" s="59">
        <v>41776</v>
      </c>
      <c r="B171" s="60" t="str">
        <f t="shared" si="15"/>
        <v>Sat</v>
      </c>
      <c r="C171" s="60" t="s">
        <v>181</v>
      </c>
      <c r="D171" s="60" t="s">
        <v>190</v>
      </c>
      <c r="E171" s="59" t="s">
        <v>58</v>
      </c>
      <c r="F171" s="59" t="s">
        <v>201</v>
      </c>
      <c r="G171" s="61"/>
      <c r="H171" s="60"/>
      <c r="I171" s="117">
        <v>722</v>
      </c>
      <c r="J171" s="62"/>
      <c r="K171" s="62"/>
      <c r="L171" s="58">
        <f t="shared" si="16"/>
        <v>1</v>
      </c>
      <c r="M171" s="58">
        <f t="shared" si="17"/>
        <v>0</v>
      </c>
      <c r="N171" s="58">
        <f t="shared" si="18"/>
        <v>0</v>
      </c>
      <c r="O171" s="58">
        <f t="shared" si="19"/>
        <v>1</v>
      </c>
      <c r="P171" s="5" t="s">
        <v>840</v>
      </c>
      <c r="Q171" s="5" t="s">
        <v>281</v>
      </c>
    </row>
    <row r="172" spans="1:18">
      <c r="A172" s="59">
        <v>41777</v>
      </c>
      <c r="B172" s="60" t="str">
        <f t="shared" si="15"/>
        <v>Sun</v>
      </c>
      <c r="C172" s="60" t="s">
        <v>181</v>
      </c>
      <c r="D172" s="60" t="s">
        <v>202</v>
      </c>
      <c r="E172" s="59" t="s">
        <v>58</v>
      </c>
      <c r="F172" s="59" t="s">
        <v>203</v>
      </c>
      <c r="G172" s="61"/>
      <c r="H172" s="60"/>
      <c r="I172" s="117">
        <v>549</v>
      </c>
      <c r="J172" s="62"/>
      <c r="K172" s="62"/>
      <c r="L172" s="58">
        <f t="shared" si="16"/>
        <v>1</v>
      </c>
      <c r="M172" s="58">
        <f t="shared" si="17"/>
        <v>0</v>
      </c>
      <c r="N172" s="58">
        <f t="shared" si="18"/>
        <v>0</v>
      </c>
      <c r="O172" s="58">
        <f t="shared" si="19"/>
        <v>1</v>
      </c>
      <c r="P172" s="5" t="s">
        <v>840</v>
      </c>
      <c r="Q172" s="5" t="s">
        <v>281</v>
      </c>
    </row>
    <row r="173" spans="1:18">
      <c r="A173" s="59">
        <v>41778</v>
      </c>
      <c r="B173" s="60" t="str">
        <f t="shared" si="15"/>
        <v>Mon</v>
      </c>
      <c r="C173" s="60" t="s">
        <v>181</v>
      </c>
      <c r="D173" s="60" t="s">
        <v>202</v>
      </c>
      <c r="E173" s="59" t="s">
        <v>58</v>
      </c>
      <c r="F173" s="59" t="s">
        <v>204</v>
      </c>
      <c r="G173" s="61" t="s">
        <v>205</v>
      </c>
      <c r="H173" s="60"/>
      <c r="I173" s="117">
        <v>1195</v>
      </c>
      <c r="J173" s="62"/>
      <c r="K173" s="62"/>
      <c r="L173" s="58">
        <f t="shared" si="16"/>
        <v>1</v>
      </c>
      <c r="M173" s="58">
        <f t="shared" si="17"/>
        <v>1</v>
      </c>
      <c r="N173" s="58">
        <f t="shared" si="18"/>
        <v>0</v>
      </c>
      <c r="O173" s="58">
        <f t="shared" si="19"/>
        <v>2</v>
      </c>
      <c r="P173" s="5" t="s">
        <v>840</v>
      </c>
      <c r="Q173" s="5" t="s">
        <v>281</v>
      </c>
    </row>
    <row r="174" spans="1:18">
      <c r="A174" s="59">
        <v>41779</v>
      </c>
      <c r="B174" s="60" t="str">
        <f t="shared" si="15"/>
        <v>Tue</v>
      </c>
      <c r="C174" s="60" t="s">
        <v>181</v>
      </c>
      <c r="D174" s="60" t="s">
        <v>202</v>
      </c>
      <c r="E174" s="59" t="s">
        <v>10</v>
      </c>
      <c r="F174" s="59" t="s">
        <v>10</v>
      </c>
      <c r="G174" s="61"/>
      <c r="H174" s="60"/>
      <c r="I174" s="117">
        <v>943</v>
      </c>
      <c r="J174" s="62"/>
      <c r="K174" s="62"/>
      <c r="L174" s="58">
        <f t="shared" si="16"/>
        <v>0</v>
      </c>
      <c r="M174" s="58">
        <f t="shared" si="17"/>
        <v>0</v>
      </c>
      <c r="N174" s="58">
        <f t="shared" si="18"/>
        <v>0</v>
      </c>
      <c r="O174" s="58">
        <f t="shared" si="19"/>
        <v>0</v>
      </c>
      <c r="P174" s="5" t="s">
        <v>10</v>
      </c>
    </row>
    <row r="175" spans="1:18">
      <c r="A175" s="59">
        <v>41780</v>
      </c>
      <c r="B175" s="60" t="str">
        <f t="shared" si="15"/>
        <v>Wed</v>
      </c>
      <c r="C175" s="60" t="s">
        <v>181</v>
      </c>
      <c r="D175" s="60" t="s">
        <v>202</v>
      </c>
      <c r="E175" s="59" t="s">
        <v>10</v>
      </c>
      <c r="F175" s="59" t="s">
        <v>10</v>
      </c>
      <c r="G175" s="61"/>
      <c r="H175" s="60"/>
      <c r="I175" s="117">
        <v>844</v>
      </c>
      <c r="J175" s="62"/>
      <c r="K175" s="62"/>
      <c r="L175" s="58">
        <f t="shared" si="16"/>
        <v>0</v>
      </c>
      <c r="M175" s="58">
        <f t="shared" si="17"/>
        <v>0</v>
      </c>
      <c r="N175" s="58">
        <f t="shared" si="18"/>
        <v>0</v>
      </c>
      <c r="O175" s="58">
        <f t="shared" si="19"/>
        <v>0</v>
      </c>
      <c r="P175" s="5" t="s">
        <v>10</v>
      </c>
    </row>
    <row r="176" spans="1:18">
      <c r="A176" s="59">
        <v>41781</v>
      </c>
      <c r="B176" s="60" t="str">
        <f t="shared" si="15"/>
        <v>Thu</v>
      </c>
      <c r="C176" s="60" t="s">
        <v>181</v>
      </c>
      <c r="D176" s="60" t="s">
        <v>202</v>
      </c>
      <c r="E176" s="59" t="s">
        <v>206</v>
      </c>
      <c r="F176" s="59" t="s">
        <v>207</v>
      </c>
      <c r="G176" s="61"/>
      <c r="H176" s="60"/>
      <c r="I176" s="117">
        <v>860</v>
      </c>
      <c r="J176" s="62"/>
      <c r="K176" s="62"/>
      <c r="L176" s="58">
        <f t="shared" si="16"/>
        <v>1</v>
      </c>
      <c r="M176" s="58">
        <f t="shared" si="17"/>
        <v>0</v>
      </c>
      <c r="N176" s="58">
        <f t="shared" si="18"/>
        <v>0</v>
      </c>
      <c r="O176" s="58">
        <f t="shared" si="19"/>
        <v>1</v>
      </c>
      <c r="P176" s="5" t="s">
        <v>18</v>
      </c>
      <c r="Q176" s="5" t="s">
        <v>874</v>
      </c>
      <c r="R176" s="5" t="s">
        <v>281</v>
      </c>
    </row>
    <row r="177" spans="1:18">
      <c r="A177" s="59">
        <v>41782</v>
      </c>
      <c r="B177" s="60" t="str">
        <f t="shared" si="15"/>
        <v>Fri</v>
      </c>
      <c r="C177" s="60" t="s">
        <v>181</v>
      </c>
      <c r="D177" s="60" t="s">
        <v>202</v>
      </c>
      <c r="E177" s="59" t="s">
        <v>208</v>
      </c>
      <c r="F177" s="59" t="s">
        <v>209</v>
      </c>
      <c r="G177" s="61" t="s">
        <v>210</v>
      </c>
      <c r="H177" s="60"/>
      <c r="I177" s="117">
        <v>974</v>
      </c>
      <c r="J177" s="62"/>
      <c r="K177" s="62"/>
      <c r="L177" s="58">
        <f t="shared" si="16"/>
        <v>1</v>
      </c>
      <c r="M177" s="58">
        <f t="shared" si="17"/>
        <v>1</v>
      </c>
      <c r="N177" s="58">
        <f t="shared" si="18"/>
        <v>0</v>
      </c>
      <c r="O177" s="58">
        <f t="shared" si="19"/>
        <v>2</v>
      </c>
      <c r="P177" s="5" t="s">
        <v>868</v>
      </c>
      <c r="Q177" s="5" t="s">
        <v>875</v>
      </c>
    </row>
    <row r="178" spans="1:18">
      <c r="A178" s="59">
        <v>41783</v>
      </c>
      <c r="B178" s="60" t="str">
        <f t="shared" si="15"/>
        <v>Sat</v>
      </c>
      <c r="C178" s="60" t="s">
        <v>181</v>
      </c>
      <c r="D178" s="60" t="s">
        <v>202</v>
      </c>
      <c r="E178" s="59" t="s">
        <v>10</v>
      </c>
      <c r="F178" s="59" t="s">
        <v>10</v>
      </c>
      <c r="G178" s="61"/>
      <c r="H178" s="60"/>
      <c r="I178" s="117">
        <v>612</v>
      </c>
      <c r="J178" s="62"/>
      <c r="K178" s="62"/>
      <c r="L178" s="58">
        <f t="shared" si="16"/>
        <v>0</v>
      </c>
      <c r="M178" s="58">
        <f t="shared" si="17"/>
        <v>0</v>
      </c>
      <c r="N178" s="58">
        <f t="shared" si="18"/>
        <v>0</v>
      </c>
      <c r="O178" s="58">
        <f t="shared" si="19"/>
        <v>0</v>
      </c>
      <c r="P178" s="5" t="s">
        <v>10</v>
      </c>
    </row>
    <row r="179" spans="1:18">
      <c r="A179" s="59">
        <v>41784</v>
      </c>
      <c r="B179" s="60" t="str">
        <f t="shared" si="15"/>
        <v>Sun</v>
      </c>
      <c r="C179" s="60" t="s">
        <v>181</v>
      </c>
      <c r="D179" s="60" t="s">
        <v>211</v>
      </c>
      <c r="E179" s="59" t="s">
        <v>212</v>
      </c>
      <c r="F179" s="59" t="s">
        <v>213</v>
      </c>
      <c r="G179" s="61" t="s">
        <v>214</v>
      </c>
      <c r="H179" s="60"/>
      <c r="I179" s="117">
        <v>511</v>
      </c>
      <c r="J179" s="62"/>
      <c r="K179" s="62"/>
      <c r="L179" s="58">
        <f t="shared" si="16"/>
        <v>1</v>
      </c>
      <c r="M179" s="58">
        <f t="shared" si="17"/>
        <v>1</v>
      </c>
      <c r="N179" s="58">
        <f t="shared" si="18"/>
        <v>0</v>
      </c>
      <c r="O179" s="58">
        <f t="shared" si="19"/>
        <v>2</v>
      </c>
      <c r="P179" s="5" t="s">
        <v>876</v>
      </c>
      <c r="Q179" s="5" t="s">
        <v>281</v>
      </c>
    </row>
    <row r="180" spans="1:18">
      <c r="A180" s="59">
        <v>41785</v>
      </c>
      <c r="B180" s="60" t="str">
        <f t="shared" si="15"/>
        <v>Mon</v>
      </c>
      <c r="C180" s="60" t="s">
        <v>181</v>
      </c>
      <c r="D180" s="60" t="s">
        <v>211</v>
      </c>
      <c r="E180" s="59" t="s">
        <v>215</v>
      </c>
      <c r="F180" s="59" t="s">
        <v>216</v>
      </c>
      <c r="G180" s="61"/>
      <c r="H180" s="60"/>
      <c r="I180" s="117">
        <v>744</v>
      </c>
      <c r="J180" s="62"/>
      <c r="K180" s="62"/>
      <c r="L180" s="58">
        <f t="shared" si="16"/>
        <v>1</v>
      </c>
      <c r="M180" s="58">
        <f t="shared" si="17"/>
        <v>0</v>
      </c>
      <c r="N180" s="58">
        <f t="shared" si="18"/>
        <v>0</v>
      </c>
      <c r="O180" s="58">
        <f t="shared" si="19"/>
        <v>1</v>
      </c>
      <c r="P180" s="5" t="s">
        <v>860</v>
      </c>
      <c r="Q180" s="5" t="s">
        <v>17</v>
      </c>
      <c r="R180" s="5" t="s">
        <v>877</v>
      </c>
    </row>
    <row r="181" spans="1:18">
      <c r="A181" s="59">
        <v>41786</v>
      </c>
      <c r="B181" s="60" t="str">
        <f t="shared" si="15"/>
        <v>Tue</v>
      </c>
      <c r="C181" s="60" t="s">
        <v>181</v>
      </c>
      <c r="D181" s="60" t="s">
        <v>211</v>
      </c>
      <c r="E181" s="59" t="s">
        <v>212</v>
      </c>
      <c r="F181" s="59" t="s">
        <v>217</v>
      </c>
      <c r="G181" s="61"/>
      <c r="H181" s="60"/>
      <c r="I181" s="117">
        <v>1049</v>
      </c>
      <c r="J181" s="62"/>
      <c r="K181" s="62"/>
      <c r="L181" s="58">
        <f t="shared" si="16"/>
        <v>1</v>
      </c>
      <c r="M181" s="58">
        <f t="shared" si="17"/>
        <v>0</v>
      </c>
      <c r="N181" s="58">
        <f t="shared" si="18"/>
        <v>0</v>
      </c>
      <c r="O181" s="58">
        <f t="shared" si="19"/>
        <v>1</v>
      </c>
      <c r="P181" s="5" t="s">
        <v>876</v>
      </c>
      <c r="Q181" s="5" t="s">
        <v>281</v>
      </c>
    </row>
    <row r="182" spans="1:18">
      <c r="A182" s="59">
        <v>41787</v>
      </c>
      <c r="B182" s="60" t="str">
        <f t="shared" si="15"/>
        <v>Wed</v>
      </c>
      <c r="C182" s="60" t="s">
        <v>181</v>
      </c>
      <c r="D182" s="60" t="s">
        <v>211</v>
      </c>
      <c r="E182" s="59" t="s">
        <v>212</v>
      </c>
      <c r="F182" s="59" t="s">
        <v>218</v>
      </c>
      <c r="G182" s="61"/>
      <c r="H182" s="60"/>
      <c r="I182" s="117">
        <v>980</v>
      </c>
      <c r="J182" s="62"/>
      <c r="K182" s="62"/>
      <c r="L182" s="58">
        <f t="shared" si="16"/>
        <v>1</v>
      </c>
      <c r="M182" s="58">
        <f t="shared" si="17"/>
        <v>0</v>
      </c>
      <c r="N182" s="58">
        <f t="shared" si="18"/>
        <v>0</v>
      </c>
      <c r="O182" s="58">
        <f t="shared" si="19"/>
        <v>1</v>
      </c>
      <c r="P182" s="5" t="s">
        <v>876</v>
      </c>
      <c r="Q182" s="5" t="s">
        <v>281</v>
      </c>
    </row>
    <row r="183" spans="1:18">
      <c r="A183" s="59">
        <v>41788</v>
      </c>
      <c r="B183" s="60" t="str">
        <f t="shared" si="15"/>
        <v>Thu</v>
      </c>
      <c r="C183" s="60" t="s">
        <v>181</v>
      </c>
      <c r="D183" s="60" t="s">
        <v>211</v>
      </c>
      <c r="E183" s="59" t="s">
        <v>219</v>
      </c>
      <c r="F183" s="59" t="s">
        <v>220</v>
      </c>
      <c r="G183" s="61"/>
      <c r="H183" s="60"/>
      <c r="I183" s="117">
        <v>984</v>
      </c>
      <c r="J183" s="62"/>
      <c r="K183" s="62"/>
      <c r="L183" s="58">
        <f t="shared" si="16"/>
        <v>1</v>
      </c>
      <c r="M183" s="58">
        <f t="shared" si="17"/>
        <v>0</v>
      </c>
      <c r="N183" s="58">
        <f t="shared" si="18"/>
        <v>0</v>
      </c>
      <c r="O183" s="58">
        <f t="shared" si="19"/>
        <v>1</v>
      </c>
      <c r="P183" s="5" t="s">
        <v>18</v>
      </c>
      <c r="Q183" s="5" t="s">
        <v>876</v>
      </c>
      <c r="R183" s="5" t="s">
        <v>281</v>
      </c>
    </row>
    <row r="184" spans="1:18">
      <c r="A184" s="59">
        <v>41789</v>
      </c>
      <c r="B184" s="60" t="str">
        <f t="shared" si="15"/>
        <v>Fri</v>
      </c>
      <c r="C184" s="60" t="s">
        <v>181</v>
      </c>
      <c r="D184" s="60" t="s">
        <v>211</v>
      </c>
      <c r="E184" s="59" t="s">
        <v>58</v>
      </c>
      <c r="F184" s="59" t="s">
        <v>221</v>
      </c>
      <c r="G184" s="61"/>
      <c r="H184" s="60"/>
      <c r="I184" s="117">
        <v>995</v>
      </c>
      <c r="J184" s="62"/>
      <c r="K184" s="62"/>
      <c r="L184" s="58">
        <f t="shared" si="16"/>
        <v>1</v>
      </c>
      <c r="M184" s="58">
        <f t="shared" si="17"/>
        <v>0</v>
      </c>
      <c r="N184" s="58">
        <f t="shared" si="18"/>
        <v>0</v>
      </c>
      <c r="O184" s="58">
        <f t="shared" si="19"/>
        <v>1</v>
      </c>
      <c r="P184" s="5" t="s">
        <v>840</v>
      </c>
      <c r="Q184" s="5" t="s">
        <v>281</v>
      </c>
    </row>
    <row r="185" spans="1:18">
      <c r="A185" s="59">
        <v>41790</v>
      </c>
      <c r="B185" s="60" t="str">
        <f t="shared" si="15"/>
        <v>Sat</v>
      </c>
      <c r="C185" s="60" t="s">
        <v>181</v>
      </c>
      <c r="D185" s="60" t="s">
        <v>211</v>
      </c>
      <c r="E185" s="59" t="s">
        <v>58</v>
      </c>
      <c r="F185" s="59" t="s">
        <v>222</v>
      </c>
      <c r="G185" s="61"/>
      <c r="H185" s="60"/>
      <c r="I185" s="117">
        <v>718</v>
      </c>
      <c r="J185" s="62"/>
      <c r="K185" s="62"/>
      <c r="L185" s="58">
        <f t="shared" si="16"/>
        <v>1</v>
      </c>
      <c r="M185" s="58">
        <f t="shared" si="17"/>
        <v>0</v>
      </c>
      <c r="N185" s="58">
        <f t="shared" si="18"/>
        <v>0</v>
      </c>
      <c r="O185" s="58">
        <f t="shared" si="19"/>
        <v>1</v>
      </c>
      <c r="P185" s="5" t="s">
        <v>840</v>
      </c>
      <c r="Q185" s="5" t="s">
        <v>281</v>
      </c>
    </row>
    <row r="186" spans="1:18">
      <c r="A186" s="59">
        <v>41791</v>
      </c>
      <c r="B186" s="60" t="str">
        <f t="shared" si="15"/>
        <v>Sun</v>
      </c>
      <c r="C186" s="60" t="s">
        <v>223</v>
      </c>
      <c r="D186" s="60" t="s">
        <v>224</v>
      </c>
      <c r="E186" s="59" t="s">
        <v>78</v>
      </c>
      <c r="F186" s="59" t="s">
        <v>225</v>
      </c>
      <c r="G186" s="61"/>
      <c r="H186" s="60"/>
      <c r="I186" s="117">
        <v>537</v>
      </c>
      <c r="J186" s="62"/>
      <c r="K186" s="62"/>
      <c r="L186" s="58">
        <f t="shared" si="16"/>
        <v>1</v>
      </c>
      <c r="M186" s="58">
        <f t="shared" si="17"/>
        <v>0</v>
      </c>
      <c r="N186" s="58">
        <f t="shared" si="18"/>
        <v>0</v>
      </c>
      <c r="O186" s="58">
        <f t="shared" si="19"/>
        <v>1</v>
      </c>
      <c r="P186" s="5" t="s">
        <v>845</v>
      </c>
      <c r="Q186" s="5" t="s">
        <v>281</v>
      </c>
    </row>
    <row r="187" spans="1:18">
      <c r="A187" s="59">
        <v>41792</v>
      </c>
      <c r="B187" s="60" t="str">
        <f t="shared" si="15"/>
        <v>Mon</v>
      </c>
      <c r="C187" s="60" t="s">
        <v>223</v>
      </c>
      <c r="D187" s="60" t="s">
        <v>224</v>
      </c>
      <c r="E187" s="59" t="s">
        <v>10</v>
      </c>
      <c r="F187" s="59" t="s">
        <v>10</v>
      </c>
      <c r="G187" s="61"/>
      <c r="H187" s="60"/>
      <c r="I187" s="117">
        <v>995</v>
      </c>
      <c r="J187" s="62"/>
      <c r="K187" s="62"/>
      <c r="L187" s="58">
        <f t="shared" si="16"/>
        <v>0</v>
      </c>
      <c r="M187" s="58">
        <f t="shared" si="17"/>
        <v>0</v>
      </c>
      <c r="N187" s="58">
        <f t="shared" si="18"/>
        <v>0</v>
      </c>
      <c r="O187" s="58">
        <f t="shared" si="19"/>
        <v>0</v>
      </c>
      <c r="P187" s="5" t="s">
        <v>10</v>
      </c>
    </row>
    <row r="188" spans="1:18">
      <c r="A188" s="59">
        <v>41793</v>
      </c>
      <c r="B188" s="60" t="str">
        <f t="shared" si="15"/>
        <v>Tue</v>
      </c>
      <c r="C188" s="60" t="s">
        <v>223</v>
      </c>
      <c r="D188" s="60" t="s">
        <v>224</v>
      </c>
      <c r="E188" s="59" t="s">
        <v>78</v>
      </c>
      <c r="F188" s="59" t="s">
        <v>226</v>
      </c>
      <c r="G188" s="61" t="s">
        <v>227</v>
      </c>
      <c r="H188" s="60"/>
      <c r="I188" s="117">
        <v>1025</v>
      </c>
      <c r="J188" s="62"/>
      <c r="K188" s="62"/>
      <c r="L188" s="58">
        <f t="shared" si="16"/>
        <v>1</v>
      </c>
      <c r="M188" s="58">
        <f t="shared" si="17"/>
        <v>1</v>
      </c>
      <c r="N188" s="58">
        <f t="shared" si="18"/>
        <v>0</v>
      </c>
      <c r="O188" s="58">
        <f t="shared" si="19"/>
        <v>2</v>
      </c>
      <c r="P188" s="5" t="s">
        <v>845</v>
      </c>
      <c r="Q188" s="5" t="s">
        <v>281</v>
      </c>
    </row>
    <row r="189" spans="1:18">
      <c r="A189" s="59">
        <v>41794</v>
      </c>
      <c r="B189" s="60" t="str">
        <f t="shared" si="15"/>
        <v>Wed</v>
      </c>
      <c r="C189" s="60" t="s">
        <v>223</v>
      </c>
      <c r="D189" s="60" t="s">
        <v>224</v>
      </c>
      <c r="E189" s="59" t="s">
        <v>10</v>
      </c>
      <c r="F189" s="59" t="s">
        <v>10</v>
      </c>
      <c r="G189" s="61"/>
      <c r="H189" s="60"/>
      <c r="I189" s="117">
        <v>890</v>
      </c>
      <c r="J189" s="62"/>
      <c r="K189" s="62"/>
      <c r="L189" s="58">
        <f t="shared" si="16"/>
        <v>0</v>
      </c>
      <c r="M189" s="58">
        <f t="shared" si="17"/>
        <v>0</v>
      </c>
      <c r="N189" s="58">
        <f t="shared" si="18"/>
        <v>0</v>
      </c>
      <c r="O189" s="58">
        <f t="shared" si="19"/>
        <v>0</v>
      </c>
      <c r="P189" s="5" t="s">
        <v>10</v>
      </c>
    </row>
    <row r="190" spans="1:18">
      <c r="A190" s="59">
        <v>41795</v>
      </c>
      <c r="B190" s="60" t="str">
        <f t="shared" si="15"/>
        <v>Thu</v>
      </c>
      <c r="C190" s="60" t="s">
        <v>223</v>
      </c>
      <c r="D190" s="60" t="s">
        <v>224</v>
      </c>
      <c r="E190" s="59" t="s">
        <v>18</v>
      </c>
      <c r="F190" s="59" t="s">
        <v>228</v>
      </c>
      <c r="G190" s="61"/>
      <c r="H190" s="60"/>
      <c r="I190" s="117">
        <v>838</v>
      </c>
      <c r="J190" s="62"/>
      <c r="K190" s="62"/>
      <c r="L190" s="58">
        <f t="shared" si="16"/>
        <v>1</v>
      </c>
      <c r="M190" s="58">
        <f t="shared" si="17"/>
        <v>0</v>
      </c>
      <c r="N190" s="58">
        <f t="shared" si="18"/>
        <v>0</v>
      </c>
      <c r="O190" s="58">
        <f t="shared" si="19"/>
        <v>1</v>
      </c>
      <c r="P190" s="5" t="s">
        <v>18</v>
      </c>
    </row>
    <row r="191" spans="1:18">
      <c r="A191" s="59">
        <v>41796</v>
      </c>
      <c r="B191" s="60" t="str">
        <f t="shared" si="15"/>
        <v>Fri</v>
      </c>
      <c r="C191" s="60" t="s">
        <v>223</v>
      </c>
      <c r="D191" s="60" t="s">
        <v>224</v>
      </c>
      <c r="E191" s="59" t="s">
        <v>229</v>
      </c>
      <c r="F191" s="59" t="s">
        <v>230</v>
      </c>
      <c r="G191" s="61"/>
      <c r="H191" s="60"/>
      <c r="I191" s="117">
        <v>992</v>
      </c>
      <c r="J191" s="62"/>
      <c r="K191" s="62"/>
      <c r="L191" s="58">
        <f t="shared" si="16"/>
        <v>1</v>
      </c>
      <c r="M191" s="58">
        <f t="shared" si="17"/>
        <v>0</v>
      </c>
      <c r="N191" s="58">
        <f t="shared" si="18"/>
        <v>0</v>
      </c>
      <c r="O191" s="58">
        <f t="shared" si="19"/>
        <v>1</v>
      </c>
      <c r="P191" s="5" t="s">
        <v>17</v>
      </c>
      <c r="Q191" s="5" t="s">
        <v>853</v>
      </c>
    </row>
    <row r="192" spans="1:18">
      <c r="A192" s="59">
        <v>41797</v>
      </c>
      <c r="B192" s="60" t="str">
        <f t="shared" si="15"/>
        <v>Sat</v>
      </c>
      <c r="C192" s="60" t="s">
        <v>223</v>
      </c>
      <c r="D192" s="60" t="s">
        <v>224</v>
      </c>
      <c r="E192" s="59" t="s">
        <v>229</v>
      </c>
      <c r="F192" s="59" t="s">
        <v>231</v>
      </c>
      <c r="G192" s="61"/>
      <c r="H192" s="60"/>
      <c r="I192" s="117">
        <v>898</v>
      </c>
      <c r="J192" s="62"/>
      <c r="K192" s="62"/>
      <c r="L192" s="58">
        <f t="shared" si="16"/>
        <v>1</v>
      </c>
      <c r="M192" s="58">
        <f t="shared" si="17"/>
        <v>0</v>
      </c>
      <c r="N192" s="58">
        <f t="shared" si="18"/>
        <v>0</v>
      </c>
      <c r="O192" s="58">
        <f t="shared" si="19"/>
        <v>1</v>
      </c>
      <c r="P192" s="5" t="s">
        <v>17</v>
      </c>
      <c r="Q192" s="5" t="s">
        <v>853</v>
      </c>
    </row>
    <row r="193" spans="1:18">
      <c r="A193" s="59">
        <v>41798</v>
      </c>
      <c r="B193" s="60" t="str">
        <f t="shared" si="15"/>
        <v>Sun</v>
      </c>
      <c r="C193" s="60" t="s">
        <v>223</v>
      </c>
      <c r="D193" s="60" t="s">
        <v>232</v>
      </c>
      <c r="E193" s="59" t="s">
        <v>233</v>
      </c>
      <c r="F193" s="59" t="s">
        <v>234</v>
      </c>
      <c r="G193" s="61"/>
      <c r="H193" s="60"/>
      <c r="I193" s="117">
        <v>629</v>
      </c>
      <c r="J193" s="62"/>
      <c r="K193" s="62"/>
      <c r="L193" s="58">
        <f t="shared" si="16"/>
        <v>1</v>
      </c>
      <c r="M193" s="58">
        <f t="shared" si="17"/>
        <v>0</v>
      </c>
      <c r="N193" s="58">
        <f t="shared" si="18"/>
        <v>0</v>
      </c>
      <c r="O193" s="58">
        <f t="shared" si="19"/>
        <v>1</v>
      </c>
      <c r="P193" s="5" t="s">
        <v>861</v>
      </c>
      <c r="Q193" s="5" t="s">
        <v>836</v>
      </c>
    </row>
    <row r="194" spans="1:18">
      <c r="A194" s="59">
        <v>41799</v>
      </c>
      <c r="B194" s="60" t="str">
        <f t="shared" si="15"/>
        <v>Mon</v>
      </c>
      <c r="C194" s="60" t="s">
        <v>223</v>
      </c>
      <c r="D194" s="60" t="s">
        <v>232</v>
      </c>
      <c r="E194" s="59" t="s">
        <v>233</v>
      </c>
      <c r="F194" s="59" t="s">
        <v>235</v>
      </c>
      <c r="G194" s="61"/>
      <c r="H194" s="60"/>
      <c r="I194" s="117">
        <v>1032</v>
      </c>
      <c r="J194" s="62"/>
      <c r="K194" s="62"/>
      <c r="L194" s="58">
        <f t="shared" si="16"/>
        <v>1</v>
      </c>
      <c r="M194" s="58">
        <f t="shared" si="17"/>
        <v>0</v>
      </c>
      <c r="N194" s="58">
        <f t="shared" si="18"/>
        <v>0</v>
      </c>
      <c r="O194" s="58">
        <f t="shared" si="19"/>
        <v>1</v>
      </c>
      <c r="P194" s="5" t="s">
        <v>861</v>
      </c>
      <c r="Q194" s="5" t="s">
        <v>836</v>
      </c>
    </row>
    <row r="195" spans="1:18">
      <c r="A195" s="59">
        <v>41800</v>
      </c>
      <c r="B195" s="60" t="str">
        <f t="shared" si="15"/>
        <v>Tue</v>
      </c>
      <c r="C195" s="60" t="s">
        <v>223</v>
      </c>
      <c r="D195" s="60" t="s">
        <v>232</v>
      </c>
      <c r="E195" s="59" t="s">
        <v>58</v>
      </c>
      <c r="F195" s="59" t="s">
        <v>236</v>
      </c>
      <c r="G195" s="61"/>
      <c r="H195" s="60"/>
      <c r="I195" s="117">
        <v>892</v>
      </c>
      <c r="J195" s="62"/>
      <c r="K195" s="62"/>
      <c r="L195" s="58">
        <f t="shared" si="16"/>
        <v>1</v>
      </c>
      <c r="M195" s="58">
        <f t="shared" si="17"/>
        <v>0</v>
      </c>
      <c r="N195" s="58">
        <f t="shared" si="18"/>
        <v>0</v>
      </c>
      <c r="O195" s="58">
        <f t="shared" si="19"/>
        <v>1</v>
      </c>
      <c r="P195" s="5" t="s">
        <v>840</v>
      </c>
      <c r="Q195" s="5" t="s">
        <v>281</v>
      </c>
    </row>
    <row r="196" spans="1:18">
      <c r="A196" s="59">
        <v>41801</v>
      </c>
      <c r="B196" s="60" t="str">
        <f t="shared" si="15"/>
        <v>Wed</v>
      </c>
      <c r="C196" s="60" t="s">
        <v>223</v>
      </c>
      <c r="D196" s="60" t="s">
        <v>232</v>
      </c>
      <c r="E196" s="59" t="s">
        <v>10</v>
      </c>
      <c r="F196" s="59" t="s">
        <v>10</v>
      </c>
      <c r="G196" s="61"/>
      <c r="H196" s="60"/>
      <c r="I196" s="117">
        <v>866</v>
      </c>
      <c r="J196" s="62"/>
      <c r="K196" s="62"/>
      <c r="L196" s="58">
        <f t="shared" si="16"/>
        <v>0</v>
      </c>
      <c r="M196" s="58">
        <f t="shared" si="17"/>
        <v>0</v>
      </c>
      <c r="N196" s="58">
        <f t="shared" si="18"/>
        <v>0</v>
      </c>
      <c r="O196" s="58">
        <f t="shared" si="19"/>
        <v>0</v>
      </c>
      <c r="P196" s="5" t="s">
        <v>10</v>
      </c>
    </row>
    <row r="197" spans="1:18">
      <c r="A197" s="59">
        <v>41802</v>
      </c>
      <c r="B197" s="60" t="str">
        <f t="shared" si="15"/>
        <v>Thu</v>
      </c>
      <c r="C197" s="60" t="s">
        <v>223</v>
      </c>
      <c r="D197" s="60" t="s">
        <v>232</v>
      </c>
      <c r="E197" s="59" t="s">
        <v>18</v>
      </c>
      <c r="F197" s="59" t="s">
        <v>237</v>
      </c>
      <c r="G197" s="61"/>
      <c r="H197" s="60"/>
      <c r="I197" s="117">
        <v>792</v>
      </c>
      <c r="J197" s="62"/>
      <c r="K197" s="62"/>
      <c r="L197" s="58">
        <f t="shared" si="16"/>
        <v>1</v>
      </c>
      <c r="M197" s="58">
        <f t="shared" si="17"/>
        <v>0</v>
      </c>
      <c r="N197" s="58">
        <f t="shared" si="18"/>
        <v>0</v>
      </c>
      <c r="O197" s="58">
        <f t="shared" si="19"/>
        <v>1</v>
      </c>
      <c r="P197" s="5" t="s">
        <v>18</v>
      </c>
    </row>
    <row r="198" spans="1:18">
      <c r="A198" s="59">
        <v>41803</v>
      </c>
      <c r="B198" s="60" t="str">
        <f t="shared" si="15"/>
        <v>Fri</v>
      </c>
      <c r="C198" s="60" t="s">
        <v>223</v>
      </c>
      <c r="D198" s="60" t="s">
        <v>232</v>
      </c>
      <c r="E198" s="59" t="s">
        <v>238</v>
      </c>
      <c r="F198" s="59" t="s">
        <v>239</v>
      </c>
      <c r="G198" s="61" t="s">
        <v>240</v>
      </c>
      <c r="H198" s="60"/>
      <c r="I198" s="117">
        <v>1147</v>
      </c>
      <c r="J198" s="62"/>
      <c r="K198" s="62"/>
      <c r="L198" s="58">
        <f t="shared" si="16"/>
        <v>1</v>
      </c>
      <c r="M198" s="58">
        <f t="shared" si="17"/>
        <v>1</v>
      </c>
      <c r="N198" s="58">
        <f t="shared" si="18"/>
        <v>0</v>
      </c>
      <c r="O198" s="58">
        <f t="shared" si="19"/>
        <v>2</v>
      </c>
      <c r="P198" s="5" t="s">
        <v>878</v>
      </c>
      <c r="Q198" s="5" t="s">
        <v>281</v>
      </c>
    </row>
    <row r="199" spans="1:18">
      <c r="A199" s="59">
        <v>41804</v>
      </c>
      <c r="B199" s="60" t="str">
        <f t="shared" si="15"/>
        <v>Sat</v>
      </c>
      <c r="C199" s="60" t="s">
        <v>223</v>
      </c>
      <c r="D199" s="60" t="s">
        <v>232</v>
      </c>
      <c r="E199" s="59" t="s">
        <v>10</v>
      </c>
      <c r="F199" s="59" t="s">
        <v>10</v>
      </c>
      <c r="G199" s="61"/>
      <c r="H199" s="60"/>
      <c r="I199" s="117">
        <v>529</v>
      </c>
      <c r="J199" s="62"/>
      <c r="K199" s="62"/>
      <c r="L199" s="58">
        <f t="shared" si="16"/>
        <v>0</v>
      </c>
      <c r="M199" s="58">
        <f t="shared" si="17"/>
        <v>0</v>
      </c>
      <c r="N199" s="58">
        <f t="shared" si="18"/>
        <v>0</v>
      </c>
      <c r="O199" s="58">
        <f t="shared" si="19"/>
        <v>0</v>
      </c>
      <c r="P199" s="5" t="s">
        <v>10</v>
      </c>
    </row>
    <row r="200" spans="1:18">
      <c r="A200" s="59">
        <v>41805</v>
      </c>
      <c r="B200" s="60" t="str">
        <f t="shared" si="15"/>
        <v>Sun</v>
      </c>
      <c r="C200" s="60" t="s">
        <v>223</v>
      </c>
      <c r="D200" s="60" t="s">
        <v>241</v>
      </c>
      <c r="E200" s="59" t="s">
        <v>48</v>
      </c>
      <c r="F200" s="59" t="s">
        <v>242</v>
      </c>
      <c r="G200" s="61"/>
      <c r="H200" s="60"/>
      <c r="I200" s="117">
        <v>519</v>
      </c>
      <c r="J200" s="62"/>
      <c r="K200" s="62"/>
      <c r="L200" s="58">
        <f t="shared" si="16"/>
        <v>1</v>
      </c>
      <c r="M200" s="58">
        <f t="shared" si="17"/>
        <v>0</v>
      </c>
      <c r="N200" s="58">
        <f t="shared" si="18"/>
        <v>0</v>
      </c>
      <c r="O200" s="58">
        <f t="shared" si="19"/>
        <v>1</v>
      </c>
      <c r="P200" s="5" t="s">
        <v>837</v>
      </c>
      <c r="Q200" s="5" t="s">
        <v>281</v>
      </c>
    </row>
    <row r="201" spans="1:18">
      <c r="A201" s="59">
        <v>41806</v>
      </c>
      <c r="B201" s="60" t="str">
        <f t="shared" si="15"/>
        <v>Mon</v>
      </c>
      <c r="C201" s="60" t="s">
        <v>223</v>
      </c>
      <c r="D201" s="60" t="s">
        <v>241</v>
      </c>
      <c r="E201" s="59" t="s">
        <v>48</v>
      </c>
      <c r="F201" s="59" t="s">
        <v>243</v>
      </c>
      <c r="G201" s="61"/>
      <c r="H201" s="60"/>
      <c r="I201" s="117">
        <v>1067</v>
      </c>
      <c r="J201" s="62"/>
      <c r="K201" s="62"/>
      <c r="L201" s="58">
        <f t="shared" si="16"/>
        <v>1</v>
      </c>
      <c r="M201" s="58">
        <f t="shared" si="17"/>
        <v>0</v>
      </c>
      <c r="N201" s="58">
        <f t="shared" si="18"/>
        <v>0</v>
      </c>
      <c r="O201" s="58">
        <f t="shared" si="19"/>
        <v>1</v>
      </c>
      <c r="P201" s="5" t="s">
        <v>837</v>
      </c>
      <c r="Q201" s="5" t="s">
        <v>281</v>
      </c>
    </row>
    <row r="202" spans="1:18">
      <c r="A202" s="59">
        <v>41807</v>
      </c>
      <c r="B202" s="60" t="str">
        <f t="shared" si="15"/>
        <v>Tue</v>
      </c>
      <c r="C202" s="60" t="s">
        <v>223</v>
      </c>
      <c r="D202" s="60" t="s">
        <v>241</v>
      </c>
      <c r="E202" s="59" t="s">
        <v>10</v>
      </c>
      <c r="F202" s="59" t="s">
        <v>10</v>
      </c>
      <c r="G202" s="61"/>
      <c r="H202" s="60"/>
      <c r="I202" s="117">
        <v>1012</v>
      </c>
      <c r="J202" s="62"/>
      <c r="K202" s="62"/>
      <c r="L202" s="58">
        <f t="shared" si="16"/>
        <v>0</v>
      </c>
      <c r="M202" s="58">
        <f t="shared" si="17"/>
        <v>0</v>
      </c>
      <c r="N202" s="58">
        <f t="shared" si="18"/>
        <v>0</v>
      </c>
      <c r="O202" s="58">
        <f t="shared" si="19"/>
        <v>0</v>
      </c>
      <c r="P202" s="5" t="s">
        <v>10</v>
      </c>
    </row>
    <row r="203" spans="1:18">
      <c r="A203" s="59">
        <v>41808</v>
      </c>
      <c r="B203" s="60" t="str">
        <f t="shared" si="15"/>
        <v>Wed</v>
      </c>
      <c r="C203" s="60" t="s">
        <v>223</v>
      </c>
      <c r="D203" s="60" t="s">
        <v>241</v>
      </c>
      <c r="E203" s="59" t="s">
        <v>48</v>
      </c>
      <c r="F203" s="59" t="s">
        <v>244</v>
      </c>
      <c r="G203" s="61" t="s">
        <v>245</v>
      </c>
      <c r="H203" s="60"/>
      <c r="I203" s="117">
        <v>1100</v>
      </c>
      <c r="J203" s="62"/>
      <c r="K203" s="62"/>
      <c r="L203" s="58">
        <f t="shared" si="16"/>
        <v>1</v>
      </c>
      <c r="M203" s="58">
        <f t="shared" si="17"/>
        <v>1</v>
      </c>
      <c r="N203" s="58">
        <f t="shared" si="18"/>
        <v>0</v>
      </c>
      <c r="O203" s="58">
        <f t="shared" si="19"/>
        <v>2</v>
      </c>
      <c r="P203" s="5" t="s">
        <v>837</v>
      </c>
      <c r="Q203" s="5" t="s">
        <v>281</v>
      </c>
    </row>
    <row r="204" spans="1:18">
      <c r="A204" s="59">
        <v>41809</v>
      </c>
      <c r="B204" s="60" t="str">
        <f t="shared" si="15"/>
        <v>Thu</v>
      </c>
      <c r="C204" s="60" t="s">
        <v>223</v>
      </c>
      <c r="D204" s="60" t="s">
        <v>241</v>
      </c>
      <c r="E204" s="59" t="s">
        <v>18</v>
      </c>
      <c r="F204" s="59" t="s">
        <v>228</v>
      </c>
      <c r="G204" s="61"/>
      <c r="H204" s="60"/>
      <c r="I204" s="117">
        <v>916</v>
      </c>
      <c r="J204" s="62"/>
      <c r="K204" s="62"/>
      <c r="L204" s="58">
        <f t="shared" si="16"/>
        <v>1</v>
      </c>
      <c r="M204" s="58">
        <f t="shared" si="17"/>
        <v>0</v>
      </c>
      <c r="N204" s="58">
        <f t="shared" si="18"/>
        <v>0</v>
      </c>
      <c r="O204" s="58">
        <f t="shared" si="19"/>
        <v>1</v>
      </c>
      <c r="P204" s="5" t="s">
        <v>18</v>
      </c>
    </row>
    <row r="205" spans="1:18">
      <c r="A205" s="59">
        <v>41810</v>
      </c>
      <c r="B205" s="60" t="str">
        <f t="shared" si="15"/>
        <v>Fri</v>
      </c>
      <c r="C205" s="60" t="s">
        <v>223</v>
      </c>
      <c r="D205" s="60" t="s">
        <v>241</v>
      </c>
      <c r="E205" s="59" t="s">
        <v>58</v>
      </c>
      <c r="F205" s="59" t="s">
        <v>246</v>
      </c>
      <c r="G205" s="61"/>
      <c r="H205" s="60"/>
      <c r="I205" s="117">
        <v>926</v>
      </c>
      <c r="J205" s="62"/>
      <c r="K205" s="62"/>
      <c r="L205" s="58">
        <f t="shared" si="16"/>
        <v>1</v>
      </c>
      <c r="M205" s="58">
        <f t="shared" si="17"/>
        <v>0</v>
      </c>
      <c r="N205" s="58">
        <f t="shared" si="18"/>
        <v>0</v>
      </c>
      <c r="O205" s="58">
        <f t="shared" si="19"/>
        <v>1</v>
      </c>
      <c r="P205" s="5" t="s">
        <v>840</v>
      </c>
      <c r="Q205" s="5" t="s">
        <v>281</v>
      </c>
    </row>
    <row r="206" spans="1:18">
      <c r="A206" s="59">
        <v>41811</v>
      </c>
      <c r="B206" s="60" t="str">
        <f t="shared" si="15"/>
        <v>Sat</v>
      </c>
      <c r="C206" s="60" t="s">
        <v>223</v>
      </c>
      <c r="D206" s="60" t="s">
        <v>241</v>
      </c>
      <c r="E206" s="59" t="s">
        <v>58</v>
      </c>
      <c r="F206" s="59" t="s">
        <v>247</v>
      </c>
      <c r="G206" s="61"/>
      <c r="H206" s="60"/>
      <c r="I206" s="117">
        <v>632</v>
      </c>
      <c r="J206" s="62"/>
      <c r="K206" s="62"/>
      <c r="L206" s="58">
        <f t="shared" si="16"/>
        <v>1</v>
      </c>
      <c r="M206" s="58">
        <f t="shared" si="17"/>
        <v>0</v>
      </c>
      <c r="N206" s="58">
        <f t="shared" si="18"/>
        <v>0</v>
      </c>
      <c r="O206" s="58">
        <f t="shared" si="19"/>
        <v>1</v>
      </c>
      <c r="P206" s="5" t="s">
        <v>840</v>
      </c>
      <c r="Q206" s="5" t="s">
        <v>281</v>
      </c>
    </row>
    <row r="207" spans="1:18">
      <c r="A207" s="59">
        <v>41812</v>
      </c>
      <c r="B207" s="60" t="str">
        <f t="shared" si="15"/>
        <v>Sun</v>
      </c>
      <c r="C207" s="60" t="s">
        <v>223</v>
      </c>
      <c r="D207" s="60" t="s">
        <v>248</v>
      </c>
      <c r="E207" s="59" t="s">
        <v>208</v>
      </c>
      <c r="F207" s="59" t="s">
        <v>249</v>
      </c>
      <c r="G207" s="61"/>
      <c r="H207" s="60"/>
      <c r="I207" s="117">
        <v>579</v>
      </c>
      <c r="J207" s="62"/>
      <c r="K207" s="62"/>
      <c r="L207" s="58">
        <f t="shared" si="16"/>
        <v>1</v>
      </c>
      <c r="M207" s="58">
        <f t="shared" si="17"/>
        <v>0</v>
      </c>
      <c r="N207" s="58">
        <f t="shared" si="18"/>
        <v>0</v>
      </c>
      <c r="O207" s="58">
        <f t="shared" si="19"/>
        <v>1</v>
      </c>
      <c r="P207" s="5" t="s">
        <v>868</v>
      </c>
      <c r="Q207" s="5" t="s">
        <v>875</v>
      </c>
    </row>
    <row r="208" spans="1:18">
      <c r="A208" s="59">
        <v>41813</v>
      </c>
      <c r="B208" s="60" t="str">
        <f t="shared" si="15"/>
        <v>Mon</v>
      </c>
      <c r="C208" s="60" t="s">
        <v>223</v>
      </c>
      <c r="D208" s="60" t="s">
        <v>248</v>
      </c>
      <c r="E208" s="59" t="s">
        <v>141</v>
      </c>
      <c r="F208" s="59" t="s">
        <v>250</v>
      </c>
      <c r="G208" s="61" t="s">
        <v>251</v>
      </c>
      <c r="H208" s="60"/>
      <c r="I208" s="117">
        <v>1328</v>
      </c>
      <c r="J208" s="62"/>
      <c r="K208" s="62"/>
      <c r="L208" s="58">
        <f t="shared" si="16"/>
        <v>1</v>
      </c>
      <c r="M208" s="58">
        <f t="shared" si="17"/>
        <v>1</v>
      </c>
      <c r="N208" s="58">
        <f t="shared" si="18"/>
        <v>0</v>
      </c>
      <c r="O208" s="58">
        <f t="shared" si="19"/>
        <v>2</v>
      </c>
      <c r="P208" s="5" t="s">
        <v>860</v>
      </c>
      <c r="Q208" s="5" t="s">
        <v>861</v>
      </c>
      <c r="R208" s="5" t="s">
        <v>281</v>
      </c>
    </row>
    <row r="209" spans="1:19">
      <c r="A209" s="59">
        <v>41814</v>
      </c>
      <c r="B209" s="60" t="str">
        <f t="shared" si="15"/>
        <v>Tue</v>
      </c>
      <c r="C209" s="60" t="s">
        <v>223</v>
      </c>
      <c r="D209" s="60" t="s">
        <v>248</v>
      </c>
      <c r="E209" s="59" t="s">
        <v>10</v>
      </c>
      <c r="F209" s="59" t="s">
        <v>10</v>
      </c>
      <c r="G209" s="61"/>
      <c r="H209" s="60"/>
      <c r="I209" s="117">
        <v>911</v>
      </c>
      <c r="J209" s="62"/>
      <c r="K209" s="62"/>
      <c r="L209" s="58">
        <f t="shared" si="16"/>
        <v>0</v>
      </c>
      <c r="M209" s="58">
        <f t="shared" si="17"/>
        <v>0</v>
      </c>
      <c r="N209" s="58">
        <f t="shared" si="18"/>
        <v>0</v>
      </c>
      <c r="O209" s="58">
        <f t="shared" si="19"/>
        <v>0</v>
      </c>
      <c r="P209" s="5" t="s">
        <v>10</v>
      </c>
    </row>
    <row r="210" spans="1:19">
      <c r="A210" s="59">
        <v>41815</v>
      </c>
      <c r="B210" s="60" t="str">
        <f t="shared" si="15"/>
        <v>Wed</v>
      </c>
      <c r="C210" s="60" t="s">
        <v>223</v>
      </c>
      <c r="D210" s="60" t="s">
        <v>248</v>
      </c>
      <c r="E210" s="59" t="s">
        <v>252</v>
      </c>
      <c r="F210" s="59" t="s">
        <v>253</v>
      </c>
      <c r="G210" s="61"/>
      <c r="H210" s="60"/>
      <c r="I210" s="117">
        <v>1001</v>
      </c>
      <c r="J210" s="62"/>
      <c r="K210" s="62"/>
      <c r="L210" s="58">
        <f t="shared" si="16"/>
        <v>1</v>
      </c>
      <c r="M210" s="58">
        <f t="shared" si="17"/>
        <v>0</v>
      </c>
      <c r="N210" s="58">
        <f t="shared" si="18"/>
        <v>0</v>
      </c>
      <c r="O210" s="58">
        <f t="shared" si="19"/>
        <v>1</v>
      </c>
      <c r="P210" s="5" t="s">
        <v>252</v>
      </c>
    </row>
    <row r="211" spans="1:19">
      <c r="A211" s="59">
        <v>41816</v>
      </c>
      <c r="B211" s="60" t="str">
        <f t="shared" si="15"/>
        <v>Thu</v>
      </c>
      <c r="C211" s="60" t="s">
        <v>223</v>
      </c>
      <c r="D211" s="60" t="s">
        <v>248</v>
      </c>
      <c r="E211" s="59" t="s">
        <v>18</v>
      </c>
      <c r="F211" s="59" t="s">
        <v>254</v>
      </c>
      <c r="G211" s="61"/>
      <c r="H211" s="60"/>
      <c r="I211" s="117">
        <v>913</v>
      </c>
      <c r="J211" s="62"/>
      <c r="K211" s="62"/>
      <c r="L211" s="58">
        <f t="shared" si="16"/>
        <v>1</v>
      </c>
      <c r="M211" s="58">
        <f t="shared" si="17"/>
        <v>0</v>
      </c>
      <c r="N211" s="58">
        <f t="shared" si="18"/>
        <v>0</v>
      </c>
      <c r="O211" s="58">
        <f t="shared" si="19"/>
        <v>1</v>
      </c>
      <c r="P211" s="5" t="s">
        <v>18</v>
      </c>
    </row>
    <row r="212" spans="1:19">
      <c r="A212" s="59">
        <v>41817</v>
      </c>
      <c r="B212" s="60" t="str">
        <f t="shared" si="15"/>
        <v>Fri</v>
      </c>
      <c r="C212" s="60" t="s">
        <v>223</v>
      </c>
      <c r="D212" s="60" t="s">
        <v>248</v>
      </c>
      <c r="E212" s="59" t="s">
        <v>78</v>
      </c>
      <c r="F212" s="59" t="s">
        <v>255</v>
      </c>
      <c r="G212" s="61"/>
      <c r="H212" s="60"/>
      <c r="I212" s="117">
        <v>918</v>
      </c>
      <c r="J212" s="62"/>
      <c r="K212" s="62"/>
      <c r="L212" s="58">
        <f t="shared" si="16"/>
        <v>1</v>
      </c>
      <c r="M212" s="58">
        <f t="shared" si="17"/>
        <v>0</v>
      </c>
      <c r="N212" s="58">
        <f t="shared" si="18"/>
        <v>0</v>
      </c>
      <c r="O212" s="58">
        <f t="shared" si="19"/>
        <v>1</v>
      </c>
      <c r="P212" s="5" t="s">
        <v>845</v>
      </c>
      <c r="Q212" s="5" t="s">
        <v>281</v>
      </c>
    </row>
    <row r="213" spans="1:19">
      <c r="A213" s="59">
        <v>41818</v>
      </c>
      <c r="B213" s="60" t="str">
        <f t="shared" si="15"/>
        <v>Sat</v>
      </c>
      <c r="C213" s="60" t="s">
        <v>223</v>
      </c>
      <c r="D213" s="60" t="s">
        <v>248</v>
      </c>
      <c r="E213" s="59" t="s">
        <v>78</v>
      </c>
      <c r="F213" s="59" t="s">
        <v>256</v>
      </c>
      <c r="G213" s="61"/>
      <c r="H213" s="60"/>
      <c r="I213" s="117">
        <v>787</v>
      </c>
      <c r="J213" s="62"/>
      <c r="K213" s="62"/>
      <c r="L213" s="58">
        <f t="shared" si="16"/>
        <v>1</v>
      </c>
      <c r="M213" s="58">
        <f t="shared" si="17"/>
        <v>0</v>
      </c>
      <c r="N213" s="58">
        <f t="shared" si="18"/>
        <v>0</v>
      </c>
      <c r="O213" s="58">
        <f t="shared" si="19"/>
        <v>1</v>
      </c>
      <c r="P213" s="5" t="s">
        <v>845</v>
      </c>
      <c r="Q213" s="5" t="s">
        <v>281</v>
      </c>
    </row>
    <row r="214" spans="1:19">
      <c r="A214" s="59">
        <v>41819</v>
      </c>
      <c r="B214" s="60" t="str">
        <f t="shared" si="15"/>
        <v>Sun</v>
      </c>
      <c r="C214" s="60" t="s">
        <v>257</v>
      </c>
      <c r="D214" s="60" t="s">
        <v>258</v>
      </c>
      <c r="E214" s="59" t="s">
        <v>1073</v>
      </c>
      <c r="F214" s="59" t="s">
        <v>260</v>
      </c>
      <c r="G214" s="59" t="s">
        <v>261</v>
      </c>
      <c r="H214" s="60"/>
      <c r="I214" s="117">
        <v>624</v>
      </c>
      <c r="J214" s="62"/>
      <c r="K214" s="62"/>
      <c r="L214" s="58">
        <f t="shared" si="16"/>
        <v>1</v>
      </c>
      <c r="M214" s="58">
        <f t="shared" si="17"/>
        <v>1</v>
      </c>
      <c r="N214" s="58">
        <f t="shared" si="18"/>
        <v>0</v>
      </c>
      <c r="O214" s="58">
        <f t="shared" si="19"/>
        <v>2</v>
      </c>
      <c r="P214" s="5" t="s">
        <v>857</v>
      </c>
      <c r="Q214" s="5">
        <v>15</v>
      </c>
      <c r="R214" s="5">
        <v>20</v>
      </c>
      <c r="S214" s="5" t="s">
        <v>858</v>
      </c>
    </row>
    <row r="215" spans="1:19">
      <c r="A215" s="59">
        <v>41820</v>
      </c>
      <c r="B215" s="60" t="str">
        <f t="shared" si="15"/>
        <v>Mon</v>
      </c>
      <c r="C215" s="60" t="s">
        <v>257</v>
      </c>
      <c r="D215" s="60" t="s">
        <v>258</v>
      </c>
      <c r="E215" s="59" t="s">
        <v>259</v>
      </c>
      <c r="F215" s="59" t="s">
        <v>262</v>
      </c>
      <c r="G215" s="61"/>
      <c r="H215" s="60"/>
      <c r="I215" s="117">
        <v>1021</v>
      </c>
      <c r="J215" s="62"/>
      <c r="K215" s="62"/>
      <c r="L215" s="58">
        <f t="shared" si="16"/>
        <v>1</v>
      </c>
      <c r="M215" s="58">
        <f t="shared" si="17"/>
        <v>0</v>
      </c>
      <c r="N215" s="58">
        <f t="shared" si="18"/>
        <v>0</v>
      </c>
      <c r="O215" s="58">
        <f t="shared" si="19"/>
        <v>1</v>
      </c>
      <c r="P215" s="5" t="s">
        <v>857</v>
      </c>
      <c r="Q215" s="5">
        <v>15</v>
      </c>
      <c r="R215" s="5">
        <v>20</v>
      </c>
      <c r="S215" s="5" t="s">
        <v>858</v>
      </c>
    </row>
    <row r="216" spans="1:19">
      <c r="A216" s="59">
        <v>41821</v>
      </c>
      <c r="B216" s="60" t="str">
        <f t="shared" si="15"/>
        <v>Tue</v>
      </c>
      <c r="C216" s="60" t="s">
        <v>257</v>
      </c>
      <c r="D216" s="60" t="s">
        <v>258</v>
      </c>
      <c r="E216" s="59" t="s">
        <v>58</v>
      </c>
      <c r="F216" s="59" t="s">
        <v>263</v>
      </c>
      <c r="G216" s="61" t="s">
        <v>264</v>
      </c>
      <c r="H216" s="60"/>
      <c r="I216" s="117">
        <v>1056</v>
      </c>
      <c r="J216" s="62"/>
      <c r="K216" s="62"/>
      <c r="L216" s="58">
        <f t="shared" si="16"/>
        <v>1</v>
      </c>
      <c r="M216" s="58">
        <f t="shared" si="17"/>
        <v>1</v>
      </c>
      <c r="N216" s="58">
        <f t="shared" si="18"/>
        <v>0</v>
      </c>
      <c r="O216" s="58">
        <f t="shared" si="19"/>
        <v>2</v>
      </c>
      <c r="P216" s="5" t="s">
        <v>840</v>
      </c>
      <c r="Q216" s="5" t="s">
        <v>281</v>
      </c>
    </row>
    <row r="217" spans="1:19">
      <c r="A217" s="59">
        <v>41822</v>
      </c>
      <c r="B217" s="60" t="str">
        <f t="shared" si="15"/>
        <v>Wed</v>
      </c>
      <c r="C217" s="60" t="s">
        <v>257</v>
      </c>
      <c r="D217" s="60" t="s">
        <v>258</v>
      </c>
      <c r="E217" s="59" t="s">
        <v>10</v>
      </c>
      <c r="F217" s="59" t="s">
        <v>10</v>
      </c>
      <c r="G217" s="61" t="s">
        <v>265</v>
      </c>
      <c r="H217" s="60"/>
      <c r="I217" s="117">
        <v>884</v>
      </c>
      <c r="J217" s="62"/>
      <c r="K217" s="62"/>
      <c r="L217" s="58">
        <f t="shared" si="16"/>
        <v>0</v>
      </c>
      <c r="M217" s="58">
        <f t="shared" si="17"/>
        <v>1</v>
      </c>
      <c r="N217" s="58">
        <f t="shared" si="18"/>
        <v>0</v>
      </c>
      <c r="O217" s="58">
        <f t="shared" si="19"/>
        <v>1</v>
      </c>
      <c r="P217" s="5" t="s">
        <v>10</v>
      </c>
    </row>
    <row r="218" spans="1:19">
      <c r="A218" s="59">
        <v>41823</v>
      </c>
      <c r="B218" s="60" t="str">
        <f t="shared" si="15"/>
        <v>Thu</v>
      </c>
      <c r="C218" s="60" t="s">
        <v>257</v>
      </c>
      <c r="D218" s="60" t="s">
        <v>258</v>
      </c>
      <c r="E218" s="61" t="s">
        <v>266</v>
      </c>
      <c r="F218" s="61" t="s">
        <v>267</v>
      </c>
      <c r="G218" s="61"/>
      <c r="H218" s="60"/>
      <c r="I218" s="117">
        <v>1132</v>
      </c>
      <c r="J218" s="62"/>
      <c r="K218" s="62"/>
      <c r="L218" s="58">
        <f t="shared" si="16"/>
        <v>1</v>
      </c>
      <c r="M218" s="58">
        <f t="shared" si="17"/>
        <v>0</v>
      </c>
      <c r="N218" s="58">
        <f t="shared" si="18"/>
        <v>0</v>
      </c>
      <c r="O218" s="58">
        <f t="shared" si="19"/>
        <v>1</v>
      </c>
      <c r="P218" s="5" t="s">
        <v>879</v>
      </c>
      <c r="Q218" s="5" t="s">
        <v>867</v>
      </c>
      <c r="R218" s="5" t="s">
        <v>281</v>
      </c>
    </row>
    <row r="219" spans="1:19">
      <c r="A219" s="59">
        <v>41824</v>
      </c>
      <c r="B219" s="60" t="str">
        <f t="shared" si="15"/>
        <v>Fri</v>
      </c>
      <c r="C219" s="60" t="s">
        <v>257</v>
      </c>
      <c r="D219" s="60" t="s">
        <v>258</v>
      </c>
      <c r="E219" s="61" t="s">
        <v>165</v>
      </c>
      <c r="F219" s="61" t="s">
        <v>268</v>
      </c>
      <c r="G219" s="61"/>
      <c r="H219" s="60"/>
      <c r="I219" s="117">
        <v>536</v>
      </c>
      <c r="J219" s="62"/>
      <c r="K219" s="62"/>
      <c r="L219" s="58">
        <f t="shared" si="16"/>
        <v>1</v>
      </c>
      <c r="M219" s="58">
        <f t="shared" si="17"/>
        <v>0</v>
      </c>
      <c r="N219" s="58">
        <f t="shared" si="18"/>
        <v>0</v>
      </c>
      <c r="O219" s="58">
        <f t="shared" si="19"/>
        <v>1</v>
      </c>
      <c r="P219" s="5" t="s">
        <v>867</v>
      </c>
      <c r="Q219" s="5" t="s">
        <v>281</v>
      </c>
    </row>
    <row r="220" spans="1:19">
      <c r="A220" s="59">
        <v>41825</v>
      </c>
      <c r="B220" s="60" t="str">
        <f t="shared" si="15"/>
        <v>Sat</v>
      </c>
      <c r="C220" s="60" t="s">
        <v>257</v>
      </c>
      <c r="D220" s="60" t="s">
        <v>258</v>
      </c>
      <c r="E220" s="59" t="s">
        <v>252</v>
      </c>
      <c r="F220" s="59" t="s">
        <v>269</v>
      </c>
      <c r="G220" s="61"/>
      <c r="H220" s="60"/>
      <c r="I220" s="117">
        <v>558</v>
      </c>
      <c r="J220" s="62"/>
      <c r="K220" s="62"/>
      <c r="L220" s="58">
        <f t="shared" si="16"/>
        <v>1</v>
      </c>
      <c r="M220" s="58">
        <f t="shared" si="17"/>
        <v>0</v>
      </c>
      <c r="N220" s="58">
        <f t="shared" si="18"/>
        <v>0</v>
      </c>
      <c r="O220" s="58">
        <f t="shared" si="19"/>
        <v>1</v>
      </c>
      <c r="P220" s="5" t="s">
        <v>252</v>
      </c>
    </row>
    <row r="221" spans="1:19">
      <c r="A221" s="59">
        <v>41826</v>
      </c>
      <c r="B221" s="60" t="str">
        <f t="shared" si="15"/>
        <v>Sun</v>
      </c>
      <c r="C221" s="60" t="s">
        <v>257</v>
      </c>
      <c r="D221" s="60" t="s">
        <v>270</v>
      </c>
      <c r="E221" s="60" t="s">
        <v>271</v>
      </c>
      <c r="F221" s="60" t="s">
        <v>272</v>
      </c>
      <c r="G221" s="61" t="s">
        <v>273</v>
      </c>
      <c r="H221" s="60"/>
      <c r="I221" s="117">
        <v>658</v>
      </c>
      <c r="J221" s="62"/>
      <c r="K221" s="62"/>
      <c r="L221" s="58">
        <f t="shared" si="16"/>
        <v>1</v>
      </c>
      <c r="M221" s="58">
        <f t="shared" si="17"/>
        <v>1</v>
      </c>
      <c r="N221" s="58">
        <f t="shared" si="18"/>
        <v>0</v>
      </c>
      <c r="O221" s="58">
        <f t="shared" si="19"/>
        <v>2</v>
      </c>
      <c r="P221" s="5" t="s">
        <v>880</v>
      </c>
      <c r="Q221" s="5" t="s">
        <v>867</v>
      </c>
      <c r="R221" s="5" t="s">
        <v>281</v>
      </c>
    </row>
    <row r="222" spans="1:19">
      <c r="A222" s="59">
        <v>41827</v>
      </c>
      <c r="B222" s="60" t="str">
        <f t="shared" si="15"/>
        <v>Mon</v>
      </c>
      <c r="C222" s="60" t="s">
        <v>257</v>
      </c>
      <c r="D222" s="60" t="s">
        <v>270</v>
      </c>
      <c r="E222" s="60" t="s">
        <v>191</v>
      </c>
      <c r="F222" s="60" t="s">
        <v>274</v>
      </c>
      <c r="G222" s="61"/>
      <c r="H222" s="60"/>
      <c r="I222" s="117">
        <v>1186</v>
      </c>
      <c r="J222" s="62"/>
      <c r="K222" s="62"/>
      <c r="L222" s="58">
        <f t="shared" si="16"/>
        <v>1</v>
      </c>
      <c r="M222" s="58">
        <f t="shared" si="17"/>
        <v>0</v>
      </c>
      <c r="N222" s="58">
        <f t="shared" si="18"/>
        <v>0</v>
      </c>
      <c r="O222" s="58">
        <f t="shared" si="19"/>
        <v>1</v>
      </c>
      <c r="P222" s="5" t="s">
        <v>871</v>
      </c>
      <c r="Q222" s="5" t="s">
        <v>872</v>
      </c>
    </row>
    <row r="223" spans="1:19">
      <c r="A223" s="59">
        <v>41828</v>
      </c>
      <c r="B223" s="60" t="str">
        <f t="shared" si="15"/>
        <v>Tue</v>
      </c>
      <c r="C223" s="60" t="s">
        <v>257</v>
      </c>
      <c r="D223" s="60" t="s">
        <v>270</v>
      </c>
      <c r="E223" s="60" t="s">
        <v>10</v>
      </c>
      <c r="F223" s="60" t="s">
        <v>10</v>
      </c>
      <c r="G223" s="61"/>
      <c r="H223" s="60"/>
      <c r="I223" s="117">
        <v>1005</v>
      </c>
      <c r="J223" s="62"/>
      <c r="K223" s="62"/>
      <c r="L223" s="58">
        <f t="shared" si="16"/>
        <v>0</v>
      </c>
      <c r="M223" s="58">
        <f t="shared" si="17"/>
        <v>0</v>
      </c>
      <c r="N223" s="58">
        <f t="shared" si="18"/>
        <v>0</v>
      </c>
      <c r="O223" s="58">
        <f t="shared" si="19"/>
        <v>0</v>
      </c>
      <c r="P223" s="5" t="s">
        <v>10</v>
      </c>
    </row>
    <row r="224" spans="1:19">
      <c r="A224" s="59">
        <v>41829</v>
      </c>
      <c r="B224" s="60" t="str">
        <f t="shared" si="15"/>
        <v>Wed</v>
      </c>
      <c r="C224" s="60" t="s">
        <v>257</v>
      </c>
      <c r="D224" s="60" t="s">
        <v>270</v>
      </c>
      <c r="E224" s="60" t="s">
        <v>191</v>
      </c>
      <c r="F224" s="60" t="s">
        <v>275</v>
      </c>
      <c r="G224" s="59" t="s">
        <v>276</v>
      </c>
      <c r="H224" s="60"/>
      <c r="I224" s="117">
        <v>1123</v>
      </c>
      <c r="J224" s="62"/>
      <c r="K224" s="62"/>
      <c r="L224" s="58">
        <f t="shared" si="16"/>
        <v>1</v>
      </c>
      <c r="M224" s="58">
        <f t="shared" si="17"/>
        <v>1</v>
      </c>
      <c r="N224" s="58">
        <f t="shared" si="18"/>
        <v>0</v>
      </c>
      <c r="O224" s="58">
        <f t="shared" si="19"/>
        <v>2</v>
      </c>
      <c r="P224" s="5" t="s">
        <v>871</v>
      </c>
      <c r="Q224" s="5" t="s">
        <v>872</v>
      </c>
    </row>
    <row r="225" spans="1:18">
      <c r="A225" s="59">
        <v>41830</v>
      </c>
      <c r="B225" s="60" t="str">
        <f t="shared" si="15"/>
        <v>Thu</v>
      </c>
      <c r="C225" s="60" t="s">
        <v>257</v>
      </c>
      <c r="D225" s="60" t="s">
        <v>270</v>
      </c>
      <c r="E225" s="60" t="s">
        <v>18</v>
      </c>
      <c r="F225" s="60" t="s">
        <v>277</v>
      </c>
      <c r="G225" s="61"/>
      <c r="H225" s="60"/>
      <c r="I225" s="117">
        <v>951</v>
      </c>
      <c r="J225" s="62"/>
      <c r="K225" s="62"/>
      <c r="L225" s="58">
        <f t="shared" si="16"/>
        <v>1</v>
      </c>
      <c r="M225" s="58">
        <f t="shared" si="17"/>
        <v>0</v>
      </c>
      <c r="N225" s="58">
        <f t="shared" si="18"/>
        <v>0</v>
      </c>
      <c r="O225" s="58">
        <f t="shared" si="19"/>
        <v>1</v>
      </c>
      <c r="P225" s="5" t="s">
        <v>18</v>
      </c>
    </row>
    <row r="226" spans="1:18">
      <c r="A226" s="59">
        <v>41831</v>
      </c>
      <c r="B226" s="60" t="str">
        <f t="shared" si="15"/>
        <v>Fri</v>
      </c>
      <c r="C226" s="60" t="s">
        <v>257</v>
      </c>
      <c r="D226" s="60" t="s">
        <v>270</v>
      </c>
      <c r="E226" s="60" t="s">
        <v>17</v>
      </c>
      <c r="F226" s="60" t="s">
        <v>278</v>
      </c>
      <c r="G226" s="61"/>
      <c r="H226" s="60"/>
      <c r="I226" s="117">
        <v>1063</v>
      </c>
      <c r="J226" s="62"/>
      <c r="K226" s="62"/>
      <c r="L226" s="58">
        <f t="shared" si="16"/>
        <v>1</v>
      </c>
      <c r="M226" s="58">
        <f t="shared" si="17"/>
        <v>0</v>
      </c>
      <c r="N226" s="58">
        <f t="shared" si="18"/>
        <v>0</v>
      </c>
      <c r="O226" s="58">
        <f t="shared" si="19"/>
        <v>1</v>
      </c>
      <c r="P226" s="5" t="s">
        <v>17</v>
      </c>
    </row>
    <row r="227" spans="1:18">
      <c r="A227" s="59">
        <v>41832</v>
      </c>
      <c r="B227" s="60" t="str">
        <f t="shared" si="15"/>
        <v>Sat</v>
      </c>
      <c r="C227" s="60" t="s">
        <v>257</v>
      </c>
      <c r="D227" s="60" t="s">
        <v>270</v>
      </c>
      <c r="E227" s="60" t="s">
        <v>17</v>
      </c>
      <c r="F227" s="60" t="s">
        <v>279</v>
      </c>
      <c r="G227" s="61"/>
      <c r="H227" s="60"/>
      <c r="I227" s="117">
        <v>786</v>
      </c>
      <c r="J227" s="62"/>
      <c r="K227" s="62"/>
      <c r="L227" s="58">
        <f t="shared" si="16"/>
        <v>1</v>
      </c>
      <c r="M227" s="58">
        <f t="shared" si="17"/>
        <v>0</v>
      </c>
      <c r="N227" s="58">
        <f t="shared" si="18"/>
        <v>0</v>
      </c>
      <c r="O227" s="58">
        <f t="shared" si="19"/>
        <v>1</v>
      </c>
      <c r="P227" s="5" t="s">
        <v>17</v>
      </c>
    </row>
    <row r="228" spans="1:18">
      <c r="A228" s="59">
        <v>41833</v>
      </c>
      <c r="B228" s="60" t="str">
        <f t="shared" si="15"/>
        <v>Sun</v>
      </c>
      <c r="C228" s="60" t="s">
        <v>257</v>
      </c>
      <c r="D228" s="60" t="s">
        <v>280</v>
      </c>
      <c r="E228" s="60" t="s">
        <v>281</v>
      </c>
      <c r="F228" s="60" t="s">
        <v>282</v>
      </c>
      <c r="G228" s="61"/>
      <c r="H228" s="60"/>
      <c r="I228" s="117">
        <v>607</v>
      </c>
      <c r="J228" s="62"/>
      <c r="K228" s="62"/>
      <c r="L228" s="58">
        <f t="shared" si="16"/>
        <v>1</v>
      </c>
      <c r="M228" s="58">
        <f t="shared" si="17"/>
        <v>0</v>
      </c>
      <c r="N228" s="58">
        <f t="shared" si="18"/>
        <v>0</v>
      </c>
      <c r="O228" s="58">
        <f t="shared" si="19"/>
        <v>1</v>
      </c>
      <c r="P228" s="5" t="s">
        <v>281</v>
      </c>
    </row>
    <row r="229" spans="1:18">
      <c r="A229" s="59">
        <v>41834</v>
      </c>
      <c r="B229" s="60" t="str">
        <f t="shared" si="15"/>
        <v>Mon</v>
      </c>
      <c r="C229" s="60" t="s">
        <v>257</v>
      </c>
      <c r="D229" s="60" t="s">
        <v>280</v>
      </c>
      <c r="E229" s="59" t="s">
        <v>141</v>
      </c>
      <c r="F229" s="60" t="s">
        <v>283</v>
      </c>
      <c r="G229" s="59" t="s">
        <v>284</v>
      </c>
      <c r="H229" s="60"/>
      <c r="I229" s="117">
        <v>1437</v>
      </c>
      <c r="J229" s="62"/>
      <c r="K229" s="62"/>
      <c r="L229" s="58">
        <f t="shared" si="16"/>
        <v>1</v>
      </c>
      <c r="M229" s="58">
        <f t="shared" si="17"/>
        <v>1</v>
      </c>
      <c r="N229" s="58">
        <f t="shared" si="18"/>
        <v>0</v>
      </c>
      <c r="O229" s="58">
        <f t="shared" si="19"/>
        <v>2</v>
      </c>
      <c r="P229" s="5" t="s">
        <v>860</v>
      </c>
      <c r="Q229" s="5" t="s">
        <v>861</v>
      </c>
      <c r="R229" s="5" t="s">
        <v>281</v>
      </c>
    </row>
    <row r="230" spans="1:18">
      <c r="A230" s="59">
        <v>41835</v>
      </c>
      <c r="B230" s="60" t="str">
        <f t="shared" si="15"/>
        <v>Tue</v>
      </c>
      <c r="C230" s="60" t="s">
        <v>257</v>
      </c>
      <c r="D230" s="60" t="s">
        <v>280</v>
      </c>
      <c r="E230" s="60" t="s">
        <v>285</v>
      </c>
      <c r="F230" s="60" t="s">
        <v>286</v>
      </c>
      <c r="G230" s="61"/>
      <c r="H230" s="60"/>
      <c r="I230" s="117">
        <v>1522</v>
      </c>
      <c r="J230" s="62"/>
      <c r="K230" s="62"/>
      <c r="L230" s="58">
        <f t="shared" si="16"/>
        <v>1</v>
      </c>
      <c r="M230" s="58">
        <f t="shared" si="17"/>
        <v>0</v>
      </c>
      <c r="N230" s="58">
        <f t="shared" si="18"/>
        <v>0</v>
      </c>
      <c r="O230" s="58">
        <f t="shared" si="19"/>
        <v>1</v>
      </c>
      <c r="P230" s="5" t="s">
        <v>861</v>
      </c>
      <c r="Q230" s="5" t="s">
        <v>281</v>
      </c>
    </row>
    <row r="231" spans="1:18">
      <c r="A231" s="59">
        <v>41836</v>
      </c>
      <c r="B231" s="60" t="str">
        <f t="shared" si="15"/>
        <v>Wed</v>
      </c>
      <c r="C231" s="60" t="s">
        <v>257</v>
      </c>
      <c r="D231" s="60" t="s">
        <v>280</v>
      </c>
      <c r="E231" s="59" t="s">
        <v>10</v>
      </c>
      <c r="F231" s="60" t="s">
        <v>10</v>
      </c>
      <c r="G231" s="61"/>
      <c r="H231" s="60"/>
      <c r="I231" s="117">
        <v>1079</v>
      </c>
      <c r="J231" s="62"/>
      <c r="K231" s="62"/>
      <c r="L231" s="58">
        <f t="shared" si="16"/>
        <v>0</v>
      </c>
      <c r="M231" s="58">
        <f t="shared" si="17"/>
        <v>0</v>
      </c>
      <c r="N231" s="58">
        <f t="shared" si="18"/>
        <v>0</v>
      </c>
      <c r="O231" s="58">
        <f t="shared" si="19"/>
        <v>0</v>
      </c>
      <c r="P231" s="5" t="s">
        <v>10</v>
      </c>
    </row>
    <row r="232" spans="1:18">
      <c r="A232" s="59">
        <v>41837</v>
      </c>
      <c r="B232" s="60" t="str">
        <f t="shared" ref="B232:B295" si="20">TEXT(A232,"DDD")</f>
        <v>Thu</v>
      </c>
      <c r="C232" s="60" t="s">
        <v>257</v>
      </c>
      <c r="D232" s="60" t="s">
        <v>280</v>
      </c>
      <c r="E232" s="60" t="s">
        <v>287</v>
      </c>
      <c r="F232" s="60" t="s">
        <v>288</v>
      </c>
      <c r="G232" s="61"/>
      <c r="H232" s="60"/>
      <c r="I232" s="117">
        <v>1142</v>
      </c>
      <c r="J232" s="62"/>
      <c r="K232" s="62"/>
      <c r="L232" s="58">
        <f t="shared" ref="L232:L295" si="21">IF(E232=$L$1,0,1)</f>
        <v>1</v>
      </c>
      <c r="M232" s="58">
        <f t="shared" ref="M232:M295" si="22">IF(ISBLANK(G232),0,1)</f>
        <v>0</v>
      </c>
      <c r="N232" s="58">
        <f t="shared" ref="N232:N295" si="23">IF(ISBLANK(H232),0,1)</f>
        <v>0</v>
      </c>
      <c r="O232" s="58">
        <f t="shared" ref="O232:O295" si="24">SUM(L232:N232)</f>
        <v>1</v>
      </c>
      <c r="P232" s="5" t="s">
        <v>18</v>
      </c>
      <c r="Q232" s="5" t="s">
        <v>868</v>
      </c>
      <c r="R232" s="5" t="s">
        <v>881</v>
      </c>
    </row>
    <row r="233" spans="1:18">
      <c r="A233" s="59">
        <v>41838</v>
      </c>
      <c r="B233" s="60" t="str">
        <f t="shared" si="20"/>
        <v>Fri</v>
      </c>
      <c r="C233" s="60" t="s">
        <v>257</v>
      </c>
      <c r="D233" s="60" t="s">
        <v>280</v>
      </c>
      <c r="E233" s="60" t="s">
        <v>233</v>
      </c>
      <c r="F233" s="60" t="s">
        <v>289</v>
      </c>
      <c r="G233" s="61"/>
      <c r="H233" s="60"/>
      <c r="I233" s="117">
        <v>1116</v>
      </c>
      <c r="J233" s="62"/>
      <c r="K233" s="62"/>
      <c r="L233" s="58">
        <f t="shared" si="21"/>
        <v>1</v>
      </c>
      <c r="M233" s="58">
        <f t="shared" si="22"/>
        <v>0</v>
      </c>
      <c r="N233" s="58">
        <f t="shared" si="23"/>
        <v>0</v>
      </c>
      <c r="O233" s="58">
        <f t="shared" si="24"/>
        <v>1</v>
      </c>
      <c r="P233" s="5" t="s">
        <v>861</v>
      </c>
      <c r="Q233" s="5" t="s">
        <v>836</v>
      </c>
    </row>
    <row r="234" spans="1:18">
      <c r="A234" s="59">
        <v>41839</v>
      </c>
      <c r="B234" s="60" t="str">
        <f t="shared" si="20"/>
        <v>Sat</v>
      </c>
      <c r="C234" s="60" t="s">
        <v>257</v>
      </c>
      <c r="D234" s="60" t="s">
        <v>280</v>
      </c>
      <c r="E234" s="60" t="s">
        <v>10</v>
      </c>
      <c r="F234" s="60" t="s">
        <v>10</v>
      </c>
      <c r="G234" s="61"/>
      <c r="H234" s="60"/>
      <c r="I234" s="117">
        <v>671</v>
      </c>
      <c r="J234" s="62"/>
      <c r="K234" s="62"/>
      <c r="L234" s="58">
        <f t="shared" si="21"/>
        <v>0</v>
      </c>
      <c r="M234" s="58">
        <f t="shared" si="22"/>
        <v>0</v>
      </c>
      <c r="N234" s="58">
        <f t="shared" si="23"/>
        <v>0</v>
      </c>
      <c r="O234" s="58">
        <f t="shared" si="24"/>
        <v>0</v>
      </c>
      <c r="P234" s="5" t="s">
        <v>10</v>
      </c>
    </row>
    <row r="235" spans="1:18">
      <c r="A235" s="59">
        <v>41840</v>
      </c>
      <c r="B235" s="60" t="str">
        <f t="shared" si="20"/>
        <v>Sun</v>
      </c>
      <c r="C235" s="60" t="s">
        <v>257</v>
      </c>
      <c r="D235" s="60" t="s">
        <v>290</v>
      </c>
      <c r="E235" s="59" t="s">
        <v>10</v>
      </c>
      <c r="F235" s="60" t="s">
        <v>10</v>
      </c>
      <c r="G235" s="61"/>
      <c r="H235" s="60"/>
      <c r="I235" s="117">
        <v>535</v>
      </c>
      <c r="J235" s="62"/>
      <c r="K235" s="62"/>
      <c r="L235" s="58">
        <f t="shared" si="21"/>
        <v>0</v>
      </c>
      <c r="M235" s="58">
        <f t="shared" si="22"/>
        <v>0</v>
      </c>
      <c r="N235" s="58">
        <f t="shared" si="23"/>
        <v>0</v>
      </c>
      <c r="O235" s="58">
        <f t="shared" si="24"/>
        <v>0</v>
      </c>
      <c r="P235" s="5" t="s">
        <v>10</v>
      </c>
    </row>
    <row r="236" spans="1:18">
      <c r="A236" s="59">
        <v>41841</v>
      </c>
      <c r="B236" s="60" t="str">
        <f t="shared" si="20"/>
        <v>Mon</v>
      </c>
      <c r="C236" s="60" t="s">
        <v>257</v>
      </c>
      <c r="D236" s="60" t="s">
        <v>290</v>
      </c>
      <c r="E236" s="60" t="s">
        <v>10</v>
      </c>
      <c r="F236" s="60" t="s">
        <v>10</v>
      </c>
      <c r="G236" s="61"/>
      <c r="H236" s="60"/>
      <c r="I236" s="117">
        <v>1005</v>
      </c>
      <c r="J236" s="62"/>
      <c r="K236" s="62"/>
      <c r="L236" s="58">
        <f t="shared" si="21"/>
        <v>0</v>
      </c>
      <c r="M236" s="58">
        <f t="shared" si="22"/>
        <v>0</v>
      </c>
      <c r="N236" s="58">
        <f t="shared" si="23"/>
        <v>0</v>
      </c>
      <c r="O236" s="58">
        <f t="shared" si="24"/>
        <v>0</v>
      </c>
      <c r="P236" s="5" t="s">
        <v>10</v>
      </c>
    </row>
    <row r="237" spans="1:18">
      <c r="A237" s="59">
        <v>41842</v>
      </c>
      <c r="B237" s="60" t="str">
        <f t="shared" si="20"/>
        <v>Tue</v>
      </c>
      <c r="C237" s="60" t="s">
        <v>257</v>
      </c>
      <c r="D237" s="60" t="s">
        <v>290</v>
      </c>
      <c r="E237" s="60" t="s">
        <v>58</v>
      </c>
      <c r="F237" s="60" t="s">
        <v>291</v>
      </c>
      <c r="G237" s="61" t="s">
        <v>292</v>
      </c>
      <c r="H237" s="60"/>
      <c r="I237" s="117">
        <v>1373</v>
      </c>
      <c r="J237" s="62"/>
      <c r="K237" s="62"/>
      <c r="L237" s="58">
        <f t="shared" si="21"/>
        <v>1</v>
      </c>
      <c r="M237" s="58">
        <f t="shared" si="22"/>
        <v>1</v>
      </c>
      <c r="N237" s="58">
        <f t="shared" si="23"/>
        <v>0</v>
      </c>
      <c r="O237" s="58">
        <f t="shared" si="24"/>
        <v>2</v>
      </c>
      <c r="P237" s="5" t="s">
        <v>840</v>
      </c>
      <c r="Q237" s="5" t="s">
        <v>281</v>
      </c>
    </row>
    <row r="238" spans="1:18">
      <c r="A238" s="59">
        <v>41843</v>
      </c>
      <c r="B238" s="60" t="str">
        <f t="shared" si="20"/>
        <v>Wed</v>
      </c>
      <c r="C238" s="60" t="s">
        <v>257</v>
      </c>
      <c r="D238" s="60" t="s">
        <v>290</v>
      </c>
      <c r="E238" s="60" t="s">
        <v>293</v>
      </c>
      <c r="F238" s="60" t="s">
        <v>294</v>
      </c>
      <c r="G238" s="61"/>
      <c r="H238" s="60"/>
      <c r="I238" s="117">
        <v>1023</v>
      </c>
      <c r="J238" s="62"/>
      <c r="K238" s="62"/>
      <c r="L238" s="58">
        <f t="shared" si="21"/>
        <v>1</v>
      </c>
      <c r="M238" s="58">
        <f t="shared" si="22"/>
        <v>0</v>
      </c>
      <c r="N238" s="58">
        <f t="shared" si="23"/>
        <v>0</v>
      </c>
      <c r="O238" s="58">
        <f t="shared" si="24"/>
        <v>1</v>
      </c>
      <c r="P238" s="5" t="s">
        <v>882</v>
      </c>
      <c r="Q238" s="5" t="s">
        <v>281</v>
      </c>
    </row>
    <row r="239" spans="1:18">
      <c r="A239" s="59">
        <v>41844</v>
      </c>
      <c r="B239" s="60" t="str">
        <f t="shared" si="20"/>
        <v>Thu</v>
      </c>
      <c r="C239" s="60" t="s">
        <v>257</v>
      </c>
      <c r="D239" s="60" t="s">
        <v>290</v>
      </c>
      <c r="E239" s="60" t="s">
        <v>293</v>
      </c>
      <c r="F239" s="60" t="s">
        <v>295</v>
      </c>
      <c r="G239" s="61"/>
      <c r="H239" s="60"/>
      <c r="I239" s="117">
        <v>987</v>
      </c>
      <c r="J239" s="62"/>
      <c r="K239" s="62"/>
      <c r="L239" s="58">
        <f t="shared" si="21"/>
        <v>1</v>
      </c>
      <c r="M239" s="58">
        <f t="shared" si="22"/>
        <v>0</v>
      </c>
      <c r="N239" s="58">
        <f t="shared" si="23"/>
        <v>0</v>
      </c>
      <c r="O239" s="58">
        <f t="shared" si="24"/>
        <v>1</v>
      </c>
      <c r="P239" s="5" t="s">
        <v>882</v>
      </c>
      <c r="Q239" s="5" t="s">
        <v>281</v>
      </c>
    </row>
    <row r="240" spans="1:18">
      <c r="A240" s="59">
        <v>41845</v>
      </c>
      <c r="B240" s="60" t="str">
        <f t="shared" si="20"/>
        <v>Fri</v>
      </c>
      <c r="C240" s="60" t="s">
        <v>257</v>
      </c>
      <c r="D240" s="60" t="s">
        <v>290</v>
      </c>
      <c r="E240" s="60" t="s">
        <v>17</v>
      </c>
      <c r="F240" s="60" t="s">
        <v>296</v>
      </c>
      <c r="G240" s="61"/>
      <c r="H240" s="60"/>
      <c r="I240" s="117">
        <v>1089</v>
      </c>
      <c r="J240" s="62"/>
      <c r="K240" s="62"/>
      <c r="L240" s="58">
        <f t="shared" si="21"/>
        <v>1</v>
      </c>
      <c r="M240" s="58">
        <f t="shared" si="22"/>
        <v>0</v>
      </c>
      <c r="N240" s="58">
        <f t="shared" si="23"/>
        <v>0</v>
      </c>
      <c r="O240" s="58">
        <f t="shared" si="24"/>
        <v>1</v>
      </c>
      <c r="P240" s="5" t="s">
        <v>17</v>
      </c>
    </row>
    <row r="241" spans="1:18">
      <c r="A241" s="59">
        <v>41846</v>
      </c>
      <c r="B241" s="60" t="str">
        <f t="shared" si="20"/>
        <v>Sat</v>
      </c>
      <c r="C241" s="60" t="s">
        <v>257</v>
      </c>
      <c r="D241" s="60" t="s">
        <v>290</v>
      </c>
      <c r="E241" s="60" t="s">
        <v>17</v>
      </c>
      <c r="F241" s="60" t="s">
        <v>297</v>
      </c>
      <c r="G241" s="63"/>
      <c r="H241" s="60"/>
      <c r="I241" s="117">
        <v>852</v>
      </c>
      <c r="J241" s="62"/>
      <c r="K241" s="62"/>
      <c r="L241" s="58">
        <f t="shared" si="21"/>
        <v>1</v>
      </c>
      <c r="M241" s="58">
        <f t="shared" si="22"/>
        <v>0</v>
      </c>
      <c r="N241" s="58">
        <f t="shared" si="23"/>
        <v>0</v>
      </c>
      <c r="O241" s="58">
        <f t="shared" si="24"/>
        <v>1</v>
      </c>
      <c r="P241" s="5" t="s">
        <v>17</v>
      </c>
    </row>
    <row r="242" spans="1:18">
      <c r="A242" s="59">
        <v>41847</v>
      </c>
      <c r="B242" s="60" t="str">
        <f t="shared" si="20"/>
        <v>Sun</v>
      </c>
      <c r="C242" s="60" t="s">
        <v>257</v>
      </c>
      <c r="D242" s="60" t="s">
        <v>298</v>
      </c>
      <c r="E242" s="60" t="s">
        <v>293</v>
      </c>
      <c r="F242" s="60" t="s">
        <v>299</v>
      </c>
      <c r="G242" s="61"/>
      <c r="H242" s="60"/>
      <c r="I242" s="117">
        <v>606</v>
      </c>
      <c r="J242" s="62"/>
      <c r="K242" s="62"/>
      <c r="L242" s="58">
        <f t="shared" si="21"/>
        <v>1</v>
      </c>
      <c r="M242" s="58">
        <f t="shared" si="22"/>
        <v>0</v>
      </c>
      <c r="N242" s="58">
        <f t="shared" si="23"/>
        <v>0</v>
      </c>
      <c r="O242" s="58">
        <f t="shared" si="24"/>
        <v>1</v>
      </c>
      <c r="P242" s="5" t="s">
        <v>882</v>
      </c>
      <c r="Q242" s="5" t="s">
        <v>281</v>
      </c>
    </row>
    <row r="243" spans="1:18">
      <c r="A243" s="59">
        <v>41848</v>
      </c>
      <c r="B243" s="60" t="str">
        <f t="shared" si="20"/>
        <v>Mon</v>
      </c>
      <c r="C243" s="60" t="s">
        <v>257</v>
      </c>
      <c r="D243" s="60" t="s">
        <v>298</v>
      </c>
      <c r="E243" s="60" t="s">
        <v>58</v>
      </c>
      <c r="F243" s="60" t="s">
        <v>300</v>
      </c>
      <c r="G243" s="61"/>
      <c r="H243" s="60"/>
      <c r="I243" s="117">
        <v>1409</v>
      </c>
      <c r="J243" s="62"/>
      <c r="K243" s="62"/>
      <c r="L243" s="58">
        <f t="shared" si="21"/>
        <v>1</v>
      </c>
      <c r="M243" s="58">
        <f t="shared" si="22"/>
        <v>0</v>
      </c>
      <c r="N243" s="58">
        <f t="shared" si="23"/>
        <v>0</v>
      </c>
      <c r="O243" s="58">
        <f t="shared" si="24"/>
        <v>1</v>
      </c>
      <c r="P243" s="5" t="s">
        <v>840</v>
      </c>
      <c r="Q243" s="5" t="s">
        <v>281</v>
      </c>
    </row>
    <row r="244" spans="1:18">
      <c r="A244" s="59">
        <v>41849</v>
      </c>
      <c r="B244" s="60" t="str">
        <f t="shared" si="20"/>
        <v>Tue</v>
      </c>
      <c r="C244" s="60" t="s">
        <v>257</v>
      </c>
      <c r="D244" s="60" t="s">
        <v>298</v>
      </c>
      <c r="E244" s="60" t="s">
        <v>301</v>
      </c>
      <c r="F244" s="60" t="s">
        <v>302</v>
      </c>
      <c r="G244" s="61"/>
      <c r="H244" s="60"/>
      <c r="I244" s="117">
        <v>1241</v>
      </c>
      <c r="J244" s="62"/>
      <c r="K244" s="62"/>
      <c r="L244" s="58">
        <f t="shared" si="21"/>
        <v>1</v>
      </c>
      <c r="M244" s="58">
        <f t="shared" si="22"/>
        <v>0</v>
      </c>
      <c r="N244" s="58">
        <f t="shared" si="23"/>
        <v>0</v>
      </c>
      <c r="O244" s="58">
        <f t="shared" si="24"/>
        <v>1</v>
      </c>
      <c r="P244" s="5" t="s">
        <v>252</v>
      </c>
      <c r="Q244" s="5" t="s">
        <v>846</v>
      </c>
    </row>
    <row r="245" spans="1:18">
      <c r="A245" s="59">
        <v>41850</v>
      </c>
      <c r="B245" s="60" t="str">
        <f t="shared" si="20"/>
        <v>Wed</v>
      </c>
      <c r="C245" s="60" t="s">
        <v>257</v>
      </c>
      <c r="D245" s="60" t="s">
        <v>298</v>
      </c>
      <c r="E245" s="60" t="s">
        <v>303</v>
      </c>
      <c r="F245" s="60" t="s">
        <v>304</v>
      </c>
      <c r="G245" s="63"/>
      <c r="H245" s="60"/>
      <c r="I245" s="117">
        <v>1286</v>
      </c>
      <c r="J245" s="62"/>
      <c r="K245" s="62"/>
      <c r="L245" s="58">
        <f t="shared" si="21"/>
        <v>1</v>
      </c>
      <c r="M245" s="58">
        <f t="shared" si="22"/>
        <v>0</v>
      </c>
      <c r="N245" s="58">
        <f t="shared" si="23"/>
        <v>0</v>
      </c>
      <c r="O245" s="58">
        <f t="shared" si="24"/>
        <v>1</v>
      </c>
      <c r="P245" s="5" t="s">
        <v>868</v>
      </c>
      <c r="Q245" s="5" t="s">
        <v>881</v>
      </c>
    </row>
    <row r="246" spans="1:18">
      <c r="A246" s="59">
        <v>41851</v>
      </c>
      <c r="B246" s="60" t="str">
        <f t="shared" si="20"/>
        <v>Thu</v>
      </c>
      <c r="C246" s="60" t="s">
        <v>257</v>
      </c>
      <c r="D246" s="60" t="s">
        <v>298</v>
      </c>
      <c r="E246" s="60" t="s">
        <v>18</v>
      </c>
      <c r="F246" s="60" t="s">
        <v>305</v>
      </c>
      <c r="G246" s="61"/>
      <c r="H246" s="60"/>
      <c r="I246" s="117">
        <v>1111</v>
      </c>
      <c r="J246" s="62"/>
      <c r="K246" s="62"/>
      <c r="L246" s="58">
        <f t="shared" si="21"/>
        <v>1</v>
      </c>
      <c r="M246" s="58">
        <f t="shared" si="22"/>
        <v>0</v>
      </c>
      <c r="N246" s="58">
        <f t="shared" si="23"/>
        <v>0</v>
      </c>
      <c r="O246" s="58">
        <f t="shared" si="24"/>
        <v>1</v>
      </c>
      <c r="P246" s="5" t="s">
        <v>18</v>
      </c>
    </row>
    <row r="247" spans="1:18">
      <c r="A247" s="59">
        <v>41852</v>
      </c>
      <c r="B247" s="60" t="str">
        <f t="shared" si="20"/>
        <v>Fri</v>
      </c>
      <c r="C247" s="60" t="s">
        <v>257</v>
      </c>
      <c r="D247" s="60" t="s">
        <v>298</v>
      </c>
      <c r="E247" s="60" t="s">
        <v>293</v>
      </c>
      <c r="F247" s="60" t="s">
        <v>306</v>
      </c>
      <c r="G247" s="61"/>
      <c r="H247" s="60"/>
      <c r="I247" s="117">
        <v>1112</v>
      </c>
      <c r="J247" s="62"/>
      <c r="K247" s="62"/>
      <c r="L247" s="58">
        <f t="shared" si="21"/>
        <v>1</v>
      </c>
      <c r="M247" s="58">
        <f t="shared" si="22"/>
        <v>0</v>
      </c>
      <c r="N247" s="58">
        <f t="shared" si="23"/>
        <v>0</v>
      </c>
      <c r="O247" s="58">
        <f t="shared" si="24"/>
        <v>1</v>
      </c>
      <c r="P247" s="5" t="s">
        <v>882</v>
      </c>
      <c r="Q247" s="5" t="s">
        <v>281</v>
      </c>
    </row>
    <row r="248" spans="1:18">
      <c r="A248" s="59">
        <v>41853</v>
      </c>
      <c r="B248" s="60" t="str">
        <f t="shared" si="20"/>
        <v>Sat</v>
      </c>
      <c r="C248" s="60" t="s">
        <v>257</v>
      </c>
      <c r="D248" s="60" t="s">
        <v>298</v>
      </c>
      <c r="E248" s="60" t="s">
        <v>293</v>
      </c>
      <c r="F248" s="60" t="s">
        <v>307</v>
      </c>
      <c r="G248" s="61"/>
      <c r="H248" s="60"/>
      <c r="I248" s="117">
        <v>807</v>
      </c>
      <c r="J248" s="62"/>
      <c r="K248" s="62"/>
      <c r="L248" s="58">
        <f t="shared" si="21"/>
        <v>1</v>
      </c>
      <c r="M248" s="58">
        <f t="shared" si="22"/>
        <v>0</v>
      </c>
      <c r="N248" s="58">
        <f t="shared" si="23"/>
        <v>0</v>
      </c>
      <c r="O248" s="58">
        <f t="shared" si="24"/>
        <v>1</v>
      </c>
      <c r="P248" s="5" t="s">
        <v>882</v>
      </c>
      <c r="Q248" s="5" t="s">
        <v>281</v>
      </c>
    </row>
    <row r="249" spans="1:18">
      <c r="A249" s="59">
        <v>41854</v>
      </c>
      <c r="B249" s="60" t="str">
        <f t="shared" si="20"/>
        <v>Sun</v>
      </c>
      <c r="C249" s="60" t="s">
        <v>308</v>
      </c>
      <c r="D249" s="60" t="s">
        <v>309</v>
      </c>
      <c r="E249" s="60" t="s">
        <v>252</v>
      </c>
      <c r="F249" s="60" t="s">
        <v>310</v>
      </c>
      <c r="G249" s="60"/>
      <c r="H249" s="60"/>
      <c r="I249" s="117">
        <v>622</v>
      </c>
      <c r="J249" s="62"/>
      <c r="K249" s="62"/>
      <c r="L249" s="58">
        <f t="shared" si="21"/>
        <v>1</v>
      </c>
      <c r="M249" s="58">
        <f t="shared" si="22"/>
        <v>0</v>
      </c>
      <c r="N249" s="58">
        <f t="shared" si="23"/>
        <v>0</v>
      </c>
      <c r="O249" s="58">
        <f t="shared" si="24"/>
        <v>1</v>
      </c>
      <c r="P249" s="5" t="s">
        <v>252</v>
      </c>
    </row>
    <row r="250" spans="1:18">
      <c r="A250" s="59">
        <v>41855</v>
      </c>
      <c r="B250" s="60" t="str">
        <f t="shared" si="20"/>
        <v>Mon</v>
      </c>
      <c r="C250" s="60" t="s">
        <v>308</v>
      </c>
      <c r="D250" s="60" t="s">
        <v>309</v>
      </c>
      <c r="E250" s="60" t="s">
        <v>10</v>
      </c>
      <c r="F250" s="64" t="s">
        <v>10</v>
      </c>
      <c r="G250" s="60"/>
      <c r="H250" s="60"/>
      <c r="I250" s="105">
        <v>1098</v>
      </c>
      <c r="J250" s="60"/>
      <c r="K250" s="60"/>
      <c r="L250" s="58">
        <f t="shared" si="21"/>
        <v>0</v>
      </c>
      <c r="M250" s="58">
        <f t="shared" si="22"/>
        <v>0</v>
      </c>
      <c r="N250" s="58">
        <f t="shared" si="23"/>
        <v>0</v>
      </c>
      <c r="O250" s="58">
        <f t="shared" si="24"/>
        <v>0</v>
      </c>
      <c r="P250" s="5" t="s">
        <v>10</v>
      </c>
    </row>
    <row r="251" spans="1:18">
      <c r="A251" s="59">
        <v>41856</v>
      </c>
      <c r="B251" s="60" t="str">
        <f t="shared" si="20"/>
        <v>Tue</v>
      </c>
      <c r="C251" s="60" t="s">
        <v>308</v>
      </c>
      <c r="D251" s="60" t="s">
        <v>309</v>
      </c>
      <c r="E251" s="60" t="s">
        <v>311</v>
      </c>
      <c r="F251" s="60" t="s">
        <v>312</v>
      </c>
      <c r="G251" s="60" t="s">
        <v>313</v>
      </c>
      <c r="H251" s="60"/>
      <c r="I251" s="105">
        <v>1378</v>
      </c>
      <c r="J251" s="60"/>
      <c r="K251" s="60"/>
      <c r="L251" s="58">
        <f t="shared" si="21"/>
        <v>1</v>
      </c>
      <c r="M251" s="58">
        <f t="shared" si="22"/>
        <v>1</v>
      </c>
      <c r="N251" s="58">
        <f t="shared" si="23"/>
        <v>0</v>
      </c>
      <c r="O251" s="58">
        <f t="shared" si="24"/>
        <v>2</v>
      </c>
      <c r="P251" s="5" t="s">
        <v>860</v>
      </c>
      <c r="Q251" s="5" t="s">
        <v>837</v>
      </c>
      <c r="R251" s="5" t="s">
        <v>281</v>
      </c>
    </row>
    <row r="252" spans="1:18">
      <c r="A252" s="59">
        <v>41857</v>
      </c>
      <c r="B252" s="60" t="str">
        <f t="shared" si="20"/>
        <v>Wed</v>
      </c>
      <c r="C252" s="60" t="s">
        <v>308</v>
      </c>
      <c r="D252" s="60" t="s">
        <v>309</v>
      </c>
      <c r="E252" s="60" t="s">
        <v>311</v>
      </c>
      <c r="F252" s="60" t="s">
        <v>314</v>
      </c>
      <c r="G252" s="60"/>
      <c r="H252" s="60"/>
      <c r="I252" s="105">
        <v>1179</v>
      </c>
      <c r="J252" s="60"/>
      <c r="K252" s="60"/>
      <c r="L252" s="58">
        <f t="shared" si="21"/>
        <v>1</v>
      </c>
      <c r="M252" s="58">
        <f t="shared" si="22"/>
        <v>0</v>
      </c>
      <c r="N252" s="58">
        <f t="shared" si="23"/>
        <v>0</v>
      </c>
      <c r="O252" s="58">
        <f t="shared" si="24"/>
        <v>1</v>
      </c>
      <c r="P252" s="5" t="s">
        <v>860</v>
      </c>
      <c r="Q252" s="5" t="s">
        <v>837</v>
      </c>
      <c r="R252" s="5" t="s">
        <v>281</v>
      </c>
    </row>
    <row r="253" spans="1:18">
      <c r="A253" s="59">
        <v>41858</v>
      </c>
      <c r="B253" s="60" t="str">
        <f t="shared" si="20"/>
        <v>Thu</v>
      </c>
      <c r="C253" s="60" t="s">
        <v>308</v>
      </c>
      <c r="D253" s="60" t="s">
        <v>309</v>
      </c>
      <c r="E253" s="60" t="s">
        <v>165</v>
      </c>
      <c r="F253" s="60" t="s">
        <v>315</v>
      </c>
      <c r="G253" s="60"/>
      <c r="H253" s="60"/>
      <c r="I253" s="105">
        <v>1044</v>
      </c>
      <c r="J253" s="60"/>
      <c r="K253" s="60"/>
      <c r="L253" s="58">
        <f t="shared" si="21"/>
        <v>1</v>
      </c>
      <c r="M253" s="58">
        <f t="shared" si="22"/>
        <v>0</v>
      </c>
      <c r="N253" s="58">
        <f t="shared" si="23"/>
        <v>0</v>
      </c>
      <c r="O253" s="58">
        <f t="shared" si="24"/>
        <v>1</v>
      </c>
      <c r="P253" s="5" t="s">
        <v>867</v>
      </c>
      <c r="Q253" s="5" t="s">
        <v>281</v>
      </c>
    </row>
    <row r="254" spans="1:18">
      <c r="A254" s="59">
        <v>41859</v>
      </c>
      <c r="B254" s="60" t="str">
        <f t="shared" si="20"/>
        <v>Fri</v>
      </c>
      <c r="C254" s="60" t="s">
        <v>308</v>
      </c>
      <c r="D254" s="60" t="s">
        <v>309</v>
      </c>
      <c r="E254" s="60" t="s">
        <v>252</v>
      </c>
      <c r="F254" s="60" t="s">
        <v>316</v>
      </c>
      <c r="G254" s="60"/>
      <c r="H254" s="60"/>
      <c r="I254" s="105">
        <v>1022</v>
      </c>
      <c r="J254" s="60"/>
      <c r="K254" s="60"/>
      <c r="L254" s="58">
        <f t="shared" si="21"/>
        <v>1</v>
      </c>
      <c r="M254" s="58">
        <f t="shared" si="22"/>
        <v>0</v>
      </c>
      <c r="N254" s="58">
        <f t="shared" si="23"/>
        <v>0</v>
      </c>
      <c r="O254" s="58">
        <f t="shared" si="24"/>
        <v>1</v>
      </c>
      <c r="P254" s="5" t="s">
        <v>252</v>
      </c>
    </row>
    <row r="255" spans="1:18">
      <c r="A255" s="59">
        <v>41860</v>
      </c>
      <c r="B255" s="60" t="str">
        <f t="shared" si="20"/>
        <v>Sat</v>
      </c>
      <c r="C255" s="60" t="s">
        <v>308</v>
      </c>
      <c r="D255" s="60" t="s">
        <v>309</v>
      </c>
      <c r="E255" s="60" t="s">
        <v>165</v>
      </c>
      <c r="F255" s="60" t="s">
        <v>317</v>
      </c>
      <c r="G255" s="60"/>
      <c r="H255" s="60"/>
      <c r="I255" s="105">
        <v>918</v>
      </c>
      <c r="J255" s="60"/>
      <c r="K255" s="60"/>
      <c r="L255" s="58">
        <f t="shared" si="21"/>
        <v>1</v>
      </c>
      <c r="M255" s="58">
        <f t="shared" si="22"/>
        <v>0</v>
      </c>
      <c r="N255" s="58">
        <f t="shared" si="23"/>
        <v>0</v>
      </c>
      <c r="O255" s="58">
        <f t="shared" si="24"/>
        <v>1</v>
      </c>
      <c r="P255" s="5" t="s">
        <v>867</v>
      </c>
      <c r="Q255" s="5" t="s">
        <v>281</v>
      </c>
    </row>
    <row r="256" spans="1:18">
      <c r="A256" s="59">
        <v>41861</v>
      </c>
      <c r="B256" s="60" t="str">
        <f t="shared" si="20"/>
        <v>Sun</v>
      </c>
      <c r="C256" s="60" t="s">
        <v>308</v>
      </c>
      <c r="D256" s="60" t="s">
        <v>318</v>
      </c>
      <c r="E256" s="60" t="s">
        <v>319</v>
      </c>
      <c r="F256" s="60" t="s">
        <v>320</v>
      </c>
      <c r="G256" s="60"/>
      <c r="H256" s="60"/>
      <c r="I256" s="105">
        <v>705</v>
      </c>
      <c r="J256" s="60"/>
      <c r="K256" s="60"/>
      <c r="L256" s="58">
        <f t="shared" si="21"/>
        <v>1</v>
      </c>
      <c r="M256" s="58">
        <f t="shared" si="22"/>
        <v>0</v>
      </c>
      <c r="N256" s="58">
        <f t="shared" si="23"/>
        <v>0</v>
      </c>
      <c r="O256" s="58">
        <f t="shared" si="24"/>
        <v>1</v>
      </c>
      <c r="P256" s="5" t="s">
        <v>883</v>
      </c>
      <c r="Q256" s="5" t="s">
        <v>884</v>
      </c>
    </row>
    <row r="257" spans="1:18">
      <c r="A257" s="59">
        <v>41862</v>
      </c>
      <c r="B257" s="60" t="str">
        <f t="shared" si="20"/>
        <v>Mon</v>
      </c>
      <c r="C257" s="60" t="s">
        <v>308</v>
      </c>
      <c r="D257" s="60" t="s">
        <v>318</v>
      </c>
      <c r="E257" s="60" t="s">
        <v>321</v>
      </c>
      <c r="F257" s="60" t="s">
        <v>322</v>
      </c>
      <c r="G257" s="60"/>
      <c r="H257" s="60"/>
      <c r="I257" s="117">
        <v>1173</v>
      </c>
      <c r="J257" s="62"/>
      <c r="K257" s="62"/>
      <c r="L257" s="58">
        <f t="shared" si="21"/>
        <v>1</v>
      </c>
      <c r="M257" s="58">
        <f t="shared" si="22"/>
        <v>0</v>
      </c>
      <c r="N257" s="58">
        <f t="shared" si="23"/>
        <v>0</v>
      </c>
      <c r="O257" s="58">
        <f t="shared" si="24"/>
        <v>1</v>
      </c>
      <c r="P257" s="5" t="s">
        <v>883</v>
      </c>
      <c r="Q257" s="5" t="s">
        <v>885</v>
      </c>
      <c r="R257" s="5" t="s">
        <v>886</v>
      </c>
    </row>
    <row r="258" spans="1:18">
      <c r="A258" s="59">
        <v>41863</v>
      </c>
      <c r="B258" s="60" t="str">
        <f t="shared" si="20"/>
        <v>Tue</v>
      </c>
      <c r="C258" s="60" t="s">
        <v>308</v>
      </c>
      <c r="D258" s="60" t="s">
        <v>318</v>
      </c>
      <c r="E258" s="60" t="s">
        <v>323</v>
      </c>
      <c r="F258" s="60" t="s">
        <v>324</v>
      </c>
      <c r="G258" s="60"/>
      <c r="H258" s="60"/>
      <c r="I258" s="117">
        <v>1080</v>
      </c>
      <c r="J258" s="62"/>
      <c r="K258" s="62"/>
      <c r="L258" s="58">
        <f t="shared" si="21"/>
        <v>1</v>
      </c>
      <c r="M258" s="58">
        <f t="shared" si="22"/>
        <v>0</v>
      </c>
      <c r="N258" s="58">
        <f t="shared" si="23"/>
        <v>0</v>
      </c>
      <c r="O258" s="58">
        <f t="shared" si="24"/>
        <v>1</v>
      </c>
      <c r="P258" s="5" t="s">
        <v>883</v>
      </c>
      <c r="Q258" s="5" t="s">
        <v>887</v>
      </c>
    </row>
    <row r="259" spans="1:18">
      <c r="A259" s="59">
        <v>41864</v>
      </c>
      <c r="B259" s="60" t="str">
        <f t="shared" si="20"/>
        <v>Wed</v>
      </c>
      <c r="C259" s="60" t="s">
        <v>308</v>
      </c>
      <c r="D259" s="60" t="s">
        <v>318</v>
      </c>
      <c r="E259" s="60" t="s">
        <v>325</v>
      </c>
      <c r="F259" s="60" t="s">
        <v>326</v>
      </c>
      <c r="G259" s="60"/>
      <c r="H259" s="60"/>
      <c r="I259" s="117">
        <v>1070</v>
      </c>
      <c r="J259" s="62"/>
      <c r="K259" s="62"/>
      <c r="L259" s="58">
        <f t="shared" si="21"/>
        <v>1</v>
      </c>
      <c r="M259" s="58">
        <f t="shared" si="22"/>
        <v>0</v>
      </c>
      <c r="N259" s="58">
        <f t="shared" si="23"/>
        <v>0</v>
      </c>
      <c r="O259" s="58">
        <f t="shared" si="24"/>
        <v>1</v>
      </c>
      <c r="P259" s="5" t="s">
        <v>883</v>
      </c>
      <c r="Q259" s="5" t="s">
        <v>888</v>
      </c>
    </row>
    <row r="260" spans="1:18">
      <c r="A260" s="59">
        <v>41865</v>
      </c>
      <c r="B260" s="60" t="str">
        <f t="shared" si="20"/>
        <v>Thu</v>
      </c>
      <c r="C260" s="60" t="s">
        <v>308</v>
      </c>
      <c r="D260" s="60" t="s">
        <v>318</v>
      </c>
      <c r="E260" s="60" t="s">
        <v>327</v>
      </c>
      <c r="F260" s="60" t="s">
        <v>328</v>
      </c>
      <c r="G260" s="60"/>
      <c r="H260" s="60"/>
      <c r="I260" s="117">
        <v>996</v>
      </c>
      <c r="J260" s="62"/>
      <c r="K260" s="62"/>
      <c r="L260" s="58">
        <f t="shared" si="21"/>
        <v>1</v>
      </c>
      <c r="M260" s="58">
        <f t="shared" si="22"/>
        <v>0</v>
      </c>
      <c r="N260" s="58">
        <f t="shared" si="23"/>
        <v>0</v>
      </c>
      <c r="O260" s="58">
        <f t="shared" si="24"/>
        <v>1</v>
      </c>
      <c r="P260" s="5" t="s">
        <v>883</v>
      </c>
      <c r="Q260" s="5" t="s">
        <v>889</v>
      </c>
    </row>
    <row r="261" spans="1:18">
      <c r="A261" s="59">
        <v>41866</v>
      </c>
      <c r="B261" s="60" t="str">
        <f t="shared" si="20"/>
        <v>Fri</v>
      </c>
      <c r="C261" s="60" t="s">
        <v>308</v>
      </c>
      <c r="D261" s="60" t="s">
        <v>318</v>
      </c>
      <c r="E261" s="60" t="s">
        <v>329</v>
      </c>
      <c r="F261" s="60" t="s">
        <v>330</v>
      </c>
      <c r="G261" s="60"/>
      <c r="H261" s="60"/>
      <c r="I261" s="117">
        <v>1137</v>
      </c>
      <c r="J261" s="62"/>
      <c r="K261" s="62"/>
      <c r="L261" s="58">
        <f t="shared" si="21"/>
        <v>1</v>
      </c>
      <c r="M261" s="58">
        <f t="shared" si="22"/>
        <v>0</v>
      </c>
      <c r="N261" s="58">
        <f t="shared" si="23"/>
        <v>0</v>
      </c>
      <c r="O261" s="58">
        <f t="shared" si="24"/>
        <v>1</v>
      </c>
      <c r="P261" s="5" t="s">
        <v>883</v>
      </c>
      <c r="Q261" s="5" t="s">
        <v>890</v>
      </c>
    </row>
    <row r="262" spans="1:18">
      <c r="A262" s="59">
        <v>41867</v>
      </c>
      <c r="B262" s="60" t="str">
        <f t="shared" si="20"/>
        <v>Sat</v>
      </c>
      <c r="C262" s="60" t="s">
        <v>308</v>
      </c>
      <c r="D262" s="60" t="s">
        <v>318</v>
      </c>
      <c r="E262" s="60" t="s">
        <v>331</v>
      </c>
      <c r="F262" s="60" t="s">
        <v>332</v>
      </c>
      <c r="G262" s="60" t="s">
        <v>333</v>
      </c>
      <c r="H262" s="60"/>
      <c r="I262" s="117">
        <v>976</v>
      </c>
      <c r="J262" s="62"/>
      <c r="K262" s="62"/>
      <c r="L262" s="58">
        <f t="shared" si="21"/>
        <v>1</v>
      </c>
      <c r="M262" s="58">
        <f t="shared" si="22"/>
        <v>1</v>
      </c>
      <c r="N262" s="58">
        <f t="shared" si="23"/>
        <v>0</v>
      </c>
      <c r="O262" s="58">
        <f t="shared" si="24"/>
        <v>2</v>
      </c>
      <c r="P262" s="5" t="s">
        <v>883</v>
      </c>
      <c r="Q262" s="5" t="s">
        <v>891</v>
      </c>
    </row>
    <row r="263" spans="1:18">
      <c r="A263" s="59">
        <v>41868</v>
      </c>
      <c r="B263" s="60" t="str">
        <f t="shared" si="20"/>
        <v>Sun</v>
      </c>
      <c r="C263" s="60" t="s">
        <v>308</v>
      </c>
      <c r="D263" s="60" t="s">
        <v>334</v>
      </c>
      <c r="E263" s="60" t="s">
        <v>212</v>
      </c>
      <c r="F263" s="60" t="s">
        <v>335</v>
      </c>
      <c r="G263" s="60"/>
      <c r="H263" s="60"/>
      <c r="I263" s="117">
        <v>783</v>
      </c>
      <c r="J263" s="62"/>
      <c r="K263" s="62"/>
      <c r="L263" s="58">
        <f t="shared" si="21"/>
        <v>1</v>
      </c>
      <c r="M263" s="58">
        <f t="shared" si="22"/>
        <v>0</v>
      </c>
      <c r="N263" s="58">
        <f t="shared" si="23"/>
        <v>0</v>
      </c>
      <c r="O263" s="58">
        <f t="shared" si="24"/>
        <v>1</v>
      </c>
      <c r="P263" s="5" t="s">
        <v>876</v>
      </c>
      <c r="Q263" s="5" t="s">
        <v>281</v>
      </c>
    </row>
    <row r="264" spans="1:18">
      <c r="A264" s="59">
        <v>41869</v>
      </c>
      <c r="B264" s="60" t="str">
        <f t="shared" si="20"/>
        <v>Mon</v>
      </c>
      <c r="C264" s="60" t="s">
        <v>308</v>
      </c>
      <c r="D264" s="60" t="s">
        <v>334</v>
      </c>
      <c r="E264" s="60" t="s">
        <v>212</v>
      </c>
      <c r="F264" s="60" t="s">
        <v>336</v>
      </c>
      <c r="G264" s="60"/>
      <c r="H264" s="60"/>
      <c r="I264" s="117">
        <v>1216</v>
      </c>
      <c r="J264" s="62"/>
      <c r="K264" s="62"/>
      <c r="L264" s="58">
        <f t="shared" si="21"/>
        <v>1</v>
      </c>
      <c r="M264" s="58">
        <f t="shared" si="22"/>
        <v>0</v>
      </c>
      <c r="N264" s="58">
        <f t="shared" si="23"/>
        <v>0</v>
      </c>
      <c r="O264" s="58">
        <f t="shared" si="24"/>
        <v>1</v>
      </c>
      <c r="P264" s="5" t="s">
        <v>876</v>
      </c>
      <c r="Q264" s="5" t="s">
        <v>281</v>
      </c>
    </row>
    <row r="265" spans="1:18">
      <c r="A265" s="59">
        <v>41870</v>
      </c>
      <c r="B265" s="60" t="str">
        <f t="shared" si="20"/>
        <v>Tue</v>
      </c>
      <c r="C265" s="60" t="s">
        <v>308</v>
      </c>
      <c r="D265" s="60" t="s">
        <v>334</v>
      </c>
      <c r="E265" s="60" t="s">
        <v>157</v>
      </c>
      <c r="F265" s="60" t="s">
        <v>337</v>
      </c>
      <c r="G265" s="60" t="s">
        <v>338</v>
      </c>
      <c r="H265" s="60"/>
      <c r="I265" s="117">
        <v>1335</v>
      </c>
      <c r="J265" s="62"/>
      <c r="K265" s="62"/>
      <c r="L265" s="58">
        <f t="shared" si="21"/>
        <v>1</v>
      </c>
      <c r="M265" s="58">
        <f t="shared" si="22"/>
        <v>1</v>
      </c>
      <c r="N265" s="58">
        <f t="shared" si="23"/>
        <v>0</v>
      </c>
      <c r="O265" s="58">
        <f t="shared" si="24"/>
        <v>2</v>
      </c>
      <c r="P265" s="5" t="s">
        <v>835</v>
      </c>
      <c r="Q265" s="5" t="s">
        <v>281</v>
      </c>
    </row>
    <row r="266" spans="1:18">
      <c r="A266" s="59">
        <v>41871</v>
      </c>
      <c r="B266" s="60" t="str">
        <f t="shared" si="20"/>
        <v>Wed</v>
      </c>
      <c r="C266" s="60" t="s">
        <v>308</v>
      </c>
      <c r="D266" s="60" t="s">
        <v>334</v>
      </c>
      <c r="E266" s="60" t="s">
        <v>10</v>
      </c>
      <c r="F266" s="64" t="s">
        <v>10</v>
      </c>
      <c r="G266" s="60"/>
      <c r="H266" s="60"/>
      <c r="I266" s="117">
        <v>1433</v>
      </c>
      <c r="J266" s="62"/>
      <c r="K266" s="62"/>
      <c r="L266" s="58">
        <f t="shared" si="21"/>
        <v>0</v>
      </c>
      <c r="M266" s="58">
        <f t="shared" si="22"/>
        <v>0</v>
      </c>
      <c r="N266" s="58">
        <f t="shared" si="23"/>
        <v>0</v>
      </c>
      <c r="O266" s="58">
        <f t="shared" si="24"/>
        <v>0</v>
      </c>
      <c r="P266" s="5" t="s">
        <v>10</v>
      </c>
    </row>
    <row r="267" spans="1:18">
      <c r="A267" s="59">
        <v>41872</v>
      </c>
      <c r="B267" s="60" t="str">
        <f t="shared" si="20"/>
        <v>Thu</v>
      </c>
      <c r="C267" s="60" t="s">
        <v>308</v>
      </c>
      <c r="D267" s="60" t="s">
        <v>334</v>
      </c>
      <c r="E267" s="60" t="s">
        <v>212</v>
      </c>
      <c r="F267" s="60" t="s">
        <v>339</v>
      </c>
      <c r="G267" s="60"/>
      <c r="H267" s="60"/>
      <c r="I267" s="117">
        <v>1156</v>
      </c>
      <c r="J267" s="62"/>
      <c r="K267" s="62"/>
      <c r="L267" s="58">
        <f t="shared" si="21"/>
        <v>1</v>
      </c>
      <c r="M267" s="58">
        <f t="shared" si="22"/>
        <v>0</v>
      </c>
      <c r="N267" s="58">
        <f t="shared" si="23"/>
        <v>0</v>
      </c>
      <c r="O267" s="58">
        <f t="shared" si="24"/>
        <v>1</v>
      </c>
      <c r="P267" s="5" t="s">
        <v>876</v>
      </c>
      <c r="Q267" s="5" t="s">
        <v>281</v>
      </c>
    </row>
    <row r="268" spans="1:18">
      <c r="A268" s="59">
        <v>41873</v>
      </c>
      <c r="B268" s="60" t="str">
        <f t="shared" si="20"/>
        <v>Fri</v>
      </c>
      <c r="C268" s="60" t="s">
        <v>308</v>
      </c>
      <c r="D268" s="60" t="s">
        <v>334</v>
      </c>
      <c r="E268" s="60" t="s">
        <v>17</v>
      </c>
      <c r="F268" s="60" t="s">
        <v>340</v>
      </c>
      <c r="G268" s="60"/>
      <c r="H268" s="60"/>
      <c r="I268" s="117">
        <v>1402</v>
      </c>
      <c r="J268" s="62"/>
      <c r="K268" s="62"/>
      <c r="L268" s="58">
        <f t="shared" si="21"/>
        <v>1</v>
      </c>
      <c r="M268" s="58">
        <f t="shared" si="22"/>
        <v>0</v>
      </c>
      <c r="N268" s="58">
        <f t="shared" si="23"/>
        <v>0</v>
      </c>
      <c r="O268" s="58">
        <f t="shared" si="24"/>
        <v>1</v>
      </c>
      <c r="P268" s="5" t="s">
        <v>17</v>
      </c>
    </row>
    <row r="269" spans="1:18">
      <c r="A269" s="59">
        <v>41874</v>
      </c>
      <c r="B269" s="60" t="str">
        <f t="shared" si="20"/>
        <v>Sat</v>
      </c>
      <c r="C269" s="60" t="s">
        <v>308</v>
      </c>
      <c r="D269" s="60" t="s">
        <v>334</v>
      </c>
      <c r="E269" s="60" t="s">
        <v>17</v>
      </c>
      <c r="F269" s="60" t="s">
        <v>341</v>
      </c>
      <c r="G269" s="60"/>
      <c r="H269" s="60"/>
      <c r="I269" s="117">
        <v>1031</v>
      </c>
      <c r="J269" s="62"/>
      <c r="K269" s="62"/>
      <c r="L269" s="58">
        <f t="shared" si="21"/>
        <v>1</v>
      </c>
      <c r="M269" s="58">
        <f t="shared" si="22"/>
        <v>0</v>
      </c>
      <c r="N269" s="58">
        <f t="shared" si="23"/>
        <v>0</v>
      </c>
      <c r="O269" s="58">
        <f t="shared" si="24"/>
        <v>1</v>
      </c>
      <c r="P269" s="5" t="s">
        <v>17</v>
      </c>
    </row>
    <row r="270" spans="1:18">
      <c r="A270" s="59">
        <v>41875</v>
      </c>
      <c r="B270" s="60" t="str">
        <f t="shared" si="20"/>
        <v>Sun</v>
      </c>
      <c r="C270" s="60" t="s">
        <v>308</v>
      </c>
      <c r="D270" s="60" t="s">
        <v>342</v>
      </c>
      <c r="E270" s="60" t="s">
        <v>303</v>
      </c>
      <c r="F270" s="60" t="s">
        <v>343</v>
      </c>
      <c r="G270" s="60" t="s">
        <v>344</v>
      </c>
      <c r="H270" s="60"/>
      <c r="I270" s="117">
        <v>919</v>
      </c>
      <c r="J270" s="62"/>
      <c r="K270" s="62"/>
      <c r="L270" s="58">
        <f t="shared" si="21"/>
        <v>1</v>
      </c>
      <c r="M270" s="58">
        <f t="shared" si="22"/>
        <v>1</v>
      </c>
      <c r="N270" s="58">
        <f t="shared" si="23"/>
        <v>0</v>
      </c>
      <c r="O270" s="58">
        <f t="shared" si="24"/>
        <v>2</v>
      </c>
      <c r="P270" s="5" t="s">
        <v>868</v>
      </c>
      <c r="Q270" s="5" t="s">
        <v>881</v>
      </c>
    </row>
    <row r="271" spans="1:18">
      <c r="A271" s="59">
        <v>41876</v>
      </c>
      <c r="B271" s="60" t="str">
        <f t="shared" si="20"/>
        <v>Mon</v>
      </c>
      <c r="C271" s="60" t="s">
        <v>308</v>
      </c>
      <c r="D271" s="60" t="s">
        <v>342</v>
      </c>
      <c r="E271" s="60" t="s">
        <v>303</v>
      </c>
      <c r="F271" s="60" t="s">
        <v>345</v>
      </c>
      <c r="G271" s="60"/>
      <c r="H271" s="60"/>
      <c r="I271" s="117">
        <v>1494</v>
      </c>
      <c r="J271" s="62"/>
      <c r="K271" s="62"/>
      <c r="L271" s="58">
        <f t="shared" si="21"/>
        <v>1</v>
      </c>
      <c r="M271" s="58">
        <f t="shared" si="22"/>
        <v>0</v>
      </c>
      <c r="N271" s="58">
        <f t="shared" si="23"/>
        <v>0</v>
      </c>
      <c r="O271" s="58">
        <f t="shared" si="24"/>
        <v>1</v>
      </c>
      <c r="P271" s="5" t="s">
        <v>868</v>
      </c>
      <c r="Q271" s="5" t="s">
        <v>881</v>
      </c>
    </row>
    <row r="272" spans="1:18">
      <c r="A272" s="59">
        <v>41877</v>
      </c>
      <c r="B272" s="60" t="str">
        <f t="shared" si="20"/>
        <v>Tue</v>
      </c>
      <c r="C272" s="60" t="s">
        <v>308</v>
      </c>
      <c r="D272" s="60" t="s">
        <v>342</v>
      </c>
      <c r="E272" s="60" t="s">
        <v>212</v>
      </c>
      <c r="F272" s="60" t="s">
        <v>346</v>
      </c>
      <c r="G272" s="60"/>
      <c r="H272" s="60"/>
      <c r="I272" s="117">
        <v>1395</v>
      </c>
      <c r="J272" s="62"/>
      <c r="K272" s="62"/>
      <c r="L272" s="58">
        <f t="shared" si="21"/>
        <v>1</v>
      </c>
      <c r="M272" s="58">
        <f t="shared" si="22"/>
        <v>0</v>
      </c>
      <c r="N272" s="58">
        <f t="shared" si="23"/>
        <v>0</v>
      </c>
      <c r="O272" s="58">
        <f t="shared" si="24"/>
        <v>1</v>
      </c>
      <c r="P272" s="5" t="s">
        <v>876</v>
      </c>
      <c r="Q272" s="5" t="s">
        <v>281</v>
      </c>
    </row>
    <row r="273" spans="1:17">
      <c r="A273" s="59">
        <v>41878</v>
      </c>
      <c r="B273" s="60" t="str">
        <f t="shared" si="20"/>
        <v>Wed</v>
      </c>
      <c r="C273" s="60" t="s">
        <v>308</v>
      </c>
      <c r="D273" s="60" t="s">
        <v>342</v>
      </c>
      <c r="E273" s="60" t="s">
        <v>212</v>
      </c>
      <c r="F273" s="60" t="s">
        <v>347</v>
      </c>
      <c r="G273" s="60"/>
      <c r="H273" s="60"/>
      <c r="I273" s="117">
        <v>1251</v>
      </c>
      <c r="J273" s="62"/>
      <c r="K273" s="62"/>
      <c r="L273" s="58">
        <f t="shared" si="21"/>
        <v>1</v>
      </c>
      <c r="M273" s="58">
        <f t="shared" si="22"/>
        <v>0</v>
      </c>
      <c r="N273" s="58">
        <f t="shared" si="23"/>
        <v>0</v>
      </c>
      <c r="O273" s="58">
        <f t="shared" si="24"/>
        <v>1</v>
      </c>
      <c r="P273" s="5" t="s">
        <v>876</v>
      </c>
      <c r="Q273" s="5" t="s">
        <v>281</v>
      </c>
    </row>
    <row r="274" spans="1:17">
      <c r="A274" s="59">
        <v>41879</v>
      </c>
      <c r="B274" s="60" t="str">
        <f t="shared" si="20"/>
        <v>Thu</v>
      </c>
      <c r="C274" s="60" t="s">
        <v>308</v>
      </c>
      <c r="D274" s="60" t="s">
        <v>342</v>
      </c>
      <c r="E274" s="60" t="s">
        <v>348</v>
      </c>
      <c r="F274" s="60" t="s">
        <v>349</v>
      </c>
      <c r="G274" s="60"/>
      <c r="H274" s="60"/>
      <c r="I274" s="117">
        <v>1335</v>
      </c>
      <c r="J274" s="62"/>
      <c r="K274" s="62"/>
      <c r="L274" s="58">
        <f t="shared" si="21"/>
        <v>1</v>
      </c>
      <c r="M274" s="58">
        <f t="shared" si="22"/>
        <v>0</v>
      </c>
      <c r="N274" s="58">
        <f t="shared" si="23"/>
        <v>0</v>
      </c>
      <c r="O274" s="58">
        <f t="shared" si="24"/>
        <v>1</v>
      </c>
      <c r="P274" s="5" t="s">
        <v>851</v>
      </c>
      <c r="Q274" s="5" t="s">
        <v>281</v>
      </c>
    </row>
    <row r="275" spans="1:17">
      <c r="A275" s="59">
        <v>41880</v>
      </c>
      <c r="B275" s="60" t="str">
        <f t="shared" si="20"/>
        <v>Fri</v>
      </c>
      <c r="C275" s="60" t="s">
        <v>308</v>
      </c>
      <c r="D275" s="60" t="s">
        <v>342</v>
      </c>
      <c r="E275" s="60" t="s">
        <v>348</v>
      </c>
      <c r="F275" s="60" t="s">
        <v>350</v>
      </c>
      <c r="G275" s="60"/>
      <c r="H275" s="60"/>
      <c r="I275" s="117">
        <v>1204</v>
      </c>
      <c r="J275" s="62"/>
      <c r="K275" s="62"/>
      <c r="L275" s="58">
        <f t="shared" si="21"/>
        <v>1</v>
      </c>
      <c r="M275" s="58">
        <f t="shared" si="22"/>
        <v>0</v>
      </c>
      <c r="N275" s="58">
        <f t="shared" si="23"/>
        <v>0</v>
      </c>
      <c r="O275" s="58">
        <f t="shared" si="24"/>
        <v>1</v>
      </c>
      <c r="P275" s="5" t="s">
        <v>851</v>
      </c>
      <c r="Q275" s="5" t="s">
        <v>281</v>
      </c>
    </row>
    <row r="276" spans="1:17">
      <c r="A276" s="59">
        <v>41881</v>
      </c>
      <c r="B276" s="60" t="str">
        <f t="shared" si="20"/>
        <v>Sat</v>
      </c>
      <c r="C276" s="60" t="s">
        <v>308</v>
      </c>
      <c r="D276" s="60" t="s">
        <v>342</v>
      </c>
      <c r="E276" s="60" t="s">
        <v>10</v>
      </c>
      <c r="F276" s="60" t="s">
        <v>10</v>
      </c>
      <c r="G276" s="60"/>
      <c r="H276" s="60"/>
      <c r="I276" s="117">
        <v>769</v>
      </c>
      <c r="J276" s="62"/>
      <c r="K276" s="62"/>
      <c r="L276" s="58">
        <f t="shared" si="21"/>
        <v>0</v>
      </c>
      <c r="M276" s="58">
        <f t="shared" si="22"/>
        <v>0</v>
      </c>
      <c r="N276" s="58">
        <f t="shared" si="23"/>
        <v>0</v>
      </c>
      <c r="O276" s="58">
        <f t="shared" si="24"/>
        <v>0</v>
      </c>
      <c r="P276" s="5" t="s">
        <v>10</v>
      </c>
    </row>
    <row r="277" spans="1:17">
      <c r="A277" s="59">
        <v>41882</v>
      </c>
      <c r="B277" s="60" t="str">
        <f t="shared" si="20"/>
        <v>Sun</v>
      </c>
      <c r="C277" s="60" t="s">
        <v>351</v>
      </c>
      <c r="D277" s="60" t="s">
        <v>352</v>
      </c>
      <c r="E277" s="60" t="s">
        <v>348</v>
      </c>
      <c r="F277" s="60" t="s">
        <v>353</v>
      </c>
      <c r="G277" s="60"/>
      <c r="H277" s="60"/>
      <c r="I277" s="117">
        <v>694</v>
      </c>
      <c r="J277" s="62"/>
      <c r="K277" s="62"/>
      <c r="L277" s="58">
        <f t="shared" si="21"/>
        <v>1</v>
      </c>
      <c r="M277" s="58">
        <f t="shared" si="22"/>
        <v>0</v>
      </c>
      <c r="N277" s="58">
        <f t="shared" si="23"/>
        <v>0</v>
      </c>
      <c r="O277" s="58">
        <f t="shared" si="24"/>
        <v>1</v>
      </c>
      <c r="P277" s="5" t="s">
        <v>851</v>
      </c>
      <c r="Q277" s="5" t="s">
        <v>281</v>
      </c>
    </row>
    <row r="278" spans="1:17">
      <c r="A278" s="59">
        <v>41883</v>
      </c>
      <c r="B278" s="60" t="str">
        <f t="shared" si="20"/>
        <v>Mon</v>
      </c>
      <c r="C278" s="60" t="s">
        <v>351</v>
      </c>
      <c r="D278" s="60" t="s">
        <v>352</v>
      </c>
      <c r="E278" s="59" t="s">
        <v>48</v>
      </c>
      <c r="F278" s="60" t="s">
        <v>354</v>
      </c>
      <c r="G278" s="60" t="s">
        <v>355</v>
      </c>
      <c r="H278" s="60"/>
      <c r="I278" s="117">
        <v>1034</v>
      </c>
      <c r="J278" s="62"/>
      <c r="K278" s="62"/>
      <c r="L278" s="58">
        <f t="shared" si="21"/>
        <v>1</v>
      </c>
      <c r="M278" s="58">
        <f t="shared" si="22"/>
        <v>1</v>
      </c>
      <c r="N278" s="58">
        <f t="shared" si="23"/>
        <v>0</v>
      </c>
      <c r="O278" s="58">
        <f t="shared" si="24"/>
        <v>2</v>
      </c>
      <c r="P278" s="5" t="s">
        <v>837</v>
      </c>
      <c r="Q278" s="5" t="s">
        <v>281</v>
      </c>
    </row>
    <row r="279" spans="1:17">
      <c r="A279" s="59">
        <v>41884</v>
      </c>
      <c r="B279" s="60" t="str">
        <f t="shared" si="20"/>
        <v>Tue</v>
      </c>
      <c r="C279" s="60" t="s">
        <v>351</v>
      </c>
      <c r="D279" s="60" t="s">
        <v>352</v>
      </c>
      <c r="E279" s="59" t="s">
        <v>48</v>
      </c>
      <c r="F279" s="60" t="s">
        <v>356</v>
      </c>
      <c r="G279" s="60"/>
      <c r="H279" s="60"/>
      <c r="I279" s="117">
        <v>1309</v>
      </c>
      <c r="J279" s="62"/>
      <c r="K279" s="62"/>
      <c r="L279" s="58">
        <f t="shared" si="21"/>
        <v>1</v>
      </c>
      <c r="M279" s="58">
        <f t="shared" si="22"/>
        <v>0</v>
      </c>
      <c r="N279" s="58">
        <f t="shared" si="23"/>
        <v>0</v>
      </c>
      <c r="O279" s="58">
        <f t="shared" si="24"/>
        <v>1</v>
      </c>
      <c r="P279" s="5" t="s">
        <v>837</v>
      </c>
      <c r="Q279" s="5" t="s">
        <v>281</v>
      </c>
    </row>
    <row r="280" spans="1:17">
      <c r="A280" s="59">
        <v>41885</v>
      </c>
      <c r="B280" s="60" t="str">
        <f t="shared" si="20"/>
        <v>Wed</v>
      </c>
      <c r="C280" s="60" t="s">
        <v>351</v>
      </c>
      <c r="D280" s="60" t="s">
        <v>352</v>
      </c>
      <c r="E280" s="60" t="s">
        <v>252</v>
      </c>
      <c r="F280" s="60" t="s">
        <v>357</v>
      </c>
      <c r="G280" s="60"/>
      <c r="H280" s="60"/>
      <c r="I280" s="117">
        <v>1207</v>
      </c>
      <c r="J280" s="62"/>
      <c r="K280" s="62"/>
      <c r="L280" s="58">
        <f t="shared" si="21"/>
        <v>1</v>
      </c>
      <c r="M280" s="58">
        <f t="shared" si="22"/>
        <v>0</v>
      </c>
      <c r="N280" s="58">
        <f t="shared" si="23"/>
        <v>0</v>
      </c>
      <c r="O280" s="58">
        <f t="shared" si="24"/>
        <v>1</v>
      </c>
      <c r="P280" s="5" t="s">
        <v>252</v>
      </c>
    </row>
    <row r="281" spans="1:17">
      <c r="A281" s="59">
        <v>41886</v>
      </c>
      <c r="B281" s="60" t="str">
        <f t="shared" si="20"/>
        <v>Thu</v>
      </c>
      <c r="C281" s="60" t="s">
        <v>351</v>
      </c>
      <c r="D281" s="60" t="s">
        <v>352</v>
      </c>
      <c r="E281" s="60" t="s">
        <v>165</v>
      </c>
      <c r="F281" s="60" t="s">
        <v>358</v>
      </c>
      <c r="G281" s="60"/>
      <c r="H281" s="60"/>
      <c r="I281" s="117">
        <v>1239</v>
      </c>
      <c r="J281" s="62"/>
      <c r="K281" s="62"/>
      <c r="L281" s="58">
        <f t="shared" si="21"/>
        <v>1</v>
      </c>
      <c r="M281" s="58">
        <f t="shared" si="22"/>
        <v>0</v>
      </c>
      <c r="N281" s="58">
        <f t="shared" si="23"/>
        <v>0</v>
      </c>
      <c r="O281" s="58">
        <f t="shared" si="24"/>
        <v>1</v>
      </c>
      <c r="P281" s="5" t="s">
        <v>867</v>
      </c>
      <c r="Q281" s="5" t="s">
        <v>281</v>
      </c>
    </row>
    <row r="282" spans="1:17">
      <c r="A282" s="59">
        <v>41887</v>
      </c>
      <c r="B282" s="60" t="str">
        <f t="shared" si="20"/>
        <v>Fri</v>
      </c>
      <c r="C282" s="60" t="s">
        <v>351</v>
      </c>
      <c r="D282" s="60" t="s">
        <v>352</v>
      </c>
      <c r="E282" s="59" t="s">
        <v>359</v>
      </c>
      <c r="F282" s="60" t="s">
        <v>360</v>
      </c>
      <c r="G282" s="60" t="s">
        <v>361</v>
      </c>
      <c r="H282" s="60"/>
      <c r="I282" s="117">
        <v>1297</v>
      </c>
      <c r="J282" s="62"/>
      <c r="K282" s="62"/>
      <c r="L282" s="58">
        <f t="shared" si="21"/>
        <v>1</v>
      </c>
      <c r="M282" s="58">
        <f t="shared" si="22"/>
        <v>1</v>
      </c>
      <c r="N282" s="58">
        <f t="shared" si="23"/>
        <v>0</v>
      </c>
      <c r="O282" s="58">
        <f t="shared" si="24"/>
        <v>2</v>
      </c>
      <c r="P282" s="5" t="s">
        <v>861</v>
      </c>
      <c r="Q282" s="5" t="s">
        <v>872</v>
      </c>
    </row>
    <row r="283" spans="1:17">
      <c r="A283" s="59">
        <v>41888</v>
      </c>
      <c r="B283" s="60" t="str">
        <f t="shared" si="20"/>
        <v>Sat</v>
      </c>
      <c r="C283" s="60" t="s">
        <v>351</v>
      </c>
      <c r="D283" s="60" t="s">
        <v>352</v>
      </c>
      <c r="E283" s="60" t="s">
        <v>10</v>
      </c>
      <c r="F283" s="60" t="s">
        <v>10</v>
      </c>
      <c r="G283" s="60"/>
      <c r="H283" s="60"/>
      <c r="I283" s="117">
        <v>812</v>
      </c>
      <c r="J283" s="62"/>
      <c r="K283" s="62"/>
      <c r="L283" s="58">
        <f t="shared" si="21"/>
        <v>0</v>
      </c>
      <c r="M283" s="58">
        <f t="shared" si="22"/>
        <v>0</v>
      </c>
      <c r="N283" s="58">
        <f t="shared" si="23"/>
        <v>0</v>
      </c>
      <c r="O283" s="58">
        <f t="shared" si="24"/>
        <v>0</v>
      </c>
      <c r="P283" s="5" t="s">
        <v>10</v>
      </c>
    </row>
    <row r="284" spans="1:17">
      <c r="A284" s="59">
        <v>41889</v>
      </c>
      <c r="B284" s="60" t="str">
        <f t="shared" si="20"/>
        <v>Sun</v>
      </c>
      <c r="C284" s="60" t="s">
        <v>351</v>
      </c>
      <c r="D284" s="60" t="s">
        <v>362</v>
      </c>
      <c r="E284" s="60" t="s">
        <v>165</v>
      </c>
      <c r="F284" s="60" t="s">
        <v>363</v>
      </c>
      <c r="G284" s="60"/>
      <c r="H284" s="60"/>
      <c r="I284" s="117">
        <v>727</v>
      </c>
      <c r="J284" s="62"/>
      <c r="K284" s="62"/>
      <c r="L284" s="58">
        <f t="shared" si="21"/>
        <v>1</v>
      </c>
      <c r="M284" s="58">
        <f t="shared" si="22"/>
        <v>0</v>
      </c>
      <c r="N284" s="58">
        <f t="shared" si="23"/>
        <v>0</v>
      </c>
      <c r="O284" s="58">
        <f t="shared" si="24"/>
        <v>1</v>
      </c>
      <c r="P284" s="5" t="s">
        <v>867</v>
      </c>
      <c r="Q284" s="5" t="s">
        <v>281</v>
      </c>
    </row>
    <row r="285" spans="1:17">
      <c r="A285" s="59">
        <v>41890</v>
      </c>
      <c r="B285" s="60" t="str">
        <f t="shared" si="20"/>
        <v>Mon</v>
      </c>
      <c r="C285" s="60" t="s">
        <v>351</v>
      </c>
      <c r="D285" s="60" t="s">
        <v>362</v>
      </c>
      <c r="E285" s="60" t="s">
        <v>364</v>
      </c>
      <c r="F285" s="60" t="s">
        <v>365</v>
      </c>
      <c r="G285" s="60"/>
      <c r="H285" s="60"/>
      <c r="I285" s="117">
        <v>1607</v>
      </c>
      <c r="J285" s="62"/>
      <c r="K285" s="62"/>
      <c r="L285" s="58">
        <f t="shared" si="21"/>
        <v>1</v>
      </c>
      <c r="M285" s="58">
        <f t="shared" si="22"/>
        <v>0</v>
      </c>
      <c r="N285" s="58">
        <f t="shared" si="23"/>
        <v>0</v>
      </c>
      <c r="O285" s="58">
        <f t="shared" si="24"/>
        <v>1</v>
      </c>
      <c r="P285" s="5" t="s">
        <v>840</v>
      </c>
      <c r="Q285" s="5" t="s">
        <v>892</v>
      </c>
    </row>
    <row r="286" spans="1:17">
      <c r="A286" s="59">
        <v>41891</v>
      </c>
      <c r="B286" s="60" t="str">
        <f t="shared" si="20"/>
        <v>Tue</v>
      </c>
      <c r="C286" s="60" t="s">
        <v>351</v>
      </c>
      <c r="D286" s="60" t="s">
        <v>362</v>
      </c>
      <c r="E286" s="59" t="s">
        <v>252</v>
      </c>
      <c r="F286" s="60" t="s">
        <v>366</v>
      </c>
      <c r="G286" s="60"/>
      <c r="H286" s="60"/>
      <c r="I286" s="117">
        <v>1281</v>
      </c>
      <c r="J286" s="62"/>
      <c r="K286" s="62"/>
      <c r="L286" s="58">
        <f t="shared" si="21"/>
        <v>1</v>
      </c>
      <c r="M286" s="58">
        <f t="shared" si="22"/>
        <v>0</v>
      </c>
      <c r="N286" s="58">
        <f t="shared" si="23"/>
        <v>0</v>
      </c>
      <c r="O286" s="58">
        <f t="shared" si="24"/>
        <v>1</v>
      </c>
      <c r="P286" s="5" t="s">
        <v>252</v>
      </c>
    </row>
    <row r="287" spans="1:17">
      <c r="A287" s="59">
        <v>41892</v>
      </c>
      <c r="B287" s="60" t="str">
        <f t="shared" si="20"/>
        <v>Wed</v>
      </c>
      <c r="C287" s="60" t="s">
        <v>351</v>
      </c>
      <c r="D287" s="60" t="s">
        <v>362</v>
      </c>
      <c r="E287" s="60" t="s">
        <v>367</v>
      </c>
      <c r="F287" s="60" t="s">
        <v>368</v>
      </c>
      <c r="G287" s="60"/>
      <c r="H287" s="60"/>
      <c r="I287" s="117">
        <v>1292</v>
      </c>
      <c r="J287" s="62"/>
      <c r="K287" s="62"/>
      <c r="L287" s="58">
        <f t="shared" si="21"/>
        <v>1</v>
      </c>
      <c r="M287" s="58">
        <f t="shared" si="22"/>
        <v>0</v>
      </c>
      <c r="N287" s="58">
        <f t="shared" si="23"/>
        <v>0</v>
      </c>
      <c r="O287" s="58">
        <f t="shared" si="24"/>
        <v>1</v>
      </c>
      <c r="P287" s="5" t="s">
        <v>893</v>
      </c>
      <c r="Q287" s="5" t="s">
        <v>281</v>
      </c>
    </row>
    <row r="288" spans="1:17">
      <c r="A288" s="59">
        <v>41893</v>
      </c>
      <c r="B288" s="60" t="str">
        <f t="shared" si="20"/>
        <v>Thu</v>
      </c>
      <c r="C288" s="60" t="s">
        <v>351</v>
      </c>
      <c r="D288" s="60" t="s">
        <v>362</v>
      </c>
      <c r="E288" s="60" t="s">
        <v>10</v>
      </c>
      <c r="F288" s="60" t="s">
        <v>10</v>
      </c>
      <c r="G288" s="60"/>
      <c r="H288" s="60"/>
      <c r="I288" s="117">
        <v>1093</v>
      </c>
      <c r="J288" s="62"/>
      <c r="K288" s="62"/>
      <c r="L288" s="58">
        <f t="shared" si="21"/>
        <v>0</v>
      </c>
      <c r="M288" s="58">
        <f t="shared" si="22"/>
        <v>0</v>
      </c>
      <c r="N288" s="58">
        <f t="shared" si="23"/>
        <v>0</v>
      </c>
      <c r="O288" s="58">
        <f t="shared" si="24"/>
        <v>0</v>
      </c>
      <c r="P288" s="5" t="s">
        <v>10</v>
      </c>
    </row>
    <row r="289" spans="1:17">
      <c r="A289" s="59">
        <v>41894</v>
      </c>
      <c r="B289" s="60" t="str">
        <f t="shared" si="20"/>
        <v>Fri</v>
      </c>
      <c r="C289" s="60" t="s">
        <v>351</v>
      </c>
      <c r="D289" s="60" t="s">
        <v>362</v>
      </c>
      <c r="E289" s="60" t="s">
        <v>369</v>
      </c>
      <c r="F289" s="60" t="s">
        <v>370</v>
      </c>
      <c r="G289" s="60"/>
      <c r="H289" s="60"/>
      <c r="I289" s="117">
        <v>1229</v>
      </c>
      <c r="J289" s="62"/>
      <c r="K289" s="62"/>
      <c r="L289" s="58">
        <f t="shared" si="21"/>
        <v>1</v>
      </c>
      <c r="M289" s="58">
        <f t="shared" si="22"/>
        <v>0</v>
      </c>
      <c r="N289" s="58">
        <f t="shared" si="23"/>
        <v>0</v>
      </c>
      <c r="O289" s="58">
        <f t="shared" si="24"/>
        <v>1</v>
      </c>
      <c r="P289" s="5" t="s">
        <v>894</v>
      </c>
      <c r="Q289" s="5" t="s">
        <v>895</v>
      </c>
    </row>
    <row r="290" spans="1:17">
      <c r="A290" s="59">
        <v>41895</v>
      </c>
      <c r="B290" s="60" t="str">
        <f t="shared" si="20"/>
        <v>Sat</v>
      </c>
      <c r="C290" s="60" t="s">
        <v>351</v>
      </c>
      <c r="D290" s="60" t="s">
        <v>362</v>
      </c>
      <c r="E290" s="60" t="s">
        <v>165</v>
      </c>
      <c r="F290" s="60" t="s">
        <v>371</v>
      </c>
      <c r="G290" s="60"/>
      <c r="H290" s="60"/>
      <c r="I290" s="117">
        <v>980</v>
      </c>
      <c r="J290" s="62"/>
      <c r="K290" s="62"/>
      <c r="L290" s="58">
        <f t="shared" si="21"/>
        <v>1</v>
      </c>
      <c r="M290" s="58">
        <f t="shared" si="22"/>
        <v>0</v>
      </c>
      <c r="N290" s="58">
        <f t="shared" si="23"/>
        <v>0</v>
      </c>
      <c r="O290" s="58">
        <f t="shared" si="24"/>
        <v>1</v>
      </c>
      <c r="P290" s="5" t="s">
        <v>867</v>
      </c>
      <c r="Q290" s="5" t="s">
        <v>281</v>
      </c>
    </row>
    <row r="291" spans="1:17">
      <c r="A291" s="59">
        <v>41896</v>
      </c>
      <c r="B291" s="60" t="str">
        <f t="shared" si="20"/>
        <v>Sun</v>
      </c>
      <c r="C291" s="60" t="s">
        <v>351</v>
      </c>
      <c r="D291" s="60" t="s">
        <v>372</v>
      </c>
      <c r="E291" s="60" t="s">
        <v>19</v>
      </c>
      <c r="F291" s="60" t="s">
        <v>373</v>
      </c>
      <c r="G291" s="60"/>
      <c r="H291" s="60"/>
      <c r="I291" s="117">
        <v>726</v>
      </c>
      <c r="J291" s="62"/>
      <c r="K291" s="62"/>
      <c r="L291" s="58">
        <f t="shared" si="21"/>
        <v>1</v>
      </c>
      <c r="M291" s="58">
        <f t="shared" si="22"/>
        <v>0</v>
      </c>
      <c r="N291" s="58">
        <f t="shared" si="23"/>
        <v>0</v>
      </c>
      <c r="O291" s="58">
        <f t="shared" si="24"/>
        <v>1</v>
      </c>
      <c r="P291" s="5" t="s">
        <v>19</v>
      </c>
    </row>
    <row r="292" spans="1:17">
      <c r="A292" s="59">
        <v>41897</v>
      </c>
      <c r="B292" s="60" t="str">
        <f t="shared" si="20"/>
        <v>Mon</v>
      </c>
      <c r="C292" s="60" t="s">
        <v>351</v>
      </c>
      <c r="D292" s="60" t="s">
        <v>372</v>
      </c>
      <c r="E292" s="60" t="s">
        <v>374</v>
      </c>
      <c r="F292" s="60" t="s">
        <v>375</v>
      </c>
      <c r="G292" s="60"/>
      <c r="H292" s="60"/>
      <c r="I292" s="117">
        <v>1330</v>
      </c>
      <c r="J292" s="62"/>
      <c r="K292" s="62"/>
      <c r="L292" s="58">
        <f t="shared" si="21"/>
        <v>1</v>
      </c>
      <c r="M292" s="58">
        <f t="shared" si="22"/>
        <v>0</v>
      </c>
      <c r="N292" s="58">
        <f t="shared" si="23"/>
        <v>0</v>
      </c>
      <c r="O292" s="58">
        <f t="shared" si="24"/>
        <v>1</v>
      </c>
      <c r="P292" s="5" t="s">
        <v>374</v>
      </c>
    </row>
    <row r="293" spans="1:17">
      <c r="A293" s="59">
        <v>41898</v>
      </c>
      <c r="B293" s="60" t="str">
        <f t="shared" si="20"/>
        <v>Tue</v>
      </c>
      <c r="C293" s="60" t="s">
        <v>351</v>
      </c>
      <c r="D293" s="60" t="s">
        <v>372</v>
      </c>
      <c r="E293" s="60" t="s">
        <v>19</v>
      </c>
      <c r="F293" s="60" t="s">
        <v>376</v>
      </c>
      <c r="G293" s="60"/>
      <c r="H293" s="60"/>
      <c r="I293" s="117">
        <v>1240</v>
      </c>
      <c r="J293" s="62"/>
      <c r="K293" s="62"/>
      <c r="L293" s="58">
        <f t="shared" si="21"/>
        <v>1</v>
      </c>
      <c r="M293" s="58">
        <f t="shared" si="22"/>
        <v>0</v>
      </c>
      <c r="N293" s="58">
        <f t="shared" si="23"/>
        <v>0</v>
      </c>
      <c r="O293" s="58">
        <f t="shared" si="24"/>
        <v>1</v>
      </c>
      <c r="P293" s="5" t="s">
        <v>19</v>
      </c>
    </row>
    <row r="294" spans="1:17">
      <c r="A294" s="59">
        <v>41899</v>
      </c>
      <c r="B294" s="60" t="str">
        <f t="shared" si="20"/>
        <v>Wed</v>
      </c>
      <c r="C294" s="60" t="s">
        <v>351</v>
      </c>
      <c r="D294" s="60" t="s">
        <v>372</v>
      </c>
      <c r="E294" s="60" t="s">
        <v>19</v>
      </c>
      <c r="F294" s="60" t="s">
        <v>377</v>
      </c>
      <c r="G294" s="60"/>
      <c r="H294" s="60"/>
      <c r="I294" s="117">
        <v>1238</v>
      </c>
      <c r="J294" s="62"/>
      <c r="K294" s="62"/>
      <c r="L294" s="58">
        <f t="shared" si="21"/>
        <v>1</v>
      </c>
      <c r="M294" s="58">
        <f t="shared" si="22"/>
        <v>0</v>
      </c>
      <c r="N294" s="58">
        <f t="shared" si="23"/>
        <v>0</v>
      </c>
      <c r="O294" s="58">
        <f t="shared" si="24"/>
        <v>1</v>
      </c>
      <c r="P294" s="5" t="s">
        <v>19</v>
      </c>
    </row>
    <row r="295" spans="1:17">
      <c r="A295" s="59">
        <v>41900</v>
      </c>
      <c r="B295" s="60" t="str">
        <f t="shared" si="20"/>
        <v>Thu</v>
      </c>
      <c r="C295" s="60" t="s">
        <v>351</v>
      </c>
      <c r="D295" s="60" t="s">
        <v>372</v>
      </c>
      <c r="E295" s="60" t="s">
        <v>378</v>
      </c>
      <c r="F295" s="60" t="s">
        <v>379</v>
      </c>
      <c r="G295" s="60"/>
      <c r="H295" s="60"/>
      <c r="I295" s="117">
        <v>1356</v>
      </c>
      <c r="J295" s="62"/>
      <c r="K295" s="62"/>
      <c r="L295" s="58">
        <f t="shared" si="21"/>
        <v>1</v>
      </c>
      <c r="M295" s="58">
        <f t="shared" si="22"/>
        <v>0</v>
      </c>
      <c r="N295" s="58">
        <f t="shared" si="23"/>
        <v>0</v>
      </c>
      <c r="O295" s="58">
        <f t="shared" si="24"/>
        <v>1</v>
      </c>
      <c r="P295" s="5" t="s">
        <v>896</v>
      </c>
      <c r="Q295" s="5" t="s">
        <v>895</v>
      </c>
    </row>
    <row r="296" spans="1:17">
      <c r="A296" s="59">
        <v>41901</v>
      </c>
      <c r="B296" s="60" t="str">
        <f t="shared" ref="B296:B359" si="25">TEXT(A296,"DDD")</f>
        <v>Fri</v>
      </c>
      <c r="C296" s="60" t="s">
        <v>351</v>
      </c>
      <c r="D296" s="60" t="s">
        <v>372</v>
      </c>
      <c r="E296" s="60" t="s">
        <v>19</v>
      </c>
      <c r="F296" s="60" t="s">
        <v>380</v>
      </c>
      <c r="G296" s="60"/>
      <c r="H296" s="60"/>
      <c r="I296" s="117">
        <v>1282</v>
      </c>
      <c r="J296" s="62"/>
      <c r="K296" s="62"/>
      <c r="L296" s="58">
        <f t="shared" ref="L296:L359" si="26">IF(E296=$L$1,0,1)</f>
        <v>1</v>
      </c>
      <c r="M296" s="58">
        <f t="shared" ref="M296:M359" si="27">IF(ISBLANK(G296),0,1)</f>
        <v>0</v>
      </c>
      <c r="N296" s="58">
        <f t="shared" ref="N296:N359" si="28">IF(ISBLANK(H296),0,1)</f>
        <v>0</v>
      </c>
      <c r="O296" s="58">
        <f t="shared" ref="O296:O359" si="29">SUM(L296:N296)</f>
        <v>1</v>
      </c>
      <c r="P296" s="5" t="s">
        <v>19</v>
      </c>
    </row>
    <row r="297" spans="1:17">
      <c r="A297" s="59">
        <v>41902</v>
      </c>
      <c r="B297" s="60" t="str">
        <f t="shared" si="25"/>
        <v>Sat</v>
      </c>
      <c r="C297" s="60" t="s">
        <v>351</v>
      </c>
      <c r="D297" s="60" t="s">
        <v>372</v>
      </c>
      <c r="E297" s="60" t="s">
        <v>381</v>
      </c>
      <c r="F297" s="60" t="s">
        <v>382</v>
      </c>
      <c r="G297" s="60" t="s">
        <v>383</v>
      </c>
      <c r="H297" s="60"/>
      <c r="I297" s="117">
        <v>1056</v>
      </c>
      <c r="J297" s="62"/>
      <c r="K297" s="62"/>
      <c r="L297" s="58">
        <f t="shared" si="26"/>
        <v>1</v>
      </c>
      <c r="M297" s="58">
        <f t="shared" si="27"/>
        <v>1</v>
      </c>
      <c r="N297" s="58">
        <f t="shared" si="28"/>
        <v>0</v>
      </c>
      <c r="O297" s="58">
        <f t="shared" si="29"/>
        <v>2</v>
      </c>
      <c r="P297" s="5" t="s">
        <v>897</v>
      </c>
      <c r="Q297" s="5" t="s">
        <v>895</v>
      </c>
    </row>
    <row r="298" spans="1:17">
      <c r="A298" s="59">
        <v>41903</v>
      </c>
      <c r="B298" s="60" t="str">
        <f t="shared" si="25"/>
        <v>Sun</v>
      </c>
      <c r="C298" s="60" t="s">
        <v>351</v>
      </c>
      <c r="D298" s="60" t="s">
        <v>384</v>
      </c>
      <c r="E298" s="59" t="s">
        <v>175</v>
      </c>
      <c r="F298" s="60" t="s">
        <v>385</v>
      </c>
      <c r="G298" s="60"/>
      <c r="H298" s="60"/>
      <c r="I298" s="117">
        <v>796</v>
      </c>
      <c r="J298" s="62"/>
      <c r="K298" s="62"/>
      <c r="L298" s="58">
        <f t="shared" si="26"/>
        <v>1</v>
      </c>
      <c r="M298" s="58">
        <f t="shared" si="27"/>
        <v>0</v>
      </c>
      <c r="N298" s="58">
        <f t="shared" si="28"/>
        <v>0</v>
      </c>
      <c r="O298" s="58">
        <f t="shared" si="29"/>
        <v>1</v>
      </c>
      <c r="P298" s="5" t="s">
        <v>869</v>
      </c>
      <c r="Q298" s="5" t="s">
        <v>281</v>
      </c>
    </row>
    <row r="299" spans="1:17">
      <c r="A299" s="59">
        <v>41904</v>
      </c>
      <c r="B299" s="60" t="str">
        <f t="shared" si="25"/>
        <v>Mon</v>
      </c>
      <c r="C299" s="60" t="s">
        <v>351</v>
      </c>
      <c r="D299" s="60" t="s">
        <v>384</v>
      </c>
      <c r="E299" s="59" t="s">
        <v>175</v>
      </c>
      <c r="F299" s="60" t="s">
        <v>386</v>
      </c>
      <c r="G299" s="60"/>
      <c r="H299" s="60"/>
      <c r="I299" s="117">
        <v>1356</v>
      </c>
      <c r="J299" s="62"/>
      <c r="K299" s="62"/>
      <c r="L299" s="58">
        <f t="shared" si="26"/>
        <v>1</v>
      </c>
      <c r="M299" s="58">
        <f t="shared" si="27"/>
        <v>0</v>
      </c>
      <c r="N299" s="58">
        <f t="shared" si="28"/>
        <v>0</v>
      </c>
      <c r="O299" s="58">
        <f t="shared" si="29"/>
        <v>1</v>
      </c>
      <c r="P299" s="5" t="s">
        <v>869</v>
      </c>
      <c r="Q299" s="5" t="s">
        <v>281</v>
      </c>
    </row>
    <row r="300" spans="1:17">
      <c r="A300" s="59">
        <v>41905</v>
      </c>
      <c r="B300" s="60" t="str">
        <f t="shared" si="25"/>
        <v>Tue</v>
      </c>
      <c r="C300" s="60" t="s">
        <v>351</v>
      </c>
      <c r="D300" s="60" t="s">
        <v>384</v>
      </c>
      <c r="E300" s="60" t="s">
        <v>17</v>
      </c>
      <c r="F300" s="60" t="s">
        <v>387</v>
      </c>
      <c r="G300" s="60"/>
      <c r="H300" s="60"/>
      <c r="I300" s="117">
        <v>1568</v>
      </c>
      <c r="J300" s="62"/>
      <c r="K300" s="62"/>
      <c r="L300" s="58">
        <f t="shared" si="26"/>
        <v>1</v>
      </c>
      <c r="M300" s="58">
        <f t="shared" si="27"/>
        <v>0</v>
      </c>
      <c r="N300" s="58">
        <f t="shared" si="28"/>
        <v>0</v>
      </c>
      <c r="O300" s="58">
        <f t="shared" si="29"/>
        <v>1</v>
      </c>
      <c r="P300" s="5" t="s">
        <v>17</v>
      </c>
    </row>
    <row r="301" spans="1:17">
      <c r="A301" s="59">
        <v>41906</v>
      </c>
      <c r="B301" s="60" t="str">
        <f t="shared" si="25"/>
        <v>Wed</v>
      </c>
      <c r="C301" s="60" t="s">
        <v>351</v>
      </c>
      <c r="D301" s="60" t="s">
        <v>384</v>
      </c>
      <c r="E301" s="60" t="s">
        <v>10</v>
      </c>
      <c r="F301" s="60" t="s">
        <v>10</v>
      </c>
      <c r="G301" s="60"/>
      <c r="H301" s="60"/>
      <c r="I301" s="117">
        <v>1326</v>
      </c>
      <c r="J301" s="62"/>
      <c r="K301" s="62"/>
      <c r="L301" s="58">
        <f t="shared" si="26"/>
        <v>0</v>
      </c>
      <c r="M301" s="58">
        <f t="shared" si="27"/>
        <v>0</v>
      </c>
      <c r="N301" s="58">
        <f t="shared" si="28"/>
        <v>0</v>
      </c>
      <c r="O301" s="58">
        <f t="shared" si="29"/>
        <v>0</v>
      </c>
      <c r="P301" s="5" t="s">
        <v>10</v>
      </c>
    </row>
    <row r="302" spans="1:17">
      <c r="A302" s="59">
        <v>41907</v>
      </c>
      <c r="B302" s="60" t="str">
        <f t="shared" si="25"/>
        <v>Thu</v>
      </c>
      <c r="C302" s="60" t="s">
        <v>351</v>
      </c>
      <c r="D302" s="60" t="s">
        <v>384</v>
      </c>
      <c r="E302" s="59" t="s">
        <v>175</v>
      </c>
      <c r="F302" s="60" t="s">
        <v>388</v>
      </c>
      <c r="G302" s="60"/>
      <c r="H302" s="60"/>
      <c r="I302" s="117">
        <v>1258</v>
      </c>
      <c r="J302" s="62"/>
      <c r="K302" s="62"/>
      <c r="L302" s="58">
        <f t="shared" si="26"/>
        <v>1</v>
      </c>
      <c r="M302" s="58">
        <f t="shared" si="27"/>
        <v>0</v>
      </c>
      <c r="N302" s="58">
        <f t="shared" si="28"/>
        <v>0</v>
      </c>
      <c r="O302" s="58">
        <f t="shared" si="29"/>
        <v>1</v>
      </c>
      <c r="P302" s="5" t="s">
        <v>869</v>
      </c>
      <c r="Q302" s="5" t="s">
        <v>281</v>
      </c>
    </row>
    <row r="303" spans="1:17">
      <c r="A303" s="59">
        <v>41908</v>
      </c>
      <c r="B303" s="60" t="str">
        <f t="shared" si="25"/>
        <v>Fri</v>
      </c>
      <c r="C303" s="60" t="s">
        <v>351</v>
      </c>
      <c r="D303" s="60" t="s">
        <v>384</v>
      </c>
      <c r="E303" s="59" t="s">
        <v>175</v>
      </c>
      <c r="F303" s="60" t="s">
        <v>386</v>
      </c>
      <c r="G303" s="60"/>
      <c r="H303" s="60"/>
      <c r="I303" s="117">
        <v>1301</v>
      </c>
      <c r="J303" s="62"/>
      <c r="K303" s="62"/>
      <c r="L303" s="58">
        <f t="shared" si="26"/>
        <v>1</v>
      </c>
      <c r="M303" s="58">
        <f t="shared" si="27"/>
        <v>0</v>
      </c>
      <c r="N303" s="58">
        <f t="shared" si="28"/>
        <v>0</v>
      </c>
      <c r="O303" s="58">
        <f t="shared" si="29"/>
        <v>1</v>
      </c>
      <c r="P303" s="5" t="s">
        <v>869</v>
      </c>
      <c r="Q303" s="5" t="s">
        <v>281</v>
      </c>
    </row>
    <row r="304" spans="1:17">
      <c r="A304" s="59">
        <v>41909</v>
      </c>
      <c r="B304" s="60" t="str">
        <f t="shared" si="25"/>
        <v>Sat</v>
      </c>
      <c r="C304" s="60" t="s">
        <v>351</v>
      </c>
      <c r="D304" s="60" t="s">
        <v>384</v>
      </c>
      <c r="E304" s="59" t="s">
        <v>175</v>
      </c>
      <c r="F304" s="60" t="s">
        <v>389</v>
      </c>
      <c r="G304" s="60"/>
      <c r="H304" s="60"/>
      <c r="I304" s="117">
        <v>901</v>
      </c>
      <c r="J304" s="62"/>
      <c r="K304" s="62"/>
      <c r="L304" s="58">
        <f t="shared" si="26"/>
        <v>1</v>
      </c>
      <c r="M304" s="58">
        <f t="shared" si="27"/>
        <v>0</v>
      </c>
      <c r="N304" s="58">
        <f t="shared" si="28"/>
        <v>0</v>
      </c>
      <c r="O304" s="58">
        <f t="shared" si="29"/>
        <v>1</v>
      </c>
      <c r="P304" s="5" t="s">
        <v>869</v>
      </c>
      <c r="Q304" s="5" t="s">
        <v>281</v>
      </c>
    </row>
    <row r="305" spans="1:17">
      <c r="A305" s="59">
        <v>41910</v>
      </c>
      <c r="B305" s="60" t="str">
        <f t="shared" si="25"/>
        <v>Sun</v>
      </c>
      <c r="C305" s="60" t="s">
        <v>390</v>
      </c>
      <c r="D305" s="60" t="s">
        <v>391</v>
      </c>
      <c r="E305" s="59" t="s">
        <v>175</v>
      </c>
      <c r="F305" s="60" t="s">
        <v>392</v>
      </c>
      <c r="G305" s="60" t="s">
        <v>393</v>
      </c>
      <c r="H305" s="60"/>
      <c r="I305" s="117">
        <v>738</v>
      </c>
      <c r="J305" s="62"/>
      <c r="K305" s="62"/>
      <c r="L305" s="58">
        <f t="shared" si="26"/>
        <v>1</v>
      </c>
      <c r="M305" s="58">
        <f t="shared" si="27"/>
        <v>1</v>
      </c>
      <c r="N305" s="58">
        <f t="shared" si="28"/>
        <v>0</v>
      </c>
      <c r="O305" s="58">
        <f t="shared" si="29"/>
        <v>2</v>
      </c>
      <c r="P305" s="5" t="s">
        <v>869</v>
      </c>
      <c r="Q305" s="5" t="s">
        <v>281</v>
      </c>
    </row>
    <row r="306" spans="1:17">
      <c r="A306" s="59">
        <v>41911</v>
      </c>
      <c r="B306" s="60" t="str">
        <f t="shared" si="25"/>
        <v>Mon</v>
      </c>
      <c r="C306" s="60" t="s">
        <v>390</v>
      </c>
      <c r="D306" s="60" t="s">
        <v>391</v>
      </c>
      <c r="E306" s="59" t="s">
        <v>78</v>
      </c>
      <c r="F306" s="60" t="s">
        <v>394</v>
      </c>
      <c r="G306" s="60"/>
      <c r="H306" s="60"/>
      <c r="I306" s="117">
        <v>1342</v>
      </c>
      <c r="J306" s="62"/>
      <c r="K306" s="62"/>
      <c r="L306" s="58">
        <f t="shared" si="26"/>
        <v>1</v>
      </c>
      <c r="M306" s="58">
        <f t="shared" si="27"/>
        <v>0</v>
      </c>
      <c r="N306" s="58">
        <f t="shared" si="28"/>
        <v>0</v>
      </c>
      <c r="O306" s="58">
        <f t="shared" si="29"/>
        <v>1</v>
      </c>
      <c r="P306" s="5" t="s">
        <v>845</v>
      </c>
      <c r="Q306" s="5" t="s">
        <v>281</v>
      </c>
    </row>
    <row r="307" spans="1:17">
      <c r="A307" s="59">
        <v>41912</v>
      </c>
      <c r="B307" s="60" t="str">
        <f t="shared" si="25"/>
        <v>Tue</v>
      </c>
      <c r="C307" s="60" t="s">
        <v>390</v>
      </c>
      <c r="D307" s="60" t="s">
        <v>391</v>
      </c>
      <c r="E307" s="60" t="s">
        <v>395</v>
      </c>
      <c r="F307" s="60" t="s">
        <v>396</v>
      </c>
      <c r="G307" s="60"/>
      <c r="H307" s="60"/>
      <c r="I307" s="117">
        <v>1323</v>
      </c>
      <c r="J307" s="62"/>
      <c r="K307" s="62"/>
      <c r="L307" s="58">
        <f t="shared" si="26"/>
        <v>1</v>
      </c>
      <c r="M307" s="58">
        <f t="shared" si="27"/>
        <v>0</v>
      </c>
      <c r="N307" s="58">
        <f t="shared" si="28"/>
        <v>0</v>
      </c>
      <c r="O307" s="58">
        <f t="shared" si="29"/>
        <v>1</v>
      </c>
      <c r="P307" s="5" t="s">
        <v>850</v>
      </c>
      <c r="Q307" s="5" t="s">
        <v>895</v>
      </c>
    </row>
    <row r="308" spans="1:17">
      <c r="A308" s="59">
        <v>41913</v>
      </c>
      <c r="B308" s="60" t="str">
        <f t="shared" si="25"/>
        <v>Wed</v>
      </c>
      <c r="C308" s="60" t="s">
        <v>390</v>
      </c>
      <c r="D308" s="60" t="s">
        <v>391</v>
      </c>
      <c r="E308" s="60" t="s">
        <v>10</v>
      </c>
      <c r="F308" s="60" t="s">
        <v>10</v>
      </c>
      <c r="G308" s="60"/>
      <c r="H308" s="60"/>
      <c r="I308" s="117">
        <v>1252</v>
      </c>
      <c r="J308" s="62"/>
      <c r="K308" s="62"/>
      <c r="L308" s="58">
        <f t="shared" si="26"/>
        <v>0</v>
      </c>
      <c r="M308" s="58">
        <f t="shared" si="27"/>
        <v>0</v>
      </c>
      <c r="N308" s="58">
        <f t="shared" si="28"/>
        <v>0</v>
      </c>
      <c r="O308" s="58">
        <f t="shared" si="29"/>
        <v>0</v>
      </c>
      <c r="P308" s="5" t="s">
        <v>10</v>
      </c>
    </row>
    <row r="309" spans="1:17">
      <c r="A309" s="59">
        <v>41914</v>
      </c>
      <c r="B309" s="60" t="str">
        <f t="shared" si="25"/>
        <v>Thu</v>
      </c>
      <c r="C309" s="60" t="s">
        <v>390</v>
      </c>
      <c r="D309" s="60" t="s">
        <v>391</v>
      </c>
      <c r="E309" s="60" t="s">
        <v>397</v>
      </c>
      <c r="F309" s="60" t="s">
        <v>398</v>
      </c>
      <c r="G309" s="60"/>
      <c r="H309" s="60"/>
      <c r="I309" s="117">
        <v>1247</v>
      </c>
      <c r="J309" s="62"/>
      <c r="K309" s="62"/>
      <c r="L309" s="58">
        <f t="shared" si="26"/>
        <v>1</v>
      </c>
      <c r="M309" s="58">
        <f t="shared" si="27"/>
        <v>0</v>
      </c>
      <c r="N309" s="58">
        <f t="shared" si="28"/>
        <v>0</v>
      </c>
      <c r="O309" s="58">
        <f t="shared" si="29"/>
        <v>1</v>
      </c>
      <c r="P309" s="5" t="s">
        <v>868</v>
      </c>
      <c r="Q309" s="5" t="s">
        <v>898</v>
      </c>
    </row>
    <row r="310" spans="1:17">
      <c r="A310" s="59">
        <v>41915</v>
      </c>
      <c r="B310" s="60" t="str">
        <f t="shared" si="25"/>
        <v>Fri</v>
      </c>
      <c r="C310" s="60" t="s">
        <v>390</v>
      </c>
      <c r="D310" s="60" t="s">
        <v>391</v>
      </c>
      <c r="E310" s="59" t="s">
        <v>175</v>
      </c>
      <c r="F310" s="60" t="s">
        <v>399</v>
      </c>
      <c r="G310" s="60"/>
      <c r="H310" s="60"/>
      <c r="I310" s="117">
        <v>1097</v>
      </c>
      <c r="J310" s="62"/>
      <c r="K310" s="62"/>
      <c r="L310" s="58">
        <f t="shared" si="26"/>
        <v>1</v>
      </c>
      <c r="M310" s="58">
        <f t="shared" si="27"/>
        <v>0</v>
      </c>
      <c r="N310" s="58">
        <f t="shared" si="28"/>
        <v>0</v>
      </c>
      <c r="O310" s="58">
        <f t="shared" si="29"/>
        <v>1</v>
      </c>
      <c r="P310" s="5" t="s">
        <v>869</v>
      </c>
      <c r="Q310" s="5" t="s">
        <v>281</v>
      </c>
    </row>
    <row r="311" spans="1:17">
      <c r="A311" s="59">
        <v>41916</v>
      </c>
      <c r="B311" s="60" t="str">
        <f t="shared" si="25"/>
        <v>Sat</v>
      </c>
      <c r="C311" s="60" t="s">
        <v>390</v>
      </c>
      <c r="D311" s="60" t="s">
        <v>391</v>
      </c>
      <c r="E311" s="60" t="s">
        <v>397</v>
      </c>
      <c r="F311" s="60" t="s">
        <v>400</v>
      </c>
      <c r="G311" s="60"/>
      <c r="H311" s="60"/>
      <c r="I311" s="117">
        <v>911</v>
      </c>
      <c r="J311" s="62"/>
      <c r="K311" s="62"/>
      <c r="L311" s="58">
        <f t="shared" si="26"/>
        <v>1</v>
      </c>
      <c r="M311" s="58">
        <f t="shared" si="27"/>
        <v>0</v>
      </c>
      <c r="N311" s="58">
        <f t="shared" si="28"/>
        <v>0</v>
      </c>
      <c r="O311" s="58">
        <f t="shared" si="29"/>
        <v>1</v>
      </c>
      <c r="P311" s="5" t="s">
        <v>868</v>
      </c>
      <c r="Q311" s="5" t="s">
        <v>898</v>
      </c>
    </row>
    <row r="312" spans="1:17">
      <c r="A312" s="59">
        <v>41917</v>
      </c>
      <c r="B312" s="60" t="str">
        <f t="shared" si="25"/>
        <v>Sun</v>
      </c>
      <c r="C312" s="60" t="s">
        <v>390</v>
      </c>
      <c r="D312" s="60" t="s">
        <v>401</v>
      </c>
      <c r="E312" s="60" t="s">
        <v>397</v>
      </c>
      <c r="F312" s="60" t="s">
        <v>402</v>
      </c>
      <c r="G312" s="60"/>
      <c r="H312" s="60"/>
      <c r="I312" s="117">
        <v>721</v>
      </c>
      <c r="J312" s="62"/>
      <c r="K312" s="62"/>
      <c r="L312" s="58">
        <f t="shared" si="26"/>
        <v>1</v>
      </c>
      <c r="M312" s="58">
        <f t="shared" si="27"/>
        <v>0</v>
      </c>
      <c r="N312" s="58">
        <f t="shared" si="28"/>
        <v>0</v>
      </c>
      <c r="O312" s="58">
        <f t="shared" si="29"/>
        <v>1</v>
      </c>
      <c r="P312" s="5" t="s">
        <v>868</v>
      </c>
      <c r="Q312" s="5" t="s">
        <v>898</v>
      </c>
    </row>
    <row r="313" spans="1:17">
      <c r="A313" s="59">
        <v>41918</v>
      </c>
      <c r="B313" s="60" t="str">
        <f t="shared" si="25"/>
        <v>Mon</v>
      </c>
      <c r="C313" s="60" t="s">
        <v>390</v>
      </c>
      <c r="D313" s="60" t="s">
        <v>401</v>
      </c>
      <c r="E313" s="60" t="s">
        <v>395</v>
      </c>
      <c r="F313" s="60" t="s">
        <v>403</v>
      </c>
      <c r="G313" s="60"/>
      <c r="H313" s="60"/>
      <c r="I313" s="117">
        <v>1285</v>
      </c>
      <c r="J313" s="62"/>
      <c r="K313" s="62"/>
      <c r="L313" s="58">
        <f t="shared" si="26"/>
        <v>1</v>
      </c>
      <c r="M313" s="58">
        <f t="shared" si="27"/>
        <v>0</v>
      </c>
      <c r="N313" s="58">
        <f t="shared" si="28"/>
        <v>0</v>
      </c>
      <c r="O313" s="58">
        <f t="shared" si="29"/>
        <v>1</v>
      </c>
      <c r="P313" s="5" t="s">
        <v>850</v>
      </c>
      <c r="Q313" s="5" t="s">
        <v>895</v>
      </c>
    </row>
    <row r="314" spans="1:17">
      <c r="A314" s="59">
        <v>41919</v>
      </c>
      <c r="B314" s="60" t="str">
        <f t="shared" si="25"/>
        <v>Tue</v>
      </c>
      <c r="C314" s="60" t="s">
        <v>390</v>
      </c>
      <c r="D314" s="60" t="s">
        <v>401</v>
      </c>
      <c r="E314" s="60" t="s">
        <v>397</v>
      </c>
      <c r="F314" s="60" t="s">
        <v>404</v>
      </c>
      <c r="G314" s="60" t="s">
        <v>195</v>
      </c>
      <c r="H314" s="60"/>
      <c r="I314" s="117">
        <v>1302</v>
      </c>
      <c r="J314" s="62"/>
      <c r="K314" s="62"/>
      <c r="L314" s="58">
        <f t="shared" si="26"/>
        <v>1</v>
      </c>
      <c r="M314" s="58">
        <f t="shared" si="27"/>
        <v>1</v>
      </c>
      <c r="N314" s="58">
        <f t="shared" si="28"/>
        <v>0</v>
      </c>
      <c r="O314" s="58">
        <f t="shared" si="29"/>
        <v>2</v>
      </c>
      <c r="P314" s="5" t="s">
        <v>868</v>
      </c>
      <c r="Q314" s="5" t="s">
        <v>898</v>
      </c>
    </row>
    <row r="315" spans="1:17">
      <c r="A315" s="59">
        <v>41920</v>
      </c>
      <c r="B315" s="60" t="str">
        <f t="shared" si="25"/>
        <v>Wed</v>
      </c>
      <c r="C315" s="60" t="s">
        <v>390</v>
      </c>
      <c r="D315" s="60" t="s">
        <v>401</v>
      </c>
      <c r="E315" s="60" t="s">
        <v>397</v>
      </c>
      <c r="F315" s="60" t="s">
        <v>405</v>
      </c>
      <c r="G315" s="60" t="s">
        <v>406</v>
      </c>
      <c r="H315" s="60"/>
      <c r="I315" s="117">
        <v>1285</v>
      </c>
      <c r="J315" s="62"/>
      <c r="K315" s="62"/>
      <c r="L315" s="58">
        <f t="shared" si="26"/>
        <v>1</v>
      </c>
      <c r="M315" s="58">
        <f t="shared" si="27"/>
        <v>1</v>
      </c>
      <c r="N315" s="58">
        <f t="shared" si="28"/>
        <v>0</v>
      </c>
      <c r="O315" s="58">
        <f t="shared" si="29"/>
        <v>2</v>
      </c>
      <c r="P315" s="5" t="s">
        <v>868</v>
      </c>
      <c r="Q315" s="5" t="s">
        <v>898</v>
      </c>
    </row>
    <row r="316" spans="1:17">
      <c r="A316" s="59">
        <v>41921</v>
      </c>
      <c r="B316" s="60" t="str">
        <f t="shared" si="25"/>
        <v>Thu</v>
      </c>
      <c r="C316" s="60" t="s">
        <v>390</v>
      </c>
      <c r="D316" s="60" t="s">
        <v>401</v>
      </c>
      <c r="E316" s="60" t="s">
        <v>397</v>
      </c>
      <c r="F316" s="63" t="s">
        <v>407</v>
      </c>
      <c r="G316" s="60"/>
      <c r="H316" s="60"/>
      <c r="I316" s="117">
        <v>1116</v>
      </c>
      <c r="J316" s="62"/>
      <c r="K316" s="62"/>
      <c r="L316" s="58">
        <f t="shared" si="26"/>
        <v>1</v>
      </c>
      <c r="M316" s="58">
        <f t="shared" si="27"/>
        <v>0</v>
      </c>
      <c r="N316" s="58">
        <f t="shared" si="28"/>
        <v>0</v>
      </c>
      <c r="O316" s="58">
        <f t="shared" si="29"/>
        <v>1</v>
      </c>
      <c r="P316" s="5" t="s">
        <v>868</v>
      </c>
      <c r="Q316" s="5" t="s">
        <v>898</v>
      </c>
    </row>
    <row r="317" spans="1:17">
      <c r="A317" s="59">
        <v>41922</v>
      </c>
      <c r="B317" s="60" t="str">
        <f t="shared" si="25"/>
        <v>Fri</v>
      </c>
      <c r="C317" s="60" t="s">
        <v>390</v>
      </c>
      <c r="D317" s="60" t="s">
        <v>401</v>
      </c>
      <c r="E317" s="60" t="s">
        <v>397</v>
      </c>
      <c r="F317" s="60" t="s">
        <v>408</v>
      </c>
      <c r="G317" s="60"/>
      <c r="H317" s="60"/>
      <c r="I317" s="117">
        <v>1182</v>
      </c>
      <c r="J317" s="62"/>
      <c r="K317" s="62"/>
      <c r="L317" s="58">
        <f t="shared" si="26"/>
        <v>1</v>
      </c>
      <c r="M317" s="58">
        <f t="shared" si="27"/>
        <v>0</v>
      </c>
      <c r="N317" s="58">
        <f t="shared" si="28"/>
        <v>0</v>
      </c>
      <c r="O317" s="58">
        <f t="shared" si="29"/>
        <v>1</v>
      </c>
      <c r="P317" s="5" t="s">
        <v>868</v>
      </c>
      <c r="Q317" s="5" t="s">
        <v>898</v>
      </c>
    </row>
    <row r="318" spans="1:17">
      <c r="A318" s="59">
        <v>41923</v>
      </c>
      <c r="B318" s="60" t="str">
        <f t="shared" si="25"/>
        <v>Sat</v>
      </c>
      <c r="C318" s="60" t="s">
        <v>390</v>
      </c>
      <c r="D318" s="60" t="s">
        <v>401</v>
      </c>
      <c r="E318" s="60" t="s">
        <v>397</v>
      </c>
      <c r="F318" s="60" t="s">
        <v>409</v>
      </c>
      <c r="G318" s="60"/>
      <c r="H318" s="60"/>
      <c r="I318" s="117">
        <v>931</v>
      </c>
      <c r="J318" s="62"/>
      <c r="K318" s="62"/>
      <c r="L318" s="58">
        <f t="shared" si="26"/>
        <v>1</v>
      </c>
      <c r="M318" s="58">
        <f t="shared" si="27"/>
        <v>0</v>
      </c>
      <c r="N318" s="58">
        <f t="shared" si="28"/>
        <v>0</v>
      </c>
      <c r="O318" s="58">
        <f t="shared" si="29"/>
        <v>1</v>
      </c>
      <c r="P318" s="5" t="s">
        <v>868</v>
      </c>
      <c r="Q318" s="5" t="s">
        <v>898</v>
      </c>
    </row>
    <row r="319" spans="1:17">
      <c r="A319" s="59">
        <v>41924</v>
      </c>
      <c r="B319" s="60" t="str">
        <f t="shared" si="25"/>
        <v>Sun</v>
      </c>
      <c r="C319" s="60" t="s">
        <v>390</v>
      </c>
      <c r="D319" s="60" t="s">
        <v>410</v>
      </c>
      <c r="E319" s="60" t="s">
        <v>367</v>
      </c>
      <c r="F319" s="60" t="s">
        <v>411</v>
      </c>
      <c r="G319" s="60"/>
      <c r="H319" s="60"/>
      <c r="I319" s="117">
        <v>709</v>
      </c>
      <c r="J319" s="62"/>
      <c r="K319" s="62"/>
      <c r="L319" s="58">
        <f t="shared" si="26"/>
        <v>1</v>
      </c>
      <c r="M319" s="58">
        <f t="shared" si="27"/>
        <v>0</v>
      </c>
      <c r="N319" s="58">
        <f t="shared" si="28"/>
        <v>0</v>
      </c>
      <c r="O319" s="58">
        <f t="shared" si="29"/>
        <v>1</v>
      </c>
      <c r="P319" s="5" t="s">
        <v>893</v>
      </c>
      <c r="Q319" s="5" t="s">
        <v>281</v>
      </c>
    </row>
    <row r="320" spans="1:17">
      <c r="A320" s="59">
        <v>41925</v>
      </c>
      <c r="B320" s="60" t="str">
        <f t="shared" si="25"/>
        <v>Mon</v>
      </c>
      <c r="C320" s="60" t="s">
        <v>390</v>
      </c>
      <c r="D320" s="60" t="s">
        <v>410</v>
      </c>
      <c r="E320" s="60" t="s">
        <v>412</v>
      </c>
      <c r="F320" s="60" t="s">
        <v>413</v>
      </c>
      <c r="G320" s="60"/>
      <c r="H320" s="60"/>
      <c r="I320" s="117">
        <v>1397</v>
      </c>
      <c r="J320" s="62"/>
      <c r="K320" s="62"/>
      <c r="L320" s="58">
        <f t="shared" si="26"/>
        <v>1</v>
      </c>
      <c r="M320" s="58">
        <f t="shared" si="27"/>
        <v>0</v>
      </c>
      <c r="N320" s="58">
        <f t="shared" si="28"/>
        <v>0</v>
      </c>
      <c r="O320" s="58">
        <f t="shared" si="29"/>
        <v>1</v>
      </c>
      <c r="P320" s="5" t="s">
        <v>252</v>
      </c>
      <c r="Q320" s="5" t="s">
        <v>899</v>
      </c>
    </row>
    <row r="321" spans="1:18">
      <c r="A321" s="59">
        <v>41926</v>
      </c>
      <c r="B321" s="60" t="str">
        <f t="shared" si="25"/>
        <v>Tue</v>
      </c>
      <c r="C321" s="60" t="s">
        <v>390</v>
      </c>
      <c r="D321" s="60" t="s">
        <v>410</v>
      </c>
      <c r="E321" s="60" t="s">
        <v>414</v>
      </c>
      <c r="F321" s="63" t="s">
        <v>415</v>
      </c>
      <c r="G321" s="60"/>
      <c r="H321" s="60"/>
      <c r="I321" s="117">
        <v>1088</v>
      </c>
      <c r="J321" s="62"/>
      <c r="K321" s="62"/>
      <c r="L321" s="58">
        <f t="shared" si="26"/>
        <v>1</v>
      </c>
      <c r="M321" s="58">
        <f t="shared" si="27"/>
        <v>0</v>
      </c>
      <c r="N321" s="58">
        <f t="shared" si="28"/>
        <v>0</v>
      </c>
      <c r="O321" s="58">
        <f t="shared" si="29"/>
        <v>1</v>
      </c>
      <c r="P321" s="5" t="s">
        <v>900</v>
      </c>
      <c r="Q321" s="5" t="s">
        <v>895</v>
      </c>
    </row>
    <row r="322" spans="1:18">
      <c r="A322" s="59">
        <v>41927</v>
      </c>
      <c r="B322" s="60" t="str">
        <f t="shared" si="25"/>
        <v>Wed</v>
      </c>
      <c r="C322" s="60" t="s">
        <v>390</v>
      </c>
      <c r="D322" s="60" t="s">
        <v>410</v>
      </c>
      <c r="E322" s="60" t="s">
        <v>367</v>
      </c>
      <c r="F322" s="60" t="s">
        <v>416</v>
      </c>
      <c r="G322" s="60"/>
      <c r="H322" s="60"/>
      <c r="I322" s="117">
        <v>1270</v>
      </c>
      <c r="J322" s="62"/>
      <c r="K322" s="62"/>
      <c r="L322" s="58">
        <f t="shared" si="26"/>
        <v>1</v>
      </c>
      <c r="M322" s="58">
        <f t="shared" si="27"/>
        <v>0</v>
      </c>
      <c r="N322" s="58">
        <f t="shared" si="28"/>
        <v>0</v>
      </c>
      <c r="O322" s="58">
        <f t="shared" si="29"/>
        <v>1</v>
      </c>
      <c r="P322" s="5" t="s">
        <v>893</v>
      </c>
      <c r="Q322" s="5" t="s">
        <v>281</v>
      </c>
    </row>
    <row r="323" spans="1:18">
      <c r="A323" s="59">
        <v>41928</v>
      </c>
      <c r="B323" s="60" t="str">
        <f t="shared" si="25"/>
        <v>Thu</v>
      </c>
      <c r="C323" s="60" t="s">
        <v>390</v>
      </c>
      <c r="D323" s="60" t="s">
        <v>410</v>
      </c>
      <c r="E323" s="60" t="s">
        <v>367</v>
      </c>
      <c r="F323" s="60" t="s">
        <v>417</v>
      </c>
      <c r="G323" s="60"/>
      <c r="H323" s="60"/>
      <c r="I323" s="117">
        <v>1057</v>
      </c>
      <c r="J323" s="62"/>
      <c r="K323" s="62"/>
      <c r="L323" s="58">
        <f t="shared" si="26"/>
        <v>1</v>
      </c>
      <c r="M323" s="58">
        <f t="shared" si="27"/>
        <v>0</v>
      </c>
      <c r="N323" s="58">
        <f t="shared" si="28"/>
        <v>0</v>
      </c>
      <c r="O323" s="58">
        <f t="shared" si="29"/>
        <v>1</v>
      </c>
      <c r="P323" s="5" t="s">
        <v>893</v>
      </c>
      <c r="Q323" s="5" t="s">
        <v>281</v>
      </c>
    </row>
    <row r="324" spans="1:18">
      <c r="A324" s="59">
        <v>41929</v>
      </c>
      <c r="B324" s="60" t="str">
        <f t="shared" si="25"/>
        <v>Fri</v>
      </c>
      <c r="C324" s="60" t="s">
        <v>390</v>
      </c>
      <c r="D324" s="60" t="s">
        <v>410</v>
      </c>
      <c r="E324" s="60" t="s">
        <v>311</v>
      </c>
      <c r="F324" s="64" t="s">
        <v>418</v>
      </c>
      <c r="G324" s="60" t="s">
        <v>419</v>
      </c>
      <c r="H324" s="60"/>
      <c r="I324" s="117">
        <v>1229</v>
      </c>
      <c r="J324" s="62"/>
      <c r="K324" s="62"/>
      <c r="L324" s="58">
        <f t="shared" si="26"/>
        <v>1</v>
      </c>
      <c r="M324" s="58">
        <f t="shared" si="27"/>
        <v>1</v>
      </c>
      <c r="N324" s="58">
        <f t="shared" si="28"/>
        <v>0</v>
      </c>
      <c r="O324" s="58">
        <f t="shared" si="29"/>
        <v>2</v>
      </c>
      <c r="P324" s="5" t="s">
        <v>860</v>
      </c>
      <c r="Q324" s="5" t="s">
        <v>837</v>
      </c>
      <c r="R324" s="5" t="s">
        <v>281</v>
      </c>
    </row>
    <row r="325" spans="1:18">
      <c r="A325" s="59">
        <v>41930</v>
      </c>
      <c r="B325" s="60" t="str">
        <f t="shared" si="25"/>
        <v>Sat</v>
      </c>
      <c r="C325" s="60" t="s">
        <v>390</v>
      </c>
      <c r="D325" s="60" t="s">
        <v>410</v>
      </c>
      <c r="E325" s="60" t="s">
        <v>367</v>
      </c>
      <c r="F325" s="60" t="s">
        <v>420</v>
      </c>
      <c r="G325" s="60"/>
      <c r="H325" s="60"/>
      <c r="I325" s="117">
        <v>877</v>
      </c>
      <c r="J325" s="62"/>
      <c r="K325" s="62"/>
      <c r="L325" s="58">
        <f t="shared" si="26"/>
        <v>1</v>
      </c>
      <c r="M325" s="58">
        <f t="shared" si="27"/>
        <v>0</v>
      </c>
      <c r="N325" s="58">
        <f t="shared" si="28"/>
        <v>0</v>
      </c>
      <c r="O325" s="58">
        <f t="shared" si="29"/>
        <v>1</v>
      </c>
      <c r="P325" s="5" t="s">
        <v>893</v>
      </c>
      <c r="Q325" s="5" t="s">
        <v>281</v>
      </c>
    </row>
    <row r="326" spans="1:18">
      <c r="A326" s="59">
        <v>41931</v>
      </c>
      <c r="B326" s="60" t="str">
        <f t="shared" si="25"/>
        <v>Sun</v>
      </c>
      <c r="C326" s="60" t="s">
        <v>390</v>
      </c>
      <c r="D326" s="60" t="s">
        <v>421</v>
      </c>
      <c r="E326" s="60" t="s">
        <v>157</v>
      </c>
      <c r="F326" s="60" t="s">
        <v>422</v>
      </c>
      <c r="G326" s="60" t="s">
        <v>423</v>
      </c>
      <c r="H326" s="60"/>
      <c r="I326" s="117">
        <v>877</v>
      </c>
      <c r="J326" s="62"/>
      <c r="K326" s="62"/>
      <c r="L326" s="58">
        <f t="shared" si="26"/>
        <v>1</v>
      </c>
      <c r="M326" s="58">
        <f t="shared" si="27"/>
        <v>1</v>
      </c>
      <c r="N326" s="58">
        <f t="shared" si="28"/>
        <v>0</v>
      </c>
      <c r="O326" s="58">
        <f t="shared" si="29"/>
        <v>2</v>
      </c>
      <c r="P326" s="5" t="s">
        <v>835</v>
      </c>
      <c r="Q326" s="5" t="s">
        <v>281</v>
      </c>
    </row>
    <row r="327" spans="1:18">
      <c r="A327" s="59">
        <v>41932</v>
      </c>
      <c r="B327" s="60" t="str">
        <f t="shared" si="25"/>
        <v>Mon</v>
      </c>
      <c r="C327" s="60" t="s">
        <v>390</v>
      </c>
      <c r="D327" s="60" t="s">
        <v>421</v>
      </c>
      <c r="E327" s="60" t="s">
        <v>157</v>
      </c>
      <c r="F327" s="60" t="s">
        <v>424</v>
      </c>
      <c r="G327" s="60"/>
      <c r="H327" s="60"/>
      <c r="I327" s="117">
        <v>1478</v>
      </c>
      <c r="J327" s="62"/>
      <c r="K327" s="62"/>
      <c r="L327" s="58">
        <f t="shared" si="26"/>
        <v>1</v>
      </c>
      <c r="M327" s="58">
        <f t="shared" si="27"/>
        <v>0</v>
      </c>
      <c r="N327" s="58">
        <f t="shared" si="28"/>
        <v>0</v>
      </c>
      <c r="O327" s="58">
        <f t="shared" si="29"/>
        <v>1</v>
      </c>
      <c r="P327" s="5" t="s">
        <v>835</v>
      </c>
      <c r="Q327" s="5" t="s">
        <v>281</v>
      </c>
    </row>
    <row r="328" spans="1:18">
      <c r="A328" s="59">
        <v>41933</v>
      </c>
      <c r="B328" s="60" t="str">
        <f t="shared" si="25"/>
        <v>Tue</v>
      </c>
      <c r="C328" s="60" t="s">
        <v>390</v>
      </c>
      <c r="D328" s="60" t="s">
        <v>421</v>
      </c>
      <c r="E328" s="60" t="s">
        <v>425</v>
      </c>
      <c r="F328" s="60" t="s">
        <v>426</v>
      </c>
      <c r="G328" s="60" t="s">
        <v>427</v>
      </c>
      <c r="H328" s="60"/>
      <c r="I328" s="117">
        <v>1258</v>
      </c>
      <c r="J328" s="62"/>
      <c r="K328" s="62"/>
      <c r="L328" s="58">
        <f t="shared" si="26"/>
        <v>1</v>
      </c>
      <c r="M328" s="58">
        <f t="shared" si="27"/>
        <v>1</v>
      </c>
      <c r="N328" s="58">
        <f t="shared" si="28"/>
        <v>0</v>
      </c>
      <c r="O328" s="58">
        <f t="shared" si="29"/>
        <v>2</v>
      </c>
      <c r="P328" s="5" t="s">
        <v>425</v>
      </c>
    </row>
    <row r="329" spans="1:18">
      <c r="A329" s="59">
        <v>41934</v>
      </c>
      <c r="B329" s="60" t="str">
        <f t="shared" si="25"/>
        <v>Wed</v>
      </c>
      <c r="C329" s="60" t="s">
        <v>390</v>
      </c>
      <c r="D329" s="60" t="s">
        <v>421</v>
      </c>
      <c r="E329" s="60" t="s">
        <v>157</v>
      </c>
      <c r="F329" s="60" t="s">
        <v>428</v>
      </c>
      <c r="G329" s="60"/>
      <c r="H329" s="60"/>
      <c r="I329" s="117">
        <v>1312</v>
      </c>
      <c r="J329" s="62"/>
      <c r="K329" s="62"/>
      <c r="L329" s="58">
        <f t="shared" si="26"/>
        <v>1</v>
      </c>
      <c r="M329" s="58">
        <f t="shared" si="27"/>
        <v>0</v>
      </c>
      <c r="N329" s="58">
        <f t="shared" si="28"/>
        <v>0</v>
      </c>
      <c r="O329" s="58">
        <f t="shared" si="29"/>
        <v>1</v>
      </c>
      <c r="P329" s="5" t="s">
        <v>835</v>
      </c>
      <c r="Q329" s="5" t="s">
        <v>281</v>
      </c>
    </row>
    <row r="330" spans="1:18">
      <c r="A330" s="59">
        <v>41935</v>
      </c>
      <c r="B330" s="60" t="str">
        <f t="shared" si="25"/>
        <v>Thu</v>
      </c>
      <c r="C330" s="60" t="s">
        <v>390</v>
      </c>
      <c r="D330" s="60" t="s">
        <v>421</v>
      </c>
      <c r="E330" s="65" t="s">
        <v>48</v>
      </c>
      <c r="F330" s="60" t="s">
        <v>429</v>
      </c>
      <c r="G330" s="60"/>
      <c r="H330" s="60"/>
      <c r="I330" s="117">
        <v>1325</v>
      </c>
      <c r="J330" s="62"/>
      <c r="K330" s="62"/>
      <c r="L330" s="58">
        <f t="shared" si="26"/>
        <v>1</v>
      </c>
      <c r="M330" s="58">
        <f t="shared" si="27"/>
        <v>0</v>
      </c>
      <c r="N330" s="58">
        <f t="shared" si="28"/>
        <v>0</v>
      </c>
      <c r="O330" s="58">
        <f t="shared" si="29"/>
        <v>1</v>
      </c>
      <c r="P330" s="5" t="s">
        <v>837</v>
      </c>
      <c r="Q330" s="5" t="s">
        <v>281</v>
      </c>
    </row>
    <row r="331" spans="1:18">
      <c r="A331" s="59">
        <v>41936</v>
      </c>
      <c r="B331" s="60" t="str">
        <f t="shared" si="25"/>
        <v>Fri</v>
      </c>
      <c r="C331" s="60" t="s">
        <v>390</v>
      </c>
      <c r="D331" s="60" t="s">
        <v>421</v>
      </c>
      <c r="E331" s="60" t="s">
        <v>157</v>
      </c>
      <c r="F331" s="60" t="s">
        <v>430</v>
      </c>
      <c r="G331" s="60"/>
      <c r="H331" s="60"/>
      <c r="I331" s="117">
        <v>1263</v>
      </c>
      <c r="J331" s="62"/>
      <c r="K331" s="62"/>
      <c r="L331" s="58">
        <f t="shared" si="26"/>
        <v>1</v>
      </c>
      <c r="M331" s="58">
        <f t="shared" si="27"/>
        <v>0</v>
      </c>
      <c r="N331" s="58">
        <f t="shared" si="28"/>
        <v>0</v>
      </c>
      <c r="O331" s="58">
        <f t="shared" si="29"/>
        <v>1</v>
      </c>
      <c r="P331" s="5" t="s">
        <v>835</v>
      </c>
      <c r="Q331" s="5" t="s">
        <v>281</v>
      </c>
    </row>
    <row r="332" spans="1:18">
      <c r="A332" s="59">
        <v>41937</v>
      </c>
      <c r="B332" s="60" t="str">
        <f t="shared" si="25"/>
        <v>Sat</v>
      </c>
      <c r="C332" s="60" t="s">
        <v>390</v>
      </c>
      <c r="D332" s="60" t="s">
        <v>421</v>
      </c>
      <c r="E332" s="60" t="s">
        <v>431</v>
      </c>
      <c r="F332" s="60" t="s">
        <v>432</v>
      </c>
      <c r="G332" s="60" t="s">
        <v>433</v>
      </c>
      <c r="H332" s="60"/>
      <c r="I332" s="117">
        <v>1259</v>
      </c>
      <c r="J332" s="62"/>
      <c r="K332" s="62"/>
      <c r="L332" s="58">
        <f t="shared" si="26"/>
        <v>1</v>
      </c>
      <c r="M332" s="58">
        <f t="shared" si="27"/>
        <v>1</v>
      </c>
      <c r="N332" s="58">
        <f t="shared" si="28"/>
        <v>0</v>
      </c>
      <c r="O332" s="58">
        <f t="shared" si="29"/>
        <v>2</v>
      </c>
      <c r="P332" s="5" t="s">
        <v>901</v>
      </c>
      <c r="Q332" s="5" t="s">
        <v>895</v>
      </c>
    </row>
    <row r="333" spans="1:18">
      <c r="A333" s="59">
        <v>41938</v>
      </c>
      <c r="B333" s="60" t="str">
        <f t="shared" si="25"/>
        <v>Sun</v>
      </c>
      <c r="C333" s="60" t="s">
        <v>390</v>
      </c>
      <c r="D333" s="60" t="s">
        <v>434</v>
      </c>
      <c r="E333" s="60" t="s">
        <v>17</v>
      </c>
      <c r="F333" s="60" t="s">
        <v>435</v>
      </c>
      <c r="G333" s="60"/>
      <c r="H333" s="60"/>
      <c r="I333" s="117">
        <v>764</v>
      </c>
      <c r="J333" s="62"/>
      <c r="K333" s="62"/>
      <c r="L333" s="58">
        <f t="shared" si="26"/>
        <v>1</v>
      </c>
      <c r="M333" s="58">
        <f t="shared" si="27"/>
        <v>0</v>
      </c>
      <c r="N333" s="58">
        <f t="shared" si="28"/>
        <v>0</v>
      </c>
      <c r="O333" s="58">
        <f t="shared" si="29"/>
        <v>1</v>
      </c>
      <c r="P333" s="5" t="s">
        <v>17</v>
      </c>
    </row>
    <row r="334" spans="1:18">
      <c r="A334" s="59">
        <v>41939</v>
      </c>
      <c r="B334" s="60" t="str">
        <f t="shared" si="25"/>
        <v>Mon</v>
      </c>
      <c r="C334" s="60" t="s">
        <v>390</v>
      </c>
      <c r="D334" s="60" t="s">
        <v>434</v>
      </c>
      <c r="E334" s="60" t="s">
        <v>17</v>
      </c>
      <c r="F334" s="66" t="s">
        <v>436</v>
      </c>
      <c r="G334" s="60"/>
      <c r="H334" s="60"/>
      <c r="I334" s="117">
        <v>1429</v>
      </c>
      <c r="J334" s="62"/>
      <c r="K334" s="62"/>
      <c r="L334" s="58">
        <f t="shared" si="26"/>
        <v>1</v>
      </c>
      <c r="M334" s="58">
        <f t="shared" si="27"/>
        <v>0</v>
      </c>
      <c r="N334" s="58">
        <f t="shared" si="28"/>
        <v>0</v>
      </c>
      <c r="O334" s="58">
        <f t="shared" si="29"/>
        <v>1</v>
      </c>
      <c r="P334" s="5" t="s">
        <v>17</v>
      </c>
    </row>
    <row r="335" spans="1:18">
      <c r="A335" s="59">
        <v>41940</v>
      </c>
      <c r="B335" s="60" t="str">
        <f t="shared" si="25"/>
        <v>Tue</v>
      </c>
      <c r="C335" s="60" t="s">
        <v>390</v>
      </c>
      <c r="D335" s="60" t="s">
        <v>434</v>
      </c>
      <c r="E335" s="59" t="s">
        <v>78</v>
      </c>
      <c r="F335" s="60" t="s">
        <v>437</v>
      </c>
      <c r="G335" s="60"/>
      <c r="H335" s="60"/>
      <c r="I335" s="117">
        <v>1133</v>
      </c>
      <c r="J335" s="62"/>
      <c r="K335" s="62"/>
      <c r="L335" s="58">
        <f t="shared" si="26"/>
        <v>1</v>
      </c>
      <c r="M335" s="58">
        <f t="shared" si="27"/>
        <v>0</v>
      </c>
      <c r="N335" s="58">
        <f t="shared" si="28"/>
        <v>0</v>
      </c>
      <c r="O335" s="58">
        <f t="shared" si="29"/>
        <v>1</v>
      </c>
      <c r="P335" s="5" t="s">
        <v>845</v>
      </c>
      <c r="Q335" s="5" t="s">
        <v>281</v>
      </c>
    </row>
    <row r="336" spans="1:18">
      <c r="A336" s="59">
        <v>41941</v>
      </c>
      <c r="B336" s="60" t="str">
        <f t="shared" si="25"/>
        <v>Wed</v>
      </c>
      <c r="C336" s="60" t="s">
        <v>390</v>
      </c>
      <c r="D336" s="60" t="s">
        <v>434</v>
      </c>
      <c r="E336" s="59" t="s">
        <v>78</v>
      </c>
      <c r="F336" s="60" t="s">
        <v>438</v>
      </c>
      <c r="G336" s="60"/>
      <c r="H336" s="60"/>
      <c r="I336" s="117">
        <v>1278</v>
      </c>
      <c r="J336" s="62"/>
      <c r="K336" s="62"/>
      <c r="L336" s="58">
        <f t="shared" si="26"/>
        <v>1</v>
      </c>
      <c r="M336" s="58">
        <f t="shared" si="27"/>
        <v>0</v>
      </c>
      <c r="N336" s="58">
        <f t="shared" si="28"/>
        <v>0</v>
      </c>
      <c r="O336" s="58">
        <f t="shared" si="29"/>
        <v>1</v>
      </c>
      <c r="P336" s="5" t="s">
        <v>845</v>
      </c>
      <c r="Q336" s="5" t="s">
        <v>281</v>
      </c>
    </row>
    <row r="337" spans="1:18">
      <c r="A337" s="59">
        <v>41942</v>
      </c>
      <c r="B337" s="60" t="str">
        <f t="shared" si="25"/>
        <v>Thu</v>
      </c>
      <c r="C337" s="60" t="s">
        <v>390</v>
      </c>
      <c r="D337" s="60" t="s">
        <v>434</v>
      </c>
      <c r="E337" s="59" t="s">
        <v>78</v>
      </c>
      <c r="F337" s="60" t="s">
        <v>439</v>
      </c>
      <c r="G337" s="60"/>
      <c r="H337" s="60"/>
      <c r="I337" s="117">
        <v>1120</v>
      </c>
      <c r="J337" s="62"/>
      <c r="K337" s="62"/>
      <c r="L337" s="58">
        <f t="shared" si="26"/>
        <v>1</v>
      </c>
      <c r="M337" s="58">
        <f t="shared" si="27"/>
        <v>0</v>
      </c>
      <c r="N337" s="58">
        <f t="shared" si="28"/>
        <v>0</v>
      </c>
      <c r="O337" s="58">
        <f t="shared" si="29"/>
        <v>1</v>
      </c>
      <c r="P337" s="5" t="s">
        <v>845</v>
      </c>
      <c r="Q337" s="5" t="s">
        <v>281</v>
      </c>
    </row>
    <row r="338" spans="1:18">
      <c r="A338" s="59">
        <v>41943</v>
      </c>
      <c r="B338" s="60" t="str">
        <f t="shared" si="25"/>
        <v>Fri</v>
      </c>
      <c r="C338" s="60" t="s">
        <v>390</v>
      </c>
      <c r="D338" s="60" t="s">
        <v>434</v>
      </c>
      <c r="E338" s="59" t="s">
        <v>78</v>
      </c>
      <c r="F338" s="60" t="s">
        <v>440</v>
      </c>
      <c r="G338" s="60"/>
      <c r="H338" s="60"/>
      <c r="I338" s="117">
        <v>944</v>
      </c>
      <c r="J338" s="62"/>
      <c r="K338" s="62"/>
      <c r="L338" s="58">
        <f t="shared" si="26"/>
        <v>1</v>
      </c>
      <c r="M338" s="58">
        <f t="shared" si="27"/>
        <v>0</v>
      </c>
      <c r="N338" s="58">
        <f t="shared" si="28"/>
        <v>0</v>
      </c>
      <c r="O338" s="58">
        <f t="shared" si="29"/>
        <v>1</v>
      </c>
      <c r="P338" s="5" t="s">
        <v>845</v>
      </c>
      <c r="Q338" s="5" t="s">
        <v>281</v>
      </c>
    </row>
    <row r="339" spans="1:18">
      <c r="A339" s="59">
        <v>41944</v>
      </c>
      <c r="B339" s="60" t="str">
        <f t="shared" si="25"/>
        <v>Sat</v>
      </c>
      <c r="C339" s="60" t="s">
        <v>390</v>
      </c>
      <c r="D339" s="60" t="s">
        <v>434</v>
      </c>
      <c r="E339" s="59" t="s">
        <v>78</v>
      </c>
      <c r="F339" s="60" t="s">
        <v>441</v>
      </c>
      <c r="G339" s="60"/>
      <c r="H339" s="60"/>
      <c r="I339" s="117">
        <v>998</v>
      </c>
      <c r="J339" s="62"/>
      <c r="K339" s="62"/>
      <c r="L339" s="58">
        <f t="shared" si="26"/>
        <v>1</v>
      </c>
      <c r="M339" s="58">
        <f t="shared" si="27"/>
        <v>0</v>
      </c>
      <c r="N339" s="58">
        <f t="shared" si="28"/>
        <v>0</v>
      </c>
      <c r="O339" s="58">
        <f t="shared" si="29"/>
        <v>1</v>
      </c>
      <c r="P339" s="5" t="s">
        <v>845</v>
      </c>
      <c r="Q339" s="5" t="s">
        <v>281</v>
      </c>
    </row>
    <row r="340" spans="1:18">
      <c r="A340" s="59">
        <v>41945</v>
      </c>
      <c r="B340" s="60" t="str">
        <f t="shared" si="25"/>
        <v>Sun</v>
      </c>
      <c r="C340" s="60" t="s">
        <v>442</v>
      </c>
      <c r="D340" s="60" t="s">
        <v>443</v>
      </c>
      <c r="E340" s="60" t="s">
        <v>165</v>
      </c>
      <c r="F340" s="60" t="s">
        <v>444</v>
      </c>
      <c r="G340" s="60" t="s">
        <v>445</v>
      </c>
      <c r="H340" s="60"/>
      <c r="I340" s="117">
        <v>710</v>
      </c>
      <c r="J340" s="62"/>
      <c r="K340" s="62"/>
      <c r="L340" s="58">
        <f t="shared" si="26"/>
        <v>1</v>
      </c>
      <c r="M340" s="58">
        <f t="shared" si="27"/>
        <v>1</v>
      </c>
      <c r="N340" s="58">
        <f t="shared" si="28"/>
        <v>0</v>
      </c>
      <c r="O340" s="58">
        <f t="shared" si="29"/>
        <v>2</v>
      </c>
      <c r="P340" s="5" t="s">
        <v>867</v>
      </c>
      <c r="Q340" s="5" t="s">
        <v>281</v>
      </c>
    </row>
    <row r="341" spans="1:18">
      <c r="A341" s="59">
        <v>41946</v>
      </c>
      <c r="B341" s="60" t="str">
        <f t="shared" si="25"/>
        <v>Mon</v>
      </c>
      <c r="C341" s="60" t="s">
        <v>442</v>
      </c>
      <c r="D341" s="60" t="s">
        <v>443</v>
      </c>
      <c r="E341" s="60" t="s">
        <v>10</v>
      </c>
      <c r="F341" s="60" t="s">
        <v>10</v>
      </c>
      <c r="G341" s="60"/>
      <c r="H341" s="60"/>
      <c r="I341" s="117">
        <v>1110</v>
      </c>
      <c r="J341" s="62"/>
      <c r="K341" s="62"/>
      <c r="L341" s="58">
        <f t="shared" si="26"/>
        <v>0</v>
      </c>
      <c r="M341" s="58">
        <f t="shared" si="27"/>
        <v>0</v>
      </c>
      <c r="N341" s="58">
        <f t="shared" si="28"/>
        <v>0</v>
      </c>
      <c r="O341" s="58">
        <f t="shared" si="29"/>
        <v>0</v>
      </c>
      <c r="P341" s="5" t="s">
        <v>10</v>
      </c>
    </row>
    <row r="342" spans="1:18">
      <c r="A342" s="59">
        <v>41947</v>
      </c>
      <c r="B342" s="60" t="str">
        <f t="shared" si="25"/>
        <v>Tue</v>
      </c>
      <c r="C342" s="60" t="s">
        <v>442</v>
      </c>
      <c r="D342" s="60" t="s">
        <v>443</v>
      </c>
      <c r="E342" s="60" t="s">
        <v>10</v>
      </c>
      <c r="F342" s="60" t="s">
        <v>10</v>
      </c>
      <c r="G342" s="60"/>
      <c r="H342" s="60"/>
      <c r="I342" s="117">
        <v>877</v>
      </c>
      <c r="J342" s="62"/>
      <c r="K342" s="62"/>
      <c r="L342" s="58">
        <f t="shared" si="26"/>
        <v>0</v>
      </c>
      <c r="M342" s="58">
        <f t="shared" si="27"/>
        <v>0</v>
      </c>
      <c r="N342" s="58">
        <f t="shared" si="28"/>
        <v>0</v>
      </c>
      <c r="O342" s="58">
        <f t="shared" si="29"/>
        <v>0</v>
      </c>
      <c r="P342" s="5" t="s">
        <v>10</v>
      </c>
    </row>
    <row r="343" spans="1:18">
      <c r="A343" s="59">
        <v>41948</v>
      </c>
      <c r="B343" s="60" t="str">
        <f t="shared" si="25"/>
        <v>Wed</v>
      </c>
      <c r="C343" s="60" t="s">
        <v>442</v>
      </c>
      <c r="D343" s="60" t="s">
        <v>443</v>
      </c>
      <c r="E343" s="59" t="s">
        <v>740</v>
      </c>
      <c r="F343" s="60" t="s">
        <v>446</v>
      </c>
      <c r="G343" s="60" t="s">
        <v>447</v>
      </c>
      <c r="H343" s="60"/>
      <c r="I343" s="117">
        <v>1529</v>
      </c>
      <c r="J343" s="62"/>
      <c r="K343" s="62"/>
      <c r="L343" s="58">
        <f t="shared" si="26"/>
        <v>1</v>
      </c>
      <c r="M343" s="58">
        <f t="shared" si="27"/>
        <v>1</v>
      </c>
      <c r="N343" s="58">
        <f t="shared" si="28"/>
        <v>0</v>
      </c>
      <c r="O343" s="58">
        <f t="shared" si="29"/>
        <v>2</v>
      </c>
      <c r="P343" s="5" t="s">
        <v>857</v>
      </c>
      <c r="Q343" s="5">
        <v>15</v>
      </c>
      <c r="R343" s="5" t="s">
        <v>902</v>
      </c>
    </row>
    <row r="344" spans="1:18">
      <c r="A344" s="59">
        <v>41949</v>
      </c>
      <c r="B344" s="60" t="str">
        <f t="shared" si="25"/>
        <v>Thu</v>
      </c>
      <c r="C344" s="60" t="s">
        <v>442</v>
      </c>
      <c r="D344" s="60" t="s">
        <v>443</v>
      </c>
      <c r="E344" s="59" t="s">
        <v>740</v>
      </c>
      <c r="F344" s="60" t="s">
        <v>448</v>
      </c>
      <c r="G344" s="60" t="s">
        <v>449</v>
      </c>
      <c r="H344" s="60"/>
      <c r="I344" s="117">
        <v>1719</v>
      </c>
      <c r="J344" s="62"/>
      <c r="K344" s="62"/>
      <c r="L344" s="58">
        <f t="shared" si="26"/>
        <v>1</v>
      </c>
      <c r="M344" s="58">
        <f t="shared" si="27"/>
        <v>1</v>
      </c>
      <c r="N344" s="58">
        <f t="shared" si="28"/>
        <v>0</v>
      </c>
      <c r="O344" s="58">
        <f t="shared" si="29"/>
        <v>2</v>
      </c>
      <c r="P344" s="5" t="s">
        <v>857</v>
      </c>
      <c r="Q344" s="5">
        <v>15</v>
      </c>
      <c r="R344" s="5" t="s">
        <v>902</v>
      </c>
    </row>
    <row r="345" spans="1:18">
      <c r="A345" s="59">
        <v>41950</v>
      </c>
      <c r="B345" s="60" t="str">
        <f t="shared" si="25"/>
        <v>Fri</v>
      </c>
      <c r="C345" s="60" t="s">
        <v>442</v>
      </c>
      <c r="D345" s="60" t="s">
        <v>443</v>
      </c>
      <c r="E345" s="59" t="s">
        <v>252</v>
      </c>
      <c r="F345" s="60" t="s">
        <v>450</v>
      </c>
      <c r="G345" s="60"/>
      <c r="H345" s="60"/>
      <c r="I345" s="117">
        <v>1352</v>
      </c>
      <c r="J345" s="62"/>
      <c r="K345" s="62"/>
      <c r="L345" s="58">
        <f t="shared" si="26"/>
        <v>1</v>
      </c>
      <c r="M345" s="58">
        <f t="shared" si="27"/>
        <v>0</v>
      </c>
      <c r="N345" s="58">
        <f t="shared" si="28"/>
        <v>0</v>
      </c>
      <c r="O345" s="58">
        <f t="shared" si="29"/>
        <v>1</v>
      </c>
      <c r="P345" s="5" t="s">
        <v>252</v>
      </c>
    </row>
    <row r="346" spans="1:18">
      <c r="A346" s="59">
        <v>41951</v>
      </c>
      <c r="B346" s="60" t="str">
        <f t="shared" si="25"/>
        <v>Sat</v>
      </c>
      <c r="C346" s="60" t="s">
        <v>442</v>
      </c>
      <c r="D346" s="60" t="s">
        <v>443</v>
      </c>
      <c r="E346" s="60" t="s">
        <v>10</v>
      </c>
      <c r="F346" s="60" t="s">
        <v>10</v>
      </c>
      <c r="G346" s="60"/>
      <c r="H346" s="60"/>
      <c r="I346" s="117">
        <v>978</v>
      </c>
      <c r="J346" s="62"/>
      <c r="K346" s="62"/>
      <c r="L346" s="58">
        <f t="shared" si="26"/>
        <v>0</v>
      </c>
      <c r="M346" s="58">
        <f t="shared" si="27"/>
        <v>0</v>
      </c>
      <c r="N346" s="58">
        <f t="shared" si="28"/>
        <v>0</v>
      </c>
      <c r="O346" s="58">
        <f t="shared" si="29"/>
        <v>0</v>
      </c>
      <c r="P346" s="5" t="s">
        <v>10</v>
      </c>
    </row>
    <row r="347" spans="1:18">
      <c r="A347" s="59">
        <v>41952</v>
      </c>
      <c r="B347" s="60" t="str">
        <f t="shared" si="25"/>
        <v>Sun</v>
      </c>
      <c r="C347" s="60" t="s">
        <v>442</v>
      </c>
      <c r="D347" s="60" t="s">
        <v>451</v>
      </c>
      <c r="E347" s="59" t="s">
        <v>452</v>
      </c>
      <c r="F347" s="60" t="s">
        <v>453</v>
      </c>
      <c r="G347" s="60"/>
      <c r="H347" s="60"/>
      <c r="I347" s="117">
        <v>838</v>
      </c>
      <c r="J347" s="62"/>
      <c r="K347" s="62"/>
      <c r="L347" s="58">
        <f t="shared" si="26"/>
        <v>1</v>
      </c>
      <c r="M347" s="58">
        <f t="shared" si="27"/>
        <v>0</v>
      </c>
      <c r="N347" s="58">
        <f t="shared" si="28"/>
        <v>0</v>
      </c>
      <c r="O347" s="58">
        <f t="shared" si="29"/>
        <v>1</v>
      </c>
      <c r="P347" s="5" t="s">
        <v>845</v>
      </c>
      <c r="Q347" s="5" t="s">
        <v>903</v>
      </c>
    </row>
    <row r="348" spans="1:18">
      <c r="A348" s="59">
        <v>41953</v>
      </c>
      <c r="B348" s="60" t="str">
        <f t="shared" si="25"/>
        <v>Mon</v>
      </c>
      <c r="C348" s="60" t="s">
        <v>442</v>
      </c>
      <c r="D348" s="60" t="s">
        <v>451</v>
      </c>
      <c r="E348" s="60" t="s">
        <v>10</v>
      </c>
      <c r="F348" s="60" t="s">
        <v>10</v>
      </c>
      <c r="G348" s="60"/>
      <c r="H348" s="60"/>
      <c r="I348" s="117">
        <v>1166</v>
      </c>
      <c r="J348" s="62"/>
      <c r="K348" s="62"/>
      <c r="L348" s="58">
        <f t="shared" si="26"/>
        <v>0</v>
      </c>
      <c r="M348" s="58">
        <f t="shared" si="27"/>
        <v>0</v>
      </c>
      <c r="N348" s="58">
        <f t="shared" si="28"/>
        <v>0</v>
      </c>
      <c r="O348" s="58">
        <f t="shared" si="29"/>
        <v>0</v>
      </c>
      <c r="P348" s="5" t="s">
        <v>10</v>
      </c>
    </row>
    <row r="349" spans="1:18">
      <c r="A349" s="59">
        <v>41954</v>
      </c>
      <c r="B349" s="60" t="str">
        <f t="shared" si="25"/>
        <v>Tue</v>
      </c>
      <c r="C349" s="60" t="s">
        <v>442</v>
      </c>
      <c r="D349" s="60" t="s">
        <v>451</v>
      </c>
      <c r="E349" s="60" t="s">
        <v>17</v>
      </c>
      <c r="F349" s="60" t="s">
        <v>454</v>
      </c>
      <c r="G349" s="60" t="s">
        <v>455</v>
      </c>
      <c r="H349" s="60"/>
      <c r="I349" s="117">
        <v>1349</v>
      </c>
      <c r="J349" s="62"/>
      <c r="K349" s="62"/>
      <c r="L349" s="58">
        <f t="shared" si="26"/>
        <v>1</v>
      </c>
      <c r="M349" s="58">
        <f t="shared" si="27"/>
        <v>1</v>
      </c>
      <c r="N349" s="58">
        <f t="shared" si="28"/>
        <v>0</v>
      </c>
      <c r="O349" s="58">
        <f t="shared" si="29"/>
        <v>2</v>
      </c>
      <c r="P349" s="5" t="s">
        <v>17</v>
      </c>
    </row>
    <row r="350" spans="1:18">
      <c r="A350" s="59">
        <v>41955</v>
      </c>
      <c r="B350" s="60" t="str">
        <f t="shared" si="25"/>
        <v>Wed</v>
      </c>
      <c r="C350" s="60" t="s">
        <v>442</v>
      </c>
      <c r="D350" s="60" t="s">
        <v>451</v>
      </c>
      <c r="E350" s="60" t="s">
        <v>17</v>
      </c>
      <c r="F350" s="60" t="s">
        <v>456</v>
      </c>
      <c r="G350" s="60"/>
      <c r="H350" s="60"/>
      <c r="I350" s="117">
        <v>1179</v>
      </c>
      <c r="J350" s="62"/>
      <c r="K350" s="62"/>
      <c r="L350" s="58">
        <f t="shared" si="26"/>
        <v>1</v>
      </c>
      <c r="M350" s="58">
        <f t="shared" si="27"/>
        <v>0</v>
      </c>
      <c r="N350" s="58">
        <f t="shared" si="28"/>
        <v>0</v>
      </c>
      <c r="O350" s="58">
        <f t="shared" si="29"/>
        <v>1</v>
      </c>
      <c r="P350" s="5" t="s">
        <v>17</v>
      </c>
    </row>
    <row r="351" spans="1:18">
      <c r="A351" s="59">
        <v>41956</v>
      </c>
      <c r="B351" s="60" t="str">
        <f t="shared" si="25"/>
        <v>Thu</v>
      </c>
      <c r="C351" s="60" t="s">
        <v>442</v>
      </c>
      <c r="D351" s="60" t="s">
        <v>451</v>
      </c>
      <c r="E351" s="60" t="s">
        <v>17</v>
      </c>
      <c r="F351" s="60" t="s">
        <v>457</v>
      </c>
      <c r="G351" s="60"/>
      <c r="H351" s="60"/>
      <c r="I351" s="117">
        <v>1082</v>
      </c>
      <c r="J351" s="62"/>
      <c r="K351" s="62"/>
      <c r="L351" s="58">
        <f t="shared" si="26"/>
        <v>1</v>
      </c>
      <c r="M351" s="58">
        <f t="shared" si="27"/>
        <v>0</v>
      </c>
      <c r="N351" s="58">
        <f t="shared" si="28"/>
        <v>0</v>
      </c>
      <c r="O351" s="58">
        <f t="shared" si="29"/>
        <v>1</v>
      </c>
      <c r="P351" s="5" t="s">
        <v>17</v>
      </c>
    </row>
    <row r="352" spans="1:18">
      <c r="A352" s="59">
        <v>41957</v>
      </c>
      <c r="B352" s="60" t="str">
        <f t="shared" si="25"/>
        <v>Fri</v>
      </c>
      <c r="C352" s="60" t="s">
        <v>442</v>
      </c>
      <c r="D352" s="60" t="s">
        <v>451</v>
      </c>
      <c r="E352" s="60" t="s">
        <v>458</v>
      </c>
      <c r="F352" s="60" t="s">
        <v>459</v>
      </c>
      <c r="G352" s="60"/>
      <c r="H352" s="60"/>
      <c r="I352" s="117">
        <v>1486</v>
      </c>
      <c r="J352" s="62"/>
      <c r="K352" s="62"/>
      <c r="L352" s="58">
        <f t="shared" si="26"/>
        <v>1</v>
      </c>
      <c r="M352" s="58">
        <f t="shared" si="27"/>
        <v>0</v>
      </c>
      <c r="N352" s="58">
        <f t="shared" si="28"/>
        <v>0</v>
      </c>
      <c r="O352" s="58">
        <f t="shared" si="29"/>
        <v>1</v>
      </c>
      <c r="P352" s="5" t="s">
        <v>868</v>
      </c>
      <c r="Q352" s="5" t="s">
        <v>904</v>
      </c>
    </row>
    <row r="353" spans="1:17">
      <c r="A353" s="59">
        <v>41958</v>
      </c>
      <c r="B353" s="60" t="str">
        <f t="shared" si="25"/>
        <v>Sat</v>
      </c>
      <c r="C353" s="60" t="s">
        <v>442</v>
      </c>
      <c r="D353" s="60" t="s">
        <v>451</v>
      </c>
      <c r="E353" s="60" t="s">
        <v>458</v>
      </c>
      <c r="F353" s="60" t="s">
        <v>459</v>
      </c>
      <c r="G353" s="60"/>
      <c r="H353" s="60"/>
      <c r="I353" s="117">
        <v>1236</v>
      </c>
      <c r="J353" s="62"/>
      <c r="K353" s="62"/>
      <c r="L353" s="58">
        <f t="shared" si="26"/>
        <v>1</v>
      </c>
      <c r="M353" s="58">
        <f t="shared" si="27"/>
        <v>0</v>
      </c>
      <c r="N353" s="58">
        <f t="shared" si="28"/>
        <v>0</v>
      </c>
      <c r="O353" s="58">
        <f t="shared" si="29"/>
        <v>1</v>
      </c>
      <c r="P353" s="5" t="s">
        <v>868</v>
      </c>
      <c r="Q353" s="5" t="s">
        <v>904</v>
      </c>
    </row>
    <row r="354" spans="1:17">
      <c r="A354" s="59">
        <v>41959</v>
      </c>
      <c r="B354" s="60" t="str">
        <f t="shared" si="25"/>
        <v>Sun</v>
      </c>
      <c r="C354" s="60" t="s">
        <v>442</v>
      </c>
      <c r="D354" s="60" t="s">
        <v>460</v>
      </c>
      <c r="E354" s="59" t="s">
        <v>48</v>
      </c>
      <c r="F354" s="60" t="s">
        <v>461</v>
      </c>
      <c r="G354" s="60" t="s">
        <v>462</v>
      </c>
      <c r="H354" s="60"/>
      <c r="I354" s="117">
        <v>741</v>
      </c>
      <c r="J354" s="62"/>
      <c r="K354" s="62"/>
      <c r="L354" s="58">
        <f t="shared" si="26"/>
        <v>1</v>
      </c>
      <c r="M354" s="58">
        <f t="shared" si="27"/>
        <v>1</v>
      </c>
      <c r="N354" s="58">
        <f t="shared" si="28"/>
        <v>0</v>
      </c>
      <c r="O354" s="58">
        <f t="shared" si="29"/>
        <v>2</v>
      </c>
      <c r="P354" s="5" t="s">
        <v>837</v>
      </c>
      <c r="Q354" s="5" t="s">
        <v>281</v>
      </c>
    </row>
    <row r="355" spans="1:17">
      <c r="A355" s="59">
        <v>41960</v>
      </c>
      <c r="B355" s="60" t="str">
        <f t="shared" si="25"/>
        <v>Mon</v>
      </c>
      <c r="C355" s="60" t="s">
        <v>442</v>
      </c>
      <c r="D355" s="60" t="s">
        <v>460</v>
      </c>
      <c r="E355" s="60" t="s">
        <v>367</v>
      </c>
      <c r="F355" s="60" t="s">
        <v>463</v>
      </c>
      <c r="G355" s="60" t="s">
        <v>464</v>
      </c>
      <c r="H355" s="60"/>
      <c r="I355" s="117">
        <v>1434</v>
      </c>
      <c r="J355" s="62"/>
      <c r="K355" s="62"/>
      <c r="L355" s="58">
        <f t="shared" si="26"/>
        <v>1</v>
      </c>
      <c r="M355" s="58">
        <f t="shared" si="27"/>
        <v>1</v>
      </c>
      <c r="N355" s="58">
        <f t="shared" si="28"/>
        <v>0</v>
      </c>
      <c r="O355" s="58">
        <f t="shared" si="29"/>
        <v>2</v>
      </c>
      <c r="P355" s="5" t="s">
        <v>893</v>
      </c>
      <c r="Q355" s="5" t="s">
        <v>281</v>
      </c>
    </row>
    <row r="356" spans="1:17">
      <c r="A356" s="59">
        <v>41961</v>
      </c>
      <c r="B356" s="60" t="str">
        <f t="shared" si="25"/>
        <v>Tue</v>
      </c>
      <c r="C356" s="60" t="s">
        <v>442</v>
      </c>
      <c r="D356" s="60" t="s">
        <v>460</v>
      </c>
      <c r="E356" s="59" t="s">
        <v>48</v>
      </c>
      <c r="F356" s="60" t="s">
        <v>465</v>
      </c>
      <c r="G356" s="60"/>
      <c r="H356" s="60"/>
      <c r="I356" s="117">
        <v>1141</v>
      </c>
      <c r="J356" s="62"/>
      <c r="K356" s="62"/>
      <c r="L356" s="58">
        <f t="shared" si="26"/>
        <v>1</v>
      </c>
      <c r="M356" s="58">
        <f t="shared" si="27"/>
        <v>0</v>
      </c>
      <c r="N356" s="58">
        <f t="shared" si="28"/>
        <v>0</v>
      </c>
      <c r="O356" s="58">
        <f t="shared" si="29"/>
        <v>1</v>
      </c>
      <c r="P356" s="5" t="s">
        <v>837</v>
      </c>
      <c r="Q356" s="5" t="s">
        <v>281</v>
      </c>
    </row>
    <row r="357" spans="1:17">
      <c r="A357" s="59">
        <v>41962</v>
      </c>
      <c r="B357" s="60" t="str">
        <f t="shared" si="25"/>
        <v>Wed</v>
      </c>
      <c r="C357" s="60" t="s">
        <v>442</v>
      </c>
      <c r="D357" s="60" t="s">
        <v>460</v>
      </c>
      <c r="E357" s="61" t="s">
        <v>466</v>
      </c>
      <c r="F357" s="60" t="s">
        <v>467</v>
      </c>
      <c r="G357" s="60"/>
      <c r="H357" s="60"/>
      <c r="I357" s="117">
        <v>1214</v>
      </c>
      <c r="J357" s="62"/>
      <c r="K357" s="62"/>
      <c r="L357" s="58">
        <f t="shared" si="26"/>
        <v>1</v>
      </c>
      <c r="M357" s="58">
        <f t="shared" si="27"/>
        <v>0</v>
      </c>
      <c r="N357" s="58">
        <f t="shared" si="28"/>
        <v>0</v>
      </c>
      <c r="O357" s="58">
        <f t="shared" si="29"/>
        <v>1</v>
      </c>
      <c r="P357" s="5" t="s">
        <v>905</v>
      </c>
      <c r="Q357" s="5" t="s">
        <v>281</v>
      </c>
    </row>
    <row r="358" spans="1:17">
      <c r="A358" s="59">
        <v>41963</v>
      </c>
      <c r="B358" s="60" t="str">
        <f t="shared" si="25"/>
        <v>Thu</v>
      </c>
      <c r="C358" s="60" t="s">
        <v>442</v>
      </c>
      <c r="D358" s="60" t="s">
        <v>460</v>
      </c>
      <c r="E358" s="59" t="s">
        <v>48</v>
      </c>
      <c r="F358" s="60" t="s">
        <v>457</v>
      </c>
      <c r="G358" s="60"/>
      <c r="H358" s="60"/>
      <c r="I358" s="117">
        <v>1112</v>
      </c>
      <c r="J358" s="62"/>
      <c r="K358" s="62"/>
      <c r="L358" s="58">
        <f t="shared" si="26"/>
        <v>1</v>
      </c>
      <c r="M358" s="58">
        <f t="shared" si="27"/>
        <v>0</v>
      </c>
      <c r="N358" s="58">
        <f t="shared" si="28"/>
        <v>0</v>
      </c>
      <c r="O358" s="58">
        <f t="shared" si="29"/>
        <v>1</v>
      </c>
      <c r="P358" s="5" t="s">
        <v>837</v>
      </c>
      <c r="Q358" s="5" t="s">
        <v>281</v>
      </c>
    </row>
    <row r="359" spans="1:17">
      <c r="A359" s="59">
        <v>41964</v>
      </c>
      <c r="B359" s="60" t="str">
        <f t="shared" si="25"/>
        <v>Fri</v>
      </c>
      <c r="C359" s="60" t="s">
        <v>442</v>
      </c>
      <c r="D359" s="60" t="s">
        <v>460</v>
      </c>
      <c r="E359" s="60" t="s">
        <v>17</v>
      </c>
      <c r="F359" s="60" t="s">
        <v>454</v>
      </c>
      <c r="G359" s="60" t="s">
        <v>455</v>
      </c>
      <c r="H359" s="60"/>
      <c r="I359" s="117">
        <v>1368</v>
      </c>
      <c r="J359" s="62"/>
      <c r="K359" s="62"/>
      <c r="L359" s="58">
        <f t="shared" si="26"/>
        <v>1</v>
      </c>
      <c r="M359" s="58">
        <f t="shared" si="27"/>
        <v>1</v>
      </c>
      <c r="N359" s="58">
        <f t="shared" si="28"/>
        <v>0</v>
      </c>
      <c r="O359" s="58">
        <f t="shared" si="29"/>
        <v>2</v>
      </c>
      <c r="P359" s="5" t="s">
        <v>17</v>
      </c>
    </row>
    <row r="360" spans="1:17">
      <c r="A360" s="59">
        <v>41965</v>
      </c>
      <c r="B360" s="60" t="str">
        <f t="shared" ref="B360:B423" si="30">TEXT(A360,"DDD")</f>
        <v>Sat</v>
      </c>
      <c r="C360" s="60" t="s">
        <v>442</v>
      </c>
      <c r="D360" s="60" t="s">
        <v>460</v>
      </c>
      <c r="E360" s="59" t="s">
        <v>252</v>
      </c>
      <c r="F360" s="60" t="s">
        <v>450</v>
      </c>
      <c r="G360" s="60"/>
      <c r="H360" s="60"/>
      <c r="I360" s="117">
        <v>965</v>
      </c>
      <c r="J360" s="62"/>
      <c r="K360" s="62"/>
      <c r="L360" s="58">
        <f t="shared" ref="L360:L423" si="31">IF(E360=$L$1,0,1)</f>
        <v>1</v>
      </c>
      <c r="M360" s="58">
        <f t="shared" ref="M360:M423" si="32">IF(ISBLANK(G360),0,1)</f>
        <v>0</v>
      </c>
      <c r="N360" s="58">
        <f t="shared" ref="N360:N423" si="33">IF(ISBLANK(H360),0,1)</f>
        <v>0</v>
      </c>
      <c r="O360" s="58">
        <f t="shared" ref="O360:O423" si="34">SUM(L360:N360)</f>
        <v>1</v>
      </c>
      <c r="P360" s="5" t="s">
        <v>252</v>
      </c>
    </row>
    <row r="361" spans="1:17">
      <c r="A361" s="59">
        <v>41966</v>
      </c>
      <c r="B361" s="60" t="str">
        <f t="shared" si="30"/>
        <v>Sun</v>
      </c>
      <c r="C361" s="60" t="s">
        <v>442</v>
      </c>
      <c r="D361" s="60" t="s">
        <v>468</v>
      </c>
      <c r="E361" s="59" t="s">
        <v>469</v>
      </c>
      <c r="F361" s="60" t="s">
        <v>470</v>
      </c>
      <c r="G361" s="60"/>
      <c r="H361" s="60"/>
      <c r="I361" s="117">
        <v>756</v>
      </c>
      <c r="J361" s="62"/>
      <c r="K361" s="62"/>
      <c r="L361" s="58">
        <f t="shared" si="31"/>
        <v>1</v>
      </c>
      <c r="M361" s="58">
        <f t="shared" si="32"/>
        <v>0</v>
      </c>
      <c r="N361" s="58">
        <f t="shared" si="33"/>
        <v>0</v>
      </c>
      <c r="O361" s="58">
        <f t="shared" si="34"/>
        <v>1</v>
      </c>
      <c r="P361" s="5" t="s">
        <v>906</v>
      </c>
      <c r="Q361" s="5" t="s">
        <v>281</v>
      </c>
    </row>
    <row r="362" spans="1:17">
      <c r="A362" s="59">
        <v>41967</v>
      </c>
      <c r="B362" s="60" t="str">
        <f t="shared" si="30"/>
        <v>Mon</v>
      </c>
      <c r="C362" s="60" t="s">
        <v>442</v>
      </c>
      <c r="D362" s="60" t="s">
        <v>468</v>
      </c>
      <c r="E362" s="60" t="s">
        <v>10</v>
      </c>
      <c r="F362" s="60" t="s">
        <v>10</v>
      </c>
      <c r="G362" s="60"/>
      <c r="H362" s="60"/>
      <c r="I362" s="117">
        <v>1401</v>
      </c>
      <c r="J362" s="62"/>
      <c r="K362" s="62"/>
      <c r="L362" s="58">
        <f t="shared" si="31"/>
        <v>0</v>
      </c>
      <c r="M362" s="58">
        <f t="shared" si="32"/>
        <v>0</v>
      </c>
      <c r="N362" s="58">
        <f t="shared" si="33"/>
        <v>0</v>
      </c>
      <c r="O362" s="58">
        <f t="shared" si="34"/>
        <v>0</v>
      </c>
      <c r="P362" s="5" t="s">
        <v>10</v>
      </c>
    </row>
    <row r="363" spans="1:17">
      <c r="A363" s="59">
        <v>41968</v>
      </c>
      <c r="B363" s="60" t="str">
        <f t="shared" si="30"/>
        <v>Tue</v>
      </c>
      <c r="C363" s="60" t="s">
        <v>442</v>
      </c>
      <c r="D363" s="60" t="s">
        <v>468</v>
      </c>
      <c r="E363" s="59" t="s">
        <v>469</v>
      </c>
      <c r="F363" s="60" t="s">
        <v>470</v>
      </c>
      <c r="G363" s="60"/>
      <c r="H363" s="60"/>
      <c r="I363" s="117">
        <v>1249</v>
      </c>
      <c r="J363" s="62"/>
      <c r="K363" s="62"/>
      <c r="L363" s="58">
        <f t="shared" si="31"/>
        <v>1</v>
      </c>
      <c r="M363" s="58">
        <f t="shared" si="32"/>
        <v>0</v>
      </c>
      <c r="N363" s="58">
        <f t="shared" si="33"/>
        <v>0</v>
      </c>
      <c r="O363" s="58">
        <f t="shared" si="34"/>
        <v>1</v>
      </c>
      <c r="P363" s="5" t="s">
        <v>906</v>
      </c>
      <c r="Q363" s="5" t="s">
        <v>281</v>
      </c>
    </row>
    <row r="364" spans="1:17">
      <c r="A364" s="59">
        <v>41969</v>
      </c>
      <c r="B364" s="60" t="str">
        <f t="shared" si="30"/>
        <v>Wed</v>
      </c>
      <c r="C364" s="60" t="s">
        <v>442</v>
      </c>
      <c r="D364" s="60" t="s">
        <v>468</v>
      </c>
      <c r="E364" s="59" t="s">
        <v>469</v>
      </c>
      <c r="F364" s="60" t="s">
        <v>470</v>
      </c>
      <c r="G364" s="60"/>
      <c r="H364" s="60"/>
      <c r="I364" s="117">
        <v>1062</v>
      </c>
      <c r="J364" s="62"/>
      <c r="K364" s="62"/>
      <c r="L364" s="58">
        <f t="shared" si="31"/>
        <v>1</v>
      </c>
      <c r="M364" s="58">
        <f t="shared" si="32"/>
        <v>0</v>
      </c>
      <c r="N364" s="58">
        <f t="shared" si="33"/>
        <v>0</v>
      </c>
      <c r="O364" s="58">
        <f t="shared" si="34"/>
        <v>1</v>
      </c>
      <c r="P364" s="5" t="s">
        <v>906</v>
      </c>
      <c r="Q364" s="5" t="s">
        <v>281</v>
      </c>
    </row>
    <row r="365" spans="1:17">
      <c r="A365" s="59">
        <v>41970</v>
      </c>
      <c r="B365" s="60" t="str">
        <f t="shared" si="30"/>
        <v>Thu</v>
      </c>
      <c r="C365" s="60" t="s">
        <v>442</v>
      </c>
      <c r="D365" s="60" t="s">
        <v>468</v>
      </c>
      <c r="E365" s="60" t="s">
        <v>471</v>
      </c>
      <c r="F365" s="60" t="s">
        <v>472</v>
      </c>
      <c r="G365" s="60"/>
      <c r="H365" s="60"/>
      <c r="I365" s="117">
        <v>715</v>
      </c>
      <c r="J365" s="62"/>
      <c r="K365" s="62"/>
      <c r="L365" s="58">
        <f t="shared" si="31"/>
        <v>1</v>
      </c>
      <c r="M365" s="58">
        <f t="shared" si="32"/>
        <v>0</v>
      </c>
      <c r="N365" s="58">
        <f t="shared" si="33"/>
        <v>0</v>
      </c>
      <c r="O365" s="58">
        <f t="shared" si="34"/>
        <v>1</v>
      </c>
      <c r="P365" s="5" t="s">
        <v>471</v>
      </c>
    </row>
    <row r="366" spans="1:17">
      <c r="A366" s="59">
        <v>41971</v>
      </c>
      <c r="B366" s="60" t="str">
        <f t="shared" si="30"/>
        <v>Fri</v>
      </c>
      <c r="C366" s="60" t="s">
        <v>442</v>
      </c>
      <c r="D366" s="60" t="s">
        <v>468</v>
      </c>
      <c r="E366" s="60" t="s">
        <v>29</v>
      </c>
      <c r="F366" s="60" t="s">
        <v>473</v>
      </c>
      <c r="G366" s="60"/>
      <c r="H366" s="60"/>
      <c r="I366" s="117">
        <v>1473</v>
      </c>
      <c r="J366" s="62"/>
      <c r="K366" s="62"/>
      <c r="L366" s="58">
        <f t="shared" si="31"/>
        <v>1</v>
      </c>
      <c r="M366" s="58">
        <f t="shared" si="32"/>
        <v>0</v>
      </c>
      <c r="N366" s="58">
        <f t="shared" si="33"/>
        <v>0</v>
      </c>
      <c r="O366" s="58">
        <f t="shared" si="34"/>
        <v>1</v>
      </c>
      <c r="P366" s="5" t="s">
        <v>29</v>
      </c>
    </row>
    <row r="367" spans="1:17">
      <c r="A367" s="59">
        <v>41972</v>
      </c>
      <c r="B367" s="60" t="str">
        <f t="shared" si="30"/>
        <v>Sat</v>
      </c>
      <c r="C367" s="60" t="s">
        <v>442</v>
      </c>
      <c r="D367" s="60" t="s">
        <v>468</v>
      </c>
      <c r="E367" s="60" t="s">
        <v>29</v>
      </c>
      <c r="F367" s="60" t="s">
        <v>473</v>
      </c>
      <c r="G367" s="60"/>
      <c r="H367" s="60"/>
      <c r="I367" s="117">
        <v>1083</v>
      </c>
      <c r="J367" s="62"/>
      <c r="K367" s="62"/>
      <c r="L367" s="58">
        <f t="shared" si="31"/>
        <v>1</v>
      </c>
      <c r="M367" s="58">
        <f t="shared" si="32"/>
        <v>0</v>
      </c>
      <c r="N367" s="58">
        <f t="shared" si="33"/>
        <v>0</v>
      </c>
      <c r="O367" s="58">
        <f t="shared" si="34"/>
        <v>1</v>
      </c>
      <c r="P367" s="5" t="s">
        <v>29</v>
      </c>
    </row>
    <row r="368" spans="1:17">
      <c r="A368" s="59">
        <v>41973</v>
      </c>
      <c r="B368" s="60" t="str">
        <f t="shared" si="30"/>
        <v>Sun</v>
      </c>
      <c r="C368" s="60" t="s">
        <v>474</v>
      </c>
      <c r="D368" s="60" t="s">
        <v>28</v>
      </c>
      <c r="E368" s="60" t="s">
        <v>32</v>
      </c>
      <c r="F368" s="60" t="s">
        <v>475</v>
      </c>
      <c r="G368" s="60"/>
      <c r="H368" s="60"/>
      <c r="I368" s="117">
        <v>948</v>
      </c>
      <c r="J368" s="62"/>
      <c r="K368" s="62"/>
      <c r="L368" s="58">
        <f t="shared" si="31"/>
        <v>1</v>
      </c>
      <c r="M368" s="58">
        <f t="shared" si="32"/>
        <v>0</v>
      </c>
      <c r="N368" s="58">
        <f t="shared" si="33"/>
        <v>0</v>
      </c>
      <c r="O368" s="58">
        <f t="shared" si="34"/>
        <v>1</v>
      </c>
      <c r="P368" s="5" t="s">
        <v>32</v>
      </c>
    </row>
    <row r="369" spans="1:17">
      <c r="A369" s="59">
        <v>41974</v>
      </c>
      <c r="B369" s="60" t="str">
        <f t="shared" si="30"/>
        <v>Mon</v>
      </c>
      <c r="C369" s="60" t="s">
        <v>474</v>
      </c>
      <c r="D369" s="60" t="s">
        <v>28</v>
      </c>
      <c r="E369" s="60" t="s">
        <v>32</v>
      </c>
      <c r="F369" s="60" t="s">
        <v>476</v>
      </c>
      <c r="G369" s="60" t="s">
        <v>477</v>
      </c>
      <c r="H369" s="60"/>
      <c r="I369" s="117">
        <v>2543</v>
      </c>
      <c r="J369" s="62"/>
      <c r="K369" s="62"/>
      <c r="L369" s="58">
        <f t="shared" si="31"/>
        <v>1</v>
      </c>
      <c r="M369" s="58">
        <f t="shared" si="32"/>
        <v>1</v>
      </c>
      <c r="N369" s="58">
        <f t="shared" si="33"/>
        <v>0</v>
      </c>
      <c r="O369" s="58">
        <f t="shared" si="34"/>
        <v>2</v>
      </c>
      <c r="P369" s="5" t="s">
        <v>32</v>
      </c>
    </row>
    <row r="370" spans="1:17">
      <c r="A370" s="59">
        <v>41975</v>
      </c>
      <c r="B370" s="60" t="str">
        <f t="shared" si="30"/>
        <v>Tue</v>
      </c>
      <c r="C370" s="60" t="s">
        <v>474</v>
      </c>
      <c r="D370" s="60" t="s">
        <v>28</v>
      </c>
      <c r="E370" s="60" t="s">
        <v>32</v>
      </c>
      <c r="F370" s="60" t="s">
        <v>478</v>
      </c>
      <c r="G370" s="60"/>
      <c r="H370" s="60"/>
      <c r="I370" s="117">
        <v>1685</v>
      </c>
      <c r="J370" s="62"/>
      <c r="K370" s="62"/>
      <c r="L370" s="58">
        <f t="shared" si="31"/>
        <v>1</v>
      </c>
      <c r="M370" s="58">
        <f t="shared" si="32"/>
        <v>0</v>
      </c>
      <c r="N370" s="58">
        <f t="shared" si="33"/>
        <v>0</v>
      </c>
      <c r="O370" s="58">
        <f t="shared" si="34"/>
        <v>1</v>
      </c>
      <c r="P370" s="5" t="s">
        <v>32</v>
      </c>
    </row>
    <row r="371" spans="1:17">
      <c r="A371" s="59">
        <v>41976</v>
      </c>
      <c r="B371" s="60" t="str">
        <f t="shared" si="30"/>
        <v>Wed</v>
      </c>
      <c r="C371" s="60" t="s">
        <v>474</v>
      </c>
      <c r="D371" s="60" t="s">
        <v>28</v>
      </c>
      <c r="E371" s="60" t="s">
        <v>32</v>
      </c>
      <c r="F371" s="60" t="s">
        <v>479</v>
      </c>
      <c r="G371" s="60" t="s">
        <v>480</v>
      </c>
      <c r="H371" s="60"/>
      <c r="I371" s="117">
        <v>1757</v>
      </c>
      <c r="J371" s="62"/>
      <c r="K371" s="62"/>
      <c r="L371" s="58">
        <f t="shared" si="31"/>
        <v>1</v>
      </c>
      <c r="M371" s="58">
        <f t="shared" si="32"/>
        <v>1</v>
      </c>
      <c r="N371" s="58">
        <f t="shared" si="33"/>
        <v>0</v>
      </c>
      <c r="O371" s="58">
        <f t="shared" si="34"/>
        <v>2</v>
      </c>
      <c r="P371" s="5" t="s">
        <v>32</v>
      </c>
    </row>
    <row r="372" spans="1:17">
      <c r="A372" s="59">
        <v>41977</v>
      </c>
      <c r="B372" s="60" t="str">
        <f t="shared" si="30"/>
        <v>Thu</v>
      </c>
      <c r="C372" s="60" t="s">
        <v>474</v>
      </c>
      <c r="D372" s="60" t="s">
        <v>28</v>
      </c>
      <c r="E372" s="60" t="s">
        <v>32</v>
      </c>
      <c r="F372" s="60" t="s">
        <v>481</v>
      </c>
      <c r="G372" s="60" t="s">
        <v>482</v>
      </c>
      <c r="H372" s="60"/>
      <c r="I372" s="117">
        <v>1688</v>
      </c>
      <c r="J372" s="62"/>
      <c r="K372" s="62"/>
      <c r="L372" s="58">
        <f t="shared" si="31"/>
        <v>1</v>
      </c>
      <c r="M372" s="58">
        <f t="shared" si="32"/>
        <v>1</v>
      </c>
      <c r="N372" s="58">
        <f t="shared" si="33"/>
        <v>0</v>
      </c>
      <c r="O372" s="58">
        <f t="shared" si="34"/>
        <v>2</v>
      </c>
      <c r="P372" s="5" t="s">
        <v>32</v>
      </c>
    </row>
    <row r="373" spans="1:17">
      <c r="A373" s="59">
        <v>41978</v>
      </c>
      <c r="B373" s="60" t="str">
        <f t="shared" si="30"/>
        <v>Fri</v>
      </c>
      <c r="C373" s="60" t="s">
        <v>474</v>
      </c>
      <c r="D373" s="60" t="s">
        <v>28</v>
      </c>
      <c r="E373" s="60" t="s">
        <v>32</v>
      </c>
      <c r="F373" s="60" t="s">
        <v>483</v>
      </c>
      <c r="G373" s="60"/>
      <c r="H373" s="60"/>
      <c r="I373" s="117">
        <v>1570</v>
      </c>
      <c r="J373" s="62"/>
      <c r="K373" s="62"/>
      <c r="L373" s="58">
        <f t="shared" si="31"/>
        <v>1</v>
      </c>
      <c r="M373" s="58">
        <f t="shared" si="32"/>
        <v>0</v>
      </c>
      <c r="N373" s="58">
        <f t="shared" si="33"/>
        <v>0</v>
      </c>
      <c r="O373" s="58">
        <f t="shared" si="34"/>
        <v>1</v>
      </c>
      <c r="P373" s="5" t="s">
        <v>32</v>
      </c>
    </row>
    <row r="374" spans="1:17">
      <c r="A374" s="59">
        <v>41979</v>
      </c>
      <c r="B374" s="60" t="str">
        <f t="shared" si="30"/>
        <v>Sat</v>
      </c>
      <c r="C374" s="60" t="s">
        <v>474</v>
      </c>
      <c r="D374" s="60" t="s">
        <v>28</v>
      </c>
      <c r="E374" s="60" t="s">
        <v>484</v>
      </c>
      <c r="F374" s="60" t="s">
        <v>485</v>
      </c>
      <c r="G374" s="60" t="s">
        <v>486</v>
      </c>
      <c r="H374" s="60"/>
      <c r="I374" s="117">
        <v>1184</v>
      </c>
      <c r="J374" s="62"/>
      <c r="K374" s="62"/>
      <c r="L374" s="58">
        <f t="shared" si="31"/>
        <v>1</v>
      </c>
      <c r="M374" s="58">
        <f t="shared" si="32"/>
        <v>1</v>
      </c>
      <c r="N374" s="58">
        <f t="shared" si="33"/>
        <v>0</v>
      </c>
      <c r="O374" s="58">
        <f t="shared" si="34"/>
        <v>2</v>
      </c>
      <c r="P374" s="5" t="s">
        <v>835</v>
      </c>
      <c r="Q374" s="5" t="s">
        <v>836</v>
      </c>
    </row>
    <row r="375" spans="1:17">
      <c r="A375" s="59">
        <v>41980</v>
      </c>
      <c r="B375" s="60" t="str">
        <f t="shared" si="30"/>
        <v>Sun</v>
      </c>
      <c r="C375" s="60" t="s">
        <v>474</v>
      </c>
      <c r="D375" s="60" t="s">
        <v>39</v>
      </c>
      <c r="E375" s="60" t="s">
        <v>484</v>
      </c>
      <c r="F375" s="60" t="s">
        <v>487</v>
      </c>
      <c r="G375" s="60"/>
      <c r="H375" s="60"/>
      <c r="I375" s="117">
        <v>947</v>
      </c>
      <c r="J375" s="62"/>
      <c r="K375" s="62"/>
      <c r="L375" s="58">
        <f t="shared" si="31"/>
        <v>1</v>
      </c>
      <c r="M375" s="58">
        <f t="shared" si="32"/>
        <v>0</v>
      </c>
      <c r="N375" s="58">
        <f t="shared" si="33"/>
        <v>0</v>
      </c>
      <c r="O375" s="58">
        <f t="shared" si="34"/>
        <v>1</v>
      </c>
      <c r="P375" s="5" t="s">
        <v>835</v>
      </c>
      <c r="Q375" s="5" t="s">
        <v>836</v>
      </c>
    </row>
    <row r="376" spans="1:17">
      <c r="A376" s="59">
        <v>41981</v>
      </c>
      <c r="B376" s="60" t="str">
        <f t="shared" si="30"/>
        <v>Mon</v>
      </c>
      <c r="C376" s="60" t="s">
        <v>474</v>
      </c>
      <c r="D376" s="60" t="s">
        <v>39</v>
      </c>
      <c r="E376" s="60" t="s">
        <v>488</v>
      </c>
      <c r="F376" s="60" t="s">
        <v>489</v>
      </c>
      <c r="G376" s="60" t="s">
        <v>490</v>
      </c>
      <c r="H376" s="60"/>
      <c r="I376" s="117">
        <v>1876</v>
      </c>
      <c r="J376" s="62"/>
      <c r="K376" s="62"/>
      <c r="L376" s="58">
        <f t="shared" si="31"/>
        <v>1</v>
      </c>
      <c r="M376" s="58">
        <f t="shared" si="32"/>
        <v>1</v>
      </c>
      <c r="N376" s="58">
        <f t="shared" si="33"/>
        <v>0</v>
      </c>
      <c r="O376" s="58">
        <f t="shared" si="34"/>
        <v>2</v>
      </c>
      <c r="P376" s="5" t="s">
        <v>488</v>
      </c>
    </row>
    <row r="377" spans="1:17">
      <c r="A377" s="59">
        <v>41982</v>
      </c>
      <c r="B377" s="60" t="str">
        <f t="shared" si="30"/>
        <v>Tue</v>
      </c>
      <c r="C377" s="60" t="s">
        <v>474</v>
      </c>
      <c r="D377" s="60" t="s">
        <v>39</v>
      </c>
      <c r="E377" s="60" t="s">
        <v>488</v>
      </c>
      <c r="F377" s="60" t="s">
        <v>491</v>
      </c>
      <c r="G377" s="60" t="s">
        <v>492</v>
      </c>
      <c r="H377" s="60"/>
      <c r="I377" s="117">
        <v>1904</v>
      </c>
      <c r="J377" s="62"/>
      <c r="K377" s="62"/>
      <c r="L377" s="58">
        <f t="shared" si="31"/>
        <v>1</v>
      </c>
      <c r="M377" s="58">
        <f t="shared" si="32"/>
        <v>1</v>
      </c>
      <c r="N377" s="58">
        <f t="shared" si="33"/>
        <v>0</v>
      </c>
      <c r="O377" s="58">
        <f t="shared" si="34"/>
        <v>2</v>
      </c>
      <c r="P377" s="5" t="s">
        <v>488</v>
      </c>
    </row>
    <row r="378" spans="1:17">
      <c r="A378" s="59">
        <v>41983</v>
      </c>
      <c r="B378" s="60" t="str">
        <f t="shared" si="30"/>
        <v>Wed</v>
      </c>
      <c r="C378" s="60" t="s">
        <v>474</v>
      </c>
      <c r="D378" s="60" t="s">
        <v>39</v>
      </c>
      <c r="E378" s="60" t="s">
        <v>493</v>
      </c>
      <c r="F378" s="60" t="s">
        <v>494</v>
      </c>
      <c r="G378" s="60"/>
      <c r="H378" s="60"/>
      <c r="I378" s="117">
        <v>1600</v>
      </c>
      <c r="J378" s="62"/>
      <c r="K378" s="62"/>
      <c r="L378" s="58">
        <f t="shared" si="31"/>
        <v>1</v>
      </c>
      <c r="M378" s="58">
        <f t="shared" si="32"/>
        <v>0</v>
      </c>
      <c r="N378" s="58">
        <f t="shared" si="33"/>
        <v>0</v>
      </c>
      <c r="O378" s="58">
        <f t="shared" si="34"/>
        <v>1</v>
      </c>
      <c r="P378" s="5" t="s">
        <v>870</v>
      </c>
      <c r="Q378" s="5" t="s">
        <v>281</v>
      </c>
    </row>
    <row r="379" spans="1:17">
      <c r="A379" s="59">
        <v>41984</v>
      </c>
      <c r="B379" s="60" t="str">
        <f t="shared" si="30"/>
        <v>Thu</v>
      </c>
      <c r="C379" s="60" t="s">
        <v>474</v>
      </c>
      <c r="D379" s="60" t="s">
        <v>39</v>
      </c>
      <c r="E379" s="60" t="s">
        <v>17</v>
      </c>
      <c r="F379" s="60" t="s">
        <v>495</v>
      </c>
      <c r="G379" s="60" t="s">
        <v>496</v>
      </c>
      <c r="H379" s="60"/>
      <c r="I379" s="117">
        <v>1939</v>
      </c>
      <c r="J379" s="62"/>
      <c r="K379" s="62"/>
      <c r="L379" s="58">
        <f t="shared" si="31"/>
        <v>1</v>
      </c>
      <c r="M379" s="58">
        <f t="shared" si="32"/>
        <v>1</v>
      </c>
      <c r="N379" s="58">
        <f t="shared" si="33"/>
        <v>0</v>
      </c>
      <c r="O379" s="58">
        <f t="shared" si="34"/>
        <v>2</v>
      </c>
      <c r="P379" s="5" t="s">
        <v>17</v>
      </c>
    </row>
    <row r="380" spans="1:17">
      <c r="A380" s="59">
        <v>41985</v>
      </c>
      <c r="B380" s="60" t="str">
        <f t="shared" si="30"/>
        <v>Fri</v>
      </c>
      <c r="C380" s="60" t="s">
        <v>474</v>
      </c>
      <c r="D380" s="60" t="s">
        <v>39</v>
      </c>
      <c r="E380" s="60" t="s">
        <v>17</v>
      </c>
      <c r="F380" s="60" t="s">
        <v>497</v>
      </c>
      <c r="G380" s="60" t="s">
        <v>496</v>
      </c>
      <c r="H380" s="60"/>
      <c r="I380" s="117">
        <v>1596</v>
      </c>
      <c r="J380" s="62"/>
      <c r="K380" s="62"/>
      <c r="L380" s="58">
        <f t="shared" si="31"/>
        <v>1</v>
      </c>
      <c r="M380" s="58">
        <f t="shared" si="32"/>
        <v>1</v>
      </c>
      <c r="N380" s="58">
        <f t="shared" si="33"/>
        <v>0</v>
      </c>
      <c r="O380" s="58">
        <f t="shared" si="34"/>
        <v>2</v>
      </c>
      <c r="P380" s="5" t="s">
        <v>17</v>
      </c>
    </row>
    <row r="381" spans="1:17">
      <c r="A381" s="59">
        <v>41986</v>
      </c>
      <c r="B381" s="60" t="str">
        <f t="shared" si="30"/>
        <v>Sat</v>
      </c>
      <c r="C381" s="60" t="s">
        <v>474</v>
      </c>
      <c r="D381" s="60" t="s">
        <v>39</v>
      </c>
      <c r="E381" s="59" t="s">
        <v>498</v>
      </c>
      <c r="F381" s="60" t="s">
        <v>499</v>
      </c>
      <c r="G381" s="60"/>
      <c r="H381" s="60"/>
      <c r="I381" s="117">
        <v>1225</v>
      </c>
      <c r="J381" s="62"/>
      <c r="K381" s="62"/>
      <c r="L381" s="58">
        <f t="shared" si="31"/>
        <v>1</v>
      </c>
      <c r="M381" s="58">
        <f t="shared" si="32"/>
        <v>0</v>
      </c>
      <c r="N381" s="58">
        <f t="shared" si="33"/>
        <v>0</v>
      </c>
      <c r="O381" s="58">
        <f t="shared" si="34"/>
        <v>1</v>
      </c>
      <c r="P381" s="5" t="s">
        <v>907</v>
      </c>
      <c r="Q381" s="5" t="s">
        <v>281</v>
      </c>
    </row>
    <row r="382" spans="1:17">
      <c r="A382" s="59">
        <v>41987</v>
      </c>
      <c r="B382" s="60" t="str">
        <f t="shared" si="30"/>
        <v>Sun</v>
      </c>
      <c r="C382" s="60" t="s">
        <v>474</v>
      </c>
      <c r="D382" s="60" t="s">
        <v>47</v>
      </c>
      <c r="E382" s="59" t="s">
        <v>498</v>
      </c>
      <c r="F382" s="60" t="s">
        <v>500</v>
      </c>
      <c r="G382" s="60"/>
      <c r="H382" s="60"/>
      <c r="I382" s="117">
        <v>1023</v>
      </c>
      <c r="J382" s="62"/>
      <c r="K382" s="62"/>
      <c r="L382" s="58">
        <f t="shared" si="31"/>
        <v>1</v>
      </c>
      <c r="M382" s="58">
        <f t="shared" si="32"/>
        <v>0</v>
      </c>
      <c r="N382" s="58">
        <f t="shared" si="33"/>
        <v>0</v>
      </c>
      <c r="O382" s="58">
        <f t="shared" si="34"/>
        <v>1</v>
      </c>
      <c r="P382" s="5" t="s">
        <v>907</v>
      </c>
      <c r="Q382" s="5" t="s">
        <v>281</v>
      </c>
    </row>
    <row r="383" spans="1:17">
      <c r="A383" s="59">
        <v>41988</v>
      </c>
      <c r="B383" s="60" t="str">
        <f t="shared" si="30"/>
        <v>Mon</v>
      </c>
      <c r="C383" s="60" t="s">
        <v>474</v>
      </c>
      <c r="D383" s="60" t="s">
        <v>47</v>
      </c>
      <c r="E383" s="60" t="s">
        <v>252</v>
      </c>
      <c r="F383" s="60" t="s">
        <v>501</v>
      </c>
      <c r="G383" s="60"/>
      <c r="H383" s="60"/>
      <c r="I383" s="117">
        <v>1675</v>
      </c>
      <c r="J383" s="62"/>
      <c r="K383" s="62"/>
      <c r="L383" s="58">
        <f t="shared" si="31"/>
        <v>1</v>
      </c>
      <c r="M383" s="58">
        <f t="shared" si="32"/>
        <v>0</v>
      </c>
      <c r="N383" s="58">
        <f t="shared" si="33"/>
        <v>0</v>
      </c>
      <c r="O383" s="58">
        <f t="shared" si="34"/>
        <v>1</v>
      </c>
      <c r="P383" s="5" t="s">
        <v>252</v>
      </c>
    </row>
    <row r="384" spans="1:17">
      <c r="A384" s="59">
        <v>41989</v>
      </c>
      <c r="B384" s="60" t="str">
        <f t="shared" si="30"/>
        <v>Tue</v>
      </c>
      <c r="C384" s="60" t="s">
        <v>474</v>
      </c>
      <c r="D384" s="60" t="s">
        <v>47</v>
      </c>
      <c r="E384" s="60" t="s">
        <v>252</v>
      </c>
      <c r="F384" s="60" t="s">
        <v>502</v>
      </c>
      <c r="G384" s="60"/>
      <c r="H384" s="60"/>
      <c r="I384" s="117">
        <v>1558</v>
      </c>
      <c r="J384" s="62"/>
      <c r="K384" s="62"/>
      <c r="L384" s="58">
        <f t="shared" si="31"/>
        <v>1</v>
      </c>
      <c r="M384" s="58">
        <f t="shared" si="32"/>
        <v>0</v>
      </c>
      <c r="N384" s="58">
        <f t="shared" si="33"/>
        <v>0</v>
      </c>
      <c r="O384" s="58">
        <f t="shared" si="34"/>
        <v>1</v>
      </c>
      <c r="P384" s="5" t="s">
        <v>252</v>
      </c>
    </row>
    <row r="385" spans="1:18">
      <c r="A385" s="59">
        <v>41990</v>
      </c>
      <c r="B385" s="60" t="str">
        <f t="shared" si="30"/>
        <v>Wed</v>
      </c>
      <c r="C385" s="60" t="s">
        <v>474</v>
      </c>
      <c r="D385" s="60" t="s">
        <v>47</v>
      </c>
      <c r="E385" s="60" t="s">
        <v>53</v>
      </c>
      <c r="F385" s="60" t="s">
        <v>503</v>
      </c>
      <c r="G385" s="60" t="s">
        <v>504</v>
      </c>
      <c r="H385" s="60"/>
      <c r="I385" s="117">
        <v>1598</v>
      </c>
      <c r="J385" s="62"/>
      <c r="K385" s="62"/>
      <c r="L385" s="58">
        <f t="shared" si="31"/>
        <v>1</v>
      </c>
      <c r="M385" s="58">
        <f t="shared" si="32"/>
        <v>1</v>
      </c>
      <c r="N385" s="58">
        <f t="shared" si="33"/>
        <v>0</v>
      </c>
      <c r="O385" s="58">
        <f t="shared" si="34"/>
        <v>2</v>
      </c>
      <c r="P385" s="5" t="s">
        <v>53</v>
      </c>
    </row>
    <row r="386" spans="1:18">
      <c r="A386" s="59">
        <v>41991</v>
      </c>
      <c r="B386" s="60" t="str">
        <f t="shared" si="30"/>
        <v>Thu</v>
      </c>
      <c r="C386" s="60" t="s">
        <v>474</v>
      </c>
      <c r="D386" s="60" t="s">
        <v>47</v>
      </c>
      <c r="E386" s="59" t="s">
        <v>56</v>
      </c>
      <c r="F386" s="60" t="s">
        <v>505</v>
      </c>
      <c r="G386" s="60" t="s">
        <v>506</v>
      </c>
      <c r="H386" s="60"/>
      <c r="I386" s="117">
        <v>1646</v>
      </c>
      <c r="J386" s="62"/>
      <c r="K386" s="62"/>
      <c r="L386" s="58">
        <f t="shared" si="31"/>
        <v>1</v>
      </c>
      <c r="M386" s="58">
        <f t="shared" si="32"/>
        <v>1</v>
      </c>
      <c r="N386" s="58">
        <f t="shared" si="33"/>
        <v>0</v>
      </c>
      <c r="O386" s="58">
        <f t="shared" si="34"/>
        <v>2</v>
      </c>
      <c r="P386" s="5" t="s">
        <v>838</v>
      </c>
      <c r="Q386" s="5" t="s">
        <v>839</v>
      </c>
    </row>
    <row r="387" spans="1:18">
      <c r="A387" s="59">
        <v>41992</v>
      </c>
      <c r="B387" s="60" t="str">
        <f t="shared" si="30"/>
        <v>Fri</v>
      </c>
      <c r="C387" s="60" t="s">
        <v>474</v>
      </c>
      <c r="D387" s="60" t="s">
        <v>47</v>
      </c>
      <c r="E387" s="59" t="s">
        <v>48</v>
      </c>
      <c r="F387" s="60" t="s">
        <v>507</v>
      </c>
      <c r="G387" s="60" t="s">
        <v>508</v>
      </c>
      <c r="H387" s="60"/>
      <c r="I387" s="117">
        <v>1542</v>
      </c>
      <c r="J387" s="62"/>
      <c r="K387" s="62"/>
      <c r="L387" s="58">
        <f t="shared" si="31"/>
        <v>1</v>
      </c>
      <c r="M387" s="58">
        <f t="shared" si="32"/>
        <v>1</v>
      </c>
      <c r="N387" s="58">
        <f t="shared" si="33"/>
        <v>0</v>
      </c>
      <c r="O387" s="58">
        <f t="shared" si="34"/>
        <v>2</v>
      </c>
      <c r="P387" s="5" t="s">
        <v>837</v>
      </c>
      <c r="Q387" s="5" t="s">
        <v>281</v>
      </c>
    </row>
    <row r="388" spans="1:18">
      <c r="A388" s="59">
        <v>41993</v>
      </c>
      <c r="B388" s="60" t="str">
        <f t="shared" si="30"/>
        <v>Sat</v>
      </c>
      <c r="C388" s="60" t="s">
        <v>474</v>
      </c>
      <c r="D388" s="60" t="s">
        <v>47</v>
      </c>
      <c r="E388" s="60" t="s">
        <v>62</v>
      </c>
      <c r="F388" s="60" t="s">
        <v>509</v>
      </c>
      <c r="G388" s="60"/>
      <c r="H388" s="60"/>
      <c r="I388" s="117">
        <v>1155</v>
      </c>
      <c r="J388" s="62"/>
      <c r="K388" s="62"/>
      <c r="L388" s="58">
        <f t="shared" si="31"/>
        <v>1</v>
      </c>
      <c r="M388" s="58">
        <f t="shared" si="32"/>
        <v>0</v>
      </c>
      <c r="N388" s="58">
        <f t="shared" si="33"/>
        <v>0</v>
      </c>
      <c r="O388" s="58">
        <f t="shared" si="34"/>
        <v>1</v>
      </c>
      <c r="P388" s="5" t="s">
        <v>62</v>
      </c>
    </row>
    <row r="389" spans="1:18">
      <c r="A389" s="59">
        <v>41994</v>
      </c>
      <c r="B389" s="60" t="str">
        <f t="shared" si="30"/>
        <v>Sun</v>
      </c>
      <c r="C389" s="60" t="s">
        <v>474</v>
      </c>
      <c r="D389" s="60" t="s">
        <v>63</v>
      </c>
      <c r="E389" s="60" t="s">
        <v>64</v>
      </c>
      <c r="F389" s="60" t="s">
        <v>510</v>
      </c>
      <c r="G389" s="60"/>
      <c r="H389" s="60"/>
      <c r="I389" s="117">
        <v>811</v>
      </c>
      <c r="J389" s="62"/>
      <c r="K389" s="62"/>
      <c r="L389" s="58">
        <f t="shared" si="31"/>
        <v>1</v>
      </c>
      <c r="M389" s="58">
        <f t="shared" si="32"/>
        <v>0</v>
      </c>
      <c r="N389" s="58">
        <f t="shared" si="33"/>
        <v>0</v>
      </c>
      <c r="O389" s="58">
        <f t="shared" si="34"/>
        <v>1</v>
      </c>
      <c r="P389" s="5" t="s">
        <v>64</v>
      </c>
    </row>
    <row r="390" spans="1:18">
      <c r="A390" s="59">
        <v>41995</v>
      </c>
      <c r="B390" s="60" t="str">
        <f t="shared" si="30"/>
        <v>Mon</v>
      </c>
      <c r="C390" s="60" t="s">
        <v>474</v>
      </c>
      <c r="D390" s="60" t="s">
        <v>63</v>
      </c>
      <c r="E390" s="60" t="s">
        <v>66</v>
      </c>
      <c r="F390" s="60" t="s">
        <v>511</v>
      </c>
      <c r="G390" s="60"/>
      <c r="H390" s="60"/>
      <c r="I390" s="117">
        <v>1597</v>
      </c>
      <c r="J390" s="62"/>
      <c r="K390" s="62"/>
      <c r="L390" s="58">
        <f t="shared" si="31"/>
        <v>1</v>
      </c>
      <c r="M390" s="58">
        <f t="shared" si="32"/>
        <v>0</v>
      </c>
      <c r="N390" s="58">
        <f t="shared" si="33"/>
        <v>0</v>
      </c>
      <c r="O390" s="58">
        <f t="shared" si="34"/>
        <v>1</v>
      </c>
      <c r="P390" s="5" t="s">
        <v>66</v>
      </c>
    </row>
    <row r="391" spans="1:18">
      <c r="A391" s="59">
        <v>41996</v>
      </c>
      <c r="B391" s="60" t="str">
        <f t="shared" si="30"/>
        <v>Tue</v>
      </c>
      <c r="C391" s="60" t="s">
        <v>474</v>
      </c>
      <c r="D391" s="60" t="s">
        <v>63</v>
      </c>
      <c r="E391" s="60" t="s">
        <v>484</v>
      </c>
      <c r="F391" s="60" t="s">
        <v>512</v>
      </c>
      <c r="G391" s="60" t="s">
        <v>513</v>
      </c>
      <c r="H391" s="60"/>
      <c r="I391" s="117">
        <v>1466</v>
      </c>
      <c r="J391" s="62"/>
      <c r="K391" s="62"/>
      <c r="L391" s="58">
        <f t="shared" si="31"/>
        <v>1</v>
      </c>
      <c r="M391" s="58">
        <f t="shared" si="32"/>
        <v>1</v>
      </c>
      <c r="N391" s="58">
        <f t="shared" si="33"/>
        <v>0</v>
      </c>
      <c r="O391" s="58">
        <f t="shared" si="34"/>
        <v>2</v>
      </c>
      <c r="P391" s="5" t="s">
        <v>835</v>
      </c>
      <c r="Q391" s="5" t="s">
        <v>836</v>
      </c>
    </row>
    <row r="392" spans="1:18" ht="15">
      <c r="A392" s="59">
        <v>41997</v>
      </c>
      <c r="B392" s="60" t="str">
        <f t="shared" si="30"/>
        <v>Wed</v>
      </c>
      <c r="C392" s="60" t="s">
        <v>474</v>
      </c>
      <c r="D392" s="60" t="s">
        <v>63</v>
      </c>
      <c r="E392" s="60" t="s">
        <v>68</v>
      </c>
      <c r="F392" s="60" t="s">
        <v>514</v>
      </c>
      <c r="G392" s="60"/>
      <c r="H392" s="60"/>
      <c r="I392" s="117">
        <v>902</v>
      </c>
      <c r="J392" s="62"/>
      <c r="K392" s="62"/>
      <c r="L392" s="58">
        <f t="shared" si="31"/>
        <v>1</v>
      </c>
      <c r="M392" s="58">
        <f t="shared" si="32"/>
        <v>0</v>
      </c>
      <c r="N392" s="58">
        <f t="shared" si="33"/>
        <v>0</v>
      </c>
      <c r="O392" s="58">
        <f t="shared" si="34"/>
        <v>1</v>
      </c>
      <c r="P392" s="7" t="s">
        <v>841</v>
      </c>
      <c r="Q392" s="7" t="s">
        <v>842</v>
      </c>
      <c r="R392" s="5" t="s">
        <v>281</v>
      </c>
    </row>
    <row r="393" spans="1:18">
      <c r="A393" s="59">
        <v>41998</v>
      </c>
      <c r="B393" s="60" t="str">
        <f t="shared" si="30"/>
        <v>Thu</v>
      </c>
      <c r="C393" s="60" t="s">
        <v>474</v>
      </c>
      <c r="D393" s="60" t="s">
        <v>63</v>
      </c>
      <c r="E393" s="60" t="s">
        <v>70</v>
      </c>
      <c r="F393" s="60" t="s">
        <v>10</v>
      </c>
      <c r="G393" s="60"/>
      <c r="H393" s="60"/>
      <c r="I393" s="117">
        <v>0</v>
      </c>
      <c r="J393" s="62"/>
      <c r="K393" s="62"/>
      <c r="L393" s="58">
        <f t="shared" si="31"/>
        <v>1</v>
      </c>
      <c r="M393" s="58">
        <f t="shared" si="32"/>
        <v>0</v>
      </c>
      <c r="N393" s="58">
        <f t="shared" si="33"/>
        <v>0</v>
      </c>
      <c r="O393" s="58">
        <f t="shared" si="34"/>
        <v>1</v>
      </c>
      <c r="P393" s="8" t="s">
        <v>70</v>
      </c>
      <c r="Q393" s="8"/>
    </row>
    <row r="394" spans="1:18">
      <c r="A394" s="59">
        <v>41999</v>
      </c>
      <c r="B394" s="60" t="str">
        <f t="shared" si="30"/>
        <v>Fri</v>
      </c>
      <c r="C394" s="60" t="s">
        <v>474</v>
      </c>
      <c r="D394" s="60" t="s">
        <v>63</v>
      </c>
      <c r="E394" s="60" t="s">
        <v>515</v>
      </c>
      <c r="F394" s="60" t="s">
        <v>516</v>
      </c>
      <c r="G394" s="60" t="s">
        <v>517</v>
      </c>
      <c r="H394" s="60"/>
      <c r="I394" s="117">
        <v>1285</v>
      </c>
      <c r="J394" s="62"/>
      <c r="K394" s="62"/>
      <c r="L394" s="58">
        <f t="shared" si="31"/>
        <v>1</v>
      </c>
      <c r="M394" s="58">
        <f t="shared" si="32"/>
        <v>1</v>
      </c>
      <c r="N394" s="58">
        <f t="shared" si="33"/>
        <v>0</v>
      </c>
      <c r="O394" s="58">
        <f t="shared" si="34"/>
        <v>2</v>
      </c>
      <c r="P394" s="5" t="s">
        <v>908</v>
      </c>
      <c r="Q394" s="5" t="s">
        <v>281</v>
      </c>
    </row>
    <row r="395" spans="1:18">
      <c r="A395" s="59">
        <v>42000</v>
      </c>
      <c r="B395" s="60" t="str">
        <f t="shared" si="30"/>
        <v>Sat</v>
      </c>
      <c r="C395" s="60" t="s">
        <v>474</v>
      </c>
      <c r="D395" s="60" t="s">
        <v>63</v>
      </c>
      <c r="E395" s="60" t="s">
        <v>515</v>
      </c>
      <c r="F395" s="60" t="s">
        <v>518</v>
      </c>
      <c r="G395" s="60"/>
      <c r="H395" s="60"/>
      <c r="I395" s="117">
        <v>925</v>
      </c>
      <c r="J395" s="62"/>
      <c r="K395" s="62"/>
      <c r="L395" s="58">
        <f t="shared" si="31"/>
        <v>1</v>
      </c>
      <c r="M395" s="58">
        <f t="shared" si="32"/>
        <v>0</v>
      </c>
      <c r="N395" s="58">
        <f t="shared" si="33"/>
        <v>0</v>
      </c>
      <c r="O395" s="58">
        <f t="shared" si="34"/>
        <v>1</v>
      </c>
      <c r="P395" s="5" t="s">
        <v>908</v>
      </c>
      <c r="Q395" s="5" t="s">
        <v>281</v>
      </c>
    </row>
    <row r="396" spans="1:18">
      <c r="A396" s="59">
        <v>42001</v>
      </c>
      <c r="B396" s="60" t="str">
        <f t="shared" si="30"/>
        <v>Sun</v>
      </c>
      <c r="C396" s="60" t="s">
        <v>519</v>
      </c>
      <c r="D396" s="60" t="s">
        <v>520</v>
      </c>
      <c r="E396" s="59" t="s">
        <v>165</v>
      </c>
      <c r="F396" s="60" t="s">
        <v>521</v>
      </c>
      <c r="G396" s="60" t="s">
        <v>522</v>
      </c>
      <c r="H396" s="60"/>
      <c r="I396" s="117">
        <v>846</v>
      </c>
      <c r="J396" s="62"/>
      <c r="K396" s="62"/>
      <c r="L396" s="58">
        <f t="shared" si="31"/>
        <v>1</v>
      </c>
      <c r="M396" s="58">
        <f t="shared" si="32"/>
        <v>1</v>
      </c>
      <c r="N396" s="58">
        <f t="shared" si="33"/>
        <v>0</v>
      </c>
      <c r="O396" s="58">
        <f t="shared" si="34"/>
        <v>2</v>
      </c>
      <c r="P396" s="5" t="s">
        <v>867</v>
      </c>
      <c r="Q396" s="5" t="s">
        <v>281</v>
      </c>
    </row>
    <row r="397" spans="1:18">
      <c r="A397" s="59">
        <v>42002</v>
      </c>
      <c r="B397" s="60" t="str">
        <f t="shared" si="30"/>
        <v>Mon</v>
      </c>
      <c r="C397" s="60" t="s">
        <v>519</v>
      </c>
      <c r="D397" s="60" t="s">
        <v>520</v>
      </c>
      <c r="E397" s="59" t="s">
        <v>165</v>
      </c>
      <c r="F397" s="60" t="s">
        <v>523</v>
      </c>
      <c r="G397" s="60"/>
      <c r="H397" s="60"/>
      <c r="I397" s="117">
        <v>1634</v>
      </c>
      <c r="J397" s="62"/>
      <c r="K397" s="62"/>
      <c r="L397" s="58">
        <f t="shared" si="31"/>
        <v>1</v>
      </c>
      <c r="M397" s="58">
        <f t="shared" si="32"/>
        <v>0</v>
      </c>
      <c r="N397" s="58">
        <f t="shared" si="33"/>
        <v>0</v>
      </c>
      <c r="O397" s="58">
        <f t="shared" si="34"/>
        <v>1</v>
      </c>
      <c r="P397" s="5" t="s">
        <v>867</v>
      </c>
      <c r="Q397" s="5" t="s">
        <v>281</v>
      </c>
    </row>
    <row r="398" spans="1:18">
      <c r="A398" s="59">
        <v>42003</v>
      </c>
      <c r="B398" s="60" t="str">
        <f t="shared" si="30"/>
        <v>Tue</v>
      </c>
      <c r="C398" s="60" t="s">
        <v>519</v>
      </c>
      <c r="D398" s="60" t="s">
        <v>520</v>
      </c>
      <c r="E398" s="59" t="s">
        <v>524</v>
      </c>
      <c r="F398" s="60" t="s">
        <v>525</v>
      </c>
      <c r="G398" s="60"/>
      <c r="H398" s="60"/>
      <c r="I398" s="117">
        <v>1418</v>
      </c>
      <c r="J398" s="62"/>
      <c r="K398" s="62"/>
      <c r="L398" s="58">
        <f t="shared" si="31"/>
        <v>1</v>
      </c>
      <c r="M398" s="58">
        <f t="shared" si="32"/>
        <v>0</v>
      </c>
      <c r="N398" s="58">
        <f t="shared" si="33"/>
        <v>0</v>
      </c>
      <c r="O398" s="58">
        <f t="shared" si="34"/>
        <v>1</v>
      </c>
      <c r="P398" s="5" t="s">
        <v>909</v>
      </c>
      <c r="Q398" s="5" t="s">
        <v>281</v>
      </c>
    </row>
    <row r="399" spans="1:18" ht="15">
      <c r="A399" s="59">
        <v>42004</v>
      </c>
      <c r="B399" s="60" t="str">
        <f t="shared" si="30"/>
        <v>Wed</v>
      </c>
      <c r="C399" s="60" t="s">
        <v>519</v>
      </c>
      <c r="D399" s="60" t="s">
        <v>520</v>
      </c>
      <c r="E399" s="59" t="s">
        <v>17</v>
      </c>
      <c r="F399" s="60" t="s">
        <v>526</v>
      </c>
      <c r="G399" s="60" t="s">
        <v>527</v>
      </c>
      <c r="H399" s="60"/>
      <c r="I399" s="117">
        <v>1391</v>
      </c>
      <c r="J399" s="62"/>
      <c r="K399" s="62"/>
      <c r="L399" s="58">
        <f t="shared" si="31"/>
        <v>1</v>
      </c>
      <c r="M399" s="58">
        <f t="shared" si="32"/>
        <v>1</v>
      </c>
      <c r="N399" s="58">
        <f t="shared" si="33"/>
        <v>0</v>
      </c>
      <c r="O399" s="58">
        <f t="shared" si="34"/>
        <v>2</v>
      </c>
      <c r="P399" s="7" t="s">
        <v>17</v>
      </c>
      <c r="Q399" s="7"/>
    </row>
    <row r="400" spans="1:18">
      <c r="A400" s="59">
        <v>42005</v>
      </c>
      <c r="B400" s="60" t="str">
        <f t="shared" si="30"/>
        <v>Thu</v>
      </c>
      <c r="C400" s="60" t="s">
        <v>519</v>
      </c>
      <c r="D400" s="60" t="s">
        <v>520</v>
      </c>
      <c r="E400" s="60" t="s">
        <v>528</v>
      </c>
      <c r="F400" s="60" t="s">
        <v>529</v>
      </c>
      <c r="G400" s="60"/>
      <c r="H400" s="60"/>
      <c r="I400" s="117">
        <v>795</v>
      </c>
      <c r="J400" s="62"/>
      <c r="K400" s="62"/>
      <c r="L400" s="58">
        <f t="shared" si="31"/>
        <v>1</v>
      </c>
      <c r="M400" s="58">
        <f t="shared" si="32"/>
        <v>0</v>
      </c>
      <c r="N400" s="58">
        <f t="shared" si="33"/>
        <v>0</v>
      </c>
      <c r="O400" s="58">
        <f t="shared" si="34"/>
        <v>1</v>
      </c>
      <c r="P400" s="8" t="s">
        <v>528</v>
      </c>
      <c r="Q400" s="8"/>
    </row>
    <row r="401" spans="1:18">
      <c r="A401" s="59">
        <v>42006</v>
      </c>
      <c r="B401" s="60" t="str">
        <f t="shared" si="30"/>
        <v>Fri</v>
      </c>
      <c r="C401" s="60" t="s">
        <v>519</v>
      </c>
      <c r="D401" s="60" t="s">
        <v>520</v>
      </c>
      <c r="E401" s="60" t="s">
        <v>528</v>
      </c>
      <c r="F401" s="60" t="s">
        <v>530</v>
      </c>
      <c r="G401" s="60"/>
      <c r="H401" s="60"/>
      <c r="I401" s="117">
        <v>1591</v>
      </c>
      <c r="J401" s="62"/>
      <c r="K401" s="62"/>
      <c r="L401" s="58">
        <f t="shared" si="31"/>
        <v>1</v>
      </c>
      <c r="M401" s="58">
        <f t="shared" si="32"/>
        <v>0</v>
      </c>
      <c r="N401" s="58">
        <f t="shared" si="33"/>
        <v>0</v>
      </c>
      <c r="O401" s="58">
        <f t="shared" si="34"/>
        <v>1</v>
      </c>
      <c r="P401" s="5" t="s">
        <v>528</v>
      </c>
    </row>
    <row r="402" spans="1:18">
      <c r="A402" s="59">
        <v>42007</v>
      </c>
      <c r="B402" s="60" t="str">
        <f t="shared" si="30"/>
        <v>Sat</v>
      </c>
      <c r="C402" s="60" t="s">
        <v>519</v>
      </c>
      <c r="D402" s="60" t="s">
        <v>520</v>
      </c>
      <c r="E402" s="60" t="s">
        <v>528</v>
      </c>
      <c r="F402" s="60" t="s">
        <v>531</v>
      </c>
      <c r="G402" s="60"/>
      <c r="H402" s="60"/>
      <c r="I402" s="117">
        <v>1159</v>
      </c>
      <c r="J402" s="62"/>
      <c r="K402" s="62"/>
      <c r="L402" s="58">
        <f t="shared" si="31"/>
        <v>1</v>
      </c>
      <c r="M402" s="58">
        <f t="shared" si="32"/>
        <v>0</v>
      </c>
      <c r="N402" s="58">
        <f t="shared" si="33"/>
        <v>0</v>
      </c>
      <c r="O402" s="58">
        <f t="shared" si="34"/>
        <v>1</v>
      </c>
      <c r="P402" s="5" t="s">
        <v>528</v>
      </c>
    </row>
    <row r="403" spans="1:18">
      <c r="A403" s="59">
        <v>42008</v>
      </c>
      <c r="B403" s="60" t="str">
        <f t="shared" si="30"/>
        <v>Sun</v>
      </c>
      <c r="C403" s="60" t="s">
        <v>519</v>
      </c>
      <c r="D403" s="60" t="s">
        <v>532</v>
      </c>
      <c r="E403" s="60" t="s">
        <v>528</v>
      </c>
      <c r="F403" s="60" t="s">
        <v>533</v>
      </c>
      <c r="G403" s="60" t="s">
        <v>534</v>
      </c>
      <c r="H403" s="60"/>
      <c r="I403" s="117">
        <v>1154</v>
      </c>
      <c r="J403" s="62"/>
      <c r="K403" s="62"/>
      <c r="L403" s="58">
        <f t="shared" si="31"/>
        <v>1</v>
      </c>
      <c r="M403" s="58">
        <f t="shared" si="32"/>
        <v>1</v>
      </c>
      <c r="N403" s="58">
        <f t="shared" si="33"/>
        <v>0</v>
      </c>
      <c r="O403" s="58">
        <f t="shared" si="34"/>
        <v>2</v>
      </c>
      <c r="P403" s="5" t="s">
        <v>528</v>
      </c>
    </row>
    <row r="404" spans="1:18">
      <c r="A404" s="59">
        <v>42009</v>
      </c>
      <c r="B404" s="60" t="str">
        <f t="shared" si="30"/>
        <v>Mon</v>
      </c>
      <c r="C404" s="60" t="s">
        <v>519</v>
      </c>
      <c r="D404" s="60" t="s">
        <v>532</v>
      </c>
      <c r="E404" s="60" t="s">
        <v>48</v>
      </c>
      <c r="F404" s="60" t="s">
        <v>535</v>
      </c>
      <c r="G404" s="60"/>
      <c r="H404" s="60"/>
      <c r="I404" s="117">
        <v>1743</v>
      </c>
      <c r="J404" s="62"/>
      <c r="K404" s="62"/>
      <c r="L404" s="58">
        <f t="shared" si="31"/>
        <v>1</v>
      </c>
      <c r="M404" s="58">
        <f t="shared" si="32"/>
        <v>0</v>
      </c>
      <c r="N404" s="58">
        <f t="shared" si="33"/>
        <v>0</v>
      </c>
      <c r="O404" s="58">
        <f t="shared" si="34"/>
        <v>1</v>
      </c>
      <c r="P404" s="5" t="s">
        <v>837</v>
      </c>
      <c r="Q404" s="5" t="s">
        <v>281</v>
      </c>
    </row>
    <row r="405" spans="1:18">
      <c r="A405" s="59">
        <v>42010</v>
      </c>
      <c r="B405" s="60" t="str">
        <f t="shared" si="30"/>
        <v>Tue</v>
      </c>
      <c r="C405" s="60" t="s">
        <v>519</v>
      </c>
      <c r="D405" s="60" t="s">
        <v>532</v>
      </c>
      <c r="E405" s="60" t="s">
        <v>104</v>
      </c>
      <c r="F405" s="60" t="s">
        <v>536</v>
      </c>
      <c r="G405" s="60"/>
      <c r="H405" s="60"/>
      <c r="I405" s="117">
        <v>1741</v>
      </c>
      <c r="J405" s="62"/>
      <c r="K405" s="62"/>
      <c r="L405" s="58">
        <f t="shared" si="31"/>
        <v>1</v>
      </c>
      <c r="M405" s="58">
        <f t="shared" si="32"/>
        <v>0</v>
      </c>
      <c r="N405" s="58">
        <f t="shared" si="33"/>
        <v>0</v>
      </c>
      <c r="O405" s="58">
        <f t="shared" si="34"/>
        <v>1</v>
      </c>
      <c r="P405" s="5" t="s">
        <v>851</v>
      </c>
      <c r="Q405" s="5" t="s">
        <v>852</v>
      </c>
    </row>
    <row r="406" spans="1:18">
      <c r="A406" s="59">
        <v>42011</v>
      </c>
      <c r="B406" s="60" t="str">
        <f t="shared" si="30"/>
        <v>Wed</v>
      </c>
      <c r="C406" s="60" t="s">
        <v>519</v>
      </c>
      <c r="D406" s="60" t="s">
        <v>532</v>
      </c>
      <c r="E406" s="59" t="s">
        <v>165</v>
      </c>
      <c r="F406" s="60" t="s">
        <v>537</v>
      </c>
      <c r="G406" s="60"/>
      <c r="H406" s="60"/>
      <c r="I406" s="117">
        <v>1526</v>
      </c>
      <c r="J406" s="62"/>
      <c r="K406" s="62"/>
      <c r="L406" s="58">
        <f t="shared" si="31"/>
        <v>1</v>
      </c>
      <c r="M406" s="58">
        <f t="shared" si="32"/>
        <v>0</v>
      </c>
      <c r="N406" s="58">
        <f t="shared" si="33"/>
        <v>0</v>
      </c>
      <c r="O406" s="58">
        <f t="shared" si="34"/>
        <v>1</v>
      </c>
      <c r="P406" s="5" t="s">
        <v>867</v>
      </c>
      <c r="Q406" s="5" t="s">
        <v>281</v>
      </c>
    </row>
    <row r="407" spans="1:18">
      <c r="A407" s="59">
        <v>42012</v>
      </c>
      <c r="B407" s="60" t="str">
        <f t="shared" si="30"/>
        <v>Thu</v>
      </c>
      <c r="C407" s="60" t="s">
        <v>519</v>
      </c>
      <c r="D407" s="60" t="s">
        <v>532</v>
      </c>
      <c r="E407" s="60" t="s">
        <v>48</v>
      </c>
      <c r="F407" s="60" t="s">
        <v>538</v>
      </c>
      <c r="G407" s="60"/>
      <c r="H407" s="60"/>
      <c r="I407" s="117">
        <v>1340</v>
      </c>
      <c r="J407" s="62"/>
      <c r="K407" s="62"/>
      <c r="L407" s="58">
        <f t="shared" si="31"/>
        <v>1</v>
      </c>
      <c r="M407" s="58">
        <f t="shared" si="32"/>
        <v>0</v>
      </c>
      <c r="N407" s="58">
        <f t="shared" si="33"/>
        <v>0</v>
      </c>
      <c r="O407" s="58">
        <f t="shared" si="34"/>
        <v>1</v>
      </c>
      <c r="P407" s="5" t="s">
        <v>837</v>
      </c>
      <c r="Q407" s="5" t="s">
        <v>281</v>
      </c>
    </row>
    <row r="408" spans="1:18">
      <c r="A408" s="59">
        <v>42013</v>
      </c>
      <c r="B408" s="60" t="str">
        <f t="shared" si="30"/>
        <v>Fri</v>
      </c>
      <c r="C408" s="60" t="s">
        <v>519</v>
      </c>
      <c r="D408" s="60" t="s">
        <v>532</v>
      </c>
      <c r="E408" s="60" t="s">
        <v>17</v>
      </c>
      <c r="F408" s="60" t="s">
        <v>539</v>
      </c>
      <c r="G408" s="60" t="s">
        <v>540</v>
      </c>
      <c r="H408" s="60"/>
      <c r="I408" s="117">
        <v>1753</v>
      </c>
      <c r="J408" s="62"/>
      <c r="K408" s="62"/>
      <c r="L408" s="58">
        <f t="shared" si="31"/>
        <v>1</v>
      </c>
      <c r="M408" s="58">
        <f t="shared" si="32"/>
        <v>1</v>
      </c>
      <c r="N408" s="58">
        <f t="shared" si="33"/>
        <v>0</v>
      </c>
      <c r="O408" s="58">
        <f t="shared" si="34"/>
        <v>2</v>
      </c>
      <c r="P408" s="5" t="s">
        <v>17</v>
      </c>
    </row>
    <row r="409" spans="1:18">
      <c r="A409" s="59">
        <v>42014</v>
      </c>
      <c r="B409" s="60" t="str">
        <f t="shared" si="30"/>
        <v>Sat</v>
      </c>
      <c r="C409" s="60" t="s">
        <v>519</v>
      </c>
      <c r="D409" s="60" t="s">
        <v>532</v>
      </c>
      <c r="E409" s="60" t="s">
        <v>48</v>
      </c>
      <c r="F409" s="60" t="s">
        <v>541</v>
      </c>
      <c r="G409" s="60"/>
      <c r="H409" s="60"/>
      <c r="I409" s="117">
        <v>1097</v>
      </c>
      <c r="J409" s="62"/>
      <c r="K409" s="62"/>
      <c r="L409" s="58">
        <f t="shared" si="31"/>
        <v>1</v>
      </c>
      <c r="M409" s="58">
        <f t="shared" si="32"/>
        <v>0</v>
      </c>
      <c r="N409" s="58">
        <f t="shared" si="33"/>
        <v>0</v>
      </c>
      <c r="O409" s="58">
        <f t="shared" si="34"/>
        <v>1</v>
      </c>
      <c r="P409" s="5" t="s">
        <v>837</v>
      </c>
      <c r="Q409" s="5" t="s">
        <v>281</v>
      </c>
    </row>
    <row r="410" spans="1:18">
      <c r="A410" s="59">
        <v>42015</v>
      </c>
      <c r="B410" s="60" t="str">
        <f t="shared" si="30"/>
        <v>Sun</v>
      </c>
      <c r="C410" s="60" t="s">
        <v>519</v>
      </c>
      <c r="D410" s="60" t="s">
        <v>542</v>
      </c>
      <c r="E410" s="59" t="s">
        <v>524</v>
      </c>
      <c r="F410" s="60" t="s">
        <v>543</v>
      </c>
      <c r="G410" s="60"/>
      <c r="H410" s="60"/>
      <c r="I410" s="117">
        <v>767</v>
      </c>
      <c r="J410" s="62"/>
      <c r="K410" s="62"/>
      <c r="L410" s="58">
        <f t="shared" si="31"/>
        <v>1</v>
      </c>
      <c r="M410" s="58">
        <f t="shared" si="32"/>
        <v>0</v>
      </c>
      <c r="N410" s="58">
        <f t="shared" si="33"/>
        <v>0</v>
      </c>
      <c r="O410" s="58">
        <f t="shared" si="34"/>
        <v>1</v>
      </c>
      <c r="P410" s="5" t="s">
        <v>909</v>
      </c>
      <c r="Q410" s="5" t="s">
        <v>281</v>
      </c>
    </row>
    <row r="411" spans="1:18">
      <c r="A411" s="59">
        <v>42016</v>
      </c>
      <c r="B411" s="60" t="str">
        <f t="shared" si="30"/>
        <v>Mon</v>
      </c>
      <c r="C411" s="60" t="s">
        <v>519</v>
      </c>
      <c r="D411" s="60" t="s">
        <v>542</v>
      </c>
      <c r="E411" s="60" t="s">
        <v>252</v>
      </c>
      <c r="F411" s="60" t="s">
        <v>544</v>
      </c>
      <c r="G411" s="60"/>
      <c r="H411" s="60"/>
      <c r="I411" s="117">
        <v>1396</v>
      </c>
      <c r="J411" s="62"/>
      <c r="K411" s="62"/>
      <c r="L411" s="58">
        <f t="shared" si="31"/>
        <v>1</v>
      </c>
      <c r="M411" s="58">
        <f t="shared" si="32"/>
        <v>0</v>
      </c>
      <c r="N411" s="58">
        <f t="shared" si="33"/>
        <v>0</v>
      </c>
      <c r="O411" s="58">
        <f t="shared" si="34"/>
        <v>1</v>
      </c>
      <c r="P411" s="5" t="s">
        <v>252</v>
      </c>
    </row>
    <row r="412" spans="1:18">
      <c r="A412" s="59">
        <v>42017</v>
      </c>
      <c r="B412" s="60" t="str">
        <f t="shared" si="30"/>
        <v>Tue</v>
      </c>
      <c r="C412" s="60" t="s">
        <v>519</v>
      </c>
      <c r="D412" s="60" t="s">
        <v>542</v>
      </c>
      <c r="E412" s="60" t="s">
        <v>10</v>
      </c>
      <c r="F412" s="60" t="s">
        <v>10</v>
      </c>
      <c r="G412" s="60"/>
      <c r="H412" s="60"/>
      <c r="I412" s="117">
        <v>1306</v>
      </c>
      <c r="J412" s="62"/>
      <c r="K412" s="62"/>
      <c r="L412" s="58">
        <f t="shared" si="31"/>
        <v>0</v>
      </c>
      <c r="M412" s="58">
        <f t="shared" si="32"/>
        <v>0</v>
      </c>
      <c r="N412" s="58">
        <f t="shared" si="33"/>
        <v>0</v>
      </c>
      <c r="O412" s="58">
        <f t="shared" si="34"/>
        <v>0</v>
      </c>
      <c r="P412" s="5" t="s">
        <v>10</v>
      </c>
    </row>
    <row r="413" spans="1:18">
      <c r="A413" s="59">
        <v>42018</v>
      </c>
      <c r="B413" s="60" t="str">
        <f t="shared" si="30"/>
        <v>Wed</v>
      </c>
      <c r="C413" s="60" t="s">
        <v>519</v>
      </c>
      <c r="D413" s="60" t="s">
        <v>542</v>
      </c>
      <c r="E413" s="60" t="s">
        <v>545</v>
      </c>
      <c r="F413" s="60" t="s">
        <v>546</v>
      </c>
      <c r="G413" s="60" t="s">
        <v>547</v>
      </c>
      <c r="H413" s="60"/>
      <c r="I413" s="117">
        <v>1752</v>
      </c>
      <c r="J413" s="62"/>
      <c r="K413" s="62"/>
      <c r="L413" s="58">
        <f t="shared" si="31"/>
        <v>1</v>
      </c>
      <c r="M413" s="58">
        <f t="shared" si="32"/>
        <v>1</v>
      </c>
      <c r="N413" s="58">
        <f t="shared" si="33"/>
        <v>0</v>
      </c>
      <c r="O413" s="58">
        <f t="shared" si="34"/>
        <v>2</v>
      </c>
      <c r="P413" s="5" t="s">
        <v>860</v>
      </c>
      <c r="Q413" s="5" t="s">
        <v>840</v>
      </c>
      <c r="R413" s="5" t="s">
        <v>281</v>
      </c>
    </row>
    <row r="414" spans="1:18">
      <c r="A414" s="59">
        <v>42019</v>
      </c>
      <c r="B414" s="60" t="str">
        <f t="shared" si="30"/>
        <v>Thu</v>
      </c>
      <c r="C414" s="60" t="s">
        <v>519</v>
      </c>
      <c r="D414" s="60" t="s">
        <v>542</v>
      </c>
      <c r="E414" s="60" t="s">
        <v>545</v>
      </c>
      <c r="F414" s="60" t="s">
        <v>548</v>
      </c>
      <c r="G414" s="60"/>
      <c r="H414" s="60"/>
      <c r="I414" s="117">
        <v>1472</v>
      </c>
      <c r="J414" s="62"/>
      <c r="K414" s="62"/>
      <c r="L414" s="58">
        <f t="shared" si="31"/>
        <v>1</v>
      </c>
      <c r="M414" s="58">
        <f t="shared" si="32"/>
        <v>0</v>
      </c>
      <c r="N414" s="58">
        <f t="shared" si="33"/>
        <v>0</v>
      </c>
      <c r="O414" s="58">
        <f t="shared" si="34"/>
        <v>1</v>
      </c>
      <c r="P414" s="5" t="s">
        <v>860</v>
      </c>
      <c r="Q414" s="5" t="s">
        <v>840</v>
      </c>
      <c r="R414" s="5" t="s">
        <v>281</v>
      </c>
    </row>
    <row r="415" spans="1:18">
      <c r="A415" s="59">
        <v>42020</v>
      </c>
      <c r="B415" s="60" t="str">
        <f t="shared" si="30"/>
        <v>Fri</v>
      </c>
      <c r="C415" s="60" t="s">
        <v>519</v>
      </c>
      <c r="D415" s="60" t="s">
        <v>542</v>
      </c>
      <c r="E415" s="59" t="s">
        <v>165</v>
      </c>
      <c r="F415" s="60" t="s">
        <v>549</v>
      </c>
      <c r="G415" s="60"/>
      <c r="H415" s="60"/>
      <c r="I415" s="117">
        <v>1409</v>
      </c>
      <c r="J415" s="62"/>
      <c r="K415" s="62"/>
      <c r="L415" s="58">
        <f t="shared" si="31"/>
        <v>1</v>
      </c>
      <c r="M415" s="58">
        <f t="shared" si="32"/>
        <v>0</v>
      </c>
      <c r="N415" s="58">
        <f t="shared" si="33"/>
        <v>0</v>
      </c>
      <c r="O415" s="58">
        <f t="shared" si="34"/>
        <v>1</v>
      </c>
      <c r="P415" s="5" t="s">
        <v>867</v>
      </c>
      <c r="Q415" s="5" t="s">
        <v>281</v>
      </c>
    </row>
    <row r="416" spans="1:18">
      <c r="A416" s="59">
        <v>42021</v>
      </c>
      <c r="B416" s="60" t="str">
        <f t="shared" si="30"/>
        <v>Sat</v>
      </c>
      <c r="C416" s="60" t="s">
        <v>519</v>
      </c>
      <c r="D416" s="60" t="s">
        <v>542</v>
      </c>
      <c r="E416" s="59" t="s">
        <v>165</v>
      </c>
      <c r="F416" s="60" t="s">
        <v>550</v>
      </c>
      <c r="G416" s="60" t="s">
        <v>551</v>
      </c>
      <c r="H416" s="60"/>
      <c r="I416" s="117">
        <v>1182</v>
      </c>
      <c r="J416" s="62"/>
      <c r="K416" s="62"/>
      <c r="L416" s="58">
        <f t="shared" si="31"/>
        <v>1</v>
      </c>
      <c r="M416" s="58">
        <f t="shared" si="32"/>
        <v>1</v>
      </c>
      <c r="N416" s="58">
        <f t="shared" si="33"/>
        <v>0</v>
      </c>
      <c r="O416" s="58">
        <f t="shared" si="34"/>
        <v>2</v>
      </c>
      <c r="P416" s="5" t="s">
        <v>867</v>
      </c>
      <c r="Q416" s="5" t="s">
        <v>281</v>
      </c>
    </row>
    <row r="417" spans="1:18">
      <c r="A417" s="59">
        <v>42022</v>
      </c>
      <c r="B417" s="60" t="str">
        <f t="shared" si="30"/>
        <v>Sun</v>
      </c>
      <c r="C417" s="60" t="s">
        <v>519</v>
      </c>
      <c r="D417" s="60" t="s">
        <v>552</v>
      </c>
      <c r="E417" s="59" t="s">
        <v>175</v>
      </c>
      <c r="F417" s="60" t="s">
        <v>553</v>
      </c>
      <c r="G417" s="60"/>
      <c r="H417" s="60"/>
      <c r="I417" s="117">
        <v>814</v>
      </c>
      <c r="J417" s="62"/>
      <c r="K417" s="62"/>
      <c r="L417" s="58">
        <f t="shared" si="31"/>
        <v>1</v>
      </c>
      <c r="M417" s="58">
        <f t="shared" si="32"/>
        <v>0</v>
      </c>
      <c r="N417" s="58">
        <f t="shared" si="33"/>
        <v>0</v>
      </c>
      <c r="O417" s="58">
        <f t="shared" si="34"/>
        <v>1</v>
      </c>
      <c r="P417" s="5" t="s">
        <v>869</v>
      </c>
      <c r="Q417" s="5" t="s">
        <v>281</v>
      </c>
    </row>
    <row r="418" spans="1:18">
      <c r="A418" s="59">
        <v>42023</v>
      </c>
      <c r="B418" s="60" t="str">
        <f t="shared" si="30"/>
        <v>Mon</v>
      </c>
      <c r="C418" s="60" t="s">
        <v>519</v>
      </c>
      <c r="D418" s="60" t="s">
        <v>552</v>
      </c>
      <c r="E418" s="61" t="s">
        <v>266</v>
      </c>
      <c r="F418" s="60" t="s">
        <v>554</v>
      </c>
      <c r="G418" s="60"/>
      <c r="H418" s="60"/>
      <c r="I418" s="117">
        <v>1588</v>
      </c>
      <c r="J418" s="62"/>
      <c r="K418" s="62"/>
      <c r="L418" s="58">
        <f t="shared" si="31"/>
        <v>1</v>
      </c>
      <c r="M418" s="58">
        <f t="shared" si="32"/>
        <v>0</v>
      </c>
      <c r="N418" s="58">
        <f t="shared" si="33"/>
        <v>0</v>
      </c>
      <c r="O418" s="58">
        <f t="shared" si="34"/>
        <v>1</v>
      </c>
      <c r="P418" s="5" t="s">
        <v>879</v>
      </c>
      <c r="Q418" s="5" t="s">
        <v>867</v>
      </c>
      <c r="R418" s="5" t="s">
        <v>281</v>
      </c>
    </row>
    <row r="419" spans="1:18">
      <c r="A419" s="59">
        <v>42024</v>
      </c>
      <c r="B419" s="60" t="str">
        <f t="shared" si="30"/>
        <v>Tue</v>
      </c>
      <c r="C419" s="60" t="s">
        <v>519</v>
      </c>
      <c r="D419" s="60" t="s">
        <v>552</v>
      </c>
      <c r="E419" s="59" t="s">
        <v>524</v>
      </c>
      <c r="F419" s="60" t="s">
        <v>555</v>
      </c>
      <c r="G419" s="60"/>
      <c r="H419" s="60"/>
      <c r="I419" s="117">
        <v>1263</v>
      </c>
      <c r="J419" s="62"/>
      <c r="K419" s="62"/>
      <c r="L419" s="58">
        <f t="shared" si="31"/>
        <v>1</v>
      </c>
      <c r="M419" s="58">
        <f t="shared" si="32"/>
        <v>0</v>
      </c>
      <c r="N419" s="58">
        <f t="shared" si="33"/>
        <v>0</v>
      </c>
      <c r="O419" s="58">
        <f t="shared" si="34"/>
        <v>1</v>
      </c>
      <c r="P419" s="5" t="s">
        <v>909</v>
      </c>
      <c r="Q419" s="5" t="s">
        <v>281</v>
      </c>
    </row>
    <row r="420" spans="1:18">
      <c r="A420" s="59">
        <v>42025</v>
      </c>
      <c r="B420" s="60" t="str">
        <f t="shared" si="30"/>
        <v>Wed</v>
      </c>
      <c r="C420" s="60" t="s">
        <v>519</v>
      </c>
      <c r="D420" s="60" t="s">
        <v>552</v>
      </c>
      <c r="E420" s="60" t="s">
        <v>10</v>
      </c>
      <c r="F420" s="60" t="s">
        <v>10</v>
      </c>
      <c r="G420" s="60"/>
      <c r="H420" s="60"/>
      <c r="I420" s="117">
        <v>1174</v>
      </c>
      <c r="J420" s="62"/>
      <c r="K420" s="62"/>
      <c r="L420" s="58">
        <f t="shared" si="31"/>
        <v>0</v>
      </c>
      <c r="M420" s="58">
        <f t="shared" si="32"/>
        <v>0</v>
      </c>
      <c r="N420" s="58">
        <f t="shared" si="33"/>
        <v>0</v>
      </c>
      <c r="O420" s="58">
        <f t="shared" si="34"/>
        <v>0</v>
      </c>
      <c r="P420" s="5" t="s">
        <v>10</v>
      </c>
    </row>
    <row r="421" spans="1:18">
      <c r="A421" s="59">
        <v>42026</v>
      </c>
      <c r="B421" s="60" t="str">
        <f t="shared" si="30"/>
        <v>Thu</v>
      </c>
      <c r="C421" s="60" t="s">
        <v>519</v>
      </c>
      <c r="D421" s="60" t="s">
        <v>552</v>
      </c>
      <c r="E421" s="59" t="s">
        <v>175</v>
      </c>
      <c r="F421" s="60" t="s">
        <v>556</v>
      </c>
      <c r="G421" s="60"/>
      <c r="H421" s="60"/>
      <c r="I421" s="117">
        <v>1606</v>
      </c>
      <c r="J421" s="62"/>
      <c r="K421" s="62"/>
      <c r="L421" s="58">
        <f t="shared" si="31"/>
        <v>1</v>
      </c>
      <c r="M421" s="58">
        <f t="shared" si="32"/>
        <v>0</v>
      </c>
      <c r="N421" s="58">
        <f t="shared" si="33"/>
        <v>0</v>
      </c>
      <c r="O421" s="58">
        <f t="shared" si="34"/>
        <v>1</v>
      </c>
      <c r="P421" s="5" t="s">
        <v>869</v>
      </c>
      <c r="Q421" s="5" t="s">
        <v>281</v>
      </c>
    </row>
    <row r="422" spans="1:18">
      <c r="A422" s="59">
        <v>42027</v>
      </c>
      <c r="B422" s="60" t="str">
        <f t="shared" si="30"/>
        <v>Fri</v>
      </c>
      <c r="C422" s="60" t="s">
        <v>519</v>
      </c>
      <c r="D422" s="60" t="s">
        <v>552</v>
      </c>
      <c r="E422" s="60" t="s">
        <v>17</v>
      </c>
      <c r="F422" s="60" t="s">
        <v>557</v>
      </c>
      <c r="G422" s="60" t="s">
        <v>558</v>
      </c>
      <c r="H422" s="60"/>
      <c r="I422" s="117">
        <v>1969</v>
      </c>
      <c r="J422" s="62"/>
      <c r="K422" s="62"/>
      <c r="L422" s="58">
        <f t="shared" si="31"/>
        <v>1</v>
      </c>
      <c r="M422" s="58">
        <f t="shared" si="32"/>
        <v>1</v>
      </c>
      <c r="N422" s="58">
        <f t="shared" si="33"/>
        <v>0</v>
      </c>
      <c r="O422" s="58">
        <f t="shared" si="34"/>
        <v>2</v>
      </c>
      <c r="P422" s="5" t="s">
        <v>17</v>
      </c>
    </row>
    <row r="423" spans="1:18">
      <c r="A423" s="59">
        <v>42028</v>
      </c>
      <c r="B423" s="60" t="str">
        <f t="shared" si="30"/>
        <v>Sat</v>
      </c>
      <c r="C423" s="60" t="s">
        <v>519</v>
      </c>
      <c r="D423" s="60" t="s">
        <v>552</v>
      </c>
      <c r="E423" s="59" t="s">
        <v>175</v>
      </c>
      <c r="F423" s="60" t="s">
        <v>559</v>
      </c>
      <c r="G423" s="60"/>
      <c r="H423" s="60"/>
      <c r="I423" s="117">
        <v>1117</v>
      </c>
      <c r="J423" s="62"/>
      <c r="K423" s="62"/>
      <c r="L423" s="58">
        <f t="shared" si="31"/>
        <v>1</v>
      </c>
      <c r="M423" s="58">
        <f t="shared" si="32"/>
        <v>0</v>
      </c>
      <c r="N423" s="58">
        <f t="shared" si="33"/>
        <v>0</v>
      </c>
      <c r="O423" s="58">
        <f t="shared" si="34"/>
        <v>1</v>
      </c>
      <c r="P423" s="5" t="s">
        <v>869</v>
      </c>
      <c r="Q423" s="5" t="s">
        <v>281</v>
      </c>
    </row>
    <row r="424" spans="1:18">
      <c r="A424" s="59">
        <v>42029</v>
      </c>
      <c r="B424" s="60" t="str">
        <f t="shared" ref="B424:B487" si="35">TEXT(A424,"DDD")</f>
        <v>Sun</v>
      </c>
      <c r="C424" s="60" t="s">
        <v>519</v>
      </c>
      <c r="D424" s="60" t="s">
        <v>560</v>
      </c>
      <c r="E424" s="59" t="s">
        <v>175</v>
      </c>
      <c r="F424" s="60" t="s">
        <v>561</v>
      </c>
      <c r="G424" s="60"/>
      <c r="H424" s="60"/>
      <c r="I424" s="117">
        <v>790</v>
      </c>
      <c r="J424" s="62"/>
      <c r="K424" s="62"/>
      <c r="L424" s="58">
        <f t="shared" ref="L424:L487" si="36">IF(E424=$L$1,0,1)</f>
        <v>1</v>
      </c>
      <c r="M424" s="58">
        <f t="shared" ref="M424:M487" si="37">IF(ISBLANK(G424),0,1)</f>
        <v>0</v>
      </c>
      <c r="N424" s="58">
        <f t="shared" ref="N424:N487" si="38">IF(ISBLANK(H424),0,1)</f>
        <v>0</v>
      </c>
      <c r="O424" s="58">
        <f t="shared" ref="O424:O487" si="39">SUM(L424:N424)</f>
        <v>1</v>
      </c>
      <c r="P424" s="5" t="s">
        <v>869</v>
      </c>
      <c r="Q424" s="5" t="s">
        <v>281</v>
      </c>
    </row>
    <row r="425" spans="1:18">
      <c r="A425" s="59">
        <v>42030</v>
      </c>
      <c r="B425" s="60" t="str">
        <f t="shared" si="35"/>
        <v>Mon</v>
      </c>
      <c r="C425" s="60" t="s">
        <v>519</v>
      </c>
      <c r="D425" s="60" t="s">
        <v>560</v>
      </c>
      <c r="E425" s="59" t="s">
        <v>524</v>
      </c>
      <c r="F425" s="60" t="s">
        <v>562</v>
      </c>
      <c r="G425" s="60"/>
      <c r="H425" s="60"/>
      <c r="I425" s="117">
        <v>1257</v>
      </c>
      <c r="J425" s="62"/>
      <c r="K425" s="62"/>
      <c r="L425" s="58">
        <f t="shared" si="36"/>
        <v>1</v>
      </c>
      <c r="M425" s="58">
        <f t="shared" si="37"/>
        <v>0</v>
      </c>
      <c r="N425" s="58">
        <f t="shared" si="38"/>
        <v>0</v>
      </c>
      <c r="O425" s="58">
        <f t="shared" si="39"/>
        <v>1</v>
      </c>
      <c r="P425" s="5" t="s">
        <v>909</v>
      </c>
      <c r="Q425" s="5" t="s">
        <v>281</v>
      </c>
    </row>
    <row r="426" spans="1:18">
      <c r="A426" s="59">
        <v>42031</v>
      </c>
      <c r="B426" s="60" t="str">
        <f t="shared" si="35"/>
        <v>Tue</v>
      </c>
      <c r="C426" s="60" t="s">
        <v>519</v>
      </c>
      <c r="D426" s="60" t="s">
        <v>560</v>
      </c>
      <c r="E426" s="59" t="s">
        <v>524</v>
      </c>
      <c r="F426" s="60" t="s">
        <v>563</v>
      </c>
      <c r="G426" s="60"/>
      <c r="H426" s="60"/>
      <c r="I426" s="117">
        <v>1280</v>
      </c>
      <c r="J426" s="62"/>
      <c r="K426" s="62"/>
      <c r="L426" s="58">
        <f t="shared" si="36"/>
        <v>1</v>
      </c>
      <c r="M426" s="58">
        <f t="shared" si="37"/>
        <v>0</v>
      </c>
      <c r="N426" s="58">
        <f t="shared" si="38"/>
        <v>0</v>
      </c>
      <c r="O426" s="58">
        <f t="shared" si="39"/>
        <v>1</v>
      </c>
      <c r="P426" s="5" t="s">
        <v>909</v>
      </c>
      <c r="Q426" s="5" t="s">
        <v>281</v>
      </c>
    </row>
    <row r="427" spans="1:18">
      <c r="A427" s="59">
        <v>42032</v>
      </c>
      <c r="B427" s="60" t="str">
        <f t="shared" si="35"/>
        <v>Wed</v>
      </c>
      <c r="C427" s="60" t="s">
        <v>519</v>
      </c>
      <c r="D427" s="60" t="s">
        <v>560</v>
      </c>
      <c r="E427" s="59" t="s">
        <v>78</v>
      </c>
      <c r="F427" s="60" t="s">
        <v>564</v>
      </c>
      <c r="G427" s="60"/>
      <c r="H427" s="60"/>
      <c r="I427" s="117">
        <v>1554</v>
      </c>
      <c r="J427" s="62"/>
      <c r="K427" s="62"/>
      <c r="L427" s="58">
        <f t="shared" si="36"/>
        <v>1</v>
      </c>
      <c r="M427" s="58">
        <f t="shared" si="37"/>
        <v>0</v>
      </c>
      <c r="N427" s="58">
        <f t="shared" si="38"/>
        <v>0</v>
      </c>
      <c r="O427" s="58">
        <f t="shared" si="39"/>
        <v>1</v>
      </c>
      <c r="P427" s="5" t="s">
        <v>845</v>
      </c>
      <c r="Q427" s="5" t="s">
        <v>281</v>
      </c>
    </row>
    <row r="428" spans="1:18">
      <c r="A428" s="59">
        <v>42033</v>
      </c>
      <c r="B428" s="60" t="str">
        <f t="shared" si="35"/>
        <v>Thu</v>
      </c>
      <c r="C428" s="60" t="s">
        <v>519</v>
      </c>
      <c r="D428" s="60" t="s">
        <v>560</v>
      </c>
      <c r="E428" s="59" t="s">
        <v>78</v>
      </c>
      <c r="F428" s="60" t="s">
        <v>565</v>
      </c>
      <c r="G428" s="60"/>
      <c r="H428" s="60"/>
      <c r="I428" s="117">
        <v>1544</v>
      </c>
      <c r="J428" s="62"/>
      <c r="K428" s="62"/>
      <c r="L428" s="58">
        <f t="shared" si="36"/>
        <v>1</v>
      </c>
      <c r="M428" s="58">
        <f t="shared" si="37"/>
        <v>0</v>
      </c>
      <c r="N428" s="58">
        <f t="shared" si="38"/>
        <v>0</v>
      </c>
      <c r="O428" s="58">
        <f t="shared" si="39"/>
        <v>1</v>
      </c>
      <c r="P428" s="5" t="s">
        <v>845</v>
      </c>
      <c r="Q428" s="5" t="s">
        <v>281</v>
      </c>
    </row>
    <row r="429" spans="1:18">
      <c r="A429" s="59">
        <v>42034</v>
      </c>
      <c r="B429" s="60" t="str">
        <f t="shared" si="35"/>
        <v>Fri</v>
      </c>
      <c r="C429" s="60" t="s">
        <v>519</v>
      </c>
      <c r="D429" s="60" t="s">
        <v>560</v>
      </c>
      <c r="E429" s="59" t="s">
        <v>78</v>
      </c>
      <c r="F429" s="60" t="s">
        <v>566</v>
      </c>
      <c r="G429" s="60"/>
      <c r="H429" s="60"/>
      <c r="I429" s="117">
        <v>1435</v>
      </c>
      <c r="J429" s="62"/>
      <c r="K429" s="62"/>
      <c r="L429" s="58">
        <f t="shared" si="36"/>
        <v>1</v>
      </c>
      <c r="M429" s="58">
        <f t="shared" si="37"/>
        <v>0</v>
      </c>
      <c r="N429" s="58">
        <f t="shared" si="38"/>
        <v>0</v>
      </c>
      <c r="O429" s="58">
        <f t="shared" si="39"/>
        <v>1</v>
      </c>
      <c r="P429" s="5" t="s">
        <v>845</v>
      </c>
      <c r="Q429" s="5" t="s">
        <v>281</v>
      </c>
    </row>
    <row r="430" spans="1:18">
      <c r="A430" s="59">
        <v>42035</v>
      </c>
      <c r="B430" s="60" t="str">
        <f t="shared" si="35"/>
        <v>Sat</v>
      </c>
      <c r="C430" s="60" t="s">
        <v>519</v>
      </c>
      <c r="D430" s="60" t="s">
        <v>560</v>
      </c>
      <c r="E430" s="60" t="s">
        <v>10</v>
      </c>
      <c r="F430" s="60" t="s">
        <v>10</v>
      </c>
      <c r="G430" s="60"/>
      <c r="H430" s="60"/>
      <c r="I430" s="117">
        <v>1033</v>
      </c>
      <c r="J430" s="62"/>
      <c r="K430" s="62"/>
      <c r="L430" s="58">
        <f t="shared" si="36"/>
        <v>0</v>
      </c>
      <c r="M430" s="58">
        <f t="shared" si="37"/>
        <v>0</v>
      </c>
      <c r="N430" s="58">
        <f t="shared" si="38"/>
        <v>0</v>
      </c>
      <c r="O430" s="58">
        <f t="shared" si="39"/>
        <v>0</v>
      </c>
      <c r="P430" s="5" t="s">
        <v>10</v>
      </c>
    </row>
    <row r="431" spans="1:18">
      <c r="A431" s="59">
        <v>42036</v>
      </c>
      <c r="B431" s="60" t="str">
        <f t="shared" si="35"/>
        <v>Sun</v>
      </c>
      <c r="C431" s="60" t="s">
        <v>567</v>
      </c>
      <c r="D431" s="60" t="s">
        <v>75</v>
      </c>
      <c r="E431" s="67" t="s">
        <v>165</v>
      </c>
      <c r="F431" s="60" t="s">
        <v>568</v>
      </c>
      <c r="G431" s="60"/>
      <c r="H431" s="60"/>
      <c r="I431" s="117">
        <v>667</v>
      </c>
      <c r="J431" s="62"/>
      <c r="K431" s="62"/>
      <c r="L431" s="58">
        <f t="shared" si="36"/>
        <v>1</v>
      </c>
      <c r="M431" s="58">
        <f t="shared" si="37"/>
        <v>0</v>
      </c>
      <c r="N431" s="58">
        <f t="shared" si="38"/>
        <v>0</v>
      </c>
      <c r="O431" s="58">
        <f t="shared" si="39"/>
        <v>1</v>
      </c>
      <c r="P431" s="5" t="s">
        <v>867</v>
      </c>
      <c r="Q431" s="5" t="s">
        <v>281</v>
      </c>
    </row>
    <row r="432" spans="1:18">
      <c r="A432" s="59">
        <v>42037</v>
      </c>
      <c r="B432" s="60" t="str">
        <f t="shared" si="35"/>
        <v>Mon</v>
      </c>
      <c r="C432" s="60" t="s">
        <v>567</v>
      </c>
      <c r="D432" s="60" t="s">
        <v>75</v>
      </c>
      <c r="E432" s="60" t="s">
        <v>10</v>
      </c>
      <c r="F432" s="60" t="s">
        <v>10</v>
      </c>
      <c r="G432" s="60"/>
      <c r="H432" s="60"/>
      <c r="I432" s="117">
        <v>1180</v>
      </c>
      <c r="J432" s="62"/>
      <c r="K432" s="62"/>
      <c r="L432" s="58">
        <f t="shared" si="36"/>
        <v>0</v>
      </c>
      <c r="M432" s="58">
        <f t="shared" si="37"/>
        <v>0</v>
      </c>
      <c r="N432" s="58">
        <f t="shared" si="38"/>
        <v>0</v>
      </c>
      <c r="O432" s="58">
        <f t="shared" si="39"/>
        <v>0</v>
      </c>
      <c r="P432" s="5" t="s">
        <v>10</v>
      </c>
    </row>
    <row r="433" spans="1:18">
      <c r="A433" s="59">
        <v>42038</v>
      </c>
      <c r="B433" s="60" t="str">
        <f t="shared" si="35"/>
        <v>Tue</v>
      </c>
      <c r="C433" s="60" t="s">
        <v>567</v>
      </c>
      <c r="D433" s="60" t="s">
        <v>75</v>
      </c>
      <c r="E433" s="59" t="s">
        <v>425</v>
      </c>
      <c r="F433" s="60" t="s">
        <v>569</v>
      </c>
      <c r="G433" s="60"/>
      <c r="H433" s="60"/>
      <c r="I433" s="117">
        <v>1244</v>
      </c>
      <c r="J433" s="62"/>
      <c r="K433" s="62"/>
      <c r="L433" s="58">
        <f t="shared" si="36"/>
        <v>1</v>
      </c>
      <c r="M433" s="58">
        <f t="shared" si="37"/>
        <v>0</v>
      </c>
      <c r="N433" s="58">
        <f t="shared" si="38"/>
        <v>0</v>
      </c>
      <c r="O433" s="58">
        <f t="shared" si="39"/>
        <v>1</v>
      </c>
      <c r="P433" s="5" t="s">
        <v>425</v>
      </c>
    </row>
    <row r="434" spans="1:18">
      <c r="A434" s="59">
        <v>42039</v>
      </c>
      <c r="B434" s="60" t="str">
        <f t="shared" si="35"/>
        <v>Wed</v>
      </c>
      <c r="C434" s="60" t="s">
        <v>567</v>
      </c>
      <c r="D434" s="60" t="s">
        <v>75</v>
      </c>
      <c r="E434" s="67" t="s">
        <v>570</v>
      </c>
      <c r="F434" s="60" t="s">
        <v>571</v>
      </c>
      <c r="G434" s="60" t="s">
        <v>572</v>
      </c>
      <c r="H434" s="60"/>
      <c r="I434" s="117">
        <v>1832</v>
      </c>
      <c r="J434" s="62"/>
      <c r="K434" s="62"/>
      <c r="L434" s="58">
        <f t="shared" si="36"/>
        <v>1</v>
      </c>
      <c r="M434" s="58">
        <f t="shared" si="37"/>
        <v>1</v>
      </c>
      <c r="N434" s="58">
        <f t="shared" si="38"/>
        <v>0</v>
      </c>
      <c r="O434" s="58">
        <f t="shared" si="39"/>
        <v>2</v>
      </c>
      <c r="P434" s="5" t="s">
        <v>860</v>
      </c>
      <c r="Q434" s="5" t="s">
        <v>863</v>
      </c>
      <c r="R434" s="5" t="s">
        <v>281</v>
      </c>
    </row>
    <row r="435" spans="1:18">
      <c r="A435" s="59">
        <v>42040</v>
      </c>
      <c r="B435" s="60" t="str">
        <f t="shared" si="35"/>
        <v>Thu</v>
      </c>
      <c r="C435" s="60" t="s">
        <v>567</v>
      </c>
      <c r="D435" s="60" t="s">
        <v>75</v>
      </c>
      <c r="E435" s="67" t="s">
        <v>570</v>
      </c>
      <c r="F435" s="60" t="s">
        <v>573</v>
      </c>
      <c r="G435" s="60" t="s">
        <v>574</v>
      </c>
      <c r="H435" s="60"/>
      <c r="I435" s="117">
        <v>1738</v>
      </c>
      <c r="J435" s="62"/>
      <c r="K435" s="62"/>
      <c r="L435" s="58">
        <f t="shared" si="36"/>
        <v>1</v>
      </c>
      <c r="M435" s="58">
        <f t="shared" si="37"/>
        <v>1</v>
      </c>
      <c r="N435" s="58">
        <f t="shared" si="38"/>
        <v>0</v>
      </c>
      <c r="O435" s="58">
        <f t="shared" si="39"/>
        <v>2</v>
      </c>
      <c r="P435" s="5" t="s">
        <v>860</v>
      </c>
      <c r="Q435" s="5" t="s">
        <v>863</v>
      </c>
      <c r="R435" s="5" t="s">
        <v>281</v>
      </c>
    </row>
    <row r="436" spans="1:18">
      <c r="A436" s="59">
        <v>42041</v>
      </c>
      <c r="B436" s="60" t="str">
        <f t="shared" si="35"/>
        <v>Fri</v>
      </c>
      <c r="C436" s="60" t="s">
        <v>567</v>
      </c>
      <c r="D436" s="60" t="s">
        <v>75</v>
      </c>
      <c r="E436" s="60" t="s">
        <v>17</v>
      </c>
      <c r="F436" s="60" t="s">
        <v>575</v>
      </c>
      <c r="G436" s="60" t="s">
        <v>576</v>
      </c>
      <c r="H436" s="60"/>
      <c r="I436" s="117">
        <v>1727</v>
      </c>
      <c r="J436" s="62"/>
      <c r="K436" s="62"/>
      <c r="L436" s="58">
        <f t="shared" si="36"/>
        <v>1</v>
      </c>
      <c r="M436" s="58">
        <f t="shared" si="37"/>
        <v>1</v>
      </c>
      <c r="N436" s="58">
        <f t="shared" si="38"/>
        <v>0</v>
      </c>
      <c r="O436" s="58">
        <f t="shared" si="39"/>
        <v>2</v>
      </c>
      <c r="P436" s="5" t="s">
        <v>17</v>
      </c>
    </row>
    <row r="437" spans="1:18">
      <c r="A437" s="59">
        <v>42042</v>
      </c>
      <c r="B437" s="60" t="str">
        <f t="shared" si="35"/>
        <v>Sat</v>
      </c>
      <c r="C437" s="60" t="s">
        <v>567</v>
      </c>
      <c r="D437" s="60" t="s">
        <v>75</v>
      </c>
      <c r="E437" s="67" t="s">
        <v>165</v>
      </c>
      <c r="F437" s="60" t="s">
        <v>577</v>
      </c>
      <c r="G437" s="60" t="s">
        <v>578</v>
      </c>
      <c r="H437" s="60"/>
      <c r="I437" s="117">
        <v>979</v>
      </c>
      <c r="J437" s="62"/>
      <c r="K437" s="62"/>
      <c r="L437" s="58">
        <f t="shared" si="36"/>
        <v>1</v>
      </c>
      <c r="M437" s="58">
        <f t="shared" si="37"/>
        <v>1</v>
      </c>
      <c r="N437" s="58">
        <f t="shared" si="38"/>
        <v>0</v>
      </c>
      <c r="O437" s="58">
        <f t="shared" si="39"/>
        <v>2</v>
      </c>
      <c r="P437" s="5" t="s">
        <v>867</v>
      </c>
      <c r="Q437" s="5" t="s">
        <v>281</v>
      </c>
    </row>
    <row r="438" spans="1:18">
      <c r="A438" s="59">
        <v>42043</v>
      </c>
      <c r="B438" s="60" t="str">
        <f t="shared" si="35"/>
        <v>Sun</v>
      </c>
      <c r="C438" s="60" t="s">
        <v>567</v>
      </c>
      <c r="D438" s="60" t="s">
        <v>85</v>
      </c>
      <c r="E438" s="67" t="s">
        <v>165</v>
      </c>
      <c r="F438" s="60" t="s">
        <v>579</v>
      </c>
      <c r="G438" s="60"/>
      <c r="H438" s="60"/>
      <c r="I438" s="117">
        <v>799</v>
      </c>
      <c r="J438" s="62"/>
      <c r="K438" s="62"/>
      <c r="L438" s="58">
        <f t="shared" si="36"/>
        <v>1</v>
      </c>
      <c r="M438" s="58">
        <f t="shared" si="37"/>
        <v>0</v>
      </c>
      <c r="N438" s="58">
        <f t="shared" si="38"/>
        <v>0</v>
      </c>
      <c r="O438" s="58">
        <f t="shared" si="39"/>
        <v>1</v>
      </c>
      <c r="P438" s="5" t="s">
        <v>867</v>
      </c>
      <c r="Q438" s="5" t="s">
        <v>281</v>
      </c>
    </row>
    <row r="439" spans="1:18">
      <c r="A439" s="59">
        <v>42044</v>
      </c>
      <c r="B439" s="60" t="str">
        <f t="shared" si="35"/>
        <v>Mon</v>
      </c>
      <c r="C439" s="60" t="s">
        <v>567</v>
      </c>
      <c r="D439" s="60" t="s">
        <v>85</v>
      </c>
      <c r="E439" s="59" t="s">
        <v>425</v>
      </c>
      <c r="F439" s="60" t="s">
        <v>580</v>
      </c>
      <c r="G439" s="60"/>
      <c r="H439" s="60"/>
      <c r="I439" s="117">
        <v>1430</v>
      </c>
      <c r="J439" s="62"/>
      <c r="K439" s="62"/>
      <c r="L439" s="58">
        <f t="shared" si="36"/>
        <v>1</v>
      </c>
      <c r="M439" s="58">
        <f t="shared" si="37"/>
        <v>0</v>
      </c>
      <c r="N439" s="58">
        <f t="shared" si="38"/>
        <v>0</v>
      </c>
      <c r="O439" s="58">
        <f t="shared" si="39"/>
        <v>1</v>
      </c>
      <c r="P439" s="5" t="s">
        <v>425</v>
      </c>
    </row>
    <row r="440" spans="1:18">
      <c r="A440" s="59">
        <v>42045</v>
      </c>
      <c r="B440" s="60" t="str">
        <f t="shared" si="35"/>
        <v>Tue</v>
      </c>
      <c r="C440" s="60" t="s">
        <v>567</v>
      </c>
      <c r="D440" s="60" t="s">
        <v>85</v>
      </c>
      <c r="E440" s="67" t="s">
        <v>165</v>
      </c>
      <c r="F440" s="60" t="s">
        <v>581</v>
      </c>
      <c r="G440" s="60" t="s">
        <v>582</v>
      </c>
      <c r="H440" s="60"/>
      <c r="I440" s="117">
        <v>1498</v>
      </c>
      <c r="J440" s="62"/>
      <c r="K440" s="62"/>
      <c r="L440" s="58">
        <f t="shared" si="36"/>
        <v>1</v>
      </c>
      <c r="M440" s="58">
        <f t="shared" si="37"/>
        <v>1</v>
      </c>
      <c r="N440" s="58">
        <f t="shared" si="38"/>
        <v>0</v>
      </c>
      <c r="O440" s="58">
        <f t="shared" si="39"/>
        <v>2</v>
      </c>
      <c r="P440" s="5" t="s">
        <v>867</v>
      </c>
      <c r="Q440" s="5" t="s">
        <v>281</v>
      </c>
    </row>
    <row r="441" spans="1:18">
      <c r="A441" s="59">
        <v>42046</v>
      </c>
      <c r="B441" s="60" t="str">
        <f t="shared" si="35"/>
        <v>Wed</v>
      </c>
      <c r="C441" s="60" t="s">
        <v>567</v>
      </c>
      <c r="D441" s="60" t="s">
        <v>85</v>
      </c>
      <c r="E441" s="67" t="s">
        <v>165</v>
      </c>
      <c r="F441" s="60" t="s">
        <v>583</v>
      </c>
      <c r="G441" s="60" t="s">
        <v>584</v>
      </c>
      <c r="H441" s="60"/>
      <c r="I441" s="117">
        <v>1382</v>
      </c>
      <c r="J441" s="62"/>
      <c r="K441" s="62"/>
      <c r="L441" s="58">
        <f t="shared" si="36"/>
        <v>1</v>
      </c>
      <c r="M441" s="58">
        <f t="shared" si="37"/>
        <v>1</v>
      </c>
      <c r="N441" s="58">
        <f t="shared" si="38"/>
        <v>0</v>
      </c>
      <c r="O441" s="58">
        <f t="shared" si="39"/>
        <v>2</v>
      </c>
      <c r="P441" s="5" t="s">
        <v>867</v>
      </c>
      <c r="Q441" s="5" t="s">
        <v>281</v>
      </c>
    </row>
    <row r="442" spans="1:18">
      <c r="A442" s="59">
        <v>42047</v>
      </c>
      <c r="B442" s="60" t="str">
        <f t="shared" si="35"/>
        <v>Thu</v>
      </c>
      <c r="C442" s="60" t="s">
        <v>567</v>
      </c>
      <c r="D442" s="60" t="s">
        <v>85</v>
      </c>
      <c r="E442" s="67" t="s">
        <v>165</v>
      </c>
      <c r="F442" s="60" t="s">
        <v>585</v>
      </c>
      <c r="G442" s="60"/>
      <c r="H442" s="60"/>
      <c r="I442" s="117">
        <v>1309</v>
      </c>
      <c r="J442" s="62"/>
      <c r="K442" s="62"/>
      <c r="L442" s="58">
        <f t="shared" si="36"/>
        <v>1</v>
      </c>
      <c r="M442" s="58">
        <f t="shared" si="37"/>
        <v>0</v>
      </c>
      <c r="N442" s="58">
        <f t="shared" si="38"/>
        <v>0</v>
      </c>
      <c r="O442" s="58">
        <f t="shared" si="39"/>
        <v>1</v>
      </c>
      <c r="P442" s="5" t="s">
        <v>867</v>
      </c>
      <c r="Q442" s="5" t="s">
        <v>281</v>
      </c>
    </row>
    <row r="443" spans="1:18">
      <c r="A443" s="59">
        <v>42048</v>
      </c>
      <c r="B443" s="60" t="str">
        <f t="shared" si="35"/>
        <v>Fri</v>
      </c>
      <c r="C443" s="60" t="s">
        <v>567</v>
      </c>
      <c r="D443" s="60" t="s">
        <v>85</v>
      </c>
      <c r="E443" s="67" t="s">
        <v>175</v>
      </c>
      <c r="F443" s="60" t="s">
        <v>586</v>
      </c>
      <c r="G443" s="60"/>
      <c r="H443" s="60"/>
      <c r="I443" s="117">
        <v>1224</v>
      </c>
      <c r="J443" s="62"/>
      <c r="K443" s="62"/>
      <c r="L443" s="58">
        <f t="shared" si="36"/>
        <v>1</v>
      </c>
      <c r="M443" s="58">
        <f t="shared" si="37"/>
        <v>0</v>
      </c>
      <c r="N443" s="58">
        <f t="shared" si="38"/>
        <v>0</v>
      </c>
      <c r="O443" s="58">
        <f t="shared" si="39"/>
        <v>1</v>
      </c>
      <c r="P443" s="5" t="s">
        <v>869</v>
      </c>
      <c r="Q443" s="5" t="s">
        <v>281</v>
      </c>
    </row>
    <row r="444" spans="1:18">
      <c r="A444" s="59">
        <v>42049</v>
      </c>
      <c r="B444" s="60" t="str">
        <f t="shared" si="35"/>
        <v>Sat</v>
      </c>
      <c r="C444" s="60" t="s">
        <v>567</v>
      </c>
      <c r="D444" s="60" t="s">
        <v>85</v>
      </c>
      <c r="E444" s="67" t="s">
        <v>175</v>
      </c>
      <c r="F444" s="60" t="s">
        <v>587</v>
      </c>
      <c r="G444" s="60"/>
      <c r="H444" s="60"/>
      <c r="I444" s="117">
        <v>943</v>
      </c>
      <c r="J444" s="62"/>
      <c r="K444" s="62"/>
      <c r="L444" s="58">
        <f t="shared" si="36"/>
        <v>1</v>
      </c>
      <c r="M444" s="58">
        <f t="shared" si="37"/>
        <v>0</v>
      </c>
      <c r="N444" s="58">
        <f t="shared" si="38"/>
        <v>0</v>
      </c>
      <c r="O444" s="58">
        <f t="shared" si="39"/>
        <v>1</v>
      </c>
      <c r="P444" s="5" t="s">
        <v>869</v>
      </c>
      <c r="Q444" s="5" t="s">
        <v>281</v>
      </c>
    </row>
    <row r="445" spans="1:18">
      <c r="A445" s="59">
        <v>42050</v>
      </c>
      <c r="B445" s="60" t="str">
        <f t="shared" si="35"/>
        <v>Sun</v>
      </c>
      <c r="C445" s="60" t="s">
        <v>567</v>
      </c>
      <c r="D445" s="60" t="s">
        <v>93</v>
      </c>
      <c r="E445" s="67" t="s">
        <v>364</v>
      </c>
      <c r="F445" s="60" t="s">
        <v>588</v>
      </c>
      <c r="G445" s="60"/>
      <c r="H445" s="60"/>
      <c r="I445" s="117">
        <v>948</v>
      </c>
      <c r="J445" s="62"/>
      <c r="K445" s="62"/>
      <c r="L445" s="58">
        <f t="shared" si="36"/>
        <v>1</v>
      </c>
      <c r="M445" s="58">
        <f t="shared" si="37"/>
        <v>0</v>
      </c>
      <c r="N445" s="58">
        <f t="shared" si="38"/>
        <v>0</v>
      </c>
      <c r="O445" s="58">
        <f t="shared" si="39"/>
        <v>1</v>
      </c>
      <c r="P445" s="5" t="s">
        <v>840</v>
      </c>
      <c r="Q445" s="5" t="s">
        <v>892</v>
      </c>
    </row>
    <row r="446" spans="1:18">
      <c r="A446" s="59">
        <v>42051</v>
      </c>
      <c r="B446" s="60" t="str">
        <f t="shared" si="35"/>
        <v>Mon</v>
      </c>
      <c r="C446" s="60" t="s">
        <v>567</v>
      </c>
      <c r="D446" s="60" t="s">
        <v>93</v>
      </c>
      <c r="E446" s="67" t="s">
        <v>364</v>
      </c>
      <c r="F446" s="60" t="s">
        <v>589</v>
      </c>
      <c r="G446" s="60" t="s">
        <v>590</v>
      </c>
      <c r="H446" s="60"/>
      <c r="I446" s="117">
        <v>1593</v>
      </c>
      <c r="J446" s="62"/>
      <c r="K446" s="62"/>
      <c r="L446" s="58">
        <f t="shared" si="36"/>
        <v>1</v>
      </c>
      <c r="M446" s="58">
        <f t="shared" si="37"/>
        <v>1</v>
      </c>
      <c r="N446" s="58">
        <f t="shared" si="38"/>
        <v>0</v>
      </c>
      <c r="O446" s="58">
        <f t="shared" si="39"/>
        <v>2</v>
      </c>
      <c r="P446" s="5" t="s">
        <v>840</v>
      </c>
      <c r="Q446" s="5" t="s">
        <v>892</v>
      </c>
    </row>
    <row r="447" spans="1:18">
      <c r="A447" s="59">
        <v>42052</v>
      </c>
      <c r="B447" s="60" t="str">
        <f t="shared" si="35"/>
        <v>Tue</v>
      </c>
      <c r="C447" s="60" t="s">
        <v>567</v>
      </c>
      <c r="D447" s="60" t="s">
        <v>93</v>
      </c>
      <c r="E447" s="67" t="s">
        <v>165</v>
      </c>
      <c r="F447" s="60" t="s">
        <v>591</v>
      </c>
      <c r="G447" s="60"/>
      <c r="H447" s="60"/>
      <c r="I447" s="117">
        <v>1272</v>
      </c>
      <c r="J447" s="62"/>
      <c r="K447" s="62"/>
      <c r="L447" s="58">
        <f t="shared" si="36"/>
        <v>1</v>
      </c>
      <c r="M447" s="58">
        <f t="shared" si="37"/>
        <v>0</v>
      </c>
      <c r="N447" s="58">
        <f t="shared" si="38"/>
        <v>0</v>
      </c>
      <c r="O447" s="58">
        <f t="shared" si="39"/>
        <v>1</v>
      </c>
      <c r="P447" s="5" t="s">
        <v>867</v>
      </c>
      <c r="Q447" s="5" t="s">
        <v>281</v>
      </c>
    </row>
    <row r="448" spans="1:18">
      <c r="A448" s="59">
        <v>42053</v>
      </c>
      <c r="B448" s="60" t="str">
        <f t="shared" si="35"/>
        <v>Wed</v>
      </c>
      <c r="C448" s="60" t="s">
        <v>567</v>
      </c>
      <c r="D448" s="60" t="s">
        <v>93</v>
      </c>
      <c r="E448" s="67" t="s">
        <v>10</v>
      </c>
      <c r="F448" s="60" t="s">
        <v>10</v>
      </c>
      <c r="G448" s="60"/>
      <c r="H448" s="60"/>
      <c r="I448" s="117">
        <v>1142</v>
      </c>
      <c r="J448" s="62"/>
      <c r="K448" s="62"/>
      <c r="L448" s="58">
        <f t="shared" si="36"/>
        <v>0</v>
      </c>
      <c r="M448" s="58">
        <f t="shared" si="37"/>
        <v>0</v>
      </c>
      <c r="N448" s="58">
        <f t="shared" si="38"/>
        <v>0</v>
      </c>
      <c r="O448" s="58">
        <f t="shared" si="39"/>
        <v>0</v>
      </c>
      <c r="P448" s="5" t="s">
        <v>10</v>
      </c>
    </row>
    <row r="449" spans="1:17">
      <c r="A449" s="59">
        <v>42054</v>
      </c>
      <c r="B449" s="60" t="str">
        <f t="shared" si="35"/>
        <v>Thu</v>
      </c>
      <c r="C449" s="60" t="s">
        <v>567</v>
      </c>
      <c r="D449" s="60" t="s">
        <v>93</v>
      </c>
      <c r="E449" s="67" t="s">
        <v>175</v>
      </c>
      <c r="F449" s="60" t="s">
        <v>592</v>
      </c>
      <c r="G449" s="60"/>
      <c r="H449" s="60"/>
      <c r="I449" s="117">
        <v>1269</v>
      </c>
      <c r="J449" s="62"/>
      <c r="K449" s="62"/>
      <c r="L449" s="58">
        <f t="shared" si="36"/>
        <v>1</v>
      </c>
      <c r="M449" s="58">
        <f t="shared" si="37"/>
        <v>0</v>
      </c>
      <c r="N449" s="58">
        <f t="shared" si="38"/>
        <v>0</v>
      </c>
      <c r="O449" s="58">
        <f t="shared" si="39"/>
        <v>1</v>
      </c>
      <c r="P449" s="5" t="s">
        <v>869</v>
      </c>
      <c r="Q449" s="5" t="s">
        <v>281</v>
      </c>
    </row>
    <row r="450" spans="1:17">
      <c r="A450" s="59">
        <v>42055</v>
      </c>
      <c r="B450" s="60" t="str">
        <f t="shared" si="35"/>
        <v>Fri</v>
      </c>
      <c r="C450" s="60" t="s">
        <v>567</v>
      </c>
      <c r="D450" s="60" t="s">
        <v>93</v>
      </c>
      <c r="E450" s="67" t="s">
        <v>17</v>
      </c>
      <c r="F450" s="60" t="s">
        <v>593</v>
      </c>
      <c r="G450" s="60" t="s">
        <v>594</v>
      </c>
      <c r="H450" s="60"/>
      <c r="I450" s="117">
        <v>1447</v>
      </c>
      <c r="J450" s="62"/>
      <c r="K450" s="62"/>
      <c r="L450" s="58">
        <f t="shared" si="36"/>
        <v>1</v>
      </c>
      <c r="M450" s="58">
        <f t="shared" si="37"/>
        <v>1</v>
      </c>
      <c r="N450" s="58">
        <f t="shared" si="38"/>
        <v>0</v>
      </c>
      <c r="O450" s="58">
        <f t="shared" si="39"/>
        <v>2</v>
      </c>
      <c r="P450" s="5" t="s">
        <v>17</v>
      </c>
    </row>
    <row r="451" spans="1:17">
      <c r="A451" s="59">
        <v>42056</v>
      </c>
      <c r="B451" s="60" t="str">
        <f t="shared" si="35"/>
        <v>Sat</v>
      </c>
      <c r="C451" s="60" t="s">
        <v>567</v>
      </c>
      <c r="D451" s="60" t="s">
        <v>93</v>
      </c>
      <c r="E451" s="67" t="s">
        <v>252</v>
      </c>
      <c r="F451" s="60" t="s">
        <v>595</v>
      </c>
      <c r="G451" s="60"/>
      <c r="H451" s="60"/>
      <c r="I451" s="117">
        <v>964</v>
      </c>
      <c r="J451" s="62"/>
      <c r="K451" s="62"/>
      <c r="L451" s="58">
        <f t="shared" si="36"/>
        <v>1</v>
      </c>
      <c r="M451" s="58">
        <f t="shared" si="37"/>
        <v>0</v>
      </c>
      <c r="N451" s="58">
        <f t="shared" si="38"/>
        <v>0</v>
      </c>
      <c r="O451" s="58">
        <f t="shared" si="39"/>
        <v>1</v>
      </c>
      <c r="P451" s="5" t="s">
        <v>252</v>
      </c>
    </row>
    <row r="452" spans="1:17">
      <c r="A452" s="59">
        <v>42057</v>
      </c>
      <c r="B452" s="60" t="str">
        <f t="shared" si="35"/>
        <v>Sun</v>
      </c>
      <c r="C452" s="60" t="s">
        <v>567</v>
      </c>
      <c r="D452" s="60" t="s">
        <v>100</v>
      </c>
      <c r="E452" s="67" t="s">
        <v>488</v>
      </c>
      <c r="F452" s="60" t="s">
        <v>596</v>
      </c>
      <c r="G452" s="60"/>
      <c r="H452" s="60"/>
      <c r="I452" s="117">
        <v>816</v>
      </c>
      <c r="J452" s="62"/>
      <c r="K452" s="62"/>
      <c r="L452" s="58">
        <f t="shared" si="36"/>
        <v>1</v>
      </c>
      <c r="M452" s="58">
        <f t="shared" si="37"/>
        <v>0</v>
      </c>
      <c r="N452" s="58">
        <f t="shared" si="38"/>
        <v>0</v>
      </c>
      <c r="O452" s="58">
        <f t="shared" si="39"/>
        <v>1</v>
      </c>
      <c r="P452" s="5" t="s">
        <v>488</v>
      </c>
    </row>
    <row r="453" spans="1:17">
      <c r="A453" s="59">
        <v>42058</v>
      </c>
      <c r="B453" s="60" t="str">
        <f t="shared" si="35"/>
        <v>Mon</v>
      </c>
      <c r="C453" s="60" t="s">
        <v>567</v>
      </c>
      <c r="D453" s="60" t="s">
        <v>100</v>
      </c>
      <c r="E453" s="67" t="s">
        <v>488</v>
      </c>
      <c r="F453" s="60" t="s">
        <v>597</v>
      </c>
      <c r="G453" s="60"/>
      <c r="H453" s="60"/>
      <c r="I453" s="117">
        <v>1620</v>
      </c>
      <c r="J453" s="62"/>
      <c r="K453" s="62"/>
      <c r="L453" s="58">
        <f t="shared" si="36"/>
        <v>1</v>
      </c>
      <c r="M453" s="58">
        <f t="shared" si="37"/>
        <v>0</v>
      </c>
      <c r="N453" s="58">
        <f t="shared" si="38"/>
        <v>0</v>
      </c>
      <c r="O453" s="58">
        <f t="shared" si="39"/>
        <v>1</v>
      </c>
      <c r="P453" s="5" t="s">
        <v>488</v>
      </c>
    </row>
    <row r="454" spans="1:17">
      <c r="A454" s="59">
        <v>42059</v>
      </c>
      <c r="B454" s="60" t="str">
        <f t="shared" si="35"/>
        <v>Tue</v>
      </c>
      <c r="C454" s="60" t="s">
        <v>567</v>
      </c>
      <c r="D454" s="60" t="s">
        <v>100</v>
      </c>
      <c r="E454" s="67" t="s">
        <v>488</v>
      </c>
      <c r="F454" s="60" t="s">
        <v>598</v>
      </c>
      <c r="G454" s="60"/>
      <c r="H454" s="60"/>
      <c r="I454" s="117">
        <v>1517</v>
      </c>
      <c r="J454" s="62"/>
      <c r="K454" s="62"/>
      <c r="L454" s="58">
        <f t="shared" si="36"/>
        <v>1</v>
      </c>
      <c r="M454" s="58">
        <f t="shared" si="37"/>
        <v>0</v>
      </c>
      <c r="N454" s="58">
        <f t="shared" si="38"/>
        <v>0</v>
      </c>
      <c r="O454" s="58">
        <f t="shared" si="39"/>
        <v>1</v>
      </c>
      <c r="P454" s="5" t="s">
        <v>488</v>
      </c>
    </row>
    <row r="455" spans="1:17">
      <c r="A455" s="59">
        <v>42060</v>
      </c>
      <c r="B455" s="60" t="str">
        <f t="shared" si="35"/>
        <v>Wed</v>
      </c>
      <c r="C455" s="60" t="s">
        <v>567</v>
      </c>
      <c r="D455" s="60" t="s">
        <v>100</v>
      </c>
      <c r="E455" s="67" t="s">
        <v>488</v>
      </c>
      <c r="F455" s="60" t="s">
        <v>599</v>
      </c>
      <c r="G455" s="60" t="s">
        <v>600</v>
      </c>
      <c r="H455" s="60"/>
      <c r="I455" s="117">
        <v>1755</v>
      </c>
      <c r="J455" s="62"/>
      <c r="K455" s="62"/>
      <c r="L455" s="58">
        <f t="shared" si="36"/>
        <v>1</v>
      </c>
      <c r="M455" s="58">
        <f t="shared" si="37"/>
        <v>1</v>
      </c>
      <c r="N455" s="58">
        <f t="shared" si="38"/>
        <v>0</v>
      </c>
      <c r="O455" s="58">
        <f t="shared" si="39"/>
        <v>2</v>
      </c>
      <c r="P455" s="5" t="s">
        <v>488</v>
      </c>
    </row>
    <row r="456" spans="1:17">
      <c r="A456" s="59">
        <v>42061</v>
      </c>
      <c r="B456" s="60" t="str">
        <f t="shared" si="35"/>
        <v>Thu</v>
      </c>
      <c r="C456" s="60" t="s">
        <v>567</v>
      </c>
      <c r="D456" s="60" t="s">
        <v>100</v>
      </c>
      <c r="E456" s="67" t="s">
        <v>175</v>
      </c>
      <c r="F456" s="60" t="s">
        <v>601</v>
      </c>
      <c r="G456" s="60"/>
      <c r="H456" s="60"/>
      <c r="I456" s="117">
        <v>1331</v>
      </c>
      <c r="J456" s="62"/>
      <c r="K456" s="62"/>
      <c r="L456" s="58">
        <f t="shared" si="36"/>
        <v>1</v>
      </c>
      <c r="M456" s="58">
        <f t="shared" si="37"/>
        <v>0</v>
      </c>
      <c r="N456" s="58">
        <f t="shared" si="38"/>
        <v>0</v>
      </c>
      <c r="O456" s="58">
        <f t="shared" si="39"/>
        <v>1</v>
      </c>
      <c r="P456" s="5" t="s">
        <v>869</v>
      </c>
      <c r="Q456" s="5" t="s">
        <v>281</v>
      </c>
    </row>
    <row r="457" spans="1:17">
      <c r="A457" s="59">
        <v>42062</v>
      </c>
      <c r="B457" s="60" t="str">
        <f t="shared" si="35"/>
        <v>Fri</v>
      </c>
      <c r="C457" s="60" t="s">
        <v>567</v>
      </c>
      <c r="D457" s="60" t="s">
        <v>100</v>
      </c>
      <c r="E457" s="67" t="s">
        <v>10</v>
      </c>
      <c r="F457" s="60" t="s">
        <v>10</v>
      </c>
      <c r="G457" s="60"/>
      <c r="H457" s="60"/>
      <c r="I457" s="117">
        <v>1173</v>
      </c>
      <c r="J457" s="62"/>
      <c r="K457" s="62"/>
      <c r="L457" s="58">
        <f t="shared" si="36"/>
        <v>0</v>
      </c>
      <c r="M457" s="58">
        <f t="shared" si="37"/>
        <v>0</v>
      </c>
      <c r="N457" s="58">
        <f t="shared" si="38"/>
        <v>0</v>
      </c>
      <c r="O457" s="58">
        <f t="shared" si="39"/>
        <v>0</v>
      </c>
      <c r="P457" s="5" t="s">
        <v>10</v>
      </c>
    </row>
    <row r="458" spans="1:17">
      <c r="A458" s="59">
        <v>42063</v>
      </c>
      <c r="B458" s="60" t="str">
        <f t="shared" si="35"/>
        <v>Sat</v>
      </c>
      <c r="C458" s="60" t="s">
        <v>567</v>
      </c>
      <c r="D458" s="60" t="s">
        <v>100</v>
      </c>
      <c r="E458" s="67" t="s">
        <v>252</v>
      </c>
      <c r="F458" s="60" t="s">
        <v>602</v>
      </c>
      <c r="G458" s="60"/>
      <c r="H458" s="60"/>
      <c r="I458" s="117">
        <v>1079</v>
      </c>
      <c r="J458" s="62"/>
      <c r="K458" s="62"/>
      <c r="L458" s="58">
        <f t="shared" si="36"/>
        <v>1</v>
      </c>
      <c r="M458" s="58">
        <f t="shared" si="37"/>
        <v>0</v>
      </c>
      <c r="N458" s="58">
        <f t="shared" si="38"/>
        <v>0</v>
      </c>
      <c r="O458" s="58">
        <f t="shared" si="39"/>
        <v>1</v>
      </c>
      <c r="P458" s="5" t="s">
        <v>252</v>
      </c>
    </row>
    <row r="459" spans="1:17">
      <c r="A459" s="59">
        <v>42064</v>
      </c>
      <c r="B459" s="60" t="str">
        <f t="shared" si="35"/>
        <v>Sun</v>
      </c>
      <c r="C459" s="60" t="s">
        <v>603</v>
      </c>
      <c r="D459" s="60" t="s">
        <v>109</v>
      </c>
      <c r="E459" s="60" t="s">
        <v>359</v>
      </c>
      <c r="F459" s="60" t="s">
        <v>604</v>
      </c>
      <c r="G459" s="60"/>
      <c r="H459" s="60"/>
      <c r="I459" s="117">
        <v>989</v>
      </c>
      <c r="J459" s="62"/>
      <c r="K459" s="62"/>
      <c r="L459" s="58">
        <f t="shared" si="36"/>
        <v>1</v>
      </c>
      <c r="M459" s="58">
        <f t="shared" si="37"/>
        <v>0</v>
      </c>
      <c r="N459" s="58">
        <f t="shared" si="38"/>
        <v>0</v>
      </c>
      <c r="O459" s="58">
        <f t="shared" si="39"/>
        <v>1</v>
      </c>
      <c r="P459" s="5" t="s">
        <v>861</v>
      </c>
      <c r="Q459" s="5" t="s">
        <v>872</v>
      </c>
    </row>
    <row r="460" spans="1:17">
      <c r="A460" s="59">
        <v>42065</v>
      </c>
      <c r="B460" s="60" t="str">
        <f t="shared" si="35"/>
        <v>Mon</v>
      </c>
      <c r="C460" s="60" t="s">
        <v>603</v>
      </c>
      <c r="D460" s="60" t="s">
        <v>109</v>
      </c>
      <c r="E460" s="60" t="s">
        <v>359</v>
      </c>
      <c r="F460" s="60" t="s">
        <v>605</v>
      </c>
      <c r="G460" s="60"/>
      <c r="H460" s="60"/>
      <c r="I460" s="117">
        <v>1478</v>
      </c>
      <c r="J460" s="62"/>
      <c r="K460" s="62"/>
      <c r="L460" s="58">
        <f t="shared" si="36"/>
        <v>1</v>
      </c>
      <c r="M460" s="58">
        <f t="shared" si="37"/>
        <v>0</v>
      </c>
      <c r="N460" s="58">
        <f t="shared" si="38"/>
        <v>0</v>
      </c>
      <c r="O460" s="58">
        <f t="shared" si="39"/>
        <v>1</v>
      </c>
      <c r="P460" s="5" t="s">
        <v>861</v>
      </c>
      <c r="Q460" s="5" t="s">
        <v>872</v>
      </c>
    </row>
    <row r="461" spans="1:17">
      <c r="A461" s="59">
        <v>42066</v>
      </c>
      <c r="B461" s="60" t="str">
        <f t="shared" si="35"/>
        <v>Tue</v>
      </c>
      <c r="C461" s="60" t="s">
        <v>603</v>
      </c>
      <c r="D461" s="60" t="s">
        <v>109</v>
      </c>
      <c r="E461" s="60" t="s">
        <v>359</v>
      </c>
      <c r="F461" s="60" t="s">
        <v>606</v>
      </c>
      <c r="G461" s="60" t="s">
        <v>607</v>
      </c>
      <c r="H461" s="60"/>
      <c r="I461" s="117">
        <v>1933</v>
      </c>
      <c r="J461" s="62"/>
      <c r="K461" s="62"/>
      <c r="L461" s="58">
        <f t="shared" si="36"/>
        <v>1</v>
      </c>
      <c r="M461" s="58">
        <f t="shared" si="37"/>
        <v>1</v>
      </c>
      <c r="N461" s="58">
        <f t="shared" si="38"/>
        <v>0</v>
      </c>
      <c r="O461" s="58">
        <f t="shared" si="39"/>
        <v>2</v>
      </c>
      <c r="P461" s="5" t="s">
        <v>861</v>
      </c>
      <c r="Q461" s="5" t="s">
        <v>872</v>
      </c>
    </row>
    <row r="462" spans="1:17">
      <c r="A462" s="59">
        <v>42067</v>
      </c>
      <c r="B462" s="60" t="str">
        <f t="shared" si="35"/>
        <v>Wed</v>
      </c>
      <c r="C462" s="60" t="s">
        <v>603</v>
      </c>
      <c r="D462" s="60" t="s">
        <v>109</v>
      </c>
      <c r="E462" s="60" t="s">
        <v>10</v>
      </c>
      <c r="F462" s="60" t="s">
        <v>10</v>
      </c>
      <c r="G462" s="60"/>
      <c r="H462" s="60"/>
      <c r="I462" s="117">
        <v>1621</v>
      </c>
      <c r="J462" s="62"/>
      <c r="K462" s="62"/>
      <c r="L462" s="58">
        <f t="shared" si="36"/>
        <v>0</v>
      </c>
      <c r="M462" s="58">
        <f t="shared" si="37"/>
        <v>0</v>
      </c>
      <c r="N462" s="58">
        <f t="shared" si="38"/>
        <v>0</v>
      </c>
      <c r="O462" s="58">
        <f t="shared" si="39"/>
        <v>0</v>
      </c>
      <c r="P462" s="5" t="s">
        <v>10</v>
      </c>
    </row>
    <row r="463" spans="1:17">
      <c r="A463" s="59">
        <v>42068</v>
      </c>
      <c r="B463" s="60" t="str">
        <f t="shared" si="35"/>
        <v>Thu</v>
      </c>
      <c r="C463" s="60" t="s">
        <v>603</v>
      </c>
      <c r="D463" s="60" t="s">
        <v>109</v>
      </c>
      <c r="E463" s="60" t="s">
        <v>425</v>
      </c>
      <c r="F463" s="60" t="s">
        <v>608</v>
      </c>
      <c r="G463" s="60"/>
      <c r="H463" s="60"/>
      <c r="I463" s="117">
        <v>1304</v>
      </c>
      <c r="J463" s="62"/>
      <c r="K463" s="62"/>
      <c r="L463" s="58">
        <f t="shared" si="36"/>
        <v>1</v>
      </c>
      <c r="M463" s="58">
        <f t="shared" si="37"/>
        <v>0</v>
      </c>
      <c r="N463" s="58">
        <f t="shared" si="38"/>
        <v>0</v>
      </c>
      <c r="O463" s="58">
        <f t="shared" si="39"/>
        <v>1</v>
      </c>
      <c r="P463" s="5" t="s">
        <v>425</v>
      </c>
    </row>
    <row r="464" spans="1:17">
      <c r="A464" s="59">
        <v>42069</v>
      </c>
      <c r="B464" s="60" t="str">
        <f t="shared" si="35"/>
        <v>Fri</v>
      </c>
      <c r="C464" s="60" t="s">
        <v>603</v>
      </c>
      <c r="D464" s="60" t="s">
        <v>109</v>
      </c>
      <c r="E464" s="60" t="s">
        <v>165</v>
      </c>
      <c r="F464" s="60" t="s">
        <v>609</v>
      </c>
      <c r="G464" s="60"/>
      <c r="H464" s="60"/>
      <c r="I464" s="117">
        <v>1295</v>
      </c>
      <c r="J464" s="62"/>
      <c r="K464" s="62"/>
      <c r="L464" s="58">
        <f t="shared" si="36"/>
        <v>1</v>
      </c>
      <c r="M464" s="58">
        <f t="shared" si="37"/>
        <v>0</v>
      </c>
      <c r="N464" s="58">
        <f t="shared" si="38"/>
        <v>0</v>
      </c>
      <c r="O464" s="58">
        <f t="shared" si="39"/>
        <v>1</v>
      </c>
      <c r="P464" s="5" t="s">
        <v>867</v>
      </c>
      <c r="Q464" s="5" t="s">
        <v>281</v>
      </c>
    </row>
    <row r="465" spans="1:18">
      <c r="A465" s="59">
        <v>42070</v>
      </c>
      <c r="B465" s="60" t="str">
        <f t="shared" si="35"/>
        <v>Sat</v>
      </c>
      <c r="C465" s="60" t="s">
        <v>603</v>
      </c>
      <c r="D465" s="60" t="s">
        <v>109</v>
      </c>
      <c r="E465" s="60" t="s">
        <v>165</v>
      </c>
      <c r="F465" s="60" t="s">
        <v>610</v>
      </c>
      <c r="G465" s="60"/>
      <c r="H465" s="60"/>
      <c r="I465" s="117">
        <v>964</v>
      </c>
      <c r="J465" s="62"/>
      <c r="K465" s="62"/>
      <c r="L465" s="58">
        <f t="shared" si="36"/>
        <v>1</v>
      </c>
      <c r="M465" s="58">
        <f t="shared" si="37"/>
        <v>0</v>
      </c>
      <c r="N465" s="58">
        <f t="shared" si="38"/>
        <v>0</v>
      </c>
      <c r="O465" s="58">
        <f t="shared" si="39"/>
        <v>1</v>
      </c>
      <c r="P465" s="5" t="s">
        <v>867</v>
      </c>
      <c r="Q465" s="5" t="s">
        <v>281</v>
      </c>
    </row>
    <row r="466" spans="1:18">
      <c r="A466" s="59">
        <v>42071</v>
      </c>
      <c r="B466" s="60" t="str">
        <f t="shared" si="35"/>
        <v>Sun</v>
      </c>
      <c r="C466" s="60" t="s">
        <v>603</v>
      </c>
      <c r="D466" s="60" t="s">
        <v>117</v>
      </c>
      <c r="E466" s="60" t="s">
        <v>17</v>
      </c>
      <c r="F466" s="60" t="s">
        <v>611</v>
      </c>
      <c r="G466" s="60"/>
      <c r="H466" s="60"/>
      <c r="I466" s="117">
        <v>938</v>
      </c>
      <c r="J466" s="62"/>
      <c r="K466" s="62"/>
      <c r="L466" s="58">
        <f t="shared" si="36"/>
        <v>1</v>
      </c>
      <c r="M466" s="58">
        <f t="shared" si="37"/>
        <v>0</v>
      </c>
      <c r="N466" s="58">
        <f t="shared" si="38"/>
        <v>0</v>
      </c>
      <c r="O466" s="58">
        <f t="shared" si="39"/>
        <v>1</v>
      </c>
      <c r="P466" s="5" t="s">
        <v>17</v>
      </c>
    </row>
    <row r="467" spans="1:18">
      <c r="A467" s="59">
        <v>42072</v>
      </c>
      <c r="B467" s="60" t="str">
        <f t="shared" si="35"/>
        <v>Mon</v>
      </c>
      <c r="C467" s="60" t="s">
        <v>603</v>
      </c>
      <c r="D467" s="60" t="s">
        <v>117</v>
      </c>
      <c r="E467" s="60" t="s">
        <v>10</v>
      </c>
      <c r="F467" s="60" t="s">
        <v>10</v>
      </c>
      <c r="G467" s="60"/>
      <c r="H467" s="60"/>
      <c r="I467" s="117">
        <v>1350</v>
      </c>
      <c r="J467" s="62"/>
      <c r="K467" s="62"/>
      <c r="L467" s="58">
        <f t="shared" si="36"/>
        <v>0</v>
      </c>
      <c r="M467" s="58">
        <f t="shared" si="37"/>
        <v>0</v>
      </c>
      <c r="N467" s="58">
        <f t="shared" si="38"/>
        <v>0</v>
      </c>
      <c r="O467" s="58">
        <f t="shared" si="39"/>
        <v>0</v>
      </c>
      <c r="P467" s="5" t="s">
        <v>10</v>
      </c>
    </row>
    <row r="468" spans="1:18">
      <c r="A468" s="59">
        <v>42073</v>
      </c>
      <c r="B468" s="60" t="str">
        <f t="shared" si="35"/>
        <v>Tue</v>
      </c>
      <c r="C468" s="60" t="s">
        <v>603</v>
      </c>
      <c r="D468" s="60" t="s">
        <v>117</v>
      </c>
      <c r="E468" s="60" t="s">
        <v>612</v>
      </c>
      <c r="F468" s="60" t="s">
        <v>613</v>
      </c>
      <c r="G468" s="60" t="s">
        <v>614</v>
      </c>
      <c r="H468" s="60"/>
      <c r="I468" s="117">
        <v>1499</v>
      </c>
      <c r="J468" s="62"/>
      <c r="K468" s="62"/>
      <c r="L468" s="58">
        <f t="shared" si="36"/>
        <v>1</v>
      </c>
      <c r="M468" s="58">
        <f t="shared" si="37"/>
        <v>1</v>
      </c>
      <c r="N468" s="58">
        <f t="shared" si="38"/>
        <v>0</v>
      </c>
      <c r="O468" s="58">
        <f t="shared" si="39"/>
        <v>2</v>
      </c>
      <c r="P468" s="5" t="s">
        <v>612</v>
      </c>
    </row>
    <row r="469" spans="1:18">
      <c r="A469" s="59">
        <v>42074</v>
      </c>
      <c r="B469" s="60" t="str">
        <f t="shared" si="35"/>
        <v>Wed</v>
      </c>
      <c r="C469" s="60" t="s">
        <v>603</v>
      </c>
      <c r="D469" s="60" t="s">
        <v>117</v>
      </c>
      <c r="E469" s="60" t="s">
        <v>10</v>
      </c>
      <c r="F469" s="60" t="s">
        <v>10</v>
      </c>
      <c r="G469" s="60"/>
      <c r="H469" s="60"/>
      <c r="I469" s="117">
        <v>1277</v>
      </c>
      <c r="J469" s="62"/>
      <c r="K469" s="62"/>
      <c r="L469" s="58">
        <f t="shared" si="36"/>
        <v>0</v>
      </c>
      <c r="M469" s="58">
        <f t="shared" si="37"/>
        <v>0</v>
      </c>
      <c r="N469" s="58">
        <f t="shared" si="38"/>
        <v>0</v>
      </c>
      <c r="O469" s="58">
        <f t="shared" si="39"/>
        <v>0</v>
      </c>
      <c r="P469" s="5" t="s">
        <v>10</v>
      </c>
    </row>
    <row r="470" spans="1:18">
      <c r="A470" s="59">
        <v>42075</v>
      </c>
      <c r="B470" s="60" t="str">
        <f t="shared" si="35"/>
        <v>Thu</v>
      </c>
      <c r="C470" s="60" t="s">
        <v>603</v>
      </c>
      <c r="D470" s="60" t="s">
        <v>117</v>
      </c>
      <c r="E470" s="60" t="s">
        <v>165</v>
      </c>
      <c r="F470" s="60" t="s">
        <v>615</v>
      </c>
      <c r="G470" s="60"/>
      <c r="H470" s="60"/>
      <c r="I470" s="117">
        <v>1194</v>
      </c>
      <c r="J470" s="62"/>
      <c r="K470" s="62"/>
      <c r="L470" s="58">
        <f t="shared" si="36"/>
        <v>1</v>
      </c>
      <c r="M470" s="58">
        <f t="shared" si="37"/>
        <v>0</v>
      </c>
      <c r="N470" s="58">
        <f t="shared" si="38"/>
        <v>0</v>
      </c>
      <c r="O470" s="58">
        <f t="shared" si="39"/>
        <v>1</v>
      </c>
      <c r="P470" s="5" t="s">
        <v>867</v>
      </c>
      <c r="Q470" s="5" t="s">
        <v>281</v>
      </c>
    </row>
    <row r="471" spans="1:18">
      <c r="A471" s="59">
        <v>42076</v>
      </c>
      <c r="B471" s="60" t="str">
        <f t="shared" si="35"/>
        <v>Fri</v>
      </c>
      <c r="C471" s="60" t="s">
        <v>603</v>
      </c>
      <c r="D471" s="60" t="s">
        <v>117</v>
      </c>
      <c r="E471" s="60" t="s">
        <v>484</v>
      </c>
      <c r="F471" s="60" t="s">
        <v>616</v>
      </c>
      <c r="G471" s="60" t="s">
        <v>617</v>
      </c>
      <c r="H471" s="60"/>
      <c r="I471" s="117">
        <v>1429</v>
      </c>
      <c r="J471" s="62"/>
      <c r="K471" s="62"/>
      <c r="L471" s="58">
        <f t="shared" si="36"/>
        <v>1</v>
      </c>
      <c r="M471" s="58">
        <f t="shared" si="37"/>
        <v>1</v>
      </c>
      <c r="N471" s="58">
        <f t="shared" si="38"/>
        <v>0</v>
      </c>
      <c r="O471" s="58">
        <f t="shared" si="39"/>
        <v>2</v>
      </c>
      <c r="P471" s="5" t="s">
        <v>835</v>
      </c>
      <c r="Q471" s="5" t="s">
        <v>836</v>
      </c>
    </row>
    <row r="472" spans="1:18">
      <c r="A472" s="59">
        <v>42077</v>
      </c>
      <c r="B472" s="60" t="str">
        <f t="shared" si="35"/>
        <v>Sat</v>
      </c>
      <c r="C472" s="60" t="s">
        <v>603</v>
      </c>
      <c r="D472" s="60" t="s">
        <v>117</v>
      </c>
      <c r="E472" s="60" t="s">
        <v>484</v>
      </c>
      <c r="F472" s="60" t="s">
        <v>618</v>
      </c>
      <c r="G472" s="60" t="s">
        <v>619</v>
      </c>
      <c r="H472" s="60"/>
      <c r="I472" s="117">
        <v>911</v>
      </c>
      <c r="J472" s="62"/>
      <c r="K472" s="62"/>
      <c r="L472" s="58">
        <f t="shared" si="36"/>
        <v>1</v>
      </c>
      <c r="M472" s="58">
        <f t="shared" si="37"/>
        <v>1</v>
      </c>
      <c r="N472" s="58">
        <f t="shared" si="38"/>
        <v>0</v>
      </c>
      <c r="O472" s="58">
        <f t="shared" si="39"/>
        <v>2</v>
      </c>
      <c r="P472" s="5" t="s">
        <v>835</v>
      </c>
      <c r="Q472" s="5" t="s">
        <v>836</v>
      </c>
    </row>
    <row r="473" spans="1:18">
      <c r="A473" s="59">
        <v>42078</v>
      </c>
      <c r="B473" s="60" t="str">
        <f t="shared" si="35"/>
        <v>Sun</v>
      </c>
      <c r="C473" s="60" t="s">
        <v>603</v>
      </c>
      <c r="D473" s="60" t="s">
        <v>123</v>
      </c>
      <c r="E473" s="60" t="s">
        <v>740</v>
      </c>
      <c r="F473" s="60" t="s">
        <v>620</v>
      </c>
      <c r="G473" s="60" t="s">
        <v>621</v>
      </c>
      <c r="H473" s="60"/>
      <c r="I473" s="117">
        <v>875</v>
      </c>
      <c r="J473" s="62"/>
      <c r="K473" s="62"/>
      <c r="L473" s="58">
        <f t="shared" si="36"/>
        <v>1</v>
      </c>
      <c r="M473" s="58">
        <f t="shared" si="37"/>
        <v>1</v>
      </c>
      <c r="N473" s="58">
        <f t="shared" si="38"/>
        <v>0</v>
      </c>
      <c r="O473" s="58">
        <f t="shared" si="39"/>
        <v>2</v>
      </c>
      <c r="P473" s="5" t="s">
        <v>857</v>
      </c>
      <c r="Q473" s="5">
        <v>15</v>
      </c>
      <c r="R473" s="5" t="s">
        <v>902</v>
      </c>
    </row>
    <row r="474" spans="1:18">
      <c r="A474" s="59">
        <v>42079</v>
      </c>
      <c r="B474" s="60" t="str">
        <f t="shared" si="35"/>
        <v>Mon</v>
      </c>
      <c r="C474" s="60" t="s">
        <v>603</v>
      </c>
      <c r="D474" s="60" t="s">
        <v>123</v>
      </c>
      <c r="E474" s="60" t="s">
        <v>10</v>
      </c>
      <c r="F474" s="60" t="s">
        <v>10</v>
      </c>
      <c r="G474" s="60"/>
      <c r="H474" s="60"/>
      <c r="I474" s="117">
        <v>1231</v>
      </c>
      <c r="J474" s="62"/>
      <c r="K474" s="62"/>
      <c r="L474" s="58">
        <f t="shared" si="36"/>
        <v>0</v>
      </c>
      <c r="M474" s="58">
        <f t="shared" si="37"/>
        <v>0</v>
      </c>
      <c r="N474" s="58">
        <f t="shared" si="38"/>
        <v>0</v>
      </c>
      <c r="O474" s="58">
        <f t="shared" si="39"/>
        <v>0</v>
      </c>
      <c r="P474" s="5" t="s">
        <v>10</v>
      </c>
    </row>
    <row r="475" spans="1:18">
      <c r="A475" s="59">
        <v>42080</v>
      </c>
      <c r="B475" s="60" t="str">
        <f t="shared" si="35"/>
        <v>Tue</v>
      </c>
      <c r="C475" s="60" t="s">
        <v>603</v>
      </c>
      <c r="D475" s="60" t="s">
        <v>123</v>
      </c>
      <c r="E475" s="60" t="s">
        <v>165</v>
      </c>
      <c r="F475" s="60" t="s">
        <v>622</v>
      </c>
      <c r="G475" s="60" t="s">
        <v>623</v>
      </c>
      <c r="H475" s="60"/>
      <c r="I475" s="117">
        <v>1449</v>
      </c>
      <c r="J475" s="62"/>
      <c r="K475" s="62"/>
      <c r="L475" s="58">
        <f t="shared" si="36"/>
        <v>1</v>
      </c>
      <c r="M475" s="58">
        <f t="shared" si="37"/>
        <v>1</v>
      </c>
      <c r="N475" s="58">
        <f t="shared" si="38"/>
        <v>0</v>
      </c>
      <c r="O475" s="58">
        <f t="shared" si="39"/>
        <v>2</v>
      </c>
      <c r="P475" s="5" t="s">
        <v>867</v>
      </c>
      <c r="Q475" s="5" t="s">
        <v>281</v>
      </c>
    </row>
    <row r="476" spans="1:18">
      <c r="A476" s="59">
        <v>42081</v>
      </c>
      <c r="B476" s="60" t="str">
        <f t="shared" si="35"/>
        <v>Wed</v>
      </c>
      <c r="C476" s="60" t="s">
        <v>603</v>
      </c>
      <c r="D476" s="60" t="s">
        <v>123</v>
      </c>
      <c r="E476" s="60" t="s">
        <v>165</v>
      </c>
      <c r="F476" s="60" t="s">
        <v>624</v>
      </c>
      <c r="G476" s="60"/>
      <c r="H476" s="60"/>
      <c r="I476" s="117">
        <v>1320</v>
      </c>
      <c r="J476" s="62"/>
      <c r="K476" s="62"/>
      <c r="L476" s="58">
        <f t="shared" si="36"/>
        <v>1</v>
      </c>
      <c r="M476" s="58">
        <f t="shared" si="37"/>
        <v>0</v>
      </c>
      <c r="N476" s="58">
        <f t="shared" si="38"/>
        <v>0</v>
      </c>
      <c r="O476" s="58">
        <f t="shared" si="39"/>
        <v>1</v>
      </c>
      <c r="P476" s="5" t="s">
        <v>867</v>
      </c>
      <c r="Q476" s="5" t="s">
        <v>281</v>
      </c>
    </row>
    <row r="477" spans="1:18">
      <c r="A477" s="59">
        <v>42082</v>
      </c>
      <c r="B477" s="60" t="str">
        <f t="shared" si="35"/>
        <v>Thu</v>
      </c>
      <c r="C477" s="60" t="s">
        <v>603</v>
      </c>
      <c r="D477" s="60" t="s">
        <v>123</v>
      </c>
      <c r="E477" s="60" t="s">
        <v>165</v>
      </c>
      <c r="F477" s="60" t="s">
        <v>625</v>
      </c>
      <c r="G477" s="60"/>
      <c r="H477" s="60"/>
      <c r="I477" s="117">
        <v>1143</v>
      </c>
      <c r="J477" s="62"/>
      <c r="K477" s="62"/>
      <c r="L477" s="58">
        <f t="shared" si="36"/>
        <v>1</v>
      </c>
      <c r="M477" s="58">
        <f t="shared" si="37"/>
        <v>0</v>
      </c>
      <c r="N477" s="58">
        <f t="shared" si="38"/>
        <v>0</v>
      </c>
      <c r="O477" s="58">
        <f t="shared" si="39"/>
        <v>1</v>
      </c>
      <c r="P477" s="5" t="s">
        <v>867</v>
      </c>
      <c r="Q477" s="5" t="s">
        <v>281</v>
      </c>
    </row>
    <row r="478" spans="1:18">
      <c r="A478" s="59">
        <v>42083</v>
      </c>
      <c r="B478" s="60" t="str">
        <f t="shared" si="35"/>
        <v>Fri</v>
      </c>
      <c r="C478" s="60" t="s">
        <v>603</v>
      </c>
      <c r="D478" s="60" t="s">
        <v>123</v>
      </c>
      <c r="E478" s="60" t="s">
        <v>17</v>
      </c>
      <c r="F478" s="60" t="s">
        <v>626</v>
      </c>
      <c r="G478" s="60"/>
      <c r="H478" s="60"/>
      <c r="I478" s="117">
        <v>1234</v>
      </c>
      <c r="J478" s="62"/>
      <c r="K478" s="62"/>
      <c r="L478" s="58">
        <f t="shared" si="36"/>
        <v>1</v>
      </c>
      <c r="M478" s="58">
        <f t="shared" si="37"/>
        <v>0</v>
      </c>
      <c r="N478" s="58">
        <f t="shared" si="38"/>
        <v>0</v>
      </c>
      <c r="O478" s="58">
        <f t="shared" si="39"/>
        <v>1</v>
      </c>
      <c r="P478" s="5" t="s">
        <v>17</v>
      </c>
    </row>
    <row r="479" spans="1:18">
      <c r="A479" s="59">
        <v>42084</v>
      </c>
      <c r="B479" s="60" t="str">
        <f t="shared" si="35"/>
        <v>Sat</v>
      </c>
      <c r="C479" s="60" t="s">
        <v>603</v>
      </c>
      <c r="D479" s="60" t="s">
        <v>123</v>
      </c>
      <c r="E479" s="60" t="s">
        <v>17</v>
      </c>
      <c r="F479" s="60" t="s">
        <v>627</v>
      </c>
      <c r="G479" s="60"/>
      <c r="H479" s="60"/>
      <c r="I479" s="117">
        <v>943</v>
      </c>
      <c r="J479" s="62"/>
      <c r="K479" s="62"/>
      <c r="L479" s="58">
        <f t="shared" si="36"/>
        <v>1</v>
      </c>
      <c r="M479" s="58">
        <f t="shared" si="37"/>
        <v>0</v>
      </c>
      <c r="N479" s="58">
        <f t="shared" si="38"/>
        <v>0</v>
      </c>
      <c r="O479" s="58">
        <f t="shared" si="39"/>
        <v>1</v>
      </c>
      <c r="P479" s="5" t="s">
        <v>17</v>
      </c>
    </row>
    <row r="480" spans="1:18">
      <c r="A480" s="59">
        <v>42085</v>
      </c>
      <c r="B480" s="60" t="str">
        <f t="shared" si="35"/>
        <v>Sun</v>
      </c>
      <c r="C480" s="60" t="s">
        <v>603</v>
      </c>
      <c r="D480" s="60" t="s">
        <v>130</v>
      </c>
      <c r="E480" s="60" t="s">
        <v>488</v>
      </c>
      <c r="F480" s="60" t="s">
        <v>628</v>
      </c>
      <c r="G480" s="60"/>
      <c r="H480" s="60"/>
      <c r="I480" s="117">
        <v>755</v>
      </c>
      <c r="J480" s="62"/>
      <c r="K480" s="62"/>
      <c r="L480" s="58">
        <f t="shared" si="36"/>
        <v>1</v>
      </c>
      <c r="M480" s="58">
        <f t="shared" si="37"/>
        <v>0</v>
      </c>
      <c r="N480" s="58">
        <f t="shared" si="38"/>
        <v>0</v>
      </c>
      <c r="O480" s="58">
        <f t="shared" si="39"/>
        <v>1</v>
      </c>
      <c r="P480" s="5" t="s">
        <v>488</v>
      </c>
    </row>
    <row r="481" spans="1:17">
      <c r="A481" s="59">
        <v>42086</v>
      </c>
      <c r="B481" s="60" t="str">
        <f t="shared" si="35"/>
        <v>Mon</v>
      </c>
      <c r="C481" s="60" t="s">
        <v>603</v>
      </c>
      <c r="D481" s="60" t="s">
        <v>130</v>
      </c>
      <c r="E481" s="60" t="s">
        <v>488</v>
      </c>
      <c r="F481" s="60" t="s">
        <v>629</v>
      </c>
      <c r="G481" s="60" t="s">
        <v>630</v>
      </c>
      <c r="H481" s="60"/>
      <c r="I481" s="117">
        <v>1269</v>
      </c>
      <c r="J481" s="62"/>
      <c r="K481" s="62"/>
      <c r="L481" s="58">
        <f t="shared" si="36"/>
        <v>1</v>
      </c>
      <c r="M481" s="58">
        <f t="shared" si="37"/>
        <v>1</v>
      </c>
      <c r="N481" s="58">
        <f t="shared" si="38"/>
        <v>0</v>
      </c>
      <c r="O481" s="58">
        <f t="shared" si="39"/>
        <v>2</v>
      </c>
      <c r="P481" s="5" t="s">
        <v>488</v>
      </c>
    </row>
    <row r="482" spans="1:17">
      <c r="A482" s="59">
        <v>42087</v>
      </c>
      <c r="B482" s="60" t="str">
        <f t="shared" si="35"/>
        <v>Tue</v>
      </c>
      <c r="C482" s="60" t="s">
        <v>603</v>
      </c>
      <c r="D482" s="60" t="s">
        <v>130</v>
      </c>
      <c r="E482" s="60" t="s">
        <v>10</v>
      </c>
      <c r="F482" s="60" t="s">
        <v>10</v>
      </c>
      <c r="G482" s="60"/>
      <c r="H482" s="60"/>
      <c r="I482" s="117">
        <v>1163</v>
      </c>
      <c r="J482" s="62"/>
      <c r="K482" s="62"/>
      <c r="L482" s="58">
        <f t="shared" si="36"/>
        <v>0</v>
      </c>
      <c r="M482" s="58">
        <f t="shared" si="37"/>
        <v>0</v>
      </c>
      <c r="N482" s="58">
        <f t="shared" si="38"/>
        <v>0</v>
      </c>
      <c r="O482" s="58">
        <f t="shared" si="39"/>
        <v>0</v>
      </c>
      <c r="P482" s="5" t="s">
        <v>10</v>
      </c>
    </row>
    <row r="483" spans="1:17">
      <c r="A483" s="59">
        <v>42088</v>
      </c>
      <c r="B483" s="60" t="str">
        <f t="shared" si="35"/>
        <v>Wed</v>
      </c>
      <c r="C483" s="60" t="s">
        <v>603</v>
      </c>
      <c r="D483" s="60" t="s">
        <v>130</v>
      </c>
      <c r="E483" s="60" t="s">
        <v>612</v>
      </c>
      <c r="F483" s="60" t="s">
        <v>631</v>
      </c>
      <c r="G483" s="60" t="s">
        <v>632</v>
      </c>
      <c r="H483" s="60"/>
      <c r="I483" s="117">
        <v>1258</v>
      </c>
      <c r="J483" s="62"/>
      <c r="K483" s="62"/>
      <c r="L483" s="58">
        <f t="shared" si="36"/>
        <v>1</v>
      </c>
      <c r="M483" s="58">
        <f t="shared" si="37"/>
        <v>1</v>
      </c>
      <c r="N483" s="58">
        <f t="shared" si="38"/>
        <v>0</v>
      </c>
      <c r="O483" s="58">
        <f t="shared" si="39"/>
        <v>2</v>
      </c>
      <c r="P483" s="5" t="s">
        <v>612</v>
      </c>
    </row>
    <row r="484" spans="1:17">
      <c r="A484" s="59">
        <v>42089</v>
      </c>
      <c r="B484" s="60" t="str">
        <f t="shared" si="35"/>
        <v>Thu</v>
      </c>
      <c r="C484" s="60" t="s">
        <v>603</v>
      </c>
      <c r="D484" s="60" t="s">
        <v>130</v>
      </c>
      <c r="E484" s="60" t="s">
        <v>612</v>
      </c>
      <c r="F484" s="60" t="s">
        <v>633</v>
      </c>
      <c r="G484" s="60"/>
      <c r="H484" s="60"/>
      <c r="I484" s="117">
        <v>1085</v>
      </c>
      <c r="J484" s="62"/>
      <c r="K484" s="62"/>
      <c r="L484" s="58">
        <f t="shared" si="36"/>
        <v>1</v>
      </c>
      <c r="M484" s="58">
        <f t="shared" si="37"/>
        <v>0</v>
      </c>
      <c r="N484" s="58">
        <f t="shared" si="38"/>
        <v>0</v>
      </c>
      <c r="O484" s="58">
        <f t="shared" si="39"/>
        <v>1</v>
      </c>
      <c r="P484" s="5" t="s">
        <v>612</v>
      </c>
    </row>
    <row r="485" spans="1:17">
      <c r="A485" s="59">
        <v>42090</v>
      </c>
      <c r="B485" s="60" t="str">
        <f t="shared" si="35"/>
        <v>Fri</v>
      </c>
      <c r="C485" s="60" t="s">
        <v>603</v>
      </c>
      <c r="D485" s="60" t="s">
        <v>130</v>
      </c>
      <c r="E485" s="60" t="s">
        <v>10</v>
      </c>
      <c r="F485" s="60" t="s">
        <v>10</v>
      </c>
      <c r="G485" s="60"/>
      <c r="H485" s="60"/>
      <c r="I485" s="117">
        <v>970</v>
      </c>
      <c r="J485" s="62"/>
      <c r="K485" s="62"/>
      <c r="L485" s="58">
        <f t="shared" si="36"/>
        <v>0</v>
      </c>
      <c r="M485" s="58">
        <f t="shared" si="37"/>
        <v>0</v>
      </c>
      <c r="N485" s="58">
        <f t="shared" si="38"/>
        <v>0</v>
      </c>
      <c r="O485" s="58">
        <f t="shared" si="39"/>
        <v>0</v>
      </c>
      <c r="P485" s="5" t="s">
        <v>10</v>
      </c>
    </row>
    <row r="486" spans="1:17">
      <c r="A486" s="59">
        <v>42091</v>
      </c>
      <c r="B486" s="60" t="str">
        <f t="shared" si="35"/>
        <v>Sat</v>
      </c>
      <c r="C486" s="60" t="s">
        <v>603</v>
      </c>
      <c r="D486" s="60" t="s">
        <v>130</v>
      </c>
      <c r="E486" s="60" t="s">
        <v>165</v>
      </c>
      <c r="F486" s="60" t="s">
        <v>634</v>
      </c>
      <c r="G486" s="60"/>
      <c r="H486" s="60"/>
      <c r="I486" s="117">
        <v>834</v>
      </c>
      <c r="J486" s="62"/>
      <c r="K486" s="62"/>
      <c r="L486" s="58">
        <f t="shared" si="36"/>
        <v>1</v>
      </c>
      <c r="M486" s="58">
        <f t="shared" si="37"/>
        <v>0</v>
      </c>
      <c r="N486" s="58">
        <f t="shared" si="38"/>
        <v>0</v>
      </c>
      <c r="O486" s="58">
        <f t="shared" si="39"/>
        <v>1</v>
      </c>
      <c r="P486" s="5" t="s">
        <v>867</v>
      </c>
      <c r="Q486" s="5" t="s">
        <v>281</v>
      </c>
    </row>
    <row r="487" spans="1:17">
      <c r="A487" s="59">
        <v>42092</v>
      </c>
      <c r="B487" s="60" t="str">
        <f t="shared" si="35"/>
        <v>Sun</v>
      </c>
      <c r="C487" s="60" t="s">
        <v>635</v>
      </c>
      <c r="D487" s="60" t="s">
        <v>140</v>
      </c>
      <c r="E487" s="67" t="s">
        <v>425</v>
      </c>
      <c r="F487" s="60" t="s">
        <v>636</v>
      </c>
      <c r="G487" s="60"/>
      <c r="H487" s="60"/>
      <c r="I487" s="117">
        <v>641</v>
      </c>
      <c r="J487" s="62"/>
      <c r="K487" s="62"/>
      <c r="L487" s="58">
        <f t="shared" si="36"/>
        <v>1</v>
      </c>
      <c r="M487" s="58">
        <f t="shared" si="37"/>
        <v>0</v>
      </c>
      <c r="N487" s="58">
        <f t="shared" si="38"/>
        <v>0</v>
      </c>
      <c r="O487" s="58">
        <f t="shared" si="39"/>
        <v>1</v>
      </c>
      <c r="P487" s="5" t="s">
        <v>425</v>
      </c>
    </row>
    <row r="488" spans="1:17">
      <c r="A488" s="59">
        <v>42093</v>
      </c>
      <c r="B488" s="60" t="str">
        <f t="shared" ref="B488:B551" si="40">TEXT(A488,"DDD")</f>
        <v>Mon</v>
      </c>
      <c r="C488" s="60" t="s">
        <v>635</v>
      </c>
      <c r="D488" s="60" t="s">
        <v>140</v>
      </c>
      <c r="E488" s="67" t="s">
        <v>10</v>
      </c>
      <c r="F488" s="60" t="s">
        <v>10</v>
      </c>
      <c r="G488" s="60"/>
      <c r="H488" s="60"/>
      <c r="I488" s="117">
        <v>1082</v>
      </c>
      <c r="J488" s="62"/>
      <c r="K488" s="62"/>
      <c r="L488" s="58">
        <f t="shared" ref="L488:L551" si="41">IF(E488=$L$1,0,1)</f>
        <v>0</v>
      </c>
      <c r="M488" s="58">
        <f t="shared" ref="M488:M551" si="42">IF(ISBLANK(G488),0,1)</f>
        <v>0</v>
      </c>
      <c r="N488" s="58">
        <f t="shared" ref="N488:N551" si="43">IF(ISBLANK(H488),0,1)</f>
        <v>0</v>
      </c>
      <c r="O488" s="58">
        <f t="shared" ref="O488:O551" si="44">SUM(L488:N488)</f>
        <v>0</v>
      </c>
      <c r="P488" s="5" t="s">
        <v>10</v>
      </c>
    </row>
    <row r="489" spans="1:17">
      <c r="A489" s="59">
        <v>42094</v>
      </c>
      <c r="B489" s="60" t="str">
        <f t="shared" si="40"/>
        <v>Tue</v>
      </c>
      <c r="C489" s="60" t="s">
        <v>635</v>
      </c>
      <c r="D489" s="60" t="s">
        <v>140</v>
      </c>
      <c r="E489" s="67" t="s">
        <v>17</v>
      </c>
      <c r="F489" s="60" t="s">
        <v>637</v>
      </c>
      <c r="G489" s="60" t="s">
        <v>638</v>
      </c>
      <c r="H489" s="60"/>
      <c r="I489" s="117">
        <v>1286</v>
      </c>
      <c r="J489" s="62"/>
      <c r="K489" s="62"/>
      <c r="L489" s="58">
        <f t="shared" si="41"/>
        <v>1</v>
      </c>
      <c r="M489" s="58">
        <f t="shared" si="42"/>
        <v>1</v>
      </c>
      <c r="N489" s="58">
        <f t="shared" si="43"/>
        <v>0</v>
      </c>
      <c r="O489" s="58">
        <f t="shared" si="44"/>
        <v>2</v>
      </c>
      <c r="P489" s="5" t="s">
        <v>17</v>
      </c>
    </row>
    <row r="490" spans="1:17">
      <c r="A490" s="59">
        <v>42095</v>
      </c>
      <c r="B490" s="60" t="str">
        <f t="shared" si="40"/>
        <v>Wed</v>
      </c>
      <c r="C490" s="60" t="s">
        <v>635</v>
      </c>
      <c r="D490" s="60" t="s">
        <v>140</v>
      </c>
      <c r="E490" s="67" t="s">
        <v>17</v>
      </c>
      <c r="F490" s="60" t="s">
        <v>639</v>
      </c>
      <c r="G490" s="60" t="s">
        <v>640</v>
      </c>
      <c r="H490" s="60"/>
      <c r="I490" s="117">
        <v>1286</v>
      </c>
      <c r="J490" s="62"/>
      <c r="K490" s="62"/>
      <c r="L490" s="58">
        <f t="shared" si="41"/>
        <v>1</v>
      </c>
      <c r="M490" s="58">
        <f t="shared" si="42"/>
        <v>1</v>
      </c>
      <c r="N490" s="58">
        <f t="shared" si="43"/>
        <v>0</v>
      </c>
      <c r="O490" s="58">
        <f t="shared" si="44"/>
        <v>2</v>
      </c>
      <c r="P490" s="5" t="s">
        <v>17</v>
      </c>
    </row>
    <row r="491" spans="1:17">
      <c r="A491" s="90">
        <v>42096</v>
      </c>
      <c r="B491" s="60" t="str">
        <f t="shared" si="40"/>
        <v>Thu</v>
      </c>
      <c r="C491" s="60" t="s">
        <v>635</v>
      </c>
      <c r="D491" s="60" t="s">
        <v>140</v>
      </c>
      <c r="E491" s="92" t="s">
        <v>612</v>
      </c>
      <c r="F491" s="94" t="s">
        <v>641</v>
      </c>
      <c r="G491" s="94"/>
      <c r="H491" s="94"/>
      <c r="I491" s="117">
        <v>1426</v>
      </c>
      <c r="J491" s="62"/>
      <c r="K491" s="62"/>
      <c r="L491" s="58">
        <f t="shared" si="41"/>
        <v>1</v>
      </c>
      <c r="M491" s="58">
        <f t="shared" si="42"/>
        <v>0</v>
      </c>
      <c r="N491" s="58">
        <f t="shared" si="43"/>
        <v>0</v>
      </c>
      <c r="O491" s="58">
        <f t="shared" si="44"/>
        <v>1</v>
      </c>
      <c r="P491" s="5" t="s">
        <v>612</v>
      </c>
    </row>
    <row r="492" spans="1:17">
      <c r="A492" s="59">
        <v>42097</v>
      </c>
      <c r="B492" s="60" t="str">
        <f t="shared" si="40"/>
        <v>Fri</v>
      </c>
      <c r="C492" s="60" t="s">
        <v>635</v>
      </c>
      <c r="D492" s="60" t="s">
        <v>140</v>
      </c>
      <c r="E492" s="67" t="s">
        <v>612</v>
      </c>
      <c r="F492" s="60" t="s">
        <v>642</v>
      </c>
      <c r="G492" s="60"/>
      <c r="H492" s="60"/>
      <c r="I492" s="117">
        <v>1191</v>
      </c>
      <c r="J492" s="62"/>
      <c r="K492" s="62"/>
      <c r="L492" s="58">
        <f t="shared" si="41"/>
        <v>1</v>
      </c>
      <c r="M492" s="58">
        <f t="shared" si="42"/>
        <v>0</v>
      </c>
      <c r="N492" s="58">
        <f t="shared" si="43"/>
        <v>0</v>
      </c>
      <c r="O492" s="58">
        <f t="shared" si="44"/>
        <v>1</v>
      </c>
      <c r="P492" s="5" t="s">
        <v>612</v>
      </c>
    </row>
    <row r="493" spans="1:17">
      <c r="A493" s="59">
        <v>42098</v>
      </c>
      <c r="B493" s="60" t="str">
        <f t="shared" si="40"/>
        <v>Sat</v>
      </c>
      <c r="C493" s="60" t="s">
        <v>635</v>
      </c>
      <c r="D493" s="60" t="s">
        <v>140</v>
      </c>
      <c r="E493" s="67" t="s">
        <v>612</v>
      </c>
      <c r="F493" s="60" t="s">
        <v>643</v>
      </c>
      <c r="G493" s="60"/>
      <c r="H493" s="60"/>
      <c r="I493" s="117">
        <v>907</v>
      </c>
      <c r="J493" s="62"/>
      <c r="K493" s="62"/>
      <c r="L493" s="58">
        <f t="shared" si="41"/>
        <v>1</v>
      </c>
      <c r="M493" s="58">
        <f t="shared" si="42"/>
        <v>0</v>
      </c>
      <c r="N493" s="58">
        <f t="shared" si="43"/>
        <v>0</v>
      </c>
      <c r="O493" s="58">
        <f t="shared" si="44"/>
        <v>1</v>
      </c>
      <c r="P493" s="5" t="s">
        <v>612</v>
      </c>
    </row>
    <row r="494" spans="1:17">
      <c r="A494" s="59">
        <v>42099</v>
      </c>
      <c r="B494" s="60" t="str">
        <f t="shared" si="40"/>
        <v>Sun</v>
      </c>
      <c r="C494" s="60" t="s">
        <v>635</v>
      </c>
      <c r="D494" s="60" t="s">
        <v>148</v>
      </c>
      <c r="E494" s="67" t="s">
        <v>397</v>
      </c>
      <c r="F494" s="60" t="s">
        <v>644</v>
      </c>
      <c r="G494" s="60"/>
      <c r="H494" s="60"/>
      <c r="I494" s="117">
        <v>423</v>
      </c>
      <c r="J494" s="62"/>
      <c r="K494" s="62"/>
      <c r="L494" s="58">
        <f t="shared" si="41"/>
        <v>1</v>
      </c>
      <c r="M494" s="58">
        <f t="shared" si="42"/>
        <v>0</v>
      </c>
      <c r="N494" s="58">
        <f t="shared" si="43"/>
        <v>0</v>
      </c>
      <c r="O494" s="58">
        <f t="shared" si="44"/>
        <v>1</v>
      </c>
      <c r="P494" s="5" t="s">
        <v>868</v>
      </c>
      <c r="Q494" s="5" t="s">
        <v>898</v>
      </c>
    </row>
    <row r="495" spans="1:17">
      <c r="A495" s="59">
        <v>42100</v>
      </c>
      <c r="B495" s="60" t="str">
        <f t="shared" si="40"/>
        <v>Mon</v>
      </c>
      <c r="C495" s="60" t="s">
        <v>635</v>
      </c>
      <c r="D495" s="60" t="s">
        <v>148</v>
      </c>
      <c r="E495" s="67" t="s">
        <v>10</v>
      </c>
      <c r="F495" s="60" t="s">
        <v>10</v>
      </c>
      <c r="G495" s="60"/>
      <c r="H495" s="60"/>
      <c r="I495" s="117">
        <v>1085</v>
      </c>
      <c r="J495" s="62"/>
      <c r="K495" s="62"/>
      <c r="L495" s="58">
        <f t="shared" si="41"/>
        <v>0</v>
      </c>
      <c r="M495" s="58">
        <f t="shared" si="42"/>
        <v>0</v>
      </c>
      <c r="N495" s="58">
        <f t="shared" si="43"/>
        <v>0</v>
      </c>
      <c r="O495" s="58">
        <f t="shared" si="44"/>
        <v>0</v>
      </c>
      <c r="P495" s="5" t="s">
        <v>10</v>
      </c>
    </row>
    <row r="496" spans="1:17">
      <c r="A496" s="59">
        <v>42101</v>
      </c>
      <c r="B496" s="60" t="str">
        <f t="shared" si="40"/>
        <v>Tue</v>
      </c>
      <c r="C496" s="60" t="s">
        <v>635</v>
      </c>
      <c r="D496" s="60" t="s">
        <v>148</v>
      </c>
      <c r="E496" s="67" t="s">
        <v>425</v>
      </c>
      <c r="F496" s="60" t="s">
        <v>645</v>
      </c>
      <c r="G496" s="60"/>
      <c r="H496" s="60"/>
      <c r="I496" s="117">
        <v>1131</v>
      </c>
      <c r="J496" s="62"/>
      <c r="K496" s="62"/>
      <c r="L496" s="58">
        <f t="shared" si="41"/>
        <v>1</v>
      </c>
      <c r="M496" s="58">
        <f t="shared" si="42"/>
        <v>0</v>
      </c>
      <c r="N496" s="58">
        <f t="shared" si="43"/>
        <v>0</v>
      </c>
      <c r="O496" s="58">
        <f t="shared" si="44"/>
        <v>1</v>
      </c>
      <c r="P496" s="5" t="s">
        <v>425</v>
      </c>
    </row>
    <row r="497" spans="1:18">
      <c r="A497" s="59">
        <v>42102</v>
      </c>
      <c r="B497" s="60" t="str">
        <f t="shared" si="40"/>
        <v>Wed</v>
      </c>
      <c r="C497" s="60" t="s">
        <v>635</v>
      </c>
      <c r="D497" s="60" t="s">
        <v>148</v>
      </c>
      <c r="E497" s="67" t="s">
        <v>425</v>
      </c>
      <c r="F497" s="60" t="s">
        <v>646</v>
      </c>
      <c r="G497" s="60"/>
      <c r="H497" s="60"/>
      <c r="I497" s="117">
        <v>1154</v>
      </c>
      <c r="J497" s="62"/>
      <c r="K497" s="62"/>
      <c r="L497" s="58">
        <f t="shared" si="41"/>
        <v>1</v>
      </c>
      <c r="M497" s="58">
        <f t="shared" si="42"/>
        <v>0</v>
      </c>
      <c r="N497" s="58">
        <f t="shared" si="43"/>
        <v>0</v>
      </c>
      <c r="O497" s="58">
        <f t="shared" si="44"/>
        <v>1</v>
      </c>
      <c r="P497" s="5" t="s">
        <v>425</v>
      </c>
    </row>
    <row r="498" spans="1:18">
      <c r="A498" s="59">
        <v>42103</v>
      </c>
      <c r="B498" s="60" t="str">
        <f t="shared" si="40"/>
        <v>Thu</v>
      </c>
      <c r="C498" s="60" t="s">
        <v>635</v>
      </c>
      <c r="D498" s="60" t="s">
        <v>148</v>
      </c>
      <c r="E498" s="67" t="s">
        <v>359</v>
      </c>
      <c r="F498" s="60" t="s">
        <v>647</v>
      </c>
      <c r="G498" s="60"/>
      <c r="H498" s="60"/>
      <c r="I498" s="117">
        <v>1376</v>
      </c>
      <c r="J498" s="62"/>
      <c r="K498" s="62"/>
      <c r="L498" s="58">
        <f t="shared" si="41"/>
        <v>1</v>
      </c>
      <c r="M498" s="58">
        <f t="shared" si="42"/>
        <v>0</v>
      </c>
      <c r="N498" s="58">
        <f t="shared" si="43"/>
        <v>0</v>
      </c>
      <c r="O498" s="58">
        <f t="shared" si="44"/>
        <v>1</v>
      </c>
      <c r="P498" s="5" t="s">
        <v>861</v>
      </c>
      <c r="Q498" s="5" t="s">
        <v>872</v>
      </c>
    </row>
    <row r="499" spans="1:18">
      <c r="A499" s="59">
        <v>42104</v>
      </c>
      <c r="B499" s="60" t="str">
        <f t="shared" si="40"/>
        <v>Fri</v>
      </c>
      <c r="C499" s="60" t="s">
        <v>635</v>
      </c>
      <c r="D499" s="60" t="s">
        <v>148</v>
      </c>
      <c r="E499" s="67" t="s">
        <v>359</v>
      </c>
      <c r="F499" s="60" t="s">
        <v>648</v>
      </c>
      <c r="G499" s="60" t="s">
        <v>649</v>
      </c>
      <c r="H499" s="60"/>
      <c r="I499" s="117">
        <v>1317</v>
      </c>
      <c r="J499" s="62"/>
      <c r="K499" s="62"/>
      <c r="L499" s="58">
        <f t="shared" si="41"/>
        <v>1</v>
      </c>
      <c r="M499" s="58">
        <f t="shared" si="42"/>
        <v>1</v>
      </c>
      <c r="N499" s="58">
        <f t="shared" si="43"/>
        <v>0</v>
      </c>
      <c r="O499" s="58">
        <f t="shared" si="44"/>
        <v>2</v>
      </c>
      <c r="P499" s="5" t="s">
        <v>861</v>
      </c>
      <c r="Q499" s="5" t="s">
        <v>872</v>
      </c>
    </row>
    <row r="500" spans="1:18">
      <c r="A500" s="59">
        <v>42105</v>
      </c>
      <c r="B500" s="60" t="str">
        <f t="shared" si="40"/>
        <v>Sat</v>
      </c>
      <c r="C500" s="60" t="s">
        <v>635</v>
      </c>
      <c r="D500" s="60" t="s">
        <v>148</v>
      </c>
      <c r="E500" s="67" t="s">
        <v>10</v>
      </c>
      <c r="F500" s="60" t="s">
        <v>10</v>
      </c>
      <c r="G500" s="60"/>
      <c r="H500" s="60"/>
      <c r="I500" s="117">
        <v>701</v>
      </c>
      <c r="J500" s="62"/>
      <c r="K500" s="62"/>
      <c r="L500" s="58">
        <f t="shared" si="41"/>
        <v>0</v>
      </c>
      <c r="M500" s="58">
        <f t="shared" si="42"/>
        <v>0</v>
      </c>
      <c r="N500" s="58">
        <f t="shared" si="43"/>
        <v>0</v>
      </c>
      <c r="O500" s="58">
        <f t="shared" si="44"/>
        <v>0</v>
      </c>
      <c r="P500" s="5" t="s">
        <v>10</v>
      </c>
    </row>
    <row r="501" spans="1:18">
      <c r="A501" s="59">
        <v>42106</v>
      </c>
      <c r="B501" s="60" t="str">
        <f t="shared" si="40"/>
        <v>Sun</v>
      </c>
      <c r="C501" s="60" t="s">
        <v>635</v>
      </c>
      <c r="D501" s="60" t="s">
        <v>155</v>
      </c>
      <c r="E501" s="67" t="s">
        <v>311</v>
      </c>
      <c r="F501" s="60" t="s">
        <v>650</v>
      </c>
      <c r="G501" s="60"/>
      <c r="H501" s="60"/>
      <c r="I501" s="117">
        <v>798</v>
      </c>
      <c r="J501" s="62"/>
      <c r="K501" s="62"/>
      <c r="L501" s="58">
        <f t="shared" si="41"/>
        <v>1</v>
      </c>
      <c r="M501" s="58">
        <f t="shared" si="42"/>
        <v>0</v>
      </c>
      <c r="N501" s="58">
        <f t="shared" si="43"/>
        <v>0</v>
      </c>
      <c r="O501" s="58">
        <f t="shared" si="44"/>
        <v>1</v>
      </c>
      <c r="P501" s="5" t="s">
        <v>860</v>
      </c>
      <c r="Q501" s="5" t="s">
        <v>837</v>
      </c>
      <c r="R501" s="5" t="s">
        <v>281</v>
      </c>
    </row>
    <row r="502" spans="1:18">
      <c r="A502" s="59">
        <v>42107</v>
      </c>
      <c r="B502" s="60" t="str">
        <f t="shared" si="40"/>
        <v>Mon</v>
      </c>
      <c r="C502" s="60" t="s">
        <v>635</v>
      </c>
      <c r="D502" s="60" t="s">
        <v>155</v>
      </c>
      <c r="E502" s="67" t="s">
        <v>311</v>
      </c>
      <c r="F502" s="60" t="s">
        <v>651</v>
      </c>
      <c r="G502" s="60"/>
      <c r="H502" s="60"/>
      <c r="I502" s="117">
        <v>1139</v>
      </c>
      <c r="J502" s="62"/>
      <c r="K502" s="62"/>
      <c r="L502" s="58">
        <f t="shared" si="41"/>
        <v>1</v>
      </c>
      <c r="M502" s="58">
        <f t="shared" si="42"/>
        <v>0</v>
      </c>
      <c r="N502" s="58">
        <f t="shared" si="43"/>
        <v>0</v>
      </c>
      <c r="O502" s="58">
        <f t="shared" si="44"/>
        <v>1</v>
      </c>
      <c r="P502" s="5" t="s">
        <v>860</v>
      </c>
      <c r="Q502" s="5" t="s">
        <v>837</v>
      </c>
      <c r="R502" s="5" t="s">
        <v>281</v>
      </c>
    </row>
    <row r="503" spans="1:18">
      <c r="A503" s="59">
        <v>42108</v>
      </c>
      <c r="B503" s="60" t="str">
        <f t="shared" si="40"/>
        <v>Tue</v>
      </c>
      <c r="C503" s="60" t="s">
        <v>635</v>
      </c>
      <c r="D503" s="60" t="s">
        <v>155</v>
      </c>
      <c r="E503" s="60" t="s">
        <v>165</v>
      </c>
      <c r="F503" s="60" t="s">
        <v>652</v>
      </c>
      <c r="G503" s="60"/>
      <c r="H503" s="60"/>
      <c r="I503" s="117">
        <v>1202</v>
      </c>
      <c r="J503" s="62"/>
      <c r="K503" s="62"/>
      <c r="L503" s="58">
        <f t="shared" si="41"/>
        <v>1</v>
      </c>
      <c r="M503" s="58">
        <f t="shared" si="42"/>
        <v>0</v>
      </c>
      <c r="N503" s="58">
        <f t="shared" si="43"/>
        <v>0</v>
      </c>
      <c r="O503" s="58">
        <f t="shared" si="44"/>
        <v>1</v>
      </c>
      <c r="P503" s="5" t="s">
        <v>867</v>
      </c>
      <c r="Q503" s="5" t="s">
        <v>281</v>
      </c>
    </row>
    <row r="504" spans="1:18">
      <c r="A504" s="90">
        <v>42109</v>
      </c>
      <c r="B504" s="60" t="str">
        <f t="shared" si="40"/>
        <v>Wed</v>
      </c>
      <c r="C504" s="60" t="s">
        <v>635</v>
      </c>
      <c r="D504" s="60" t="s">
        <v>155</v>
      </c>
      <c r="E504" s="92" t="s">
        <v>157</v>
      </c>
      <c r="F504" s="94" t="s">
        <v>653</v>
      </c>
      <c r="G504" s="94" t="s">
        <v>654</v>
      </c>
      <c r="H504" s="94"/>
      <c r="I504" s="117">
        <v>1317</v>
      </c>
      <c r="J504" s="62"/>
      <c r="K504" s="62"/>
      <c r="L504" s="58">
        <f t="shared" si="41"/>
        <v>1</v>
      </c>
      <c r="M504" s="58">
        <f t="shared" si="42"/>
        <v>1</v>
      </c>
      <c r="N504" s="58">
        <f t="shared" si="43"/>
        <v>0</v>
      </c>
      <c r="O504" s="58">
        <f t="shared" si="44"/>
        <v>2</v>
      </c>
      <c r="P504" s="5" t="s">
        <v>835</v>
      </c>
      <c r="Q504" s="5" t="s">
        <v>281</v>
      </c>
    </row>
    <row r="505" spans="1:18">
      <c r="A505" s="59">
        <v>42110</v>
      </c>
      <c r="B505" s="60" t="str">
        <f t="shared" si="40"/>
        <v>Thu</v>
      </c>
      <c r="C505" s="60" t="s">
        <v>635</v>
      </c>
      <c r="D505" s="60" t="s">
        <v>155</v>
      </c>
      <c r="E505" s="67" t="s">
        <v>10</v>
      </c>
      <c r="F505" s="60" t="s">
        <v>10</v>
      </c>
      <c r="G505" s="60"/>
      <c r="H505" s="60"/>
      <c r="I505" s="117">
        <v>984</v>
      </c>
      <c r="J505" s="62"/>
      <c r="K505" s="62"/>
      <c r="L505" s="58">
        <f t="shared" si="41"/>
        <v>0</v>
      </c>
      <c r="M505" s="58">
        <f t="shared" si="42"/>
        <v>0</v>
      </c>
      <c r="N505" s="58">
        <f t="shared" si="43"/>
        <v>0</v>
      </c>
      <c r="O505" s="58">
        <f t="shared" si="44"/>
        <v>0</v>
      </c>
      <c r="P505" s="5" t="s">
        <v>10</v>
      </c>
    </row>
    <row r="506" spans="1:18">
      <c r="A506" s="59">
        <v>42111</v>
      </c>
      <c r="B506" s="60" t="str">
        <f t="shared" si="40"/>
        <v>Fri</v>
      </c>
      <c r="C506" s="60" t="s">
        <v>635</v>
      </c>
      <c r="D506" s="60" t="s">
        <v>155</v>
      </c>
      <c r="E506" s="67" t="s">
        <v>655</v>
      </c>
      <c r="F506" s="60" t="s">
        <v>656</v>
      </c>
      <c r="G506" s="60"/>
      <c r="H506" s="60"/>
      <c r="I506" s="117">
        <v>1084</v>
      </c>
      <c r="J506" s="62"/>
      <c r="K506" s="62"/>
      <c r="L506" s="58">
        <f t="shared" si="41"/>
        <v>1</v>
      </c>
      <c r="M506" s="58">
        <f t="shared" si="42"/>
        <v>0</v>
      </c>
      <c r="N506" s="58">
        <f t="shared" si="43"/>
        <v>0</v>
      </c>
      <c r="O506" s="58">
        <f t="shared" si="44"/>
        <v>1</v>
      </c>
      <c r="P506" s="5" t="s">
        <v>655</v>
      </c>
    </row>
    <row r="507" spans="1:18">
      <c r="A507" s="59">
        <v>42112</v>
      </c>
      <c r="B507" s="60" t="str">
        <f t="shared" si="40"/>
        <v>Sat</v>
      </c>
      <c r="C507" s="60" t="s">
        <v>635</v>
      </c>
      <c r="D507" s="60" t="s">
        <v>155</v>
      </c>
      <c r="E507" s="67" t="s">
        <v>104</v>
      </c>
      <c r="F507" s="60" t="s">
        <v>657</v>
      </c>
      <c r="G507" s="60"/>
      <c r="H507" s="60"/>
      <c r="I507" s="117">
        <v>876</v>
      </c>
      <c r="J507" s="62"/>
      <c r="K507" s="62"/>
      <c r="L507" s="58">
        <f t="shared" si="41"/>
        <v>1</v>
      </c>
      <c r="M507" s="58">
        <f t="shared" si="42"/>
        <v>0</v>
      </c>
      <c r="N507" s="58">
        <f t="shared" si="43"/>
        <v>0</v>
      </c>
      <c r="O507" s="58">
        <f t="shared" si="44"/>
        <v>1</v>
      </c>
      <c r="P507" s="5" t="s">
        <v>851</v>
      </c>
      <c r="Q507" s="5" t="s">
        <v>852</v>
      </c>
    </row>
    <row r="508" spans="1:18">
      <c r="A508" s="59">
        <v>42113</v>
      </c>
      <c r="B508" s="60" t="str">
        <f t="shared" si="40"/>
        <v>Sun</v>
      </c>
      <c r="C508" s="60" t="s">
        <v>635</v>
      </c>
      <c r="D508" s="60" t="s">
        <v>164</v>
      </c>
      <c r="E508" s="67" t="s">
        <v>104</v>
      </c>
      <c r="F508" s="60" t="s">
        <v>658</v>
      </c>
      <c r="G508" s="60" t="s">
        <v>659</v>
      </c>
      <c r="H508" s="60"/>
      <c r="I508" s="117">
        <v>681</v>
      </c>
      <c r="J508" s="62"/>
      <c r="K508" s="62"/>
      <c r="L508" s="58">
        <f t="shared" si="41"/>
        <v>1</v>
      </c>
      <c r="M508" s="58">
        <f t="shared" si="42"/>
        <v>1</v>
      </c>
      <c r="N508" s="58">
        <f t="shared" si="43"/>
        <v>0</v>
      </c>
      <c r="O508" s="58">
        <f t="shared" si="44"/>
        <v>2</v>
      </c>
      <c r="P508" s="5" t="s">
        <v>851</v>
      </c>
      <c r="Q508" s="5" t="s">
        <v>852</v>
      </c>
    </row>
    <row r="509" spans="1:18">
      <c r="A509" s="59">
        <v>42114</v>
      </c>
      <c r="B509" s="60" t="str">
        <f t="shared" si="40"/>
        <v>Mon</v>
      </c>
      <c r="C509" s="60" t="s">
        <v>635</v>
      </c>
      <c r="D509" s="60" t="s">
        <v>164</v>
      </c>
      <c r="E509" s="67" t="s">
        <v>10</v>
      </c>
      <c r="F509" s="60" t="s">
        <v>10</v>
      </c>
      <c r="G509" s="60"/>
      <c r="H509" s="60"/>
      <c r="I509" s="117">
        <v>1059</v>
      </c>
      <c r="J509" s="62"/>
      <c r="K509" s="62"/>
      <c r="L509" s="58">
        <f t="shared" si="41"/>
        <v>0</v>
      </c>
      <c r="M509" s="58">
        <f t="shared" si="42"/>
        <v>0</v>
      </c>
      <c r="N509" s="58">
        <f t="shared" si="43"/>
        <v>0</v>
      </c>
      <c r="O509" s="58">
        <f t="shared" si="44"/>
        <v>0</v>
      </c>
      <c r="P509" s="5" t="s">
        <v>10</v>
      </c>
    </row>
    <row r="510" spans="1:18">
      <c r="A510" s="59">
        <v>42115</v>
      </c>
      <c r="B510" s="60" t="str">
        <f t="shared" si="40"/>
        <v>Tue</v>
      </c>
      <c r="C510" s="60" t="s">
        <v>635</v>
      </c>
      <c r="D510" s="60" t="s">
        <v>164</v>
      </c>
      <c r="E510" s="67" t="s">
        <v>425</v>
      </c>
      <c r="F510" s="60" t="s">
        <v>660</v>
      </c>
      <c r="G510" s="60"/>
      <c r="H510" s="60"/>
      <c r="I510" s="117">
        <v>1083</v>
      </c>
      <c r="J510" s="62"/>
      <c r="K510" s="62"/>
      <c r="L510" s="58">
        <f t="shared" si="41"/>
        <v>1</v>
      </c>
      <c r="M510" s="58">
        <f t="shared" si="42"/>
        <v>0</v>
      </c>
      <c r="N510" s="58">
        <f t="shared" si="43"/>
        <v>0</v>
      </c>
      <c r="O510" s="58">
        <f t="shared" si="44"/>
        <v>1</v>
      </c>
      <c r="P510" s="5" t="s">
        <v>425</v>
      </c>
    </row>
    <row r="511" spans="1:18">
      <c r="A511" s="59">
        <v>42116</v>
      </c>
      <c r="B511" s="60" t="str">
        <f t="shared" si="40"/>
        <v>Wed</v>
      </c>
      <c r="C511" s="60" t="s">
        <v>635</v>
      </c>
      <c r="D511" s="60" t="s">
        <v>164</v>
      </c>
      <c r="E511" s="67" t="s">
        <v>17</v>
      </c>
      <c r="F511" s="60" t="s">
        <v>661</v>
      </c>
      <c r="G511" s="60" t="s">
        <v>662</v>
      </c>
      <c r="H511" s="60"/>
      <c r="I511" s="117">
        <v>1389</v>
      </c>
      <c r="J511" s="62"/>
      <c r="K511" s="62"/>
      <c r="L511" s="58">
        <f t="shared" si="41"/>
        <v>1</v>
      </c>
      <c r="M511" s="58">
        <f t="shared" si="42"/>
        <v>1</v>
      </c>
      <c r="N511" s="58">
        <f t="shared" si="43"/>
        <v>0</v>
      </c>
      <c r="O511" s="58">
        <f t="shared" si="44"/>
        <v>2</v>
      </c>
      <c r="P511" s="5" t="s">
        <v>17</v>
      </c>
    </row>
    <row r="512" spans="1:18">
      <c r="A512" s="59">
        <v>42117</v>
      </c>
      <c r="B512" s="60" t="str">
        <f t="shared" si="40"/>
        <v>Thu</v>
      </c>
      <c r="C512" s="60" t="s">
        <v>635</v>
      </c>
      <c r="D512" s="60" t="s">
        <v>164</v>
      </c>
      <c r="E512" s="67" t="s">
        <v>425</v>
      </c>
      <c r="F512" s="60" t="s">
        <v>663</v>
      </c>
      <c r="G512" s="60"/>
      <c r="H512" s="60"/>
      <c r="I512" s="117">
        <v>1094</v>
      </c>
      <c r="J512" s="62"/>
      <c r="K512" s="62"/>
      <c r="L512" s="58">
        <f t="shared" si="41"/>
        <v>1</v>
      </c>
      <c r="M512" s="58">
        <f t="shared" si="42"/>
        <v>0</v>
      </c>
      <c r="N512" s="58">
        <f t="shared" si="43"/>
        <v>0</v>
      </c>
      <c r="O512" s="58">
        <f t="shared" si="44"/>
        <v>1</v>
      </c>
      <c r="P512" s="5" t="s">
        <v>425</v>
      </c>
    </row>
    <row r="513" spans="1:18">
      <c r="A513" s="59">
        <v>42118</v>
      </c>
      <c r="B513" s="60" t="str">
        <f t="shared" si="40"/>
        <v>Fri</v>
      </c>
      <c r="C513" s="60" t="s">
        <v>635</v>
      </c>
      <c r="D513" s="60" t="s">
        <v>164</v>
      </c>
      <c r="E513" s="67" t="s">
        <v>104</v>
      </c>
      <c r="F513" s="60" t="s">
        <v>664</v>
      </c>
      <c r="G513" s="60"/>
      <c r="H513" s="60"/>
      <c r="I513" s="117">
        <v>1072</v>
      </c>
      <c r="J513" s="62"/>
      <c r="K513" s="62"/>
      <c r="L513" s="58">
        <f t="shared" si="41"/>
        <v>1</v>
      </c>
      <c r="M513" s="58">
        <f t="shared" si="42"/>
        <v>0</v>
      </c>
      <c r="N513" s="58">
        <f t="shared" si="43"/>
        <v>0</v>
      </c>
      <c r="O513" s="58">
        <f t="shared" si="44"/>
        <v>1</v>
      </c>
      <c r="P513" s="5" t="s">
        <v>851</v>
      </c>
      <c r="Q513" s="5" t="s">
        <v>852</v>
      </c>
    </row>
    <row r="514" spans="1:18">
      <c r="A514" s="59">
        <v>42119</v>
      </c>
      <c r="B514" s="60" t="str">
        <f t="shared" si="40"/>
        <v>Sat</v>
      </c>
      <c r="C514" s="60" t="s">
        <v>635</v>
      </c>
      <c r="D514" s="60" t="s">
        <v>164</v>
      </c>
      <c r="E514" s="67" t="s">
        <v>104</v>
      </c>
      <c r="F514" s="60" t="s">
        <v>665</v>
      </c>
      <c r="G514" s="60"/>
      <c r="H514" s="60"/>
      <c r="I514" s="117">
        <v>812</v>
      </c>
      <c r="J514" s="62"/>
      <c r="K514" s="62"/>
      <c r="L514" s="58">
        <f t="shared" si="41"/>
        <v>1</v>
      </c>
      <c r="M514" s="58">
        <f t="shared" si="42"/>
        <v>0</v>
      </c>
      <c r="N514" s="58">
        <f t="shared" si="43"/>
        <v>0</v>
      </c>
      <c r="O514" s="58">
        <f t="shared" si="44"/>
        <v>1</v>
      </c>
      <c r="P514" s="5" t="s">
        <v>851</v>
      </c>
      <c r="Q514" s="5" t="s">
        <v>852</v>
      </c>
    </row>
    <row r="515" spans="1:18">
      <c r="A515" s="59">
        <v>42120</v>
      </c>
      <c r="B515" s="60" t="str">
        <f t="shared" si="40"/>
        <v>Sun</v>
      </c>
      <c r="C515" s="60" t="s">
        <v>635</v>
      </c>
      <c r="D515" s="60" t="s">
        <v>174</v>
      </c>
      <c r="E515" s="67" t="s">
        <v>104</v>
      </c>
      <c r="F515" s="60" t="s">
        <v>666</v>
      </c>
      <c r="G515" s="60"/>
      <c r="H515" s="60"/>
      <c r="I515" s="117">
        <v>661</v>
      </c>
      <c r="J515" s="62"/>
      <c r="K515" s="62"/>
      <c r="L515" s="58">
        <f t="shared" si="41"/>
        <v>1</v>
      </c>
      <c r="M515" s="58">
        <f t="shared" si="42"/>
        <v>0</v>
      </c>
      <c r="N515" s="58">
        <f t="shared" si="43"/>
        <v>0</v>
      </c>
      <c r="O515" s="58">
        <f t="shared" si="44"/>
        <v>1</v>
      </c>
      <c r="P515" s="5" t="s">
        <v>851</v>
      </c>
      <c r="Q515" s="5" t="s">
        <v>852</v>
      </c>
    </row>
    <row r="516" spans="1:18">
      <c r="A516" s="59">
        <v>42121</v>
      </c>
      <c r="B516" s="60" t="str">
        <f t="shared" si="40"/>
        <v>Mon</v>
      </c>
      <c r="C516" s="60" t="s">
        <v>635</v>
      </c>
      <c r="D516" s="60" t="s">
        <v>174</v>
      </c>
      <c r="E516" s="67" t="s">
        <v>78</v>
      </c>
      <c r="F516" s="60" t="s">
        <v>667</v>
      </c>
      <c r="G516" s="60"/>
      <c r="H516" s="60"/>
      <c r="I516" s="117">
        <v>1117</v>
      </c>
      <c r="J516" s="62"/>
      <c r="K516" s="62"/>
      <c r="L516" s="58">
        <f t="shared" si="41"/>
        <v>1</v>
      </c>
      <c r="M516" s="58">
        <f t="shared" si="42"/>
        <v>0</v>
      </c>
      <c r="N516" s="58">
        <f t="shared" si="43"/>
        <v>0</v>
      </c>
      <c r="O516" s="58">
        <f t="shared" si="44"/>
        <v>1</v>
      </c>
      <c r="P516" s="5" t="s">
        <v>845</v>
      </c>
      <c r="Q516" s="5" t="s">
        <v>281</v>
      </c>
    </row>
    <row r="517" spans="1:18">
      <c r="A517" s="59">
        <v>42122</v>
      </c>
      <c r="B517" s="60" t="str">
        <f t="shared" si="40"/>
        <v>Tue</v>
      </c>
      <c r="C517" s="60" t="s">
        <v>635</v>
      </c>
      <c r="D517" s="60" t="s">
        <v>174</v>
      </c>
      <c r="E517" s="67" t="s">
        <v>78</v>
      </c>
      <c r="F517" s="60" t="s">
        <v>668</v>
      </c>
      <c r="G517" s="60"/>
      <c r="H517" s="60"/>
      <c r="I517" s="117">
        <v>1039</v>
      </c>
      <c r="J517" s="62"/>
      <c r="K517" s="62"/>
      <c r="L517" s="58">
        <f t="shared" si="41"/>
        <v>1</v>
      </c>
      <c r="M517" s="58">
        <f t="shared" si="42"/>
        <v>0</v>
      </c>
      <c r="N517" s="58">
        <f t="shared" si="43"/>
        <v>0</v>
      </c>
      <c r="O517" s="58">
        <f t="shared" si="44"/>
        <v>1</v>
      </c>
      <c r="P517" s="5" t="s">
        <v>845</v>
      </c>
      <c r="Q517" s="5" t="s">
        <v>281</v>
      </c>
    </row>
    <row r="518" spans="1:18">
      <c r="A518" s="59">
        <v>42123</v>
      </c>
      <c r="B518" s="60" t="str">
        <f t="shared" si="40"/>
        <v>Wed</v>
      </c>
      <c r="C518" s="60" t="s">
        <v>635</v>
      </c>
      <c r="D518" s="60" t="s">
        <v>174</v>
      </c>
      <c r="E518" s="67" t="s">
        <v>10</v>
      </c>
      <c r="F518" s="60" t="s">
        <v>10</v>
      </c>
      <c r="G518" s="60"/>
      <c r="H518" s="60"/>
      <c r="I518" s="117">
        <v>978</v>
      </c>
      <c r="J518" s="62"/>
      <c r="K518" s="62"/>
      <c r="L518" s="58">
        <f t="shared" si="41"/>
        <v>0</v>
      </c>
      <c r="M518" s="58">
        <f t="shared" si="42"/>
        <v>0</v>
      </c>
      <c r="N518" s="58">
        <f t="shared" si="43"/>
        <v>0</v>
      </c>
      <c r="O518" s="58">
        <f t="shared" si="44"/>
        <v>0</v>
      </c>
      <c r="P518" s="5" t="s">
        <v>10</v>
      </c>
    </row>
    <row r="519" spans="1:18">
      <c r="A519" s="59">
        <v>42124</v>
      </c>
      <c r="B519" s="60" t="str">
        <f t="shared" si="40"/>
        <v>Thu</v>
      </c>
      <c r="C519" s="60" t="s">
        <v>635</v>
      </c>
      <c r="D519" s="60" t="s">
        <v>174</v>
      </c>
      <c r="E519" s="67" t="s">
        <v>78</v>
      </c>
      <c r="F519" s="60" t="s">
        <v>669</v>
      </c>
      <c r="G519" s="60" t="s">
        <v>670</v>
      </c>
      <c r="H519" s="60"/>
      <c r="I519" s="117">
        <v>1005</v>
      </c>
      <c r="J519" s="62"/>
      <c r="K519" s="62"/>
      <c r="L519" s="58">
        <f t="shared" si="41"/>
        <v>1</v>
      </c>
      <c r="M519" s="58">
        <f t="shared" si="42"/>
        <v>1</v>
      </c>
      <c r="N519" s="58">
        <f t="shared" si="43"/>
        <v>0</v>
      </c>
      <c r="O519" s="58">
        <f t="shared" si="44"/>
        <v>2</v>
      </c>
      <c r="P519" s="5" t="s">
        <v>845</v>
      </c>
      <c r="Q519" s="5" t="s">
        <v>281</v>
      </c>
    </row>
    <row r="520" spans="1:18">
      <c r="A520" s="59">
        <v>42125</v>
      </c>
      <c r="B520" s="60" t="str">
        <f t="shared" si="40"/>
        <v>Fri</v>
      </c>
      <c r="C520" s="60" t="s">
        <v>635</v>
      </c>
      <c r="D520" s="60" t="s">
        <v>174</v>
      </c>
      <c r="E520" s="67" t="s">
        <v>612</v>
      </c>
      <c r="F520" s="60" t="s">
        <v>671</v>
      </c>
      <c r="G520" s="60"/>
      <c r="H520" s="60"/>
      <c r="I520" s="117">
        <v>1017</v>
      </c>
      <c r="J520" s="62"/>
      <c r="K520" s="62"/>
      <c r="L520" s="58">
        <f t="shared" si="41"/>
        <v>1</v>
      </c>
      <c r="M520" s="58">
        <f t="shared" si="42"/>
        <v>0</v>
      </c>
      <c r="N520" s="58">
        <f t="shared" si="43"/>
        <v>0</v>
      </c>
      <c r="O520" s="58">
        <f t="shared" si="44"/>
        <v>1</v>
      </c>
      <c r="P520" s="5" t="s">
        <v>612</v>
      </c>
    </row>
    <row r="521" spans="1:18">
      <c r="A521" s="59">
        <v>42126</v>
      </c>
      <c r="B521" s="60" t="str">
        <f t="shared" si="40"/>
        <v>Sat</v>
      </c>
      <c r="C521" s="60" t="s">
        <v>635</v>
      </c>
      <c r="D521" s="60" t="s">
        <v>174</v>
      </c>
      <c r="E521" s="67" t="s">
        <v>612</v>
      </c>
      <c r="F521" s="60" t="s">
        <v>672</v>
      </c>
      <c r="G521" s="60" t="s">
        <v>673</v>
      </c>
      <c r="H521" s="60"/>
      <c r="I521" s="117">
        <v>858</v>
      </c>
      <c r="J521" s="62"/>
      <c r="K521" s="62"/>
      <c r="L521" s="58">
        <f t="shared" si="41"/>
        <v>1</v>
      </c>
      <c r="M521" s="58">
        <f t="shared" si="42"/>
        <v>1</v>
      </c>
      <c r="N521" s="58">
        <f t="shared" si="43"/>
        <v>0</v>
      </c>
      <c r="O521" s="58">
        <f t="shared" si="44"/>
        <v>2</v>
      </c>
      <c r="P521" s="5" t="s">
        <v>612</v>
      </c>
    </row>
    <row r="522" spans="1:18">
      <c r="A522" s="59">
        <v>42127</v>
      </c>
      <c r="B522" s="60" t="str">
        <f t="shared" si="40"/>
        <v>Sun</v>
      </c>
      <c r="C522" s="60" t="s">
        <v>674</v>
      </c>
      <c r="D522" s="60" t="s">
        <v>182</v>
      </c>
      <c r="E522" s="67" t="s">
        <v>10</v>
      </c>
      <c r="F522" s="60" t="s">
        <v>10</v>
      </c>
      <c r="G522" s="60"/>
      <c r="H522" s="60"/>
      <c r="I522" s="117">
        <v>560</v>
      </c>
      <c r="J522" s="62"/>
      <c r="K522" s="62"/>
      <c r="L522" s="58">
        <f t="shared" si="41"/>
        <v>0</v>
      </c>
      <c r="M522" s="58">
        <f t="shared" si="42"/>
        <v>0</v>
      </c>
      <c r="N522" s="58">
        <f t="shared" si="43"/>
        <v>0</v>
      </c>
      <c r="O522" s="58">
        <f t="shared" si="44"/>
        <v>0</v>
      </c>
      <c r="P522" s="5" t="s">
        <v>10</v>
      </c>
    </row>
    <row r="523" spans="1:18">
      <c r="A523" s="59">
        <v>42128</v>
      </c>
      <c r="B523" s="60" t="str">
        <f t="shared" si="40"/>
        <v>Mon</v>
      </c>
      <c r="C523" s="60" t="s">
        <v>674</v>
      </c>
      <c r="D523" s="60" t="s">
        <v>182</v>
      </c>
      <c r="E523" s="60" t="s">
        <v>425</v>
      </c>
      <c r="F523" s="60" t="s">
        <v>675</v>
      </c>
      <c r="G523" s="60"/>
      <c r="H523" s="60"/>
      <c r="I523" s="117">
        <v>1049</v>
      </c>
      <c r="J523" s="62"/>
      <c r="K523" s="62"/>
      <c r="L523" s="58">
        <f t="shared" si="41"/>
        <v>1</v>
      </c>
      <c r="M523" s="58">
        <f t="shared" si="42"/>
        <v>0</v>
      </c>
      <c r="N523" s="58">
        <f t="shared" si="43"/>
        <v>0</v>
      </c>
      <c r="O523" s="58">
        <f t="shared" si="44"/>
        <v>1</v>
      </c>
      <c r="P523" s="5" t="s">
        <v>425</v>
      </c>
    </row>
    <row r="524" spans="1:18">
      <c r="A524" s="59">
        <v>42129</v>
      </c>
      <c r="B524" s="60" t="str">
        <f t="shared" si="40"/>
        <v>Tue</v>
      </c>
      <c r="C524" s="60" t="s">
        <v>674</v>
      </c>
      <c r="D524" s="60" t="s">
        <v>182</v>
      </c>
      <c r="E524" s="60" t="s">
        <v>311</v>
      </c>
      <c r="F524" s="60" t="s">
        <v>676</v>
      </c>
      <c r="G524" s="60" t="s">
        <v>677</v>
      </c>
      <c r="H524" s="60"/>
      <c r="I524" s="117">
        <v>1405</v>
      </c>
      <c r="J524" s="62"/>
      <c r="K524" s="62"/>
      <c r="L524" s="58">
        <f t="shared" si="41"/>
        <v>1</v>
      </c>
      <c r="M524" s="58">
        <f t="shared" si="42"/>
        <v>1</v>
      </c>
      <c r="N524" s="58">
        <f t="shared" si="43"/>
        <v>0</v>
      </c>
      <c r="O524" s="58">
        <f t="shared" si="44"/>
        <v>2</v>
      </c>
      <c r="P524" s="5" t="s">
        <v>860</v>
      </c>
      <c r="Q524" s="5" t="s">
        <v>837</v>
      </c>
      <c r="R524" s="5" t="s">
        <v>281</v>
      </c>
    </row>
    <row r="525" spans="1:18">
      <c r="A525" s="59">
        <v>42130</v>
      </c>
      <c r="B525" s="60" t="str">
        <f t="shared" si="40"/>
        <v>Wed</v>
      </c>
      <c r="C525" s="60" t="s">
        <v>674</v>
      </c>
      <c r="D525" s="60" t="s">
        <v>182</v>
      </c>
      <c r="E525" s="60" t="s">
        <v>311</v>
      </c>
      <c r="F525" s="60" t="s">
        <v>678</v>
      </c>
      <c r="G525" s="60"/>
      <c r="H525" s="60"/>
      <c r="I525" s="117">
        <v>1224</v>
      </c>
      <c r="J525" s="62"/>
      <c r="K525" s="62"/>
      <c r="L525" s="58">
        <f t="shared" si="41"/>
        <v>1</v>
      </c>
      <c r="M525" s="58">
        <f t="shared" si="42"/>
        <v>0</v>
      </c>
      <c r="N525" s="58">
        <f t="shared" si="43"/>
        <v>0</v>
      </c>
      <c r="O525" s="58">
        <f t="shared" si="44"/>
        <v>1</v>
      </c>
      <c r="P525" s="5" t="s">
        <v>860</v>
      </c>
      <c r="Q525" s="5" t="s">
        <v>837</v>
      </c>
      <c r="R525" s="5" t="s">
        <v>281</v>
      </c>
    </row>
    <row r="526" spans="1:18">
      <c r="A526" s="59">
        <v>42131</v>
      </c>
      <c r="B526" s="60" t="str">
        <f t="shared" si="40"/>
        <v>Thu</v>
      </c>
      <c r="C526" s="60" t="s">
        <v>674</v>
      </c>
      <c r="D526" s="60" t="s">
        <v>182</v>
      </c>
      <c r="E526" s="60" t="s">
        <v>425</v>
      </c>
      <c r="F526" s="60" t="s">
        <v>679</v>
      </c>
      <c r="G526" s="60"/>
      <c r="H526" s="60"/>
      <c r="I526" s="117">
        <v>991</v>
      </c>
      <c r="J526" s="62"/>
      <c r="K526" s="62"/>
      <c r="L526" s="58">
        <f t="shared" si="41"/>
        <v>1</v>
      </c>
      <c r="M526" s="58">
        <f t="shared" si="42"/>
        <v>0</v>
      </c>
      <c r="N526" s="58">
        <f t="shared" si="43"/>
        <v>0</v>
      </c>
      <c r="O526" s="58">
        <f t="shared" si="44"/>
        <v>1</v>
      </c>
      <c r="P526" s="5" t="s">
        <v>425</v>
      </c>
    </row>
    <row r="527" spans="1:18">
      <c r="A527" s="93">
        <v>42132</v>
      </c>
      <c r="B527" s="94" t="str">
        <f t="shared" si="40"/>
        <v>Fri</v>
      </c>
      <c r="C527" s="94" t="s">
        <v>674</v>
      </c>
      <c r="D527" s="94" t="s">
        <v>182</v>
      </c>
      <c r="E527" s="94" t="s">
        <v>191</v>
      </c>
      <c r="F527" s="94" t="s">
        <v>680</v>
      </c>
      <c r="G527" s="94" t="s">
        <v>681</v>
      </c>
      <c r="H527" s="94"/>
      <c r="I527" s="99">
        <v>1230</v>
      </c>
      <c r="J527" s="95"/>
      <c r="K527" s="95"/>
      <c r="L527" s="96">
        <f t="shared" si="41"/>
        <v>1</v>
      </c>
      <c r="M527" s="96">
        <f t="shared" si="42"/>
        <v>1</v>
      </c>
      <c r="N527" s="58">
        <f t="shared" si="43"/>
        <v>0</v>
      </c>
      <c r="O527" s="58">
        <f t="shared" si="44"/>
        <v>2</v>
      </c>
      <c r="P527" s="5" t="s">
        <v>871</v>
      </c>
      <c r="Q527" s="5" t="s">
        <v>872</v>
      </c>
    </row>
    <row r="528" spans="1:18">
      <c r="A528" s="93">
        <v>42133</v>
      </c>
      <c r="B528" s="94" t="str">
        <f t="shared" si="40"/>
        <v>Sat</v>
      </c>
      <c r="C528" s="94" t="s">
        <v>674</v>
      </c>
      <c r="D528" s="94" t="s">
        <v>182</v>
      </c>
      <c r="E528" s="94" t="s">
        <v>191</v>
      </c>
      <c r="F528" s="94" t="s">
        <v>682</v>
      </c>
      <c r="G528" s="94"/>
      <c r="H528" s="94"/>
      <c r="I528" s="99">
        <v>829</v>
      </c>
      <c r="J528" s="95"/>
      <c r="K528" s="95"/>
      <c r="L528" s="96">
        <f t="shared" si="41"/>
        <v>1</v>
      </c>
      <c r="M528" s="96">
        <f t="shared" si="42"/>
        <v>0</v>
      </c>
      <c r="N528" s="58">
        <f t="shared" si="43"/>
        <v>0</v>
      </c>
      <c r="O528" s="58">
        <f t="shared" si="44"/>
        <v>1</v>
      </c>
      <c r="P528" s="5" t="s">
        <v>871</v>
      </c>
      <c r="Q528" s="5" t="s">
        <v>872</v>
      </c>
    </row>
    <row r="529" spans="1:17">
      <c r="A529" s="59">
        <v>42134</v>
      </c>
      <c r="B529" s="60" t="str">
        <f t="shared" si="40"/>
        <v>Sun</v>
      </c>
      <c r="C529" s="60" t="s">
        <v>674</v>
      </c>
      <c r="D529" s="60" t="s">
        <v>190</v>
      </c>
      <c r="E529" s="60" t="s">
        <v>17</v>
      </c>
      <c r="F529" s="60" t="s">
        <v>683</v>
      </c>
      <c r="G529" s="60"/>
      <c r="H529" s="60"/>
      <c r="I529" s="117">
        <v>609</v>
      </c>
      <c r="J529" s="62"/>
      <c r="K529" s="62"/>
      <c r="L529" s="58">
        <f t="shared" si="41"/>
        <v>1</v>
      </c>
      <c r="M529" s="58">
        <f t="shared" si="42"/>
        <v>0</v>
      </c>
      <c r="N529" s="58">
        <f t="shared" si="43"/>
        <v>0</v>
      </c>
      <c r="O529" s="58">
        <f t="shared" si="44"/>
        <v>1</v>
      </c>
      <c r="P529" s="5" t="s">
        <v>17</v>
      </c>
    </row>
    <row r="530" spans="1:17">
      <c r="A530" s="59">
        <v>42135</v>
      </c>
      <c r="B530" s="60" t="str">
        <f t="shared" si="40"/>
        <v>Mon</v>
      </c>
      <c r="C530" s="60" t="s">
        <v>674</v>
      </c>
      <c r="D530" s="60" t="s">
        <v>190</v>
      </c>
      <c r="E530" s="60" t="s">
        <v>17</v>
      </c>
      <c r="F530" s="60" t="s">
        <v>684</v>
      </c>
      <c r="G530" s="60" t="s">
        <v>685</v>
      </c>
      <c r="H530" s="60"/>
      <c r="I530" s="117">
        <v>1198</v>
      </c>
      <c r="J530" s="62"/>
      <c r="K530" s="62"/>
      <c r="L530" s="58">
        <f t="shared" si="41"/>
        <v>1</v>
      </c>
      <c r="M530" s="58">
        <f t="shared" si="42"/>
        <v>1</v>
      </c>
      <c r="N530" s="58">
        <f t="shared" si="43"/>
        <v>0</v>
      </c>
      <c r="O530" s="58">
        <f t="shared" si="44"/>
        <v>2</v>
      </c>
      <c r="P530" s="5" t="s">
        <v>17</v>
      </c>
    </row>
    <row r="531" spans="1:17">
      <c r="A531" s="59">
        <v>42136</v>
      </c>
      <c r="B531" s="60" t="str">
        <f t="shared" si="40"/>
        <v>Tue</v>
      </c>
      <c r="C531" s="60" t="s">
        <v>674</v>
      </c>
      <c r="D531" s="60" t="s">
        <v>190</v>
      </c>
      <c r="E531" s="60" t="s">
        <v>10</v>
      </c>
      <c r="F531" s="60" t="s">
        <v>10</v>
      </c>
      <c r="G531" s="60"/>
      <c r="H531" s="60"/>
      <c r="I531" s="117">
        <v>1053</v>
      </c>
      <c r="J531" s="62"/>
      <c r="K531" s="62"/>
      <c r="L531" s="58">
        <f t="shared" si="41"/>
        <v>0</v>
      </c>
      <c r="M531" s="58">
        <f t="shared" si="42"/>
        <v>0</v>
      </c>
      <c r="N531" s="58">
        <f t="shared" si="43"/>
        <v>0</v>
      </c>
      <c r="O531" s="58">
        <f t="shared" si="44"/>
        <v>0</v>
      </c>
      <c r="P531" s="5" t="s">
        <v>10</v>
      </c>
    </row>
    <row r="532" spans="1:17">
      <c r="A532" s="59">
        <v>42137</v>
      </c>
      <c r="B532" s="60" t="str">
        <f t="shared" si="40"/>
        <v>Wed</v>
      </c>
      <c r="C532" s="60" t="s">
        <v>674</v>
      </c>
      <c r="D532" s="60" t="s">
        <v>190</v>
      </c>
      <c r="E532" s="67" t="s">
        <v>78</v>
      </c>
      <c r="F532" s="60" t="s">
        <v>686</v>
      </c>
      <c r="G532" s="60"/>
      <c r="H532" s="60"/>
      <c r="I532" s="117">
        <v>1260</v>
      </c>
      <c r="J532" s="62"/>
      <c r="K532" s="62"/>
      <c r="L532" s="58">
        <f t="shared" si="41"/>
        <v>1</v>
      </c>
      <c r="M532" s="58">
        <f t="shared" si="42"/>
        <v>0</v>
      </c>
      <c r="N532" s="58">
        <f t="shared" si="43"/>
        <v>0</v>
      </c>
      <c r="O532" s="58">
        <f t="shared" si="44"/>
        <v>1</v>
      </c>
      <c r="P532" s="5" t="s">
        <v>845</v>
      </c>
      <c r="Q532" s="5" t="s">
        <v>281</v>
      </c>
    </row>
    <row r="533" spans="1:17">
      <c r="A533" s="59">
        <v>42138</v>
      </c>
      <c r="B533" s="60" t="str">
        <f t="shared" si="40"/>
        <v>Thu</v>
      </c>
      <c r="C533" s="60" t="s">
        <v>674</v>
      </c>
      <c r="D533" s="60" t="s">
        <v>190</v>
      </c>
      <c r="E533" s="103" t="s">
        <v>175</v>
      </c>
      <c r="F533" s="94" t="s">
        <v>687</v>
      </c>
      <c r="G533" s="94"/>
      <c r="H533" s="94"/>
      <c r="I533" s="99">
        <v>1018</v>
      </c>
      <c r="J533" s="95"/>
      <c r="K533" s="95"/>
      <c r="L533" s="96">
        <f t="shared" si="41"/>
        <v>1</v>
      </c>
      <c r="M533" s="96">
        <f t="shared" si="42"/>
        <v>0</v>
      </c>
      <c r="N533" s="58">
        <f t="shared" si="43"/>
        <v>0</v>
      </c>
      <c r="O533" s="58">
        <f t="shared" si="44"/>
        <v>1</v>
      </c>
      <c r="P533" s="5" t="s">
        <v>869</v>
      </c>
      <c r="Q533" s="5" t="s">
        <v>281</v>
      </c>
    </row>
    <row r="534" spans="1:17">
      <c r="A534" s="59">
        <v>42139</v>
      </c>
      <c r="B534" s="60" t="str">
        <f t="shared" si="40"/>
        <v>Fri</v>
      </c>
      <c r="C534" s="60" t="s">
        <v>674</v>
      </c>
      <c r="D534" s="60" t="s">
        <v>190</v>
      </c>
      <c r="E534" s="60" t="s">
        <v>175</v>
      </c>
      <c r="F534" s="60" t="s">
        <v>688</v>
      </c>
      <c r="G534" s="60"/>
      <c r="H534" s="60"/>
      <c r="I534" s="117">
        <v>1097</v>
      </c>
      <c r="J534" s="62"/>
      <c r="K534" s="62"/>
      <c r="L534" s="58">
        <f t="shared" si="41"/>
        <v>1</v>
      </c>
      <c r="M534" s="58">
        <f t="shared" si="42"/>
        <v>0</v>
      </c>
      <c r="N534" s="58">
        <f t="shared" si="43"/>
        <v>0</v>
      </c>
      <c r="O534" s="58">
        <f t="shared" si="44"/>
        <v>1</v>
      </c>
      <c r="P534" s="5" t="s">
        <v>869</v>
      </c>
      <c r="Q534" s="5" t="s">
        <v>281</v>
      </c>
    </row>
    <row r="535" spans="1:17">
      <c r="A535" s="59">
        <v>42140</v>
      </c>
      <c r="B535" s="60" t="str">
        <f t="shared" si="40"/>
        <v>Sat</v>
      </c>
      <c r="C535" s="60" t="s">
        <v>674</v>
      </c>
      <c r="D535" s="60" t="s">
        <v>190</v>
      </c>
      <c r="E535" s="60" t="s">
        <v>175</v>
      </c>
      <c r="F535" s="60" t="s">
        <v>689</v>
      </c>
      <c r="G535" s="60" t="s">
        <v>690</v>
      </c>
      <c r="H535" s="60"/>
      <c r="I535" s="117">
        <v>882</v>
      </c>
      <c r="J535" s="62"/>
      <c r="K535" s="62"/>
      <c r="L535" s="58">
        <f t="shared" si="41"/>
        <v>1</v>
      </c>
      <c r="M535" s="58">
        <f t="shared" si="42"/>
        <v>1</v>
      </c>
      <c r="N535" s="58">
        <f t="shared" si="43"/>
        <v>0</v>
      </c>
      <c r="O535" s="58">
        <f t="shared" si="44"/>
        <v>2</v>
      </c>
      <c r="P535" s="5" t="s">
        <v>869</v>
      </c>
      <c r="Q535" s="5" t="s">
        <v>281</v>
      </c>
    </row>
    <row r="536" spans="1:17">
      <c r="A536" s="59">
        <v>42141</v>
      </c>
      <c r="B536" s="60" t="str">
        <f t="shared" si="40"/>
        <v>Sun</v>
      </c>
      <c r="C536" s="60" t="s">
        <v>674</v>
      </c>
      <c r="D536" s="60" t="s">
        <v>202</v>
      </c>
      <c r="E536" s="60" t="s">
        <v>175</v>
      </c>
      <c r="F536" s="60" t="s">
        <v>691</v>
      </c>
      <c r="G536" s="60" t="s">
        <v>692</v>
      </c>
      <c r="H536" s="60"/>
      <c r="I536" s="117">
        <v>762</v>
      </c>
      <c r="J536" s="62"/>
      <c r="K536" s="62"/>
      <c r="L536" s="58">
        <f t="shared" si="41"/>
        <v>1</v>
      </c>
      <c r="M536" s="58">
        <f t="shared" si="42"/>
        <v>1</v>
      </c>
      <c r="N536" s="58">
        <f t="shared" si="43"/>
        <v>0</v>
      </c>
      <c r="O536" s="58">
        <f t="shared" si="44"/>
        <v>2</v>
      </c>
      <c r="P536" s="5" t="s">
        <v>869</v>
      </c>
      <c r="Q536" s="5" t="s">
        <v>281</v>
      </c>
    </row>
    <row r="537" spans="1:17">
      <c r="A537" s="90">
        <v>42142</v>
      </c>
      <c r="B537" s="60" t="str">
        <f t="shared" si="40"/>
        <v>Mon</v>
      </c>
      <c r="C537" s="60" t="s">
        <v>674</v>
      </c>
      <c r="D537" s="60" t="s">
        <v>202</v>
      </c>
      <c r="E537" s="91" t="s">
        <v>364</v>
      </c>
      <c r="F537" s="94" t="s">
        <v>693</v>
      </c>
      <c r="G537" s="94" t="s">
        <v>694</v>
      </c>
      <c r="H537" s="94"/>
      <c r="I537" s="117">
        <v>1319</v>
      </c>
      <c r="J537" s="62"/>
      <c r="K537" s="62"/>
      <c r="L537" s="58">
        <f t="shared" si="41"/>
        <v>1</v>
      </c>
      <c r="M537" s="58">
        <f t="shared" si="42"/>
        <v>1</v>
      </c>
      <c r="N537" s="58">
        <f t="shared" si="43"/>
        <v>0</v>
      </c>
      <c r="O537" s="58">
        <f t="shared" si="44"/>
        <v>2</v>
      </c>
      <c r="P537" s="5" t="s">
        <v>840</v>
      </c>
      <c r="Q537" s="5" t="s">
        <v>892</v>
      </c>
    </row>
    <row r="538" spans="1:17">
      <c r="A538" s="59">
        <v>42143</v>
      </c>
      <c r="B538" s="60" t="str">
        <f t="shared" si="40"/>
        <v>Tue</v>
      </c>
      <c r="C538" s="60" t="s">
        <v>674</v>
      </c>
      <c r="D538" s="60" t="s">
        <v>202</v>
      </c>
      <c r="E538" s="60" t="s">
        <v>175</v>
      </c>
      <c r="F538" s="60" t="s">
        <v>695</v>
      </c>
      <c r="G538" s="60"/>
      <c r="H538" s="60"/>
      <c r="I538" s="117">
        <v>1080</v>
      </c>
      <c r="J538" s="62"/>
      <c r="K538" s="62"/>
      <c r="L538" s="58">
        <f t="shared" si="41"/>
        <v>1</v>
      </c>
      <c r="M538" s="58">
        <f t="shared" si="42"/>
        <v>0</v>
      </c>
      <c r="N538" s="58">
        <f t="shared" si="43"/>
        <v>0</v>
      </c>
      <c r="O538" s="58">
        <f t="shared" si="44"/>
        <v>1</v>
      </c>
      <c r="P538" s="5" t="s">
        <v>869</v>
      </c>
      <c r="Q538" s="5" t="s">
        <v>281</v>
      </c>
    </row>
    <row r="539" spans="1:17">
      <c r="A539" s="90">
        <v>42144</v>
      </c>
      <c r="B539" s="60" t="str">
        <f t="shared" si="40"/>
        <v>Wed</v>
      </c>
      <c r="C539" s="60" t="s">
        <v>674</v>
      </c>
      <c r="D539" s="60" t="s">
        <v>202</v>
      </c>
      <c r="E539" s="91" t="s">
        <v>208</v>
      </c>
      <c r="F539" s="94" t="s">
        <v>696</v>
      </c>
      <c r="G539" s="94"/>
      <c r="H539" s="94"/>
      <c r="I539" s="117">
        <v>1196</v>
      </c>
      <c r="J539" s="62"/>
      <c r="K539" s="62"/>
      <c r="L539" s="58">
        <f t="shared" si="41"/>
        <v>1</v>
      </c>
      <c r="M539" s="58">
        <f t="shared" si="42"/>
        <v>0</v>
      </c>
      <c r="N539" s="58">
        <f t="shared" si="43"/>
        <v>0</v>
      </c>
      <c r="O539" s="58">
        <f t="shared" si="44"/>
        <v>1</v>
      </c>
      <c r="P539" s="5" t="s">
        <v>868</v>
      </c>
      <c r="Q539" s="5" t="s">
        <v>875</v>
      </c>
    </row>
    <row r="540" spans="1:17">
      <c r="A540" s="59">
        <v>42145</v>
      </c>
      <c r="B540" s="60" t="str">
        <f t="shared" si="40"/>
        <v>Thu</v>
      </c>
      <c r="C540" s="60" t="s">
        <v>674</v>
      </c>
      <c r="D540" s="60" t="s">
        <v>202</v>
      </c>
      <c r="E540" s="94" t="s">
        <v>165</v>
      </c>
      <c r="F540" s="94" t="s">
        <v>697</v>
      </c>
      <c r="G540" s="94"/>
      <c r="H540" s="94"/>
      <c r="I540" s="99">
        <v>1093</v>
      </c>
      <c r="J540" s="95"/>
      <c r="K540" s="95"/>
      <c r="L540" s="96">
        <f t="shared" si="41"/>
        <v>1</v>
      </c>
      <c r="M540" s="96">
        <f t="shared" si="42"/>
        <v>0</v>
      </c>
      <c r="N540" s="58">
        <f t="shared" si="43"/>
        <v>0</v>
      </c>
      <c r="O540" s="58">
        <f t="shared" si="44"/>
        <v>1</v>
      </c>
      <c r="P540" s="5" t="s">
        <v>867</v>
      </c>
      <c r="Q540" s="5" t="s">
        <v>281</v>
      </c>
    </row>
    <row r="541" spans="1:17">
      <c r="A541" s="59">
        <v>42146</v>
      </c>
      <c r="B541" s="60" t="str">
        <f t="shared" si="40"/>
        <v>Fri</v>
      </c>
      <c r="C541" s="60" t="s">
        <v>674</v>
      </c>
      <c r="D541" s="60" t="s">
        <v>202</v>
      </c>
      <c r="E541" s="60" t="s">
        <v>165</v>
      </c>
      <c r="F541" s="60" t="s">
        <v>698</v>
      </c>
      <c r="G541" s="60"/>
      <c r="H541" s="60"/>
      <c r="I541" s="117">
        <v>1051</v>
      </c>
      <c r="J541" s="62"/>
      <c r="K541" s="62"/>
      <c r="L541" s="58">
        <f t="shared" si="41"/>
        <v>1</v>
      </c>
      <c r="M541" s="58">
        <f t="shared" si="42"/>
        <v>0</v>
      </c>
      <c r="N541" s="58">
        <f t="shared" si="43"/>
        <v>0</v>
      </c>
      <c r="O541" s="58">
        <f t="shared" si="44"/>
        <v>1</v>
      </c>
      <c r="P541" s="5" t="s">
        <v>867</v>
      </c>
      <c r="Q541" s="5" t="s">
        <v>281</v>
      </c>
    </row>
    <row r="542" spans="1:17">
      <c r="A542" s="59">
        <v>42147</v>
      </c>
      <c r="B542" s="60" t="str">
        <f t="shared" si="40"/>
        <v>Sat</v>
      </c>
      <c r="C542" s="60" t="s">
        <v>674</v>
      </c>
      <c r="D542" s="60" t="s">
        <v>202</v>
      </c>
      <c r="E542" s="60" t="s">
        <v>364</v>
      </c>
      <c r="F542" s="60" t="s">
        <v>699</v>
      </c>
      <c r="G542" s="60"/>
      <c r="H542" s="60"/>
      <c r="I542" s="117">
        <v>746</v>
      </c>
      <c r="J542" s="62"/>
      <c r="K542" s="62"/>
      <c r="L542" s="58">
        <f t="shared" si="41"/>
        <v>1</v>
      </c>
      <c r="M542" s="58">
        <f t="shared" si="42"/>
        <v>0</v>
      </c>
      <c r="N542" s="58">
        <f t="shared" si="43"/>
        <v>0</v>
      </c>
      <c r="O542" s="58">
        <f t="shared" si="44"/>
        <v>1</v>
      </c>
      <c r="P542" s="5" t="s">
        <v>840</v>
      </c>
      <c r="Q542" s="5" t="s">
        <v>892</v>
      </c>
    </row>
    <row r="543" spans="1:17">
      <c r="A543" s="59">
        <v>42148</v>
      </c>
      <c r="B543" s="60" t="str">
        <f t="shared" si="40"/>
        <v>Sun</v>
      </c>
      <c r="C543" s="60" t="s">
        <v>674</v>
      </c>
      <c r="D543" s="60" t="s">
        <v>211</v>
      </c>
      <c r="E543" s="60" t="s">
        <v>364</v>
      </c>
      <c r="F543" s="60" t="s">
        <v>700</v>
      </c>
      <c r="G543" s="60"/>
      <c r="H543" s="60"/>
      <c r="I543" s="117">
        <v>614</v>
      </c>
      <c r="J543" s="62"/>
      <c r="K543" s="62"/>
      <c r="L543" s="58">
        <f t="shared" si="41"/>
        <v>1</v>
      </c>
      <c r="M543" s="58">
        <f t="shared" si="42"/>
        <v>0</v>
      </c>
      <c r="N543" s="58">
        <f t="shared" si="43"/>
        <v>0</v>
      </c>
      <c r="O543" s="58">
        <f t="shared" si="44"/>
        <v>1</v>
      </c>
      <c r="P543" s="5" t="s">
        <v>840</v>
      </c>
      <c r="Q543" s="5" t="s">
        <v>892</v>
      </c>
    </row>
    <row r="544" spans="1:17">
      <c r="A544" s="90">
        <v>42149</v>
      </c>
      <c r="B544" s="60" t="str">
        <f t="shared" si="40"/>
        <v>Mon</v>
      </c>
      <c r="C544" s="60" t="s">
        <v>674</v>
      </c>
      <c r="D544" s="60" t="s">
        <v>211</v>
      </c>
      <c r="E544" s="91" t="s">
        <v>364</v>
      </c>
      <c r="F544" s="94" t="s">
        <v>701</v>
      </c>
      <c r="G544" s="94" t="s">
        <v>702</v>
      </c>
      <c r="H544" s="94"/>
      <c r="I544" s="117">
        <v>848</v>
      </c>
      <c r="J544" s="62"/>
      <c r="K544" s="62"/>
      <c r="L544" s="58">
        <f t="shared" si="41"/>
        <v>1</v>
      </c>
      <c r="M544" s="58">
        <f t="shared" si="42"/>
        <v>1</v>
      </c>
      <c r="N544" s="58">
        <f t="shared" si="43"/>
        <v>0</v>
      </c>
      <c r="O544" s="58">
        <f t="shared" si="44"/>
        <v>2</v>
      </c>
      <c r="P544" s="5" t="s">
        <v>840</v>
      </c>
      <c r="Q544" s="5" t="s">
        <v>892</v>
      </c>
    </row>
    <row r="545" spans="1:17">
      <c r="A545" s="59">
        <v>42150</v>
      </c>
      <c r="B545" s="60" t="str">
        <f t="shared" si="40"/>
        <v>Tue</v>
      </c>
      <c r="C545" s="60" t="s">
        <v>674</v>
      </c>
      <c r="D545" s="60" t="s">
        <v>211</v>
      </c>
      <c r="E545" s="60" t="s">
        <v>165</v>
      </c>
      <c r="F545" s="60" t="s">
        <v>703</v>
      </c>
      <c r="G545" s="60" t="s">
        <v>704</v>
      </c>
      <c r="H545" s="60"/>
      <c r="I545" s="117">
        <v>1201</v>
      </c>
      <c r="J545" s="62"/>
      <c r="K545" s="62"/>
      <c r="L545" s="58">
        <f t="shared" si="41"/>
        <v>1</v>
      </c>
      <c r="M545" s="58">
        <f t="shared" si="42"/>
        <v>1</v>
      </c>
      <c r="N545" s="58">
        <f t="shared" si="43"/>
        <v>0</v>
      </c>
      <c r="O545" s="58">
        <f t="shared" si="44"/>
        <v>2</v>
      </c>
      <c r="P545" s="5" t="s">
        <v>867</v>
      </c>
      <c r="Q545" s="5" t="s">
        <v>281</v>
      </c>
    </row>
    <row r="546" spans="1:17">
      <c r="A546" s="59">
        <v>42151</v>
      </c>
      <c r="B546" s="60" t="str">
        <f t="shared" si="40"/>
        <v>Wed</v>
      </c>
      <c r="C546" s="60" t="s">
        <v>674</v>
      </c>
      <c r="D546" s="60" t="s">
        <v>211</v>
      </c>
      <c r="E546" s="60" t="s">
        <v>10</v>
      </c>
      <c r="F546" s="60" t="s">
        <v>10</v>
      </c>
      <c r="G546" s="60"/>
      <c r="H546" s="60"/>
      <c r="I546" s="117">
        <v>1079</v>
      </c>
      <c r="J546" s="62"/>
      <c r="K546" s="62"/>
      <c r="L546" s="58">
        <f t="shared" si="41"/>
        <v>0</v>
      </c>
      <c r="M546" s="58">
        <f t="shared" si="42"/>
        <v>0</v>
      </c>
      <c r="N546" s="58">
        <f t="shared" si="43"/>
        <v>0</v>
      </c>
      <c r="O546" s="58">
        <f t="shared" si="44"/>
        <v>0</v>
      </c>
      <c r="P546" s="5" t="s">
        <v>10</v>
      </c>
    </row>
    <row r="547" spans="1:17">
      <c r="A547" s="90">
        <v>42152</v>
      </c>
      <c r="B547" s="60" t="str">
        <f t="shared" si="40"/>
        <v>Thu</v>
      </c>
      <c r="C547" s="60" t="s">
        <v>674</v>
      </c>
      <c r="D547" s="60" t="s">
        <v>211</v>
      </c>
      <c r="E547" s="91" t="s">
        <v>484</v>
      </c>
      <c r="F547" s="94" t="s">
        <v>705</v>
      </c>
      <c r="G547" s="94"/>
      <c r="H547" s="94"/>
      <c r="I547" s="117">
        <v>1052</v>
      </c>
      <c r="J547" s="62"/>
      <c r="K547" s="62"/>
      <c r="L547" s="58">
        <f t="shared" si="41"/>
        <v>1</v>
      </c>
      <c r="M547" s="58">
        <f t="shared" si="42"/>
        <v>0</v>
      </c>
      <c r="N547" s="58">
        <f t="shared" si="43"/>
        <v>0</v>
      </c>
      <c r="O547" s="58">
        <f t="shared" si="44"/>
        <v>1</v>
      </c>
      <c r="P547" s="5" t="s">
        <v>835</v>
      </c>
      <c r="Q547" s="5" t="s">
        <v>836</v>
      </c>
    </row>
    <row r="548" spans="1:17">
      <c r="A548" s="59">
        <v>42153</v>
      </c>
      <c r="B548" s="60" t="str">
        <f t="shared" si="40"/>
        <v>Fri</v>
      </c>
      <c r="C548" s="60" t="s">
        <v>674</v>
      </c>
      <c r="D548" s="60" t="s">
        <v>211</v>
      </c>
      <c r="E548" s="60" t="s">
        <v>484</v>
      </c>
      <c r="F548" s="60" t="s">
        <v>706</v>
      </c>
      <c r="G548" s="60"/>
      <c r="H548" s="60"/>
      <c r="I548" s="117">
        <v>1037</v>
      </c>
      <c r="J548" s="62"/>
      <c r="K548" s="62"/>
      <c r="L548" s="58">
        <f t="shared" si="41"/>
        <v>1</v>
      </c>
      <c r="M548" s="58">
        <f t="shared" si="42"/>
        <v>0</v>
      </c>
      <c r="N548" s="58">
        <f t="shared" si="43"/>
        <v>0</v>
      </c>
      <c r="O548" s="58">
        <f t="shared" si="44"/>
        <v>1</v>
      </c>
      <c r="P548" s="5" t="s">
        <v>835</v>
      </c>
      <c r="Q548" s="5" t="s">
        <v>836</v>
      </c>
    </row>
    <row r="549" spans="1:17">
      <c r="A549" s="59">
        <v>42154</v>
      </c>
      <c r="B549" s="60" t="str">
        <f t="shared" si="40"/>
        <v>Sat</v>
      </c>
      <c r="C549" s="60" t="s">
        <v>674</v>
      </c>
      <c r="D549" s="60" t="s">
        <v>211</v>
      </c>
      <c r="E549" s="60" t="s">
        <v>484</v>
      </c>
      <c r="F549" s="60" t="s">
        <v>707</v>
      </c>
      <c r="G549" s="60" t="s">
        <v>708</v>
      </c>
      <c r="H549" s="60"/>
      <c r="I549" s="117">
        <v>868</v>
      </c>
      <c r="J549" s="62"/>
      <c r="K549" s="62"/>
      <c r="L549" s="58">
        <f t="shared" si="41"/>
        <v>1</v>
      </c>
      <c r="M549" s="58">
        <f t="shared" si="42"/>
        <v>1</v>
      </c>
      <c r="N549" s="58">
        <f t="shared" si="43"/>
        <v>0</v>
      </c>
      <c r="O549" s="58">
        <f t="shared" si="44"/>
        <v>2</v>
      </c>
      <c r="P549" s="5" t="s">
        <v>835</v>
      </c>
      <c r="Q549" s="5" t="s">
        <v>836</v>
      </c>
    </row>
    <row r="550" spans="1:17">
      <c r="A550" s="59">
        <v>42155</v>
      </c>
      <c r="B550" s="60" t="str">
        <f t="shared" si="40"/>
        <v>Sun</v>
      </c>
      <c r="C550" s="60" t="s">
        <v>709</v>
      </c>
      <c r="D550" s="60" t="s">
        <v>224</v>
      </c>
      <c r="E550" s="60" t="s">
        <v>78</v>
      </c>
      <c r="F550" s="60" t="s">
        <v>710</v>
      </c>
      <c r="G550" s="60" t="s">
        <v>711</v>
      </c>
      <c r="H550" s="60"/>
      <c r="I550" s="117">
        <v>788</v>
      </c>
      <c r="J550" s="62"/>
      <c r="K550" s="62"/>
      <c r="L550" s="58">
        <f t="shared" si="41"/>
        <v>1</v>
      </c>
      <c r="M550" s="58">
        <f t="shared" si="42"/>
        <v>1</v>
      </c>
      <c r="N550" s="58">
        <f t="shared" si="43"/>
        <v>0</v>
      </c>
      <c r="O550" s="58">
        <f t="shared" si="44"/>
        <v>2</v>
      </c>
      <c r="P550" s="5" t="s">
        <v>845</v>
      </c>
      <c r="Q550" s="5" t="s">
        <v>281</v>
      </c>
    </row>
    <row r="551" spans="1:17">
      <c r="A551" s="59">
        <v>42156</v>
      </c>
      <c r="B551" s="60" t="str">
        <f t="shared" si="40"/>
        <v>Mon</v>
      </c>
      <c r="C551" s="60" t="s">
        <v>709</v>
      </c>
      <c r="D551" s="60" t="s">
        <v>224</v>
      </c>
      <c r="E551" s="60" t="s">
        <v>78</v>
      </c>
      <c r="F551" s="60" t="s">
        <v>712</v>
      </c>
      <c r="G551" s="60"/>
      <c r="H551" s="60"/>
      <c r="I551" s="117">
        <v>1300</v>
      </c>
      <c r="J551" s="62"/>
      <c r="K551" s="62"/>
      <c r="L551" s="58">
        <f t="shared" si="41"/>
        <v>1</v>
      </c>
      <c r="M551" s="58">
        <f t="shared" si="42"/>
        <v>0</v>
      </c>
      <c r="N551" s="58">
        <f t="shared" si="43"/>
        <v>0</v>
      </c>
      <c r="O551" s="58">
        <f t="shared" si="44"/>
        <v>1</v>
      </c>
      <c r="P551" s="5" t="s">
        <v>845</v>
      </c>
      <c r="Q551" s="5" t="s">
        <v>281</v>
      </c>
    </row>
    <row r="552" spans="1:17">
      <c r="A552" s="59">
        <v>42157</v>
      </c>
      <c r="B552" s="60" t="str">
        <f t="shared" ref="B552:B615" si="45">TEXT(A552,"DDD")</f>
        <v>Tue</v>
      </c>
      <c r="C552" s="60" t="s">
        <v>709</v>
      </c>
      <c r="D552" s="60" t="s">
        <v>224</v>
      </c>
      <c r="E552" s="60" t="s">
        <v>78</v>
      </c>
      <c r="F552" s="60" t="s">
        <v>713</v>
      </c>
      <c r="G552" s="60"/>
      <c r="H552" s="60"/>
      <c r="I552" s="117">
        <v>1262</v>
      </c>
      <c r="J552" s="62"/>
      <c r="K552" s="62"/>
      <c r="L552" s="58">
        <f t="shared" ref="L552:L615" si="46">IF(E552=$L$1,0,1)</f>
        <v>1</v>
      </c>
      <c r="M552" s="58">
        <f t="shared" ref="M552:M615" si="47">IF(ISBLANK(G552),0,1)</f>
        <v>0</v>
      </c>
      <c r="N552" s="58">
        <f t="shared" ref="N552:N615" si="48">IF(ISBLANK(H552),0,1)</f>
        <v>0</v>
      </c>
      <c r="O552" s="58">
        <f t="shared" ref="O552:O615" si="49">SUM(L552:N552)</f>
        <v>1</v>
      </c>
      <c r="P552" s="5" t="s">
        <v>845</v>
      </c>
      <c r="Q552" s="5" t="s">
        <v>281</v>
      </c>
    </row>
    <row r="553" spans="1:17">
      <c r="A553" s="59">
        <v>42158</v>
      </c>
      <c r="B553" s="60" t="str">
        <f t="shared" si="45"/>
        <v>Wed</v>
      </c>
      <c r="C553" s="60" t="s">
        <v>709</v>
      </c>
      <c r="D553" s="60" t="s">
        <v>224</v>
      </c>
      <c r="E553" s="60" t="s">
        <v>10</v>
      </c>
      <c r="F553" s="60" t="s">
        <v>10</v>
      </c>
      <c r="G553" s="60"/>
      <c r="H553" s="60"/>
      <c r="I553" s="117">
        <v>1052</v>
      </c>
      <c r="J553" s="62"/>
      <c r="K553" s="62"/>
      <c r="L553" s="58">
        <f t="shared" si="46"/>
        <v>0</v>
      </c>
      <c r="M553" s="58">
        <f t="shared" si="47"/>
        <v>0</v>
      </c>
      <c r="N553" s="58">
        <f t="shared" si="48"/>
        <v>0</v>
      </c>
      <c r="O553" s="58">
        <f t="shared" si="49"/>
        <v>0</v>
      </c>
      <c r="P553" s="5" t="s">
        <v>10</v>
      </c>
    </row>
    <row r="554" spans="1:17">
      <c r="A554" s="59">
        <v>42159</v>
      </c>
      <c r="B554" s="60" t="str">
        <f t="shared" si="45"/>
        <v>Thu</v>
      </c>
      <c r="C554" s="60" t="s">
        <v>709</v>
      </c>
      <c r="D554" s="60" t="s">
        <v>224</v>
      </c>
      <c r="E554" s="60" t="s">
        <v>17</v>
      </c>
      <c r="F554" s="60" t="s">
        <v>714</v>
      </c>
      <c r="G554" s="60"/>
      <c r="H554" s="60"/>
      <c r="I554" s="117">
        <v>1266</v>
      </c>
      <c r="J554" s="62"/>
      <c r="K554" s="62"/>
      <c r="L554" s="58">
        <f t="shared" si="46"/>
        <v>1</v>
      </c>
      <c r="M554" s="58">
        <f t="shared" si="47"/>
        <v>0</v>
      </c>
      <c r="N554" s="58">
        <f t="shared" si="48"/>
        <v>0</v>
      </c>
      <c r="O554" s="58">
        <f t="shared" si="49"/>
        <v>1</v>
      </c>
      <c r="P554" s="5" t="s">
        <v>17</v>
      </c>
    </row>
    <row r="555" spans="1:17">
      <c r="A555" s="59">
        <v>42160</v>
      </c>
      <c r="B555" s="60" t="str">
        <f t="shared" si="45"/>
        <v>Fri</v>
      </c>
      <c r="C555" s="60" t="s">
        <v>709</v>
      </c>
      <c r="D555" s="60" t="s">
        <v>224</v>
      </c>
      <c r="E555" s="60" t="s">
        <v>17</v>
      </c>
      <c r="F555" s="60" t="s">
        <v>715</v>
      </c>
      <c r="G555" s="60" t="s">
        <v>715</v>
      </c>
      <c r="H555" s="60"/>
      <c r="I555" s="117">
        <v>1251</v>
      </c>
      <c r="J555" s="62"/>
      <c r="K555" s="62"/>
      <c r="L555" s="58">
        <f t="shared" si="46"/>
        <v>1</v>
      </c>
      <c r="M555" s="58">
        <f t="shared" si="47"/>
        <v>1</v>
      </c>
      <c r="N555" s="58">
        <f t="shared" si="48"/>
        <v>0</v>
      </c>
      <c r="O555" s="58">
        <f t="shared" si="49"/>
        <v>2</v>
      </c>
      <c r="P555" s="5" t="s">
        <v>17</v>
      </c>
    </row>
    <row r="556" spans="1:17">
      <c r="A556" s="59">
        <v>42161</v>
      </c>
      <c r="B556" s="60" t="str">
        <f t="shared" si="45"/>
        <v>Sat</v>
      </c>
      <c r="C556" s="60" t="s">
        <v>709</v>
      </c>
      <c r="D556" s="60" t="s">
        <v>224</v>
      </c>
      <c r="E556" s="60" t="s">
        <v>10</v>
      </c>
      <c r="F556" s="60" t="s">
        <v>716</v>
      </c>
      <c r="G556" s="60"/>
      <c r="H556" s="60"/>
      <c r="I556" s="117">
        <v>805</v>
      </c>
      <c r="J556" s="62"/>
      <c r="K556" s="62"/>
      <c r="L556" s="58">
        <f t="shared" si="46"/>
        <v>0</v>
      </c>
      <c r="M556" s="58">
        <f t="shared" si="47"/>
        <v>0</v>
      </c>
      <c r="N556" s="58">
        <f t="shared" si="48"/>
        <v>0</v>
      </c>
      <c r="O556" s="58">
        <f t="shared" si="49"/>
        <v>0</v>
      </c>
      <c r="P556" s="5" t="s">
        <v>10</v>
      </c>
    </row>
    <row r="557" spans="1:17">
      <c r="A557" s="104">
        <v>42162</v>
      </c>
      <c r="B557" s="116" t="str">
        <f t="shared" si="45"/>
        <v>Sun</v>
      </c>
      <c r="C557" s="105" t="s">
        <v>709</v>
      </c>
      <c r="D557" s="105" t="s">
        <v>232</v>
      </c>
      <c r="E557" s="105" t="s">
        <v>165</v>
      </c>
      <c r="F557" s="105" t="s">
        <v>717</v>
      </c>
      <c r="G557" s="105" t="s">
        <v>718</v>
      </c>
      <c r="H557" s="105"/>
      <c r="I557" s="117">
        <v>717</v>
      </c>
      <c r="J557" s="117"/>
      <c r="K557" s="117"/>
      <c r="L557" s="118">
        <f t="shared" si="46"/>
        <v>1</v>
      </c>
      <c r="M557" s="118">
        <f t="shared" si="47"/>
        <v>1</v>
      </c>
      <c r="N557" s="58">
        <f t="shared" si="48"/>
        <v>0</v>
      </c>
      <c r="O557" s="58">
        <f t="shared" si="49"/>
        <v>2</v>
      </c>
      <c r="P557" s="5" t="s">
        <v>867</v>
      </c>
      <c r="Q557" s="5" t="s">
        <v>281</v>
      </c>
    </row>
    <row r="558" spans="1:17">
      <c r="A558" s="119">
        <v>42163</v>
      </c>
      <c r="B558" s="116" t="str">
        <f t="shared" si="45"/>
        <v>Mon</v>
      </c>
      <c r="C558" s="105" t="s">
        <v>709</v>
      </c>
      <c r="D558" s="105" t="s">
        <v>232</v>
      </c>
      <c r="E558" s="102" t="s">
        <v>612</v>
      </c>
      <c r="F558" s="98" t="s">
        <v>719</v>
      </c>
      <c r="G558" s="98" t="s">
        <v>720</v>
      </c>
      <c r="H558" s="98"/>
      <c r="I558" s="117">
        <v>1540</v>
      </c>
      <c r="J558" s="117"/>
      <c r="K558" s="117"/>
      <c r="L558" s="118">
        <f t="shared" si="46"/>
        <v>1</v>
      </c>
      <c r="M558" s="118">
        <f t="shared" si="47"/>
        <v>1</v>
      </c>
      <c r="N558" s="58">
        <f t="shared" si="48"/>
        <v>0</v>
      </c>
      <c r="O558" s="58">
        <f t="shared" si="49"/>
        <v>2</v>
      </c>
      <c r="P558" s="5" t="s">
        <v>612</v>
      </c>
    </row>
    <row r="559" spans="1:17">
      <c r="A559" s="119">
        <v>42164</v>
      </c>
      <c r="B559" s="116" t="str">
        <f t="shared" si="45"/>
        <v>Tue</v>
      </c>
      <c r="C559" s="105" t="s">
        <v>709</v>
      </c>
      <c r="D559" s="105" t="s">
        <v>232</v>
      </c>
      <c r="E559" s="102" t="s">
        <v>612</v>
      </c>
      <c r="F559" s="98" t="s">
        <v>721</v>
      </c>
      <c r="G559" s="98"/>
      <c r="H559" s="98"/>
      <c r="I559" s="117">
        <v>1259</v>
      </c>
      <c r="J559" s="117"/>
      <c r="K559" s="117"/>
      <c r="L559" s="118">
        <f t="shared" si="46"/>
        <v>1</v>
      </c>
      <c r="M559" s="118">
        <f t="shared" si="47"/>
        <v>0</v>
      </c>
      <c r="N559" s="58">
        <f t="shared" si="48"/>
        <v>0</v>
      </c>
      <c r="O559" s="58">
        <f t="shared" si="49"/>
        <v>1</v>
      </c>
      <c r="P559" s="5" t="s">
        <v>612</v>
      </c>
    </row>
    <row r="560" spans="1:17">
      <c r="A560" s="104">
        <v>42165</v>
      </c>
      <c r="B560" s="116" t="str">
        <f t="shared" si="45"/>
        <v>Wed</v>
      </c>
      <c r="C560" s="105" t="s">
        <v>709</v>
      </c>
      <c r="D560" s="105" t="s">
        <v>232</v>
      </c>
      <c r="E560" s="105" t="s">
        <v>10</v>
      </c>
      <c r="F560" s="105" t="s">
        <v>10</v>
      </c>
      <c r="G560" s="105"/>
      <c r="H560" s="105"/>
      <c r="I560" s="117">
        <v>1073</v>
      </c>
      <c r="J560" s="117"/>
      <c r="K560" s="117"/>
      <c r="L560" s="118">
        <f t="shared" si="46"/>
        <v>0</v>
      </c>
      <c r="M560" s="118">
        <f t="shared" si="47"/>
        <v>0</v>
      </c>
      <c r="N560" s="58">
        <f t="shared" si="48"/>
        <v>0</v>
      </c>
      <c r="O560" s="58">
        <f t="shared" si="49"/>
        <v>0</v>
      </c>
      <c r="P560" s="5" t="s">
        <v>10</v>
      </c>
    </row>
    <row r="561" spans="1:17">
      <c r="A561" s="101">
        <v>42166</v>
      </c>
      <c r="B561" s="116" t="str">
        <f t="shared" si="45"/>
        <v>Thu</v>
      </c>
      <c r="C561" s="98" t="s">
        <v>709</v>
      </c>
      <c r="D561" s="98" t="s">
        <v>232</v>
      </c>
      <c r="E561" s="102" t="s">
        <v>146</v>
      </c>
      <c r="F561" s="98" t="s">
        <v>722</v>
      </c>
      <c r="G561" s="98"/>
      <c r="H561" s="98"/>
      <c r="I561" s="99">
        <v>1105</v>
      </c>
      <c r="J561" s="99"/>
      <c r="K561" s="99"/>
      <c r="L561" s="100">
        <f t="shared" si="46"/>
        <v>1</v>
      </c>
      <c r="M561" s="100">
        <f t="shared" si="47"/>
        <v>0</v>
      </c>
      <c r="N561" s="58">
        <f t="shared" si="48"/>
        <v>0</v>
      </c>
      <c r="O561" s="58">
        <f t="shared" si="49"/>
        <v>1</v>
      </c>
      <c r="P561" s="5" t="s">
        <v>863</v>
      </c>
      <c r="Q561" s="5" t="s">
        <v>864</v>
      </c>
    </row>
    <row r="562" spans="1:17">
      <c r="A562" s="97">
        <v>42167</v>
      </c>
      <c r="B562" s="116" t="str">
        <f t="shared" si="45"/>
        <v>Fri</v>
      </c>
      <c r="C562" s="98" t="s">
        <v>709</v>
      </c>
      <c r="D562" s="98" t="s">
        <v>232</v>
      </c>
      <c r="E562" s="98" t="s">
        <v>146</v>
      </c>
      <c r="F562" s="98" t="s">
        <v>722</v>
      </c>
      <c r="G562" s="98"/>
      <c r="H562" s="98"/>
      <c r="I562" s="99">
        <v>1162</v>
      </c>
      <c r="J562" s="99"/>
      <c r="K562" s="99"/>
      <c r="L562" s="100">
        <f t="shared" si="46"/>
        <v>1</v>
      </c>
      <c r="M562" s="100">
        <f t="shared" si="47"/>
        <v>0</v>
      </c>
      <c r="N562" s="58">
        <f t="shared" si="48"/>
        <v>0</v>
      </c>
      <c r="O562" s="58">
        <f t="shared" si="49"/>
        <v>1</v>
      </c>
      <c r="P562" s="5" t="s">
        <v>863</v>
      </c>
      <c r="Q562" s="5" t="s">
        <v>864</v>
      </c>
    </row>
    <row r="563" spans="1:17">
      <c r="A563" s="104">
        <v>42168</v>
      </c>
      <c r="B563" s="116" t="str">
        <f t="shared" si="45"/>
        <v>Sat</v>
      </c>
      <c r="C563" s="105" t="s">
        <v>709</v>
      </c>
      <c r="D563" s="105" t="s">
        <v>232</v>
      </c>
      <c r="E563" s="105" t="s">
        <v>10</v>
      </c>
      <c r="F563" s="105" t="s">
        <v>10</v>
      </c>
      <c r="G563" s="105"/>
      <c r="H563" s="105"/>
      <c r="I563" s="117">
        <v>724</v>
      </c>
      <c r="J563" s="117"/>
      <c r="K563" s="117"/>
      <c r="L563" s="118">
        <f t="shared" si="46"/>
        <v>0</v>
      </c>
      <c r="M563" s="118">
        <f t="shared" si="47"/>
        <v>0</v>
      </c>
      <c r="N563" s="58">
        <f t="shared" si="48"/>
        <v>0</v>
      </c>
      <c r="O563" s="58">
        <f t="shared" si="49"/>
        <v>0</v>
      </c>
      <c r="P563" s="5" t="s">
        <v>10</v>
      </c>
    </row>
    <row r="564" spans="1:17">
      <c r="A564" s="104">
        <v>42169</v>
      </c>
      <c r="B564" s="105" t="str">
        <f t="shared" si="45"/>
        <v>Sun</v>
      </c>
      <c r="C564" s="105" t="s">
        <v>709</v>
      </c>
      <c r="D564" s="105" t="s">
        <v>241</v>
      </c>
      <c r="E564" s="105" t="s">
        <v>165</v>
      </c>
      <c r="F564" s="105" t="s">
        <v>723</v>
      </c>
      <c r="G564" s="105"/>
      <c r="H564" s="105"/>
      <c r="I564" s="117">
        <v>679</v>
      </c>
      <c r="J564" s="117"/>
      <c r="K564" s="117"/>
      <c r="L564" s="118">
        <f t="shared" si="46"/>
        <v>1</v>
      </c>
      <c r="M564" s="118">
        <f t="shared" si="47"/>
        <v>0</v>
      </c>
      <c r="N564" s="58">
        <f t="shared" si="48"/>
        <v>0</v>
      </c>
      <c r="O564" s="58">
        <f t="shared" si="49"/>
        <v>1</v>
      </c>
      <c r="P564" s="5" t="s">
        <v>867</v>
      </c>
      <c r="Q564" s="5" t="s">
        <v>281</v>
      </c>
    </row>
    <row r="565" spans="1:17">
      <c r="A565" s="104">
        <v>42170</v>
      </c>
      <c r="B565" s="105" t="str">
        <f t="shared" si="45"/>
        <v>Mon</v>
      </c>
      <c r="C565" s="105" t="s">
        <v>709</v>
      </c>
      <c r="D565" s="105" t="s">
        <v>241</v>
      </c>
      <c r="E565" s="105" t="s">
        <v>922</v>
      </c>
      <c r="F565" s="105" t="s">
        <v>923</v>
      </c>
      <c r="G565" s="105" t="s">
        <v>923</v>
      </c>
      <c r="H565" s="105"/>
      <c r="I565" s="117">
        <v>1315</v>
      </c>
      <c r="J565" s="117"/>
      <c r="K565" s="117"/>
      <c r="L565" s="118">
        <f t="shared" si="46"/>
        <v>1</v>
      </c>
      <c r="M565" s="118">
        <f t="shared" si="47"/>
        <v>1</v>
      </c>
      <c r="N565" s="58">
        <f t="shared" si="48"/>
        <v>0</v>
      </c>
      <c r="O565" s="58">
        <f t="shared" si="49"/>
        <v>2</v>
      </c>
      <c r="P565" s="5" t="s">
        <v>867</v>
      </c>
      <c r="Q565" s="5" t="s">
        <v>281</v>
      </c>
    </row>
    <row r="566" spans="1:17">
      <c r="A566" s="104">
        <v>42171</v>
      </c>
      <c r="B566" s="105" t="str">
        <f t="shared" si="45"/>
        <v>Tue</v>
      </c>
      <c r="C566" s="105" t="s">
        <v>709</v>
      </c>
      <c r="D566" s="105" t="s">
        <v>241</v>
      </c>
      <c r="E566" s="105" t="s">
        <v>922</v>
      </c>
      <c r="F566" s="105" t="s">
        <v>924</v>
      </c>
      <c r="G566" s="105"/>
      <c r="H566" s="105"/>
      <c r="I566" s="117">
        <v>1122</v>
      </c>
      <c r="J566" s="117"/>
      <c r="K566" s="117"/>
      <c r="L566" s="118">
        <f t="shared" si="46"/>
        <v>1</v>
      </c>
      <c r="M566" s="118">
        <f t="shared" si="47"/>
        <v>0</v>
      </c>
      <c r="N566" s="58">
        <f t="shared" si="48"/>
        <v>0</v>
      </c>
      <c r="O566" s="58">
        <f t="shared" si="49"/>
        <v>1</v>
      </c>
      <c r="P566" s="5" t="s">
        <v>867</v>
      </c>
      <c r="Q566" s="5" t="s">
        <v>281</v>
      </c>
    </row>
    <row r="567" spans="1:17">
      <c r="A567" s="104">
        <v>42172</v>
      </c>
      <c r="B567" s="105" t="str">
        <f t="shared" si="45"/>
        <v>Wed</v>
      </c>
      <c r="C567" s="105" t="s">
        <v>709</v>
      </c>
      <c r="D567" s="105" t="s">
        <v>241</v>
      </c>
      <c r="E567" s="105" t="s">
        <v>524</v>
      </c>
      <c r="F567" s="105" t="s">
        <v>724</v>
      </c>
      <c r="G567" s="105"/>
      <c r="H567" s="105"/>
      <c r="I567" s="117">
        <v>1052</v>
      </c>
      <c r="J567" s="117"/>
      <c r="K567" s="117"/>
      <c r="L567" s="118">
        <f t="shared" si="46"/>
        <v>1</v>
      </c>
      <c r="M567" s="118">
        <f t="shared" si="47"/>
        <v>0</v>
      </c>
      <c r="N567" s="58">
        <f t="shared" si="48"/>
        <v>0</v>
      </c>
      <c r="O567" s="58">
        <f t="shared" si="49"/>
        <v>1</v>
      </c>
      <c r="P567" s="5" t="s">
        <v>909</v>
      </c>
      <c r="Q567" s="5" t="s">
        <v>281</v>
      </c>
    </row>
    <row r="568" spans="1:17">
      <c r="A568" s="104">
        <v>42173</v>
      </c>
      <c r="B568" s="105" t="str">
        <f t="shared" si="45"/>
        <v>Thu</v>
      </c>
      <c r="C568" s="105" t="s">
        <v>709</v>
      </c>
      <c r="D568" s="105" t="s">
        <v>241</v>
      </c>
      <c r="E568" s="98" t="s">
        <v>524</v>
      </c>
      <c r="F568" s="98" t="s">
        <v>925</v>
      </c>
      <c r="G568" s="98"/>
      <c r="H568" s="98"/>
      <c r="I568" s="99">
        <v>1026</v>
      </c>
      <c r="J568" s="99"/>
      <c r="K568" s="99"/>
      <c r="L568" s="100">
        <f t="shared" si="46"/>
        <v>1</v>
      </c>
      <c r="M568" s="100">
        <f t="shared" si="47"/>
        <v>0</v>
      </c>
      <c r="N568" s="58">
        <f t="shared" si="48"/>
        <v>0</v>
      </c>
      <c r="O568" s="58">
        <f t="shared" si="49"/>
        <v>1</v>
      </c>
      <c r="P568" s="5" t="s">
        <v>909</v>
      </c>
      <c r="Q568" s="5" t="s">
        <v>281</v>
      </c>
    </row>
    <row r="569" spans="1:17">
      <c r="A569" s="104">
        <v>42174</v>
      </c>
      <c r="B569" s="105" t="str">
        <f t="shared" si="45"/>
        <v>Fri</v>
      </c>
      <c r="C569" s="105" t="s">
        <v>709</v>
      </c>
      <c r="D569" s="105" t="s">
        <v>241</v>
      </c>
      <c r="E569" s="105" t="s">
        <v>524</v>
      </c>
      <c r="F569" s="105" t="s">
        <v>925</v>
      </c>
      <c r="G569" s="105" t="s">
        <v>926</v>
      </c>
      <c r="H569" s="105"/>
      <c r="I569" s="117">
        <v>1056</v>
      </c>
      <c r="J569" s="117"/>
      <c r="K569" s="117"/>
      <c r="L569" s="118">
        <f t="shared" si="46"/>
        <v>1</v>
      </c>
      <c r="M569" s="118">
        <f t="shared" si="47"/>
        <v>1</v>
      </c>
      <c r="N569" s="58">
        <f t="shared" si="48"/>
        <v>0</v>
      </c>
      <c r="O569" s="58">
        <f t="shared" si="49"/>
        <v>2</v>
      </c>
      <c r="P569" s="5" t="s">
        <v>909</v>
      </c>
      <c r="Q569" s="5" t="s">
        <v>281</v>
      </c>
    </row>
    <row r="570" spans="1:17">
      <c r="A570" s="104">
        <v>42175</v>
      </c>
      <c r="B570" s="105" t="str">
        <f t="shared" si="45"/>
        <v>Sat</v>
      </c>
      <c r="C570" s="105" t="s">
        <v>709</v>
      </c>
      <c r="D570" s="105" t="s">
        <v>241</v>
      </c>
      <c r="E570" s="105" t="s">
        <v>524</v>
      </c>
      <c r="F570" s="105" t="s">
        <v>925</v>
      </c>
      <c r="G570" s="105" t="s">
        <v>927</v>
      </c>
      <c r="H570" s="105"/>
      <c r="I570" s="117">
        <v>841</v>
      </c>
      <c r="J570" s="117"/>
      <c r="K570" s="117"/>
      <c r="L570" s="118">
        <f t="shared" si="46"/>
        <v>1</v>
      </c>
      <c r="M570" s="118">
        <f t="shared" si="47"/>
        <v>1</v>
      </c>
      <c r="N570" s="58">
        <f t="shared" si="48"/>
        <v>0</v>
      </c>
      <c r="O570" s="58">
        <f t="shared" si="49"/>
        <v>2</v>
      </c>
      <c r="P570" s="5" t="s">
        <v>10</v>
      </c>
    </row>
    <row r="571" spans="1:17">
      <c r="A571" s="104">
        <v>42176</v>
      </c>
      <c r="B571" s="105" t="str">
        <f t="shared" si="45"/>
        <v>Sun</v>
      </c>
      <c r="C571" s="105" t="s">
        <v>709</v>
      </c>
      <c r="D571" s="105" t="s">
        <v>248</v>
      </c>
      <c r="E571" s="105" t="s">
        <v>524</v>
      </c>
      <c r="F571" s="105" t="s">
        <v>925</v>
      </c>
      <c r="G571" s="105" t="s">
        <v>925</v>
      </c>
      <c r="H571" s="105"/>
      <c r="I571" s="117">
        <v>644</v>
      </c>
      <c r="J571" s="117"/>
      <c r="K571" s="117"/>
      <c r="L571" s="118">
        <f t="shared" si="46"/>
        <v>1</v>
      </c>
      <c r="M571" s="118">
        <f t="shared" si="47"/>
        <v>1</v>
      </c>
      <c r="N571" s="58">
        <f t="shared" si="48"/>
        <v>0</v>
      </c>
      <c r="O571" s="58">
        <f t="shared" si="49"/>
        <v>2</v>
      </c>
      <c r="P571" s="5" t="s">
        <v>909</v>
      </c>
      <c r="Q571" s="5" t="s">
        <v>281</v>
      </c>
    </row>
    <row r="572" spans="1:17">
      <c r="A572" s="104">
        <v>42177</v>
      </c>
      <c r="B572" s="105" t="str">
        <f t="shared" si="45"/>
        <v>Mon</v>
      </c>
      <c r="C572" s="105" t="s">
        <v>709</v>
      </c>
      <c r="D572" s="105" t="s">
        <v>248</v>
      </c>
      <c r="E572" s="105" t="s">
        <v>10</v>
      </c>
      <c r="F572" s="105" t="s">
        <v>10</v>
      </c>
      <c r="G572" s="105"/>
      <c r="H572" s="105"/>
      <c r="I572" s="117">
        <v>1163</v>
      </c>
      <c r="J572" s="117"/>
      <c r="K572" s="117"/>
      <c r="L572" s="118">
        <f t="shared" si="46"/>
        <v>0</v>
      </c>
      <c r="M572" s="118">
        <f t="shared" si="47"/>
        <v>0</v>
      </c>
      <c r="N572" s="58">
        <f t="shared" si="48"/>
        <v>0</v>
      </c>
      <c r="O572" s="58">
        <f t="shared" si="49"/>
        <v>0</v>
      </c>
      <c r="P572" s="5" t="s">
        <v>10</v>
      </c>
    </row>
    <row r="573" spans="1:17">
      <c r="A573" s="104">
        <v>42178</v>
      </c>
      <c r="B573" s="105" t="str">
        <f t="shared" si="45"/>
        <v>Tue</v>
      </c>
      <c r="C573" s="105" t="s">
        <v>709</v>
      </c>
      <c r="D573" s="105" t="s">
        <v>248</v>
      </c>
      <c r="E573" s="105" t="s">
        <v>725</v>
      </c>
      <c r="F573" s="105" t="s">
        <v>726</v>
      </c>
      <c r="G573" s="105"/>
      <c r="H573" s="105"/>
      <c r="I573" s="117">
        <v>1104</v>
      </c>
      <c r="J573" s="117"/>
      <c r="K573" s="117"/>
      <c r="L573" s="118">
        <f t="shared" si="46"/>
        <v>1</v>
      </c>
      <c r="M573" s="118">
        <f t="shared" si="47"/>
        <v>0</v>
      </c>
      <c r="N573" s="58">
        <f t="shared" si="48"/>
        <v>0</v>
      </c>
      <c r="O573" s="58">
        <f t="shared" si="49"/>
        <v>1</v>
      </c>
      <c r="P573" s="5" t="s">
        <v>10</v>
      </c>
    </row>
    <row r="574" spans="1:17">
      <c r="A574" s="104">
        <v>42179</v>
      </c>
      <c r="B574" s="105" t="str">
        <f t="shared" si="45"/>
        <v>Wed</v>
      </c>
      <c r="C574" s="105" t="s">
        <v>709</v>
      </c>
      <c r="D574" s="105" t="s">
        <v>248</v>
      </c>
      <c r="E574" s="105" t="s">
        <v>725</v>
      </c>
      <c r="F574" s="105" t="s">
        <v>726</v>
      </c>
      <c r="G574" s="105"/>
      <c r="H574" s="105"/>
      <c r="I574" s="117">
        <v>1201</v>
      </c>
      <c r="J574" s="117"/>
      <c r="K574" s="117"/>
      <c r="L574" s="118">
        <f t="shared" si="46"/>
        <v>1</v>
      </c>
      <c r="M574" s="118">
        <f t="shared" si="47"/>
        <v>0</v>
      </c>
      <c r="N574" s="58">
        <f t="shared" si="48"/>
        <v>0</v>
      </c>
      <c r="O574" s="58">
        <f t="shared" si="49"/>
        <v>1</v>
      </c>
      <c r="P574" s="5" t="s">
        <v>725</v>
      </c>
    </row>
    <row r="575" spans="1:17">
      <c r="A575" s="104">
        <v>42180</v>
      </c>
      <c r="B575" s="105" t="str">
        <f t="shared" si="45"/>
        <v>Thu</v>
      </c>
      <c r="C575" s="105" t="s">
        <v>709</v>
      </c>
      <c r="D575" s="105" t="s">
        <v>248</v>
      </c>
      <c r="E575" s="105" t="s">
        <v>725</v>
      </c>
      <c r="F575" s="105" t="s">
        <v>726</v>
      </c>
      <c r="G575" s="105"/>
      <c r="H575" s="105"/>
      <c r="I575" s="117">
        <v>1144</v>
      </c>
      <c r="J575" s="117"/>
      <c r="K575" s="117"/>
      <c r="L575" s="118">
        <f t="shared" si="46"/>
        <v>1</v>
      </c>
      <c r="M575" s="118">
        <f t="shared" si="47"/>
        <v>0</v>
      </c>
      <c r="N575" s="58">
        <f t="shared" si="48"/>
        <v>0</v>
      </c>
      <c r="O575" s="58">
        <f t="shared" si="49"/>
        <v>1</v>
      </c>
      <c r="P575" s="5" t="s">
        <v>725</v>
      </c>
    </row>
    <row r="576" spans="1:17">
      <c r="A576" s="104">
        <v>42181</v>
      </c>
      <c r="B576" s="105" t="str">
        <f t="shared" si="45"/>
        <v>Fri</v>
      </c>
      <c r="C576" s="105" t="s">
        <v>709</v>
      </c>
      <c r="D576" s="105" t="s">
        <v>248</v>
      </c>
      <c r="E576" s="105" t="s">
        <v>725</v>
      </c>
      <c r="F576" s="105" t="s">
        <v>726</v>
      </c>
      <c r="G576" s="105"/>
      <c r="H576" s="105"/>
      <c r="I576" s="117">
        <v>1095</v>
      </c>
      <c r="J576" s="117"/>
      <c r="K576" s="117"/>
      <c r="L576" s="118">
        <f t="shared" si="46"/>
        <v>1</v>
      </c>
      <c r="M576" s="118">
        <f t="shared" si="47"/>
        <v>0</v>
      </c>
      <c r="N576" s="58">
        <f t="shared" si="48"/>
        <v>0</v>
      </c>
      <c r="O576" s="58">
        <f t="shared" si="49"/>
        <v>1</v>
      </c>
      <c r="P576" s="5" t="s">
        <v>725</v>
      </c>
    </row>
    <row r="577" spans="1:17">
      <c r="A577" s="104">
        <v>42182</v>
      </c>
      <c r="B577" s="105" t="str">
        <f t="shared" si="45"/>
        <v>Sat</v>
      </c>
      <c r="C577" s="105" t="s">
        <v>709</v>
      </c>
      <c r="D577" s="105" t="s">
        <v>248</v>
      </c>
      <c r="E577" s="105" t="s">
        <v>10</v>
      </c>
      <c r="F577" s="105" t="s">
        <v>10</v>
      </c>
      <c r="G577" s="105"/>
      <c r="H577" s="105"/>
      <c r="I577" s="117">
        <v>941</v>
      </c>
      <c r="J577" s="117"/>
      <c r="K577" s="117"/>
      <c r="L577" s="118">
        <f t="shared" si="46"/>
        <v>0</v>
      </c>
      <c r="M577" s="118">
        <f t="shared" si="47"/>
        <v>0</v>
      </c>
      <c r="N577" s="58">
        <f t="shared" si="48"/>
        <v>0</v>
      </c>
      <c r="O577" s="58">
        <f t="shared" si="49"/>
        <v>0</v>
      </c>
      <c r="P577" s="5" t="s">
        <v>725</v>
      </c>
    </row>
    <row r="578" spans="1:17">
      <c r="A578" s="104">
        <v>42183</v>
      </c>
      <c r="B578" s="105" t="str">
        <f t="shared" si="45"/>
        <v>Sun</v>
      </c>
      <c r="C578" s="105" t="s">
        <v>754</v>
      </c>
      <c r="D578" s="105" t="s">
        <v>258</v>
      </c>
      <c r="E578" s="105" t="s">
        <v>165</v>
      </c>
      <c r="F578" s="105" t="s">
        <v>741</v>
      </c>
      <c r="G578" s="105"/>
      <c r="H578" s="105"/>
      <c r="I578" s="117">
        <v>638</v>
      </c>
      <c r="J578" s="117"/>
      <c r="K578" s="117"/>
      <c r="L578" s="118">
        <f t="shared" si="46"/>
        <v>1</v>
      </c>
      <c r="M578" s="118">
        <f t="shared" si="47"/>
        <v>0</v>
      </c>
      <c r="N578" s="58">
        <f t="shared" si="48"/>
        <v>0</v>
      </c>
      <c r="O578" s="58">
        <f t="shared" si="49"/>
        <v>1</v>
      </c>
      <c r="P578" s="5" t="s">
        <v>867</v>
      </c>
      <c r="Q578" s="5" t="s">
        <v>281</v>
      </c>
    </row>
    <row r="579" spans="1:17">
      <c r="A579" s="119">
        <v>42184</v>
      </c>
      <c r="B579" s="105" t="str">
        <f t="shared" si="45"/>
        <v>Mon</v>
      </c>
      <c r="C579" s="105" t="s">
        <v>754</v>
      </c>
      <c r="D579" s="105" t="s">
        <v>258</v>
      </c>
      <c r="E579" s="120" t="s">
        <v>157</v>
      </c>
      <c r="F579" s="105" t="s">
        <v>928</v>
      </c>
      <c r="G579" s="105"/>
      <c r="H579" s="105"/>
      <c r="I579" s="117">
        <v>1459</v>
      </c>
      <c r="J579" s="117"/>
      <c r="K579" s="117"/>
      <c r="L579" s="118">
        <f t="shared" si="46"/>
        <v>1</v>
      </c>
      <c r="M579" s="118">
        <f t="shared" si="47"/>
        <v>0</v>
      </c>
      <c r="N579" s="58">
        <f t="shared" si="48"/>
        <v>0</v>
      </c>
      <c r="O579" s="58">
        <f t="shared" si="49"/>
        <v>1</v>
      </c>
      <c r="P579" s="5" t="s">
        <v>835</v>
      </c>
      <c r="Q579" s="5" t="s">
        <v>281</v>
      </c>
    </row>
    <row r="580" spans="1:17">
      <c r="A580" s="119">
        <v>42185</v>
      </c>
      <c r="B580" s="105" t="str">
        <f t="shared" si="45"/>
        <v>Tue</v>
      </c>
      <c r="C580" s="105" t="s">
        <v>754</v>
      </c>
      <c r="D580" s="105" t="s">
        <v>258</v>
      </c>
      <c r="E580" s="120" t="s">
        <v>157</v>
      </c>
      <c r="F580" s="105" t="s">
        <v>928</v>
      </c>
      <c r="G580" s="105"/>
      <c r="H580" s="105"/>
      <c r="I580" s="117">
        <v>1476</v>
      </c>
      <c r="J580" s="117"/>
      <c r="K580" s="117"/>
      <c r="L580" s="118">
        <f t="shared" si="46"/>
        <v>1</v>
      </c>
      <c r="M580" s="118">
        <f t="shared" si="47"/>
        <v>0</v>
      </c>
      <c r="N580" s="58">
        <f t="shared" si="48"/>
        <v>0</v>
      </c>
      <c r="O580" s="58">
        <f t="shared" si="49"/>
        <v>1</v>
      </c>
      <c r="P580" s="5" t="s">
        <v>835</v>
      </c>
      <c r="Q580" s="5" t="s">
        <v>281</v>
      </c>
    </row>
    <row r="581" spans="1:17">
      <c r="A581" s="104">
        <v>42186</v>
      </c>
      <c r="B581" s="105" t="str">
        <f t="shared" si="45"/>
        <v>Wed</v>
      </c>
      <c r="C581" s="105" t="s">
        <v>754</v>
      </c>
      <c r="D581" s="105" t="s">
        <v>258</v>
      </c>
      <c r="E581" s="105" t="s">
        <v>10</v>
      </c>
      <c r="F581" s="105" t="s">
        <v>10</v>
      </c>
      <c r="G581" s="105"/>
      <c r="H581" s="105"/>
      <c r="I581" s="117">
        <v>1400</v>
      </c>
      <c r="J581" s="117"/>
      <c r="K581" s="117"/>
      <c r="L581" s="118">
        <f t="shared" si="46"/>
        <v>0</v>
      </c>
      <c r="M581" s="118">
        <f t="shared" si="47"/>
        <v>0</v>
      </c>
      <c r="N581" s="58">
        <f t="shared" si="48"/>
        <v>0</v>
      </c>
      <c r="O581" s="58">
        <f t="shared" si="49"/>
        <v>0</v>
      </c>
      <c r="P581" s="5" t="s">
        <v>10</v>
      </c>
    </row>
    <row r="582" spans="1:17">
      <c r="A582" s="104">
        <v>42187</v>
      </c>
      <c r="B582" s="105" t="str">
        <f t="shared" si="45"/>
        <v>Thu</v>
      </c>
      <c r="C582" s="105" t="s">
        <v>754</v>
      </c>
      <c r="D582" s="105" t="s">
        <v>258</v>
      </c>
      <c r="E582" s="105" t="s">
        <v>157</v>
      </c>
      <c r="F582" s="105" t="s">
        <v>742</v>
      </c>
      <c r="G582" s="105" t="s">
        <v>742</v>
      </c>
      <c r="H582" s="105"/>
      <c r="I582" s="117">
        <v>1618</v>
      </c>
      <c r="J582" s="117"/>
      <c r="K582" s="117"/>
      <c r="L582" s="118">
        <f t="shared" si="46"/>
        <v>1</v>
      </c>
      <c r="M582" s="118">
        <f t="shared" si="47"/>
        <v>1</v>
      </c>
      <c r="N582" s="58">
        <f t="shared" si="48"/>
        <v>0</v>
      </c>
      <c r="O582" s="58">
        <f t="shared" si="49"/>
        <v>2</v>
      </c>
      <c r="P582" s="5" t="s">
        <v>835</v>
      </c>
      <c r="Q582" s="5" t="s">
        <v>281</v>
      </c>
    </row>
    <row r="583" spans="1:17">
      <c r="A583" s="104">
        <v>42188</v>
      </c>
      <c r="B583" s="105" t="str">
        <f t="shared" si="45"/>
        <v>Fri</v>
      </c>
      <c r="C583" s="105" t="s">
        <v>754</v>
      </c>
      <c r="D583" s="105" t="s">
        <v>258</v>
      </c>
      <c r="E583" s="105" t="s">
        <v>612</v>
      </c>
      <c r="F583" s="105" t="s">
        <v>743</v>
      </c>
      <c r="G583" s="105"/>
      <c r="H583" s="105"/>
      <c r="I583" s="117">
        <v>1087</v>
      </c>
      <c r="J583" s="117"/>
      <c r="K583" s="117"/>
      <c r="L583" s="118">
        <f t="shared" si="46"/>
        <v>1</v>
      </c>
      <c r="M583" s="118">
        <f t="shared" si="47"/>
        <v>0</v>
      </c>
      <c r="N583" s="58">
        <f t="shared" si="48"/>
        <v>0</v>
      </c>
      <c r="O583" s="58">
        <f t="shared" si="49"/>
        <v>1</v>
      </c>
      <c r="P583" s="5" t="s">
        <v>612</v>
      </c>
    </row>
    <row r="584" spans="1:17">
      <c r="A584" s="104">
        <v>42189</v>
      </c>
      <c r="B584" s="105" t="str">
        <f t="shared" si="45"/>
        <v>Sat</v>
      </c>
      <c r="C584" s="105" t="s">
        <v>754</v>
      </c>
      <c r="D584" s="105" t="s">
        <v>258</v>
      </c>
      <c r="E584" s="105" t="s">
        <v>612</v>
      </c>
      <c r="F584" s="105" t="s">
        <v>743</v>
      </c>
      <c r="G584" s="105"/>
      <c r="H584" s="105"/>
      <c r="I584" s="117">
        <v>591</v>
      </c>
      <c r="J584" s="117"/>
      <c r="K584" s="117"/>
      <c r="L584" s="118">
        <f t="shared" si="46"/>
        <v>1</v>
      </c>
      <c r="M584" s="118">
        <f t="shared" si="47"/>
        <v>0</v>
      </c>
      <c r="N584" s="58">
        <f t="shared" si="48"/>
        <v>0</v>
      </c>
      <c r="O584" s="58">
        <f t="shared" si="49"/>
        <v>1</v>
      </c>
      <c r="P584" s="5" t="s">
        <v>612</v>
      </c>
    </row>
    <row r="585" spans="1:17">
      <c r="A585" s="104">
        <v>42190</v>
      </c>
      <c r="B585" s="105" t="str">
        <f t="shared" si="45"/>
        <v>Sun</v>
      </c>
      <c r="C585" s="105" t="s">
        <v>754</v>
      </c>
      <c r="D585" s="105" t="s">
        <v>270</v>
      </c>
      <c r="E585" s="105" t="s">
        <v>612</v>
      </c>
      <c r="F585" s="105" t="s">
        <v>743</v>
      </c>
      <c r="G585" s="105" t="s">
        <v>743</v>
      </c>
      <c r="H585" s="105"/>
      <c r="I585" s="117">
        <v>670</v>
      </c>
      <c r="J585" s="117"/>
      <c r="K585" s="117"/>
      <c r="L585" s="118">
        <f t="shared" si="46"/>
        <v>1</v>
      </c>
      <c r="M585" s="118">
        <f t="shared" si="47"/>
        <v>1</v>
      </c>
      <c r="N585" s="58">
        <f t="shared" si="48"/>
        <v>0</v>
      </c>
      <c r="O585" s="58">
        <f t="shared" si="49"/>
        <v>2</v>
      </c>
      <c r="P585" s="5" t="s">
        <v>612</v>
      </c>
    </row>
    <row r="586" spans="1:17">
      <c r="A586" s="104">
        <v>42191</v>
      </c>
      <c r="B586" s="105" t="str">
        <f t="shared" si="45"/>
        <v>Mon</v>
      </c>
      <c r="C586" s="105" t="s">
        <v>754</v>
      </c>
      <c r="D586" s="105" t="s">
        <v>270</v>
      </c>
      <c r="E586" s="105" t="s">
        <v>612</v>
      </c>
      <c r="F586" s="105" t="s">
        <v>743</v>
      </c>
      <c r="G586" s="105" t="s">
        <v>743</v>
      </c>
      <c r="H586" s="105"/>
      <c r="I586" s="117">
        <v>1428</v>
      </c>
      <c r="J586" s="117"/>
      <c r="K586" s="117"/>
      <c r="L586" s="118">
        <f t="shared" si="46"/>
        <v>1</v>
      </c>
      <c r="M586" s="118">
        <f t="shared" si="47"/>
        <v>1</v>
      </c>
      <c r="N586" s="58">
        <f t="shared" si="48"/>
        <v>0</v>
      </c>
      <c r="O586" s="58">
        <f t="shared" si="49"/>
        <v>2</v>
      </c>
      <c r="P586" s="5" t="s">
        <v>612</v>
      </c>
    </row>
    <row r="587" spans="1:17">
      <c r="A587" s="104">
        <v>42192</v>
      </c>
      <c r="B587" s="105" t="str">
        <f t="shared" si="45"/>
        <v>Tue</v>
      </c>
      <c r="C587" s="105" t="s">
        <v>754</v>
      </c>
      <c r="D587" s="105" t="s">
        <v>270</v>
      </c>
      <c r="E587" s="105" t="s">
        <v>10</v>
      </c>
      <c r="F587" s="105" t="s">
        <v>10</v>
      </c>
      <c r="G587" s="105"/>
      <c r="H587" s="105"/>
      <c r="I587" s="117">
        <v>1300</v>
      </c>
      <c r="J587" s="117"/>
      <c r="K587" s="117"/>
      <c r="L587" s="118">
        <f t="shared" si="46"/>
        <v>0</v>
      </c>
      <c r="M587" s="118">
        <f t="shared" si="47"/>
        <v>0</v>
      </c>
      <c r="N587" s="58">
        <f t="shared" si="48"/>
        <v>0</v>
      </c>
      <c r="O587" s="58">
        <f t="shared" si="49"/>
        <v>0</v>
      </c>
      <c r="P587" s="5" t="s">
        <v>10</v>
      </c>
    </row>
    <row r="588" spans="1:17">
      <c r="A588" s="104">
        <v>42193</v>
      </c>
      <c r="B588" s="105" t="str">
        <f t="shared" si="45"/>
        <v>Wed</v>
      </c>
      <c r="C588" s="105" t="s">
        <v>754</v>
      </c>
      <c r="D588" s="105" t="s">
        <v>270</v>
      </c>
      <c r="E588" s="105" t="s">
        <v>208</v>
      </c>
      <c r="F588" s="105" t="s">
        <v>744</v>
      </c>
      <c r="G588" s="105"/>
      <c r="H588" s="105"/>
      <c r="I588" s="117">
        <v>1363</v>
      </c>
      <c r="J588" s="117"/>
      <c r="K588" s="117"/>
      <c r="L588" s="118">
        <f t="shared" si="46"/>
        <v>1</v>
      </c>
      <c r="M588" s="118">
        <f t="shared" si="47"/>
        <v>0</v>
      </c>
      <c r="N588" s="58">
        <f t="shared" si="48"/>
        <v>0</v>
      </c>
      <c r="O588" s="58">
        <f t="shared" si="49"/>
        <v>1</v>
      </c>
      <c r="P588" s="5" t="s">
        <v>868</v>
      </c>
      <c r="Q588" s="5" t="s">
        <v>875</v>
      </c>
    </row>
    <row r="589" spans="1:17">
      <c r="A589" s="104">
        <v>42194</v>
      </c>
      <c r="B589" s="105" t="str">
        <f t="shared" si="45"/>
        <v>Thu</v>
      </c>
      <c r="C589" s="105" t="s">
        <v>754</v>
      </c>
      <c r="D589" s="105" t="s">
        <v>270</v>
      </c>
      <c r="E589" s="105" t="s">
        <v>208</v>
      </c>
      <c r="F589" s="105" t="s">
        <v>744</v>
      </c>
      <c r="G589" s="105"/>
      <c r="H589" s="105"/>
      <c r="I589" s="117">
        <v>1246</v>
      </c>
      <c r="J589" s="117"/>
      <c r="K589" s="117"/>
      <c r="L589" s="118">
        <f t="shared" si="46"/>
        <v>1</v>
      </c>
      <c r="M589" s="118">
        <f t="shared" si="47"/>
        <v>0</v>
      </c>
      <c r="N589" s="58">
        <f t="shared" si="48"/>
        <v>0</v>
      </c>
      <c r="O589" s="58">
        <f t="shared" si="49"/>
        <v>1</v>
      </c>
      <c r="P589" s="5" t="s">
        <v>868</v>
      </c>
      <c r="Q589" s="5" t="s">
        <v>875</v>
      </c>
    </row>
    <row r="590" spans="1:17">
      <c r="A590" s="104">
        <v>42195</v>
      </c>
      <c r="B590" s="105" t="str">
        <f t="shared" si="45"/>
        <v>Fri</v>
      </c>
      <c r="C590" s="105" t="s">
        <v>754</v>
      </c>
      <c r="D590" s="105" t="s">
        <v>270</v>
      </c>
      <c r="E590" s="105" t="s">
        <v>208</v>
      </c>
      <c r="F590" s="105" t="s">
        <v>744</v>
      </c>
      <c r="G590" s="105" t="s">
        <v>744</v>
      </c>
      <c r="H590" s="105"/>
      <c r="I590" s="117">
        <v>1067</v>
      </c>
      <c r="J590" s="117"/>
      <c r="K590" s="117"/>
      <c r="L590" s="118">
        <f t="shared" si="46"/>
        <v>1</v>
      </c>
      <c r="M590" s="118">
        <f t="shared" si="47"/>
        <v>1</v>
      </c>
      <c r="N590" s="58">
        <f t="shared" si="48"/>
        <v>0</v>
      </c>
      <c r="O590" s="58">
        <f t="shared" si="49"/>
        <v>2</v>
      </c>
      <c r="P590" s="5" t="s">
        <v>868</v>
      </c>
      <c r="Q590" s="5" t="s">
        <v>875</v>
      </c>
    </row>
    <row r="591" spans="1:17">
      <c r="A591" s="104">
        <v>42196</v>
      </c>
      <c r="B591" s="105" t="str">
        <f t="shared" si="45"/>
        <v>Sat</v>
      </c>
      <c r="C591" s="105" t="s">
        <v>754</v>
      </c>
      <c r="D591" s="105" t="s">
        <v>270</v>
      </c>
      <c r="E591" s="105" t="s">
        <v>10</v>
      </c>
      <c r="F591" s="105" t="s">
        <v>10</v>
      </c>
      <c r="G591" s="105"/>
      <c r="H591" s="105"/>
      <c r="I591" s="117">
        <v>757</v>
      </c>
      <c r="J591" s="117"/>
      <c r="K591" s="117"/>
      <c r="L591" s="118">
        <f t="shared" si="46"/>
        <v>0</v>
      </c>
      <c r="M591" s="118">
        <f t="shared" si="47"/>
        <v>0</v>
      </c>
      <c r="N591" s="58">
        <f t="shared" si="48"/>
        <v>0</v>
      </c>
      <c r="O591" s="58">
        <f t="shared" si="49"/>
        <v>0</v>
      </c>
      <c r="P591" s="5" t="s">
        <v>10</v>
      </c>
    </row>
    <row r="592" spans="1:17">
      <c r="A592" s="104">
        <v>42197</v>
      </c>
      <c r="B592" s="105" t="str">
        <f t="shared" si="45"/>
        <v>Sun</v>
      </c>
      <c r="C592" s="105" t="s">
        <v>754</v>
      </c>
      <c r="D592" s="105" t="s">
        <v>280</v>
      </c>
      <c r="E592" s="105" t="s">
        <v>165</v>
      </c>
      <c r="F592" s="105" t="s">
        <v>741</v>
      </c>
      <c r="G592" s="105"/>
      <c r="H592" s="105"/>
      <c r="I592" s="117">
        <v>741</v>
      </c>
      <c r="J592" s="117"/>
      <c r="K592" s="117"/>
      <c r="L592" s="118">
        <f t="shared" si="46"/>
        <v>1</v>
      </c>
      <c r="M592" s="118">
        <f t="shared" si="47"/>
        <v>0</v>
      </c>
      <c r="N592" s="58">
        <f t="shared" si="48"/>
        <v>0</v>
      </c>
      <c r="O592" s="58">
        <f t="shared" si="49"/>
        <v>1</v>
      </c>
      <c r="P592" s="5" t="s">
        <v>10</v>
      </c>
    </row>
    <row r="593" spans="1:18">
      <c r="A593" s="104">
        <v>42198</v>
      </c>
      <c r="B593" s="105" t="str">
        <f t="shared" si="45"/>
        <v>Mon</v>
      </c>
      <c r="C593" s="105" t="s">
        <v>754</v>
      </c>
      <c r="D593" s="105" t="s">
        <v>280</v>
      </c>
      <c r="E593" s="105" t="s">
        <v>141</v>
      </c>
      <c r="F593" s="105" t="s">
        <v>745</v>
      </c>
      <c r="G593" s="105"/>
      <c r="H593" s="105"/>
      <c r="I593" s="117">
        <v>1546</v>
      </c>
      <c r="J593" s="117"/>
      <c r="K593" s="117"/>
      <c r="L593" s="118">
        <f t="shared" si="46"/>
        <v>1</v>
      </c>
      <c r="M593" s="118">
        <f t="shared" si="47"/>
        <v>0</v>
      </c>
      <c r="N593" s="58">
        <f t="shared" si="48"/>
        <v>0</v>
      </c>
      <c r="O593" s="58">
        <f t="shared" si="49"/>
        <v>1</v>
      </c>
      <c r="P593" s="5" t="s">
        <v>860</v>
      </c>
      <c r="Q593" s="5" t="s">
        <v>861</v>
      </c>
      <c r="R593" s="5" t="s">
        <v>281</v>
      </c>
    </row>
    <row r="594" spans="1:18">
      <c r="A594" s="104">
        <v>42199</v>
      </c>
      <c r="B594" s="105" t="str">
        <f t="shared" si="45"/>
        <v>Tue</v>
      </c>
      <c r="C594" s="105" t="s">
        <v>754</v>
      </c>
      <c r="D594" s="105" t="s">
        <v>280</v>
      </c>
      <c r="E594" s="105" t="s">
        <v>141</v>
      </c>
      <c r="F594" s="105" t="s">
        <v>745</v>
      </c>
      <c r="G594" s="105" t="s">
        <v>745</v>
      </c>
      <c r="H594" s="105"/>
      <c r="I594" s="117">
        <v>1271</v>
      </c>
      <c r="J594" s="117"/>
      <c r="K594" s="117"/>
      <c r="L594" s="118">
        <f t="shared" si="46"/>
        <v>1</v>
      </c>
      <c r="M594" s="118">
        <f t="shared" si="47"/>
        <v>1</v>
      </c>
      <c r="N594" s="58">
        <f t="shared" si="48"/>
        <v>0</v>
      </c>
      <c r="O594" s="58">
        <f t="shared" si="49"/>
        <v>2</v>
      </c>
      <c r="P594" s="5" t="s">
        <v>860</v>
      </c>
      <c r="Q594" s="5" t="s">
        <v>861</v>
      </c>
      <c r="R594" s="5" t="s">
        <v>281</v>
      </c>
    </row>
    <row r="595" spans="1:18">
      <c r="A595" s="104">
        <v>42200</v>
      </c>
      <c r="B595" s="105" t="str">
        <f t="shared" si="45"/>
        <v>Wed</v>
      </c>
      <c r="C595" s="105" t="s">
        <v>754</v>
      </c>
      <c r="D595" s="105" t="s">
        <v>280</v>
      </c>
      <c r="E595" s="105" t="s">
        <v>10</v>
      </c>
      <c r="F595" s="105" t="s">
        <v>10</v>
      </c>
      <c r="G595" s="105"/>
      <c r="H595" s="105"/>
      <c r="I595" s="117">
        <v>1308</v>
      </c>
      <c r="J595" s="117"/>
      <c r="K595" s="117"/>
      <c r="L595" s="118">
        <f t="shared" si="46"/>
        <v>0</v>
      </c>
      <c r="M595" s="118">
        <f t="shared" si="47"/>
        <v>0</v>
      </c>
      <c r="N595" s="58">
        <f t="shared" si="48"/>
        <v>0</v>
      </c>
      <c r="O595" s="58">
        <f t="shared" si="49"/>
        <v>0</v>
      </c>
      <c r="P595" s="5" t="s">
        <v>10</v>
      </c>
    </row>
    <row r="596" spans="1:18">
      <c r="A596" s="104">
        <v>42201</v>
      </c>
      <c r="B596" s="105" t="str">
        <f t="shared" si="45"/>
        <v>Thu</v>
      </c>
      <c r="C596" s="105" t="s">
        <v>754</v>
      </c>
      <c r="D596" s="105" t="s">
        <v>280</v>
      </c>
      <c r="E596" s="105" t="s">
        <v>165</v>
      </c>
      <c r="F596" s="105" t="s">
        <v>746</v>
      </c>
      <c r="G596" s="105"/>
      <c r="H596" s="105"/>
      <c r="I596" s="117">
        <v>1098</v>
      </c>
      <c r="J596" s="117"/>
      <c r="K596" s="117"/>
      <c r="L596" s="118">
        <f t="shared" si="46"/>
        <v>1</v>
      </c>
      <c r="M596" s="118">
        <f t="shared" si="47"/>
        <v>0</v>
      </c>
      <c r="N596" s="58">
        <f t="shared" si="48"/>
        <v>0</v>
      </c>
      <c r="O596" s="58">
        <f t="shared" si="49"/>
        <v>1</v>
      </c>
      <c r="P596" s="5" t="s">
        <v>867</v>
      </c>
      <c r="Q596" s="5" t="s">
        <v>281</v>
      </c>
    </row>
    <row r="597" spans="1:18">
      <c r="A597" s="104">
        <v>42202</v>
      </c>
      <c r="B597" s="105" t="str">
        <f t="shared" si="45"/>
        <v>Fri</v>
      </c>
      <c r="C597" s="105" t="s">
        <v>754</v>
      </c>
      <c r="D597" s="105" t="s">
        <v>280</v>
      </c>
      <c r="E597" s="105" t="s">
        <v>17</v>
      </c>
      <c r="F597" s="105" t="s">
        <v>747</v>
      </c>
      <c r="G597" s="105"/>
      <c r="H597" s="105"/>
      <c r="I597" s="117">
        <v>1466</v>
      </c>
      <c r="J597" s="117"/>
      <c r="K597" s="117"/>
      <c r="L597" s="118">
        <f t="shared" si="46"/>
        <v>1</v>
      </c>
      <c r="M597" s="118">
        <f t="shared" si="47"/>
        <v>0</v>
      </c>
      <c r="N597" s="58">
        <f t="shared" si="48"/>
        <v>0</v>
      </c>
      <c r="O597" s="58">
        <f t="shared" si="49"/>
        <v>1</v>
      </c>
      <c r="P597" s="5" t="s">
        <v>17</v>
      </c>
    </row>
    <row r="598" spans="1:18">
      <c r="A598" s="104">
        <v>42203</v>
      </c>
      <c r="B598" s="105" t="str">
        <f t="shared" si="45"/>
        <v>Sat</v>
      </c>
      <c r="C598" s="105" t="s">
        <v>754</v>
      </c>
      <c r="D598" s="105" t="s">
        <v>280</v>
      </c>
      <c r="E598" s="105" t="s">
        <v>19</v>
      </c>
      <c r="F598" s="105" t="s">
        <v>748</v>
      </c>
      <c r="G598" s="105"/>
      <c r="H598" s="105"/>
      <c r="I598" s="117">
        <v>647</v>
      </c>
      <c r="J598" s="117"/>
      <c r="K598" s="117"/>
      <c r="L598" s="118">
        <f t="shared" si="46"/>
        <v>1</v>
      </c>
      <c r="M598" s="118">
        <f t="shared" si="47"/>
        <v>0</v>
      </c>
      <c r="N598" s="58">
        <f t="shared" si="48"/>
        <v>0</v>
      </c>
      <c r="O598" s="58">
        <f t="shared" si="49"/>
        <v>1</v>
      </c>
      <c r="P598" s="5" t="s">
        <v>19</v>
      </c>
    </row>
    <row r="599" spans="1:18">
      <c r="A599" s="104">
        <v>42204</v>
      </c>
      <c r="B599" s="105" t="str">
        <f t="shared" si="45"/>
        <v>Sun</v>
      </c>
      <c r="C599" s="105" t="s">
        <v>754</v>
      </c>
      <c r="D599" s="105" t="s">
        <v>290</v>
      </c>
      <c r="E599" s="105" t="s">
        <v>19</v>
      </c>
      <c r="F599" s="105" t="s">
        <v>748</v>
      </c>
      <c r="G599" s="105"/>
      <c r="H599" s="105"/>
      <c r="I599" s="117">
        <v>885</v>
      </c>
      <c r="J599" s="117"/>
      <c r="K599" s="117"/>
      <c r="L599" s="118">
        <f t="shared" si="46"/>
        <v>1</v>
      </c>
      <c r="M599" s="118">
        <f t="shared" si="47"/>
        <v>0</v>
      </c>
      <c r="N599" s="58">
        <f t="shared" si="48"/>
        <v>0</v>
      </c>
      <c r="O599" s="58">
        <f t="shared" si="49"/>
        <v>1</v>
      </c>
      <c r="P599" s="5" t="s">
        <v>19</v>
      </c>
    </row>
    <row r="600" spans="1:18">
      <c r="A600" s="104">
        <v>42205</v>
      </c>
      <c r="B600" s="105" t="str">
        <f t="shared" si="45"/>
        <v>Mon</v>
      </c>
      <c r="C600" s="105" t="s">
        <v>754</v>
      </c>
      <c r="D600" s="105" t="s">
        <v>290</v>
      </c>
      <c r="E600" s="105" t="s">
        <v>10</v>
      </c>
      <c r="F600" s="105" t="s">
        <v>10</v>
      </c>
      <c r="G600" s="105"/>
      <c r="H600" s="105"/>
      <c r="I600" s="117">
        <v>1279</v>
      </c>
      <c r="J600" s="117"/>
      <c r="K600" s="117"/>
      <c r="L600" s="118">
        <f t="shared" si="46"/>
        <v>0</v>
      </c>
      <c r="M600" s="118">
        <f t="shared" si="47"/>
        <v>0</v>
      </c>
      <c r="N600" s="58">
        <f t="shared" si="48"/>
        <v>0</v>
      </c>
      <c r="O600" s="58">
        <f t="shared" si="49"/>
        <v>0</v>
      </c>
      <c r="P600" s="5" t="s">
        <v>10</v>
      </c>
    </row>
    <row r="601" spans="1:18">
      <c r="A601" s="104">
        <v>42206</v>
      </c>
      <c r="B601" s="105" t="str">
        <f t="shared" si="45"/>
        <v>Tue</v>
      </c>
      <c r="C601" s="105" t="s">
        <v>754</v>
      </c>
      <c r="D601" s="105" t="s">
        <v>290</v>
      </c>
      <c r="E601" s="105" t="s">
        <v>484</v>
      </c>
      <c r="F601" s="105" t="s">
        <v>749</v>
      </c>
      <c r="G601" s="105"/>
      <c r="H601" s="105"/>
      <c r="I601" s="117">
        <v>1289</v>
      </c>
      <c r="J601" s="117"/>
      <c r="K601" s="117"/>
      <c r="L601" s="118">
        <f t="shared" si="46"/>
        <v>1</v>
      </c>
      <c r="M601" s="118">
        <f t="shared" si="47"/>
        <v>0</v>
      </c>
      <c r="N601" s="58">
        <f t="shared" si="48"/>
        <v>0</v>
      </c>
      <c r="O601" s="58">
        <f t="shared" si="49"/>
        <v>1</v>
      </c>
      <c r="P601" s="5" t="s">
        <v>835</v>
      </c>
      <c r="Q601" s="5" t="s">
        <v>836</v>
      </c>
    </row>
    <row r="602" spans="1:18">
      <c r="A602" s="104">
        <v>42207</v>
      </c>
      <c r="B602" s="105" t="str">
        <f t="shared" si="45"/>
        <v>Wed</v>
      </c>
      <c r="C602" s="105" t="s">
        <v>754</v>
      </c>
      <c r="D602" s="105" t="s">
        <v>290</v>
      </c>
      <c r="E602" s="105" t="s">
        <v>484</v>
      </c>
      <c r="F602" s="105" t="s">
        <v>749</v>
      </c>
      <c r="G602" s="105"/>
      <c r="H602" s="105"/>
      <c r="I602" s="117">
        <v>1329</v>
      </c>
      <c r="J602" s="117"/>
      <c r="K602" s="117"/>
      <c r="L602" s="118">
        <f t="shared" si="46"/>
        <v>1</v>
      </c>
      <c r="M602" s="118">
        <f t="shared" si="47"/>
        <v>0</v>
      </c>
      <c r="N602" s="58">
        <f t="shared" si="48"/>
        <v>0</v>
      </c>
      <c r="O602" s="58">
        <f t="shared" si="49"/>
        <v>1</v>
      </c>
      <c r="P602" s="5" t="s">
        <v>835</v>
      </c>
      <c r="Q602" s="5" t="s">
        <v>836</v>
      </c>
    </row>
    <row r="603" spans="1:18">
      <c r="A603" s="104">
        <v>42208</v>
      </c>
      <c r="B603" s="105" t="str">
        <f t="shared" si="45"/>
        <v>Thu</v>
      </c>
      <c r="C603" s="105" t="s">
        <v>754</v>
      </c>
      <c r="D603" s="105" t="s">
        <v>290</v>
      </c>
      <c r="E603" s="105" t="s">
        <v>929</v>
      </c>
      <c r="F603" s="105" t="s">
        <v>930</v>
      </c>
      <c r="G603" s="105"/>
      <c r="H603" s="105"/>
      <c r="I603" s="117">
        <v>1196</v>
      </c>
      <c r="J603" s="117"/>
      <c r="K603" s="117"/>
      <c r="L603" s="118">
        <f t="shared" si="46"/>
        <v>1</v>
      </c>
      <c r="M603" s="118">
        <f t="shared" si="47"/>
        <v>0</v>
      </c>
      <c r="N603" s="58">
        <f t="shared" si="48"/>
        <v>0</v>
      </c>
      <c r="O603" s="58">
        <f t="shared" si="49"/>
        <v>1</v>
      </c>
      <c r="P603" s="5" t="s">
        <v>867</v>
      </c>
      <c r="Q603" s="5" t="s">
        <v>281</v>
      </c>
    </row>
    <row r="604" spans="1:18">
      <c r="A604" s="104">
        <v>42209</v>
      </c>
      <c r="B604" s="105" t="str">
        <f t="shared" si="45"/>
        <v>Fri</v>
      </c>
      <c r="C604" s="105" t="s">
        <v>754</v>
      </c>
      <c r="D604" s="105" t="s">
        <v>290</v>
      </c>
      <c r="E604" s="105" t="s">
        <v>750</v>
      </c>
      <c r="F604" s="105" t="s">
        <v>751</v>
      </c>
      <c r="G604" s="105" t="s">
        <v>751</v>
      </c>
      <c r="H604" s="105"/>
      <c r="I604" s="117">
        <v>1449</v>
      </c>
      <c r="J604" s="117"/>
      <c r="K604" s="117"/>
      <c r="L604" s="118">
        <f t="shared" si="46"/>
        <v>1</v>
      </c>
      <c r="M604" s="118">
        <f t="shared" si="47"/>
        <v>1</v>
      </c>
      <c r="N604" s="58">
        <f t="shared" si="48"/>
        <v>0</v>
      </c>
      <c r="O604" s="58">
        <f t="shared" si="49"/>
        <v>2</v>
      </c>
      <c r="P604" s="5" t="s">
        <v>750</v>
      </c>
    </row>
    <row r="605" spans="1:18">
      <c r="A605" s="104">
        <v>42210</v>
      </c>
      <c r="B605" s="116" t="str">
        <f t="shared" si="45"/>
        <v>Sat</v>
      </c>
      <c r="C605" s="105" t="s">
        <v>754</v>
      </c>
      <c r="D605" s="105" t="s">
        <v>290</v>
      </c>
      <c r="E605" s="105" t="s">
        <v>10</v>
      </c>
      <c r="F605" s="105"/>
      <c r="G605" s="105"/>
      <c r="H605" s="105"/>
      <c r="I605" s="117">
        <v>871</v>
      </c>
      <c r="J605" s="117"/>
      <c r="K605" s="117"/>
      <c r="L605" s="118">
        <f t="shared" si="46"/>
        <v>0</v>
      </c>
      <c r="M605" s="118">
        <f t="shared" si="47"/>
        <v>0</v>
      </c>
      <c r="N605" s="58">
        <f t="shared" si="48"/>
        <v>0</v>
      </c>
      <c r="O605" s="58">
        <f t="shared" si="49"/>
        <v>0</v>
      </c>
      <c r="P605" s="5" t="s">
        <v>10</v>
      </c>
    </row>
    <row r="606" spans="1:18">
      <c r="A606" s="104">
        <v>42211</v>
      </c>
      <c r="B606" s="105" t="str">
        <f t="shared" si="45"/>
        <v>Sun</v>
      </c>
      <c r="C606" s="105" t="s">
        <v>754</v>
      </c>
      <c r="D606" s="105" t="s">
        <v>298</v>
      </c>
      <c r="E606" s="105" t="s">
        <v>191</v>
      </c>
      <c r="F606" s="105" t="s">
        <v>752</v>
      </c>
      <c r="G606" s="105"/>
      <c r="H606" s="105"/>
      <c r="I606" s="117">
        <v>968</v>
      </c>
      <c r="J606" s="117"/>
      <c r="K606" s="117"/>
      <c r="L606" s="118">
        <f t="shared" si="46"/>
        <v>1</v>
      </c>
      <c r="M606" s="118">
        <f t="shared" si="47"/>
        <v>0</v>
      </c>
      <c r="N606" s="58">
        <f t="shared" si="48"/>
        <v>0</v>
      </c>
      <c r="O606" s="58">
        <f t="shared" si="49"/>
        <v>1</v>
      </c>
      <c r="P606" s="5" t="s">
        <v>871</v>
      </c>
      <c r="Q606" s="5" t="s">
        <v>872</v>
      </c>
    </row>
    <row r="607" spans="1:18">
      <c r="A607" s="104">
        <v>42212</v>
      </c>
      <c r="B607" s="105" t="str">
        <f t="shared" si="45"/>
        <v>Mon</v>
      </c>
      <c r="C607" s="105" t="s">
        <v>754</v>
      </c>
      <c r="D607" s="105" t="s">
        <v>298</v>
      </c>
      <c r="E607" s="105" t="s">
        <v>191</v>
      </c>
      <c r="F607" s="105" t="s">
        <v>752</v>
      </c>
      <c r="G607" s="105"/>
      <c r="H607" s="105"/>
      <c r="I607" s="117">
        <v>1526</v>
      </c>
      <c r="J607" s="117"/>
      <c r="K607" s="117"/>
      <c r="L607" s="118">
        <f t="shared" si="46"/>
        <v>1</v>
      </c>
      <c r="M607" s="118">
        <f t="shared" si="47"/>
        <v>0</v>
      </c>
      <c r="N607" s="58">
        <f t="shared" si="48"/>
        <v>0</v>
      </c>
      <c r="O607" s="58">
        <f t="shared" si="49"/>
        <v>1</v>
      </c>
      <c r="P607" s="5" t="s">
        <v>871</v>
      </c>
      <c r="Q607" s="5" t="s">
        <v>872</v>
      </c>
    </row>
    <row r="608" spans="1:18">
      <c r="A608" s="104">
        <v>42213</v>
      </c>
      <c r="B608" s="105" t="str">
        <f t="shared" si="45"/>
        <v>Tue</v>
      </c>
      <c r="C608" s="105" t="s">
        <v>754</v>
      </c>
      <c r="D608" s="105" t="s">
        <v>298</v>
      </c>
      <c r="E608" s="105" t="s">
        <v>191</v>
      </c>
      <c r="F608" s="105" t="s">
        <v>752</v>
      </c>
      <c r="G608" s="105"/>
      <c r="H608" s="105"/>
      <c r="I608" s="117">
        <v>1425</v>
      </c>
      <c r="J608" s="117"/>
      <c r="K608" s="117"/>
      <c r="L608" s="118">
        <f t="shared" si="46"/>
        <v>1</v>
      </c>
      <c r="M608" s="118">
        <f t="shared" si="47"/>
        <v>0</v>
      </c>
      <c r="N608" s="58">
        <f t="shared" si="48"/>
        <v>0</v>
      </c>
      <c r="O608" s="58">
        <f t="shared" si="49"/>
        <v>1</v>
      </c>
      <c r="P608" s="5" t="s">
        <v>871</v>
      </c>
      <c r="Q608" s="5" t="s">
        <v>872</v>
      </c>
    </row>
    <row r="609" spans="1:18">
      <c r="A609" s="104">
        <v>42214</v>
      </c>
      <c r="B609" s="105" t="str">
        <f t="shared" si="45"/>
        <v>Wed</v>
      </c>
      <c r="C609" s="105" t="s">
        <v>754</v>
      </c>
      <c r="D609" s="105" t="s">
        <v>298</v>
      </c>
      <c r="E609" s="105" t="s">
        <v>10</v>
      </c>
      <c r="F609" s="105" t="s">
        <v>10</v>
      </c>
      <c r="G609" s="105"/>
      <c r="H609" s="105"/>
      <c r="I609" s="117">
        <v>1228</v>
      </c>
      <c r="J609" s="117"/>
      <c r="K609" s="117"/>
      <c r="L609" s="118">
        <f t="shared" si="46"/>
        <v>0</v>
      </c>
      <c r="M609" s="118">
        <f t="shared" si="47"/>
        <v>0</v>
      </c>
      <c r="N609" s="58">
        <f t="shared" si="48"/>
        <v>0</v>
      </c>
      <c r="O609" s="58">
        <f t="shared" si="49"/>
        <v>0</v>
      </c>
      <c r="P609" s="5" t="s">
        <v>10</v>
      </c>
    </row>
    <row r="610" spans="1:18">
      <c r="A610" s="104">
        <v>42215</v>
      </c>
      <c r="B610" s="105" t="str">
        <f t="shared" si="45"/>
        <v>Thu</v>
      </c>
      <c r="C610" s="105" t="s">
        <v>754</v>
      </c>
      <c r="D610" s="105" t="s">
        <v>298</v>
      </c>
      <c r="E610" s="105" t="s">
        <v>165</v>
      </c>
      <c r="F610" s="105" t="s">
        <v>746</v>
      </c>
      <c r="G610" s="105"/>
      <c r="H610" s="105"/>
      <c r="I610" s="117">
        <v>1295</v>
      </c>
      <c r="J610" s="117"/>
      <c r="K610" s="117"/>
      <c r="L610" s="118">
        <f t="shared" si="46"/>
        <v>1</v>
      </c>
      <c r="M610" s="118">
        <f t="shared" si="47"/>
        <v>0</v>
      </c>
      <c r="N610" s="58">
        <f t="shared" si="48"/>
        <v>0</v>
      </c>
      <c r="O610" s="58">
        <f t="shared" si="49"/>
        <v>1</v>
      </c>
      <c r="P610" s="5" t="s">
        <v>867</v>
      </c>
      <c r="Q610" s="5" t="s">
        <v>281</v>
      </c>
    </row>
    <row r="611" spans="1:18">
      <c r="A611" s="104">
        <v>42216</v>
      </c>
      <c r="B611" s="105" t="str">
        <f t="shared" si="45"/>
        <v>Fri</v>
      </c>
      <c r="C611" s="105" t="s">
        <v>754</v>
      </c>
      <c r="D611" s="105" t="s">
        <v>298</v>
      </c>
      <c r="E611" s="105" t="s">
        <v>19</v>
      </c>
      <c r="F611" s="105" t="s">
        <v>753</v>
      </c>
      <c r="G611" s="105"/>
      <c r="H611" s="105"/>
      <c r="I611" s="117">
        <v>1420</v>
      </c>
      <c r="J611" s="117"/>
      <c r="K611" s="117"/>
      <c r="L611" s="118">
        <f t="shared" si="46"/>
        <v>1</v>
      </c>
      <c r="M611" s="118">
        <f t="shared" si="47"/>
        <v>0</v>
      </c>
      <c r="N611" s="58">
        <f t="shared" si="48"/>
        <v>0</v>
      </c>
      <c r="O611" s="58">
        <f t="shared" si="49"/>
        <v>1</v>
      </c>
      <c r="P611" s="5" t="s">
        <v>19</v>
      </c>
    </row>
    <row r="612" spans="1:18">
      <c r="A612" s="104">
        <v>42217</v>
      </c>
      <c r="B612" s="105" t="str">
        <f t="shared" si="45"/>
        <v>Sat</v>
      </c>
      <c r="C612" s="105" t="s">
        <v>754</v>
      </c>
      <c r="D612" s="105" t="s">
        <v>298</v>
      </c>
      <c r="E612" s="105" t="s">
        <v>19</v>
      </c>
      <c r="F612" s="105" t="s">
        <v>753</v>
      </c>
      <c r="G612" s="105"/>
      <c r="H612" s="105"/>
      <c r="I612" s="117">
        <v>889</v>
      </c>
      <c r="J612" s="117"/>
      <c r="K612" s="117"/>
      <c r="L612" s="118">
        <f t="shared" si="46"/>
        <v>1</v>
      </c>
      <c r="M612" s="118">
        <f t="shared" si="47"/>
        <v>0</v>
      </c>
      <c r="N612" s="58">
        <f t="shared" si="48"/>
        <v>0</v>
      </c>
      <c r="O612" s="58">
        <f t="shared" si="49"/>
        <v>1</v>
      </c>
      <c r="P612" s="5" t="s">
        <v>19</v>
      </c>
    </row>
    <row r="613" spans="1:18">
      <c r="A613" s="104">
        <f>A612+1</f>
        <v>42218</v>
      </c>
      <c r="B613" s="105" t="str">
        <f t="shared" si="45"/>
        <v>Sun</v>
      </c>
      <c r="C613" s="105" t="s">
        <v>931</v>
      </c>
      <c r="D613" s="105" t="str">
        <f>IF(B613="Sun",("FW"&amp;RIGHT(D612,2)+1),D612)</f>
        <v>FW27</v>
      </c>
      <c r="E613" s="105" t="s">
        <v>941</v>
      </c>
      <c r="F613" s="105" t="s">
        <v>942</v>
      </c>
      <c r="G613" s="105"/>
      <c r="H613" s="105"/>
      <c r="I613" s="117">
        <v>746</v>
      </c>
      <c r="J613" s="117"/>
      <c r="K613" s="117"/>
      <c r="L613" s="118">
        <f t="shared" si="46"/>
        <v>1</v>
      </c>
      <c r="M613" s="118">
        <f t="shared" si="47"/>
        <v>0</v>
      </c>
      <c r="N613" s="58">
        <f t="shared" si="48"/>
        <v>0</v>
      </c>
      <c r="O613" s="58">
        <f t="shared" si="49"/>
        <v>1</v>
      </c>
      <c r="P613" s="5" t="s">
        <v>876</v>
      </c>
      <c r="Q613" s="5" t="s">
        <v>281</v>
      </c>
    </row>
    <row r="614" spans="1:18">
      <c r="A614" s="104">
        <f t="shared" ref="A614:A677" si="50">A613+1</f>
        <v>42219</v>
      </c>
      <c r="B614" s="105" t="str">
        <f t="shared" si="45"/>
        <v>Mon</v>
      </c>
      <c r="C614" s="105" t="s">
        <v>931</v>
      </c>
      <c r="D614" s="105" t="str">
        <f>IF(B614="Sun",("FW"&amp;RIGHT(D613,2)+1),D613)</f>
        <v>FW27</v>
      </c>
      <c r="E614" s="105" t="s">
        <v>10</v>
      </c>
      <c r="F614" s="105" t="s">
        <v>10</v>
      </c>
      <c r="G614" s="105"/>
      <c r="H614" s="105"/>
      <c r="I614" s="117">
        <v>1252</v>
      </c>
      <c r="J614" s="117"/>
      <c r="K614" s="117"/>
      <c r="L614" s="118">
        <f t="shared" si="46"/>
        <v>0</v>
      </c>
      <c r="M614" s="118">
        <f t="shared" si="47"/>
        <v>0</v>
      </c>
      <c r="N614" s="58">
        <f t="shared" si="48"/>
        <v>0</v>
      </c>
      <c r="O614" s="58">
        <f t="shared" si="49"/>
        <v>0</v>
      </c>
      <c r="P614" s="5" t="s">
        <v>10</v>
      </c>
    </row>
    <row r="615" spans="1:18">
      <c r="A615" s="104">
        <f t="shared" si="50"/>
        <v>42220</v>
      </c>
      <c r="B615" s="105" t="str">
        <f t="shared" si="45"/>
        <v>Tue</v>
      </c>
      <c r="C615" s="105" t="s">
        <v>931</v>
      </c>
      <c r="D615" s="105" t="str">
        <f t="shared" ref="D615:D678" si="51">IF(B615="Sun",("FW"&amp;RIGHT(D614,2)+1),D614)</f>
        <v>FW27</v>
      </c>
      <c r="E615" s="105" t="s">
        <v>941</v>
      </c>
      <c r="F615" s="105" t="s">
        <v>943</v>
      </c>
      <c r="G615" s="105"/>
      <c r="H615" s="105"/>
      <c r="I615" s="117">
        <v>1323</v>
      </c>
      <c r="J615" s="117"/>
      <c r="K615" s="117"/>
      <c r="L615" s="118">
        <f t="shared" si="46"/>
        <v>1</v>
      </c>
      <c r="M615" s="118">
        <f t="shared" si="47"/>
        <v>0</v>
      </c>
      <c r="N615" s="58">
        <f t="shared" si="48"/>
        <v>0</v>
      </c>
      <c r="O615" s="58">
        <f t="shared" si="49"/>
        <v>1</v>
      </c>
      <c r="P615" s="5" t="s">
        <v>845</v>
      </c>
      <c r="Q615" s="5" t="s">
        <v>281</v>
      </c>
    </row>
    <row r="616" spans="1:18">
      <c r="A616" s="104">
        <f t="shared" si="50"/>
        <v>42221</v>
      </c>
      <c r="B616" s="105" t="str">
        <f t="shared" ref="B616:B680" si="52">TEXT(A616,"DDD")</f>
        <v>Wed</v>
      </c>
      <c r="C616" s="105" t="s">
        <v>931</v>
      </c>
      <c r="D616" s="105" t="str">
        <f t="shared" si="51"/>
        <v>FW27</v>
      </c>
      <c r="E616" s="105" t="s">
        <v>78</v>
      </c>
      <c r="F616" s="105" t="s">
        <v>944</v>
      </c>
      <c r="G616" s="105" t="s">
        <v>945</v>
      </c>
      <c r="H616" s="105"/>
      <c r="I616" s="117">
        <v>1183</v>
      </c>
      <c r="J616" s="117"/>
      <c r="K616" s="117"/>
      <c r="L616" s="118">
        <f t="shared" ref="L616:L668" si="53">IF(E616=$L$1,0,1)</f>
        <v>1</v>
      </c>
      <c r="M616" s="118">
        <f t="shared" ref="M616:M668" si="54">IF(ISBLANK(G616),0,1)</f>
        <v>1</v>
      </c>
      <c r="N616" s="58">
        <f t="shared" ref="N616:N679" si="55">IF(ISBLANK(H616),0,1)</f>
        <v>0</v>
      </c>
      <c r="O616" s="58">
        <f t="shared" ref="O616:O679" si="56">SUM(L616:N616)</f>
        <v>2</v>
      </c>
      <c r="P616" s="5" t="s">
        <v>845</v>
      </c>
      <c r="Q616" s="5" t="s">
        <v>281</v>
      </c>
    </row>
    <row r="617" spans="1:18">
      <c r="A617" s="104">
        <f t="shared" si="50"/>
        <v>42222</v>
      </c>
      <c r="B617" s="105" t="str">
        <f t="shared" si="52"/>
        <v>Thu</v>
      </c>
      <c r="C617" s="105" t="s">
        <v>931</v>
      </c>
      <c r="D617" s="105" t="str">
        <f t="shared" si="51"/>
        <v>FW27</v>
      </c>
      <c r="E617" s="105" t="s">
        <v>941</v>
      </c>
      <c r="F617" s="105" t="s">
        <v>946</v>
      </c>
      <c r="G617" s="105"/>
      <c r="H617" s="105"/>
      <c r="I617" s="117">
        <v>1055</v>
      </c>
      <c r="J617" s="117"/>
      <c r="K617" s="117"/>
      <c r="L617" s="118">
        <f t="shared" si="53"/>
        <v>1</v>
      </c>
      <c r="M617" s="118">
        <f t="shared" si="54"/>
        <v>0</v>
      </c>
      <c r="N617" s="58">
        <f t="shared" si="55"/>
        <v>0</v>
      </c>
      <c r="O617" s="58">
        <f t="shared" si="56"/>
        <v>1</v>
      </c>
      <c r="P617" s="5" t="s">
        <v>876</v>
      </c>
      <c r="Q617" s="5" t="s">
        <v>281</v>
      </c>
    </row>
    <row r="618" spans="1:18">
      <c r="A618" s="104">
        <f t="shared" si="50"/>
        <v>42223</v>
      </c>
      <c r="B618" s="105" t="str">
        <f t="shared" si="52"/>
        <v>Fri</v>
      </c>
      <c r="C618" s="105" t="s">
        <v>931</v>
      </c>
      <c r="D618" s="105" t="str">
        <f t="shared" si="51"/>
        <v>FW27</v>
      </c>
      <c r="E618" s="105" t="s">
        <v>146</v>
      </c>
      <c r="F618" s="105" t="s">
        <v>947</v>
      </c>
      <c r="G618" s="105" t="s">
        <v>947</v>
      </c>
      <c r="H618" s="105"/>
      <c r="I618" s="117">
        <v>1196</v>
      </c>
      <c r="J618" s="117"/>
      <c r="K618" s="117"/>
      <c r="L618" s="118">
        <f t="shared" si="53"/>
        <v>1</v>
      </c>
      <c r="M618" s="118">
        <f t="shared" si="54"/>
        <v>1</v>
      </c>
      <c r="N618" s="58">
        <f t="shared" si="55"/>
        <v>0</v>
      </c>
      <c r="O618" s="58">
        <f t="shared" si="56"/>
        <v>2</v>
      </c>
      <c r="P618" s="5" t="s">
        <v>863</v>
      </c>
      <c r="Q618" s="5" t="s">
        <v>864</v>
      </c>
    </row>
    <row r="619" spans="1:18">
      <c r="A619" s="104">
        <f t="shared" si="50"/>
        <v>42224</v>
      </c>
      <c r="B619" s="105" t="str">
        <f t="shared" si="52"/>
        <v>Sat</v>
      </c>
      <c r="C619" s="105" t="s">
        <v>931</v>
      </c>
      <c r="D619" s="105" t="str">
        <f t="shared" si="51"/>
        <v>FW27</v>
      </c>
      <c r="E619" s="105" t="s">
        <v>10</v>
      </c>
      <c r="F619" s="105" t="s">
        <v>10</v>
      </c>
      <c r="G619" s="105"/>
      <c r="H619" s="105"/>
      <c r="I619" s="117">
        <v>915</v>
      </c>
      <c r="J619" s="117"/>
      <c r="K619" s="117"/>
      <c r="L619" s="118">
        <f t="shared" si="53"/>
        <v>0</v>
      </c>
      <c r="M619" s="118">
        <f t="shared" si="54"/>
        <v>0</v>
      </c>
      <c r="N619" s="58">
        <f t="shared" si="55"/>
        <v>0</v>
      </c>
      <c r="O619" s="58">
        <f t="shared" si="56"/>
        <v>0</v>
      </c>
      <c r="P619" s="5" t="s">
        <v>425</v>
      </c>
    </row>
    <row r="620" spans="1:18">
      <c r="A620" s="104">
        <f t="shared" si="50"/>
        <v>42225</v>
      </c>
      <c r="B620" s="105" t="str">
        <f t="shared" si="52"/>
        <v>Sun</v>
      </c>
      <c r="C620" s="105" t="s">
        <v>931</v>
      </c>
      <c r="D620" s="105" t="str">
        <f t="shared" si="51"/>
        <v>FW28</v>
      </c>
      <c r="E620" s="105" t="s">
        <v>331</v>
      </c>
      <c r="F620" s="105" t="s">
        <v>755</v>
      </c>
      <c r="G620" s="105" t="s">
        <v>755</v>
      </c>
      <c r="H620" s="105"/>
      <c r="I620" s="117">
        <v>796</v>
      </c>
      <c r="J620" s="117"/>
      <c r="K620" s="117"/>
      <c r="L620" s="118">
        <f t="shared" si="53"/>
        <v>1</v>
      </c>
      <c r="M620" s="118">
        <f t="shared" si="54"/>
        <v>1</v>
      </c>
      <c r="N620" s="58">
        <f t="shared" si="55"/>
        <v>0</v>
      </c>
      <c r="O620" s="58">
        <f t="shared" si="56"/>
        <v>2</v>
      </c>
      <c r="P620" s="5" t="s">
        <v>883</v>
      </c>
      <c r="Q620" s="5" t="s">
        <v>891</v>
      </c>
    </row>
    <row r="621" spans="1:18">
      <c r="A621" s="104">
        <f t="shared" si="50"/>
        <v>42226</v>
      </c>
      <c r="B621" s="105" t="str">
        <f t="shared" si="52"/>
        <v>Mon</v>
      </c>
      <c r="C621" s="105" t="s">
        <v>931</v>
      </c>
      <c r="D621" s="105" t="str">
        <f t="shared" si="51"/>
        <v>FW28</v>
      </c>
      <c r="E621" s="105" t="s">
        <v>319</v>
      </c>
      <c r="F621" s="105" t="s">
        <v>756</v>
      </c>
      <c r="G621" s="105"/>
      <c r="H621" s="105"/>
      <c r="I621" s="117">
        <v>1307</v>
      </c>
      <c r="J621" s="117"/>
      <c r="K621" s="117"/>
      <c r="L621" s="118">
        <f t="shared" si="53"/>
        <v>1</v>
      </c>
      <c r="M621" s="118">
        <f t="shared" si="54"/>
        <v>0</v>
      </c>
      <c r="N621" s="58">
        <f t="shared" si="55"/>
        <v>0</v>
      </c>
      <c r="O621" s="58">
        <f t="shared" si="56"/>
        <v>1</v>
      </c>
      <c r="P621" s="5" t="s">
        <v>883</v>
      </c>
      <c r="Q621" s="5" t="s">
        <v>884</v>
      </c>
    </row>
    <row r="622" spans="1:18">
      <c r="A622" s="104">
        <f t="shared" si="50"/>
        <v>42227</v>
      </c>
      <c r="B622" s="105" t="str">
        <f t="shared" si="52"/>
        <v>Tue</v>
      </c>
      <c r="C622" s="105" t="s">
        <v>931</v>
      </c>
      <c r="D622" s="105" t="str">
        <f t="shared" si="51"/>
        <v>FW28</v>
      </c>
      <c r="E622" s="105" t="s">
        <v>10</v>
      </c>
      <c r="F622" s="105" t="s">
        <v>10</v>
      </c>
      <c r="G622" s="105"/>
      <c r="H622" s="105"/>
      <c r="I622" s="117">
        <v>1182</v>
      </c>
      <c r="J622" s="117"/>
      <c r="K622" s="117"/>
      <c r="L622" s="118">
        <f t="shared" si="53"/>
        <v>0</v>
      </c>
      <c r="M622" s="118">
        <f t="shared" si="54"/>
        <v>0</v>
      </c>
      <c r="N622" s="58">
        <f t="shared" si="55"/>
        <v>0</v>
      </c>
      <c r="O622" s="58">
        <f t="shared" si="56"/>
        <v>0</v>
      </c>
      <c r="P622" s="5" t="s">
        <v>883</v>
      </c>
      <c r="Q622" s="5" t="s">
        <v>890</v>
      </c>
    </row>
    <row r="623" spans="1:18">
      <c r="A623" s="104">
        <f t="shared" si="50"/>
        <v>42228</v>
      </c>
      <c r="B623" s="105" t="str">
        <f t="shared" si="52"/>
        <v>Wed</v>
      </c>
      <c r="C623" s="105" t="s">
        <v>931</v>
      </c>
      <c r="D623" s="105" t="str">
        <f t="shared" si="51"/>
        <v>FW28</v>
      </c>
      <c r="E623" s="105" t="s">
        <v>319</v>
      </c>
      <c r="F623" s="105" t="s">
        <v>757</v>
      </c>
      <c r="G623" s="105"/>
      <c r="H623" s="105"/>
      <c r="I623" s="117">
        <v>1293</v>
      </c>
      <c r="J623" s="117"/>
      <c r="K623" s="117"/>
      <c r="L623" s="118">
        <f t="shared" si="53"/>
        <v>1</v>
      </c>
      <c r="M623" s="118">
        <f t="shared" si="54"/>
        <v>0</v>
      </c>
      <c r="N623" s="58">
        <f t="shared" si="55"/>
        <v>0</v>
      </c>
      <c r="O623" s="58">
        <f t="shared" si="56"/>
        <v>1</v>
      </c>
      <c r="P623" s="5" t="s">
        <v>883</v>
      </c>
      <c r="Q623" s="5" t="s">
        <v>884</v>
      </c>
    </row>
    <row r="624" spans="1:18">
      <c r="A624" s="104">
        <f t="shared" si="50"/>
        <v>42229</v>
      </c>
      <c r="B624" s="105" t="str">
        <f t="shared" si="52"/>
        <v>Thu</v>
      </c>
      <c r="C624" s="105" t="s">
        <v>931</v>
      </c>
      <c r="D624" s="105" t="str">
        <f t="shared" si="51"/>
        <v>FW28</v>
      </c>
      <c r="E624" s="105" t="s">
        <v>10</v>
      </c>
      <c r="F624" s="105" t="s">
        <v>10</v>
      </c>
      <c r="G624" s="105"/>
      <c r="H624" s="105"/>
      <c r="I624" s="117">
        <v>1085</v>
      </c>
      <c r="J624" s="117"/>
      <c r="K624" s="117"/>
      <c r="L624" s="118">
        <f t="shared" si="53"/>
        <v>0</v>
      </c>
      <c r="M624" s="118">
        <f t="shared" si="54"/>
        <v>0</v>
      </c>
      <c r="N624" s="58">
        <f t="shared" si="55"/>
        <v>0</v>
      </c>
      <c r="O624" s="58">
        <f t="shared" si="56"/>
        <v>0</v>
      </c>
      <c r="P624" s="5" t="s">
        <v>883</v>
      </c>
      <c r="Q624" s="5" t="s">
        <v>885</v>
      </c>
      <c r="R624" s="5" t="s">
        <v>886</v>
      </c>
    </row>
    <row r="625" spans="1:17">
      <c r="A625" s="104">
        <f t="shared" si="50"/>
        <v>42230</v>
      </c>
      <c r="B625" s="105" t="str">
        <f t="shared" si="52"/>
        <v>Fri</v>
      </c>
      <c r="C625" s="105" t="s">
        <v>931</v>
      </c>
      <c r="D625" s="105" t="str">
        <f t="shared" si="51"/>
        <v>FW28</v>
      </c>
      <c r="E625" s="105" t="s">
        <v>17</v>
      </c>
      <c r="F625" s="105" t="s">
        <v>758</v>
      </c>
      <c r="G625" s="105" t="s">
        <v>758</v>
      </c>
      <c r="H625" s="105"/>
      <c r="I625" s="117">
        <v>1437</v>
      </c>
      <c r="J625" s="117"/>
      <c r="K625" s="117"/>
      <c r="L625" s="118">
        <f t="shared" si="53"/>
        <v>1</v>
      </c>
      <c r="M625" s="118">
        <f t="shared" si="54"/>
        <v>1</v>
      </c>
      <c r="N625" s="58">
        <f t="shared" si="55"/>
        <v>0</v>
      </c>
      <c r="O625" s="58">
        <f t="shared" si="56"/>
        <v>2</v>
      </c>
      <c r="P625" s="5" t="s">
        <v>17</v>
      </c>
    </row>
    <row r="626" spans="1:17">
      <c r="A626" s="104">
        <f t="shared" si="50"/>
        <v>42231</v>
      </c>
      <c r="B626" s="105" t="str">
        <f t="shared" si="52"/>
        <v>Sat</v>
      </c>
      <c r="C626" s="105" t="s">
        <v>931</v>
      </c>
      <c r="D626" s="105" t="str">
        <f t="shared" si="51"/>
        <v>FW28</v>
      </c>
      <c r="E626" s="105" t="s">
        <v>331</v>
      </c>
      <c r="F626" s="105" t="s">
        <v>759</v>
      </c>
      <c r="G626" s="105" t="s">
        <v>759</v>
      </c>
      <c r="H626" s="105"/>
      <c r="I626" s="117">
        <v>1128</v>
      </c>
      <c r="J626" s="117"/>
      <c r="K626" s="117"/>
      <c r="L626" s="118">
        <f t="shared" si="53"/>
        <v>1</v>
      </c>
      <c r="M626" s="118">
        <f t="shared" si="54"/>
        <v>1</v>
      </c>
      <c r="N626" s="58">
        <f t="shared" si="55"/>
        <v>0</v>
      </c>
      <c r="O626" s="58">
        <f t="shared" si="56"/>
        <v>2</v>
      </c>
      <c r="P626" s="5" t="s">
        <v>883</v>
      </c>
      <c r="Q626" s="5" t="s">
        <v>891</v>
      </c>
    </row>
    <row r="627" spans="1:17">
      <c r="A627" s="104">
        <f t="shared" si="50"/>
        <v>42232</v>
      </c>
      <c r="B627" s="105" t="str">
        <f t="shared" si="52"/>
        <v>Sun</v>
      </c>
      <c r="C627" s="105" t="s">
        <v>931</v>
      </c>
      <c r="D627" s="105" t="str">
        <f t="shared" si="51"/>
        <v>FW29</v>
      </c>
      <c r="E627" s="105" t="s">
        <v>10</v>
      </c>
      <c r="F627" s="105" t="s">
        <v>10</v>
      </c>
      <c r="G627" s="105"/>
      <c r="H627" s="105"/>
      <c r="I627" s="117">
        <v>742</v>
      </c>
      <c r="J627" s="117"/>
      <c r="K627" s="117"/>
      <c r="L627" s="118">
        <f t="shared" si="53"/>
        <v>0</v>
      </c>
      <c r="M627" s="118">
        <f t="shared" si="54"/>
        <v>0</v>
      </c>
      <c r="N627" s="58">
        <f t="shared" si="55"/>
        <v>0</v>
      </c>
      <c r="O627" s="58">
        <f t="shared" si="56"/>
        <v>0</v>
      </c>
      <c r="P627" s="5" t="s">
        <v>10</v>
      </c>
    </row>
    <row r="628" spans="1:17">
      <c r="A628" s="104">
        <f t="shared" si="50"/>
        <v>42233</v>
      </c>
      <c r="B628" s="105" t="str">
        <f t="shared" si="52"/>
        <v>Mon</v>
      </c>
      <c r="C628" s="105" t="s">
        <v>931</v>
      </c>
      <c r="D628" s="105" t="str">
        <f t="shared" si="51"/>
        <v>FW29</v>
      </c>
      <c r="E628" s="105" t="s">
        <v>165</v>
      </c>
      <c r="F628" s="105" t="s">
        <v>760</v>
      </c>
      <c r="G628" s="105"/>
      <c r="H628" s="105"/>
      <c r="I628" s="117">
        <v>1249</v>
      </c>
      <c r="J628" s="117"/>
      <c r="K628" s="117"/>
      <c r="L628" s="118">
        <f t="shared" si="53"/>
        <v>1</v>
      </c>
      <c r="M628" s="118">
        <f t="shared" si="54"/>
        <v>0</v>
      </c>
      <c r="N628" s="58">
        <f t="shared" si="55"/>
        <v>0</v>
      </c>
      <c r="O628" s="58">
        <f t="shared" si="56"/>
        <v>1</v>
      </c>
      <c r="P628" s="5" t="s">
        <v>867</v>
      </c>
      <c r="Q628" s="5" t="s">
        <v>281</v>
      </c>
    </row>
    <row r="629" spans="1:17">
      <c r="A629" s="104">
        <f t="shared" si="50"/>
        <v>42234</v>
      </c>
      <c r="B629" s="105" t="str">
        <f t="shared" si="52"/>
        <v>Tue</v>
      </c>
      <c r="C629" s="105" t="s">
        <v>931</v>
      </c>
      <c r="D629" s="105" t="str">
        <f t="shared" si="51"/>
        <v>FW29</v>
      </c>
      <c r="E629" s="105" t="s">
        <v>191</v>
      </c>
      <c r="F629" s="105" t="s">
        <v>761</v>
      </c>
      <c r="G629" s="105" t="s">
        <v>948</v>
      </c>
      <c r="H629" s="105"/>
      <c r="I629" s="117">
        <v>1522</v>
      </c>
      <c r="J629" s="117"/>
      <c r="K629" s="117"/>
      <c r="L629" s="118">
        <f t="shared" si="53"/>
        <v>1</v>
      </c>
      <c r="M629" s="118">
        <f t="shared" si="54"/>
        <v>1</v>
      </c>
      <c r="N629" s="58">
        <f t="shared" si="55"/>
        <v>0</v>
      </c>
      <c r="O629" s="58">
        <f t="shared" si="56"/>
        <v>2</v>
      </c>
      <c r="P629" s="5" t="s">
        <v>871</v>
      </c>
      <c r="Q629" s="5" t="s">
        <v>872</v>
      </c>
    </row>
    <row r="630" spans="1:17">
      <c r="A630" s="104">
        <f t="shared" si="50"/>
        <v>42235</v>
      </c>
      <c r="B630" s="105" t="str">
        <f t="shared" si="52"/>
        <v>Wed</v>
      </c>
      <c r="C630" s="105" t="s">
        <v>931</v>
      </c>
      <c r="D630" s="105" t="str">
        <f t="shared" si="51"/>
        <v>FW29</v>
      </c>
      <c r="E630" s="105" t="s">
        <v>191</v>
      </c>
      <c r="F630" s="105" t="s">
        <v>762</v>
      </c>
      <c r="G630" s="105"/>
      <c r="H630" s="105"/>
      <c r="I630" s="117">
        <v>1399</v>
      </c>
      <c r="J630" s="117"/>
      <c r="K630" s="117"/>
      <c r="L630" s="118">
        <f t="shared" si="53"/>
        <v>1</v>
      </c>
      <c r="M630" s="118">
        <f t="shared" si="54"/>
        <v>0</v>
      </c>
      <c r="N630" s="58">
        <f t="shared" si="55"/>
        <v>0</v>
      </c>
      <c r="O630" s="58">
        <f t="shared" si="56"/>
        <v>1</v>
      </c>
      <c r="P630" s="5" t="s">
        <v>871</v>
      </c>
      <c r="Q630" s="5" t="s">
        <v>872</v>
      </c>
    </row>
    <row r="631" spans="1:17">
      <c r="A631" s="104">
        <f t="shared" si="50"/>
        <v>42236</v>
      </c>
      <c r="B631" s="105" t="str">
        <f t="shared" si="52"/>
        <v>Thu</v>
      </c>
      <c r="C631" s="105" t="s">
        <v>931</v>
      </c>
      <c r="D631" s="105" t="str">
        <f t="shared" si="51"/>
        <v>FW29</v>
      </c>
      <c r="E631" s="105" t="s">
        <v>10</v>
      </c>
      <c r="F631" s="105" t="s">
        <v>10</v>
      </c>
      <c r="G631" s="105"/>
      <c r="H631" s="105"/>
      <c r="I631" s="117">
        <v>1142</v>
      </c>
      <c r="J631" s="117"/>
      <c r="K631" s="117"/>
      <c r="L631" s="118">
        <f t="shared" si="53"/>
        <v>0</v>
      </c>
      <c r="M631" s="118">
        <f t="shared" si="54"/>
        <v>0</v>
      </c>
      <c r="N631" s="58">
        <f t="shared" si="55"/>
        <v>0</v>
      </c>
      <c r="O631" s="58">
        <f t="shared" si="56"/>
        <v>0</v>
      </c>
      <c r="P631" s="5" t="s">
        <v>10</v>
      </c>
    </row>
    <row r="632" spans="1:17">
      <c r="A632" s="104">
        <f t="shared" si="50"/>
        <v>42237</v>
      </c>
      <c r="B632" s="105" t="str">
        <f t="shared" si="52"/>
        <v>Fri</v>
      </c>
      <c r="C632" s="105" t="s">
        <v>931</v>
      </c>
      <c r="D632" s="105" t="str">
        <f t="shared" si="51"/>
        <v>FW29</v>
      </c>
      <c r="E632" s="105" t="s">
        <v>17</v>
      </c>
      <c r="F632" s="105" t="s">
        <v>763</v>
      </c>
      <c r="G632" s="105"/>
      <c r="H632" s="105"/>
      <c r="I632" s="117">
        <v>1243</v>
      </c>
      <c r="J632" s="117"/>
      <c r="K632" s="117"/>
      <c r="L632" s="118">
        <f t="shared" si="53"/>
        <v>1</v>
      </c>
      <c r="M632" s="118">
        <f t="shared" si="54"/>
        <v>0</v>
      </c>
      <c r="N632" s="58">
        <f t="shared" si="55"/>
        <v>0</v>
      </c>
      <c r="O632" s="58">
        <f t="shared" si="56"/>
        <v>1</v>
      </c>
      <c r="P632" s="5" t="s">
        <v>17</v>
      </c>
    </row>
    <row r="633" spans="1:17">
      <c r="A633" s="104">
        <f t="shared" si="50"/>
        <v>42238</v>
      </c>
      <c r="B633" s="105" t="str">
        <f t="shared" si="52"/>
        <v>Sat</v>
      </c>
      <c r="C633" s="105" t="s">
        <v>931</v>
      </c>
      <c r="D633" s="105" t="str">
        <f t="shared" si="51"/>
        <v>FW29</v>
      </c>
      <c r="E633" s="105" t="s">
        <v>17</v>
      </c>
      <c r="F633" s="105" t="s">
        <v>764</v>
      </c>
      <c r="G633" s="105" t="s">
        <v>949</v>
      </c>
      <c r="H633" s="105"/>
      <c r="I633" s="117">
        <v>1018</v>
      </c>
      <c r="J633" s="117"/>
      <c r="K633" s="117"/>
      <c r="L633" s="118">
        <f t="shared" si="53"/>
        <v>1</v>
      </c>
      <c r="M633" s="118">
        <f t="shared" si="54"/>
        <v>1</v>
      </c>
      <c r="N633" s="58">
        <f t="shared" si="55"/>
        <v>0</v>
      </c>
      <c r="O633" s="58">
        <f t="shared" si="56"/>
        <v>2</v>
      </c>
      <c r="P633" s="5" t="s">
        <v>17</v>
      </c>
    </row>
    <row r="634" spans="1:17">
      <c r="A634" s="104">
        <f t="shared" si="50"/>
        <v>42239</v>
      </c>
      <c r="B634" s="105" t="str">
        <f t="shared" si="52"/>
        <v>Sun</v>
      </c>
      <c r="C634" s="105" t="s">
        <v>931</v>
      </c>
      <c r="D634" s="105" t="str">
        <f t="shared" si="51"/>
        <v>FW30</v>
      </c>
      <c r="E634" s="105" t="s">
        <v>293</v>
      </c>
      <c r="F634" s="105" t="s">
        <v>765</v>
      </c>
      <c r="G634" s="105" t="s">
        <v>950</v>
      </c>
      <c r="H634" s="105"/>
      <c r="I634" s="117">
        <v>778</v>
      </c>
      <c r="J634" s="117"/>
      <c r="K634" s="117"/>
      <c r="L634" s="118">
        <f t="shared" si="53"/>
        <v>1</v>
      </c>
      <c r="M634" s="118">
        <f t="shared" si="54"/>
        <v>1</v>
      </c>
      <c r="N634" s="58">
        <f t="shared" si="55"/>
        <v>0</v>
      </c>
      <c r="O634" s="58">
        <f t="shared" si="56"/>
        <v>2</v>
      </c>
      <c r="P634" s="5" t="s">
        <v>882</v>
      </c>
      <c r="Q634" s="5" t="s">
        <v>281</v>
      </c>
    </row>
    <row r="635" spans="1:17">
      <c r="A635" s="104">
        <f t="shared" si="50"/>
        <v>42240</v>
      </c>
      <c r="B635" s="105" t="str">
        <f t="shared" si="52"/>
        <v>Mon</v>
      </c>
      <c r="C635" s="105" t="s">
        <v>931</v>
      </c>
      <c r="D635" s="105" t="str">
        <f t="shared" si="51"/>
        <v>FW30</v>
      </c>
      <c r="E635" s="105" t="s">
        <v>293</v>
      </c>
      <c r="F635" s="105" t="s">
        <v>766</v>
      </c>
      <c r="G635" s="105"/>
      <c r="H635" s="105"/>
      <c r="I635" s="117">
        <v>1279</v>
      </c>
      <c r="J635" s="117"/>
      <c r="K635" s="117"/>
      <c r="L635" s="118">
        <f t="shared" si="53"/>
        <v>1</v>
      </c>
      <c r="M635" s="118">
        <f t="shared" si="54"/>
        <v>0</v>
      </c>
      <c r="N635" s="58">
        <f t="shared" si="55"/>
        <v>0</v>
      </c>
      <c r="O635" s="58">
        <f t="shared" si="56"/>
        <v>1</v>
      </c>
      <c r="P635" s="5" t="s">
        <v>882</v>
      </c>
      <c r="Q635" s="5" t="s">
        <v>281</v>
      </c>
    </row>
    <row r="636" spans="1:17">
      <c r="A636" s="104">
        <f t="shared" si="50"/>
        <v>42241</v>
      </c>
      <c r="B636" s="105" t="str">
        <f t="shared" si="52"/>
        <v>Tue</v>
      </c>
      <c r="C636" s="105" t="s">
        <v>931</v>
      </c>
      <c r="D636" s="105" t="str">
        <f t="shared" si="51"/>
        <v>FW30</v>
      </c>
      <c r="E636" s="105" t="s">
        <v>293</v>
      </c>
      <c r="F636" s="105" t="s">
        <v>951</v>
      </c>
      <c r="G636" s="105"/>
      <c r="H636" s="105"/>
      <c r="I636" s="117">
        <v>920</v>
      </c>
      <c r="J636" s="117"/>
      <c r="K636" s="117"/>
      <c r="L636" s="118">
        <f t="shared" si="53"/>
        <v>1</v>
      </c>
      <c r="M636" s="118">
        <f t="shared" si="54"/>
        <v>0</v>
      </c>
      <c r="N636" s="58">
        <f t="shared" si="55"/>
        <v>0</v>
      </c>
      <c r="O636" s="58">
        <f t="shared" si="56"/>
        <v>1</v>
      </c>
      <c r="P636" s="5" t="s">
        <v>882</v>
      </c>
      <c r="Q636" s="5" t="s">
        <v>281</v>
      </c>
    </row>
    <row r="637" spans="1:17">
      <c r="A637" s="104">
        <f t="shared" si="50"/>
        <v>42242</v>
      </c>
      <c r="B637" s="105" t="str">
        <f t="shared" si="52"/>
        <v>Wed</v>
      </c>
      <c r="C637" s="105" t="s">
        <v>931</v>
      </c>
      <c r="D637" s="105" t="str">
        <f t="shared" si="51"/>
        <v>FW30</v>
      </c>
      <c r="E637" s="105" t="s">
        <v>293</v>
      </c>
      <c r="F637" s="105" t="s">
        <v>767</v>
      </c>
      <c r="G637" s="105" t="s">
        <v>952</v>
      </c>
      <c r="H637" s="105"/>
      <c r="I637" s="117">
        <v>1288</v>
      </c>
      <c r="J637" s="117"/>
      <c r="K637" s="117"/>
      <c r="L637" s="118">
        <f t="shared" si="53"/>
        <v>1</v>
      </c>
      <c r="M637" s="118">
        <f t="shared" si="54"/>
        <v>1</v>
      </c>
      <c r="N637" s="58">
        <f t="shared" si="55"/>
        <v>0</v>
      </c>
      <c r="O637" s="58">
        <f t="shared" si="56"/>
        <v>2</v>
      </c>
      <c r="P637" s="5" t="s">
        <v>882</v>
      </c>
      <c r="Q637" s="5" t="s">
        <v>281</v>
      </c>
    </row>
    <row r="638" spans="1:17">
      <c r="A638" s="104">
        <f t="shared" si="50"/>
        <v>42243</v>
      </c>
      <c r="B638" s="105" t="str">
        <f t="shared" si="52"/>
        <v>Thu</v>
      </c>
      <c r="C638" s="105" t="s">
        <v>931</v>
      </c>
      <c r="D638" s="105" t="str">
        <f t="shared" si="51"/>
        <v>FW30</v>
      </c>
      <c r="E638" s="105" t="s">
        <v>293</v>
      </c>
      <c r="F638" s="105" t="s">
        <v>768</v>
      </c>
      <c r="G638" s="105"/>
      <c r="H638" s="105"/>
      <c r="I638" s="117">
        <v>991</v>
      </c>
      <c r="J638" s="117"/>
      <c r="K638" s="117"/>
      <c r="L638" s="118">
        <f t="shared" si="53"/>
        <v>1</v>
      </c>
      <c r="M638" s="118">
        <f t="shared" si="54"/>
        <v>0</v>
      </c>
      <c r="N638" s="58">
        <f t="shared" si="55"/>
        <v>0</v>
      </c>
      <c r="O638" s="58">
        <f t="shared" si="56"/>
        <v>1</v>
      </c>
      <c r="P638" s="5" t="s">
        <v>882</v>
      </c>
      <c r="Q638" s="5" t="s">
        <v>281</v>
      </c>
    </row>
    <row r="639" spans="1:17">
      <c r="A639" s="104">
        <f t="shared" si="50"/>
        <v>42244</v>
      </c>
      <c r="B639" s="105" t="str">
        <f t="shared" si="52"/>
        <v>Fri</v>
      </c>
      <c r="C639" s="105" t="s">
        <v>931</v>
      </c>
      <c r="D639" s="105" t="str">
        <f t="shared" si="51"/>
        <v>FW30</v>
      </c>
      <c r="E639" s="105" t="s">
        <v>293</v>
      </c>
      <c r="F639" s="105" t="s">
        <v>769</v>
      </c>
      <c r="G639" s="105"/>
      <c r="H639" s="105"/>
      <c r="I639" s="117">
        <v>1049</v>
      </c>
      <c r="J639" s="117"/>
      <c r="K639" s="117"/>
      <c r="L639" s="118">
        <f t="shared" si="53"/>
        <v>1</v>
      </c>
      <c r="M639" s="118">
        <f t="shared" si="54"/>
        <v>0</v>
      </c>
      <c r="N639" s="58">
        <f t="shared" si="55"/>
        <v>0</v>
      </c>
      <c r="O639" s="58">
        <f t="shared" si="56"/>
        <v>1</v>
      </c>
      <c r="P639" s="5" t="s">
        <v>882</v>
      </c>
      <c r="Q639" s="5" t="s">
        <v>281</v>
      </c>
    </row>
    <row r="640" spans="1:17">
      <c r="A640" s="104">
        <f t="shared" si="50"/>
        <v>42245</v>
      </c>
      <c r="B640" s="116" t="str">
        <f t="shared" si="52"/>
        <v>Sat</v>
      </c>
      <c r="C640" s="105" t="s">
        <v>931</v>
      </c>
      <c r="D640" s="105" t="str">
        <f t="shared" si="51"/>
        <v>FW30</v>
      </c>
      <c r="E640" s="105" t="s">
        <v>252</v>
      </c>
      <c r="F640" s="105" t="s">
        <v>953</v>
      </c>
      <c r="G640" s="105"/>
      <c r="H640" s="105"/>
      <c r="I640" s="117">
        <v>825</v>
      </c>
      <c r="J640" s="117"/>
      <c r="K640" s="117"/>
      <c r="L640" s="118">
        <f t="shared" si="53"/>
        <v>1</v>
      </c>
      <c r="M640" s="118">
        <f t="shared" si="54"/>
        <v>0</v>
      </c>
      <c r="N640" s="58">
        <f t="shared" si="55"/>
        <v>0</v>
      </c>
      <c r="O640" s="58">
        <f t="shared" si="56"/>
        <v>1</v>
      </c>
      <c r="P640" s="5" t="s">
        <v>252</v>
      </c>
    </row>
    <row r="641" spans="1:18">
      <c r="A641" s="104">
        <f t="shared" si="50"/>
        <v>42246</v>
      </c>
      <c r="B641" s="105" t="str">
        <f t="shared" si="52"/>
        <v>Sun</v>
      </c>
      <c r="C641" s="105" t="s">
        <v>932</v>
      </c>
      <c r="D641" s="105" t="str">
        <f t="shared" si="51"/>
        <v>FW31</v>
      </c>
      <c r="E641" s="105" t="s">
        <v>165</v>
      </c>
      <c r="F641" s="105" t="s">
        <v>770</v>
      </c>
      <c r="G641" s="105"/>
      <c r="H641" s="105"/>
      <c r="I641" s="117">
        <v>615</v>
      </c>
      <c r="J641" s="117"/>
      <c r="K641" s="117"/>
      <c r="L641" s="118">
        <f t="shared" si="53"/>
        <v>1</v>
      </c>
      <c r="M641" s="118">
        <f t="shared" si="54"/>
        <v>0</v>
      </c>
      <c r="N641" s="58">
        <f t="shared" si="55"/>
        <v>0</v>
      </c>
      <c r="O641" s="58">
        <f t="shared" si="56"/>
        <v>1</v>
      </c>
      <c r="P641" s="5" t="s">
        <v>867</v>
      </c>
      <c r="Q641" s="5" t="s">
        <v>281</v>
      </c>
    </row>
    <row r="642" spans="1:18">
      <c r="A642" s="104">
        <f t="shared" si="50"/>
        <v>42247</v>
      </c>
      <c r="B642" s="105" t="str">
        <f t="shared" si="52"/>
        <v>Mon</v>
      </c>
      <c r="C642" s="105" t="s">
        <v>932</v>
      </c>
      <c r="D642" s="105" t="str">
        <f t="shared" si="51"/>
        <v>FW31</v>
      </c>
      <c r="E642" s="105" t="s">
        <v>311</v>
      </c>
      <c r="F642" s="105" t="s">
        <v>771</v>
      </c>
      <c r="G642" s="105" t="s">
        <v>975</v>
      </c>
      <c r="H642" s="105"/>
      <c r="I642" s="117">
        <v>1345</v>
      </c>
      <c r="J642" s="117"/>
      <c r="K642" s="117"/>
      <c r="L642" s="118">
        <f t="shared" si="53"/>
        <v>1</v>
      </c>
      <c r="M642" s="118">
        <f t="shared" si="54"/>
        <v>1</v>
      </c>
      <c r="N642" s="58">
        <f t="shared" si="55"/>
        <v>0</v>
      </c>
      <c r="O642" s="58">
        <f t="shared" si="56"/>
        <v>2</v>
      </c>
      <c r="P642" s="5" t="s">
        <v>860</v>
      </c>
      <c r="Q642" s="5" t="s">
        <v>837</v>
      </c>
      <c r="R642" s="5" t="s">
        <v>281</v>
      </c>
    </row>
    <row r="643" spans="1:18">
      <c r="A643" s="104">
        <f t="shared" si="50"/>
        <v>42248</v>
      </c>
      <c r="B643" s="105" t="str">
        <f t="shared" si="52"/>
        <v>Tue</v>
      </c>
      <c r="C643" s="105" t="s">
        <v>932</v>
      </c>
      <c r="D643" s="105" t="str">
        <f t="shared" si="51"/>
        <v>FW31</v>
      </c>
      <c r="E643" s="105" t="s">
        <v>10</v>
      </c>
      <c r="F643" s="105" t="s">
        <v>10</v>
      </c>
      <c r="G643" s="105"/>
      <c r="H643" s="105"/>
      <c r="I643" s="117">
        <v>964</v>
      </c>
      <c r="J643" s="117"/>
      <c r="K643" s="117"/>
      <c r="L643" s="118">
        <f t="shared" si="53"/>
        <v>0</v>
      </c>
      <c r="M643" s="118">
        <f t="shared" si="54"/>
        <v>0</v>
      </c>
      <c r="N643" s="58">
        <f t="shared" si="55"/>
        <v>0</v>
      </c>
      <c r="O643" s="58">
        <f t="shared" si="56"/>
        <v>0</v>
      </c>
      <c r="P643" s="5" t="s">
        <v>867</v>
      </c>
      <c r="Q643" s="5" t="s">
        <v>281</v>
      </c>
    </row>
    <row r="644" spans="1:18">
      <c r="A644" s="104">
        <f t="shared" si="50"/>
        <v>42249</v>
      </c>
      <c r="B644" s="105" t="str">
        <f t="shared" si="52"/>
        <v>Wed</v>
      </c>
      <c r="C644" s="105" t="s">
        <v>932</v>
      </c>
      <c r="D644" s="105" t="str">
        <f t="shared" si="51"/>
        <v>FW31</v>
      </c>
      <c r="E644" s="105" t="s">
        <v>738</v>
      </c>
      <c r="F644" s="105" t="s">
        <v>958</v>
      </c>
      <c r="G644" s="105"/>
      <c r="H644" s="105"/>
      <c r="I644" s="117">
        <v>943</v>
      </c>
      <c r="J644" s="117"/>
      <c r="K644" s="117"/>
      <c r="L644" s="118">
        <f t="shared" si="53"/>
        <v>1</v>
      </c>
      <c r="M644" s="118">
        <f t="shared" si="54"/>
        <v>0</v>
      </c>
      <c r="N644" s="58">
        <f t="shared" si="55"/>
        <v>0</v>
      </c>
      <c r="O644" s="58">
        <f t="shared" si="56"/>
        <v>1</v>
      </c>
      <c r="P644" s="5" t="s">
        <v>840</v>
      </c>
      <c r="Q644" s="5" t="s">
        <v>836</v>
      </c>
    </row>
    <row r="645" spans="1:18">
      <c r="A645" s="104">
        <f t="shared" si="50"/>
        <v>42250</v>
      </c>
      <c r="B645" s="105" t="str">
        <f t="shared" si="52"/>
        <v>Thu</v>
      </c>
      <c r="C645" s="105" t="s">
        <v>932</v>
      </c>
      <c r="D645" s="105" t="str">
        <f t="shared" si="51"/>
        <v>FW31</v>
      </c>
      <c r="E645" s="105" t="s">
        <v>955</v>
      </c>
      <c r="F645" s="105" t="s">
        <v>959</v>
      </c>
      <c r="G645" s="105"/>
      <c r="H645" s="105"/>
      <c r="I645" s="117">
        <v>943</v>
      </c>
      <c r="J645" s="117"/>
      <c r="K645" s="117"/>
      <c r="L645" s="118">
        <f t="shared" si="53"/>
        <v>1</v>
      </c>
      <c r="M645" s="118">
        <f t="shared" si="54"/>
        <v>0</v>
      </c>
      <c r="N645" s="58">
        <f t="shared" si="55"/>
        <v>0</v>
      </c>
      <c r="O645" s="58">
        <f t="shared" si="56"/>
        <v>1</v>
      </c>
      <c r="P645" s="5" t="s">
        <v>840</v>
      </c>
      <c r="Q645" s="5" t="s">
        <v>836</v>
      </c>
    </row>
    <row r="646" spans="1:18">
      <c r="A646" s="104">
        <f t="shared" si="50"/>
        <v>42251</v>
      </c>
      <c r="B646" s="105" t="str">
        <f t="shared" si="52"/>
        <v>Fri</v>
      </c>
      <c r="C646" s="105" t="s">
        <v>932</v>
      </c>
      <c r="D646" s="105" t="str">
        <f t="shared" si="51"/>
        <v>FW31</v>
      </c>
      <c r="E646" s="105" t="s">
        <v>956</v>
      </c>
      <c r="F646" s="105" t="s">
        <v>960</v>
      </c>
      <c r="G646" s="105" t="s">
        <v>772</v>
      </c>
      <c r="H646" s="105"/>
      <c r="I646" s="117">
        <v>943</v>
      </c>
      <c r="J646" s="117"/>
      <c r="K646" s="117"/>
      <c r="L646" s="118">
        <f t="shared" si="53"/>
        <v>1</v>
      </c>
      <c r="M646" s="118">
        <f t="shared" si="54"/>
        <v>1</v>
      </c>
      <c r="N646" s="58">
        <f t="shared" si="55"/>
        <v>0</v>
      </c>
      <c r="O646" s="58">
        <f t="shared" si="56"/>
        <v>2</v>
      </c>
      <c r="P646" s="5" t="s">
        <v>845</v>
      </c>
      <c r="Q646" s="5" t="s">
        <v>281</v>
      </c>
    </row>
    <row r="647" spans="1:18">
      <c r="A647" s="104">
        <f t="shared" si="50"/>
        <v>42252</v>
      </c>
      <c r="B647" s="105" t="str">
        <f t="shared" si="52"/>
        <v>Sat</v>
      </c>
      <c r="C647" s="105" t="s">
        <v>932</v>
      </c>
      <c r="D647" s="105" t="str">
        <f t="shared" si="51"/>
        <v>FW31</v>
      </c>
      <c r="E647" s="105" t="s">
        <v>956</v>
      </c>
      <c r="F647" s="105" t="s">
        <v>773</v>
      </c>
      <c r="G647" s="105"/>
      <c r="H647" s="105"/>
      <c r="I647" s="117">
        <v>771</v>
      </c>
      <c r="J647" s="117"/>
      <c r="K647" s="117"/>
      <c r="L647" s="118">
        <f t="shared" si="53"/>
        <v>1</v>
      </c>
      <c r="M647" s="118">
        <f t="shared" si="54"/>
        <v>0</v>
      </c>
      <c r="N647" s="58">
        <f t="shared" si="55"/>
        <v>0</v>
      </c>
      <c r="O647" s="58">
        <f t="shared" si="56"/>
        <v>1</v>
      </c>
      <c r="P647" s="5" t="s">
        <v>845</v>
      </c>
      <c r="Q647" s="5" t="s">
        <v>281</v>
      </c>
    </row>
    <row r="648" spans="1:18">
      <c r="A648" s="104">
        <f t="shared" si="50"/>
        <v>42253</v>
      </c>
      <c r="B648" s="105" t="str">
        <f t="shared" si="52"/>
        <v>Sun</v>
      </c>
      <c r="C648" s="105" t="s">
        <v>932</v>
      </c>
      <c r="D648" s="105" t="str">
        <f t="shared" si="51"/>
        <v>FW32</v>
      </c>
      <c r="E648" s="105" t="s">
        <v>956</v>
      </c>
      <c r="F648" s="105" t="s">
        <v>774</v>
      </c>
      <c r="G648" s="105"/>
      <c r="H648" s="105"/>
      <c r="I648" s="117">
        <v>574</v>
      </c>
      <c r="J648" s="117"/>
      <c r="K648" s="117"/>
      <c r="L648" s="118">
        <f t="shared" si="53"/>
        <v>1</v>
      </c>
      <c r="M648" s="118">
        <f t="shared" si="54"/>
        <v>0</v>
      </c>
      <c r="N648" s="58">
        <f t="shared" si="55"/>
        <v>0</v>
      </c>
      <c r="O648" s="58">
        <f t="shared" si="56"/>
        <v>1</v>
      </c>
      <c r="P648" s="5" t="s">
        <v>845</v>
      </c>
      <c r="Q648" s="5" t="s">
        <v>281</v>
      </c>
    </row>
    <row r="649" spans="1:18">
      <c r="A649" s="104">
        <f t="shared" si="50"/>
        <v>42254</v>
      </c>
      <c r="B649" s="105" t="str">
        <f t="shared" si="52"/>
        <v>Mon</v>
      </c>
      <c r="C649" s="105" t="s">
        <v>932</v>
      </c>
      <c r="D649" s="105" t="str">
        <f t="shared" si="51"/>
        <v>FW32</v>
      </c>
      <c r="E649" s="105" t="s">
        <v>739</v>
      </c>
      <c r="F649" s="105" t="s">
        <v>961</v>
      </c>
      <c r="G649" s="105"/>
      <c r="H649" s="105"/>
      <c r="I649" s="117">
        <v>899</v>
      </c>
      <c r="J649" s="117"/>
      <c r="K649" s="117"/>
      <c r="L649" s="118">
        <f t="shared" si="53"/>
        <v>1</v>
      </c>
      <c r="M649" s="118">
        <f t="shared" si="54"/>
        <v>0</v>
      </c>
      <c r="N649" s="58">
        <f t="shared" si="55"/>
        <v>0</v>
      </c>
      <c r="O649" s="58">
        <f t="shared" si="56"/>
        <v>1</v>
      </c>
      <c r="P649" s="5" t="s">
        <v>863</v>
      </c>
      <c r="Q649" s="5" t="s">
        <v>836</v>
      </c>
    </row>
    <row r="650" spans="1:18">
      <c r="A650" s="104">
        <f t="shared" si="50"/>
        <v>42255</v>
      </c>
      <c r="B650" s="105" t="str">
        <f t="shared" si="52"/>
        <v>Tue</v>
      </c>
      <c r="C650" s="105" t="s">
        <v>932</v>
      </c>
      <c r="D650" s="105" t="str">
        <f t="shared" si="51"/>
        <v>FW32</v>
      </c>
      <c r="E650" s="105" t="s">
        <v>165</v>
      </c>
      <c r="F650" s="105" t="s">
        <v>962</v>
      </c>
      <c r="G650" s="105"/>
      <c r="H650" s="105"/>
      <c r="I650" s="117">
        <v>1136</v>
      </c>
      <c r="J650" s="117"/>
      <c r="K650" s="117"/>
      <c r="L650" s="118">
        <f t="shared" si="53"/>
        <v>1</v>
      </c>
      <c r="M650" s="118">
        <f t="shared" si="54"/>
        <v>0</v>
      </c>
      <c r="N650" s="58">
        <f t="shared" si="55"/>
        <v>0</v>
      </c>
      <c r="O650" s="58">
        <f t="shared" si="56"/>
        <v>1</v>
      </c>
      <c r="P650" s="5" t="s">
        <v>867</v>
      </c>
      <c r="Q650" s="5" t="s">
        <v>281</v>
      </c>
    </row>
    <row r="651" spans="1:18">
      <c r="A651" s="104">
        <f t="shared" si="50"/>
        <v>42256</v>
      </c>
      <c r="B651" s="105" t="str">
        <f t="shared" si="52"/>
        <v>Wed</v>
      </c>
      <c r="C651" s="105" t="s">
        <v>932</v>
      </c>
      <c r="D651" s="105" t="str">
        <f t="shared" si="51"/>
        <v>FW32</v>
      </c>
      <c r="E651" s="105" t="s">
        <v>165</v>
      </c>
      <c r="F651" s="105" t="s">
        <v>963</v>
      </c>
      <c r="G651" s="105"/>
      <c r="H651" s="105"/>
      <c r="I651" s="117">
        <v>1199</v>
      </c>
      <c r="J651" s="117"/>
      <c r="K651" s="117"/>
      <c r="L651" s="118">
        <f t="shared" si="53"/>
        <v>1</v>
      </c>
      <c r="M651" s="118">
        <f t="shared" si="54"/>
        <v>0</v>
      </c>
      <c r="N651" s="58">
        <f t="shared" si="55"/>
        <v>0</v>
      </c>
      <c r="O651" s="58">
        <f t="shared" si="56"/>
        <v>1</v>
      </c>
      <c r="P651" s="5" t="s">
        <v>867</v>
      </c>
      <c r="Q651" s="5" t="s">
        <v>281</v>
      </c>
    </row>
    <row r="652" spans="1:18">
      <c r="A652" s="104">
        <f t="shared" si="50"/>
        <v>42257</v>
      </c>
      <c r="B652" s="105" t="str">
        <f t="shared" si="52"/>
        <v>Thu</v>
      </c>
      <c r="C652" s="105" t="s">
        <v>932</v>
      </c>
      <c r="D652" s="105" t="str">
        <f t="shared" si="51"/>
        <v>FW32</v>
      </c>
      <c r="E652" s="105" t="s">
        <v>17</v>
      </c>
      <c r="F652" s="105" t="s">
        <v>964</v>
      </c>
      <c r="G652" s="105" t="s">
        <v>976</v>
      </c>
      <c r="H652" s="105"/>
      <c r="I652" s="117">
        <v>1135</v>
      </c>
      <c r="J652" s="117"/>
      <c r="K652" s="117"/>
      <c r="L652" s="118">
        <f t="shared" si="53"/>
        <v>1</v>
      </c>
      <c r="M652" s="118">
        <f t="shared" si="54"/>
        <v>1</v>
      </c>
      <c r="N652" s="58">
        <f t="shared" si="55"/>
        <v>0</v>
      </c>
      <c r="O652" s="58">
        <f t="shared" si="56"/>
        <v>2</v>
      </c>
      <c r="P652" s="5" t="s">
        <v>17</v>
      </c>
    </row>
    <row r="653" spans="1:18">
      <c r="A653" s="104">
        <f t="shared" si="50"/>
        <v>42258</v>
      </c>
      <c r="B653" s="105" t="str">
        <f t="shared" si="52"/>
        <v>Fri</v>
      </c>
      <c r="C653" s="105" t="s">
        <v>932</v>
      </c>
      <c r="D653" s="105" t="str">
        <f t="shared" si="51"/>
        <v>FW32</v>
      </c>
      <c r="E653" s="105" t="s">
        <v>17</v>
      </c>
      <c r="F653" s="105" t="s">
        <v>965</v>
      </c>
      <c r="G653" s="105"/>
      <c r="H653" s="105"/>
      <c r="I653" s="117">
        <v>1186</v>
      </c>
      <c r="J653" s="117"/>
      <c r="K653" s="117"/>
      <c r="L653" s="118">
        <f t="shared" si="53"/>
        <v>1</v>
      </c>
      <c r="M653" s="118">
        <f t="shared" si="54"/>
        <v>0</v>
      </c>
      <c r="N653" s="58">
        <f t="shared" si="55"/>
        <v>0</v>
      </c>
      <c r="O653" s="58">
        <f t="shared" si="56"/>
        <v>1</v>
      </c>
      <c r="P653" s="5" t="s">
        <v>17</v>
      </c>
    </row>
    <row r="654" spans="1:18">
      <c r="A654" s="104">
        <f t="shared" si="50"/>
        <v>42259</v>
      </c>
      <c r="B654" s="105" t="str">
        <f t="shared" si="52"/>
        <v>Sat</v>
      </c>
      <c r="C654" s="105" t="s">
        <v>932</v>
      </c>
      <c r="D654" s="105" t="str">
        <f t="shared" si="51"/>
        <v>FW32</v>
      </c>
      <c r="E654" s="105" t="s">
        <v>10</v>
      </c>
      <c r="F654" s="105" t="s">
        <v>10</v>
      </c>
      <c r="G654" s="105"/>
      <c r="H654" s="105"/>
      <c r="I654" s="117">
        <v>759</v>
      </c>
      <c r="J654" s="117"/>
      <c r="K654" s="117"/>
      <c r="L654" s="118">
        <f t="shared" si="53"/>
        <v>0</v>
      </c>
      <c r="M654" s="118">
        <f t="shared" si="54"/>
        <v>0</v>
      </c>
      <c r="N654" s="58">
        <f t="shared" si="55"/>
        <v>0</v>
      </c>
      <c r="O654" s="58">
        <f t="shared" si="56"/>
        <v>0</v>
      </c>
      <c r="P654" s="5" t="s">
        <v>867</v>
      </c>
      <c r="Q654" s="5" t="s">
        <v>281</v>
      </c>
    </row>
    <row r="655" spans="1:18">
      <c r="A655" s="104">
        <f t="shared" si="50"/>
        <v>42260</v>
      </c>
      <c r="B655" s="105" t="str">
        <f t="shared" si="52"/>
        <v>Sun</v>
      </c>
      <c r="C655" s="105" t="s">
        <v>932</v>
      </c>
      <c r="D655" s="105" t="str">
        <f t="shared" si="51"/>
        <v>FW33</v>
      </c>
      <c r="E655" s="105" t="s">
        <v>10</v>
      </c>
      <c r="F655" s="105" t="s">
        <v>10</v>
      </c>
      <c r="G655" s="105"/>
      <c r="H655" s="105"/>
      <c r="I655" s="117">
        <v>636</v>
      </c>
      <c r="J655" s="117"/>
      <c r="K655" s="117"/>
      <c r="L655" s="118">
        <f t="shared" si="53"/>
        <v>0</v>
      </c>
      <c r="M655" s="118">
        <f t="shared" si="54"/>
        <v>0</v>
      </c>
      <c r="N655" s="58">
        <f t="shared" si="55"/>
        <v>0</v>
      </c>
      <c r="O655" s="58">
        <f t="shared" si="56"/>
        <v>0</v>
      </c>
      <c r="P655" s="5" t="s">
        <v>867</v>
      </c>
      <c r="Q655" s="5" t="s">
        <v>281</v>
      </c>
    </row>
    <row r="656" spans="1:18">
      <c r="A656" s="104">
        <f t="shared" si="50"/>
        <v>42261</v>
      </c>
      <c r="B656" s="105" t="str">
        <f t="shared" si="52"/>
        <v>Mon</v>
      </c>
      <c r="C656" s="105" t="s">
        <v>932</v>
      </c>
      <c r="D656" s="105" t="str">
        <f t="shared" si="51"/>
        <v>FW33</v>
      </c>
      <c r="E656" s="105" t="s">
        <v>157</v>
      </c>
      <c r="F656" s="105" t="s">
        <v>966</v>
      </c>
      <c r="G656" s="105"/>
      <c r="H656" s="105"/>
      <c r="I656" s="117">
        <v>1235</v>
      </c>
      <c r="J656" s="117"/>
      <c r="K656" s="117"/>
      <c r="L656" s="118">
        <f t="shared" si="53"/>
        <v>1</v>
      </c>
      <c r="M656" s="118">
        <f t="shared" si="54"/>
        <v>0</v>
      </c>
      <c r="N656" s="58">
        <f t="shared" si="55"/>
        <v>0</v>
      </c>
      <c r="O656" s="58">
        <f t="shared" si="56"/>
        <v>1</v>
      </c>
      <c r="P656" s="5" t="s">
        <v>871</v>
      </c>
      <c r="Q656" s="5" t="s">
        <v>872</v>
      </c>
    </row>
    <row r="657" spans="1:18">
      <c r="A657" s="104">
        <f t="shared" si="50"/>
        <v>42262</v>
      </c>
      <c r="B657" s="105" t="str">
        <f t="shared" si="52"/>
        <v>Tue</v>
      </c>
      <c r="C657" s="105" t="s">
        <v>932</v>
      </c>
      <c r="D657" s="105" t="str">
        <f t="shared" si="51"/>
        <v>FW33</v>
      </c>
      <c r="E657" s="105" t="s">
        <v>165</v>
      </c>
      <c r="F657" s="105" t="s">
        <v>967</v>
      </c>
      <c r="G657" s="105"/>
      <c r="H657" s="105"/>
      <c r="I657" s="117">
        <v>1244</v>
      </c>
      <c r="J657" s="117"/>
      <c r="K657" s="117"/>
      <c r="L657" s="118">
        <f t="shared" si="53"/>
        <v>1</v>
      </c>
      <c r="M657" s="118">
        <f t="shared" si="54"/>
        <v>0</v>
      </c>
      <c r="N657" s="58">
        <f t="shared" si="55"/>
        <v>0</v>
      </c>
      <c r="O657" s="58">
        <f t="shared" si="56"/>
        <v>1</v>
      </c>
      <c r="P657" s="5" t="s">
        <v>871</v>
      </c>
      <c r="Q657" s="5" t="s">
        <v>872</v>
      </c>
    </row>
    <row r="658" spans="1:18">
      <c r="A658" s="104">
        <f t="shared" si="50"/>
        <v>42263</v>
      </c>
      <c r="B658" s="105" t="str">
        <f t="shared" si="52"/>
        <v>Wed</v>
      </c>
      <c r="C658" s="105" t="s">
        <v>932</v>
      </c>
      <c r="D658" s="105" t="str">
        <f t="shared" si="51"/>
        <v>FW33</v>
      </c>
      <c r="E658" s="105" t="s">
        <v>48</v>
      </c>
      <c r="F658" s="105" t="s">
        <v>968</v>
      </c>
      <c r="G658" s="105" t="s">
        <v>977</v>
      </c>
      <c r="H658" s="105"/>
      <c r="I658" s="117">
        <v>1241</v>
      </c>
      <c r="J658" s="117"/>
      <c r="K658" s="117"/>
      <c r="L658" s="118">
        <f t="shared" si="53"/>
        <v>1</v>
      </c>
      <c r="M658" s="118">
        <f t="shared" si="54"/>
        <v>1</v>
      </c>
      <c r="N658" s="58">
        <f t="shared" si="55"/>
        <v>0</v>
      </c>
      <c r="O658" s="58">
        <f t="shared" si="56"/>
        <v>2</v>
      </c>
      <c r="P658" s="5" t="s">
        <v>871</v>
      </c>
      <c r="Q658" s="5" t="s">
        <v>872</v>
      </c>
    </row>
    <row r="659" spans="1:18">
      <c r="A659" s="104">
        <f t="shared" si="50"/>
        <v>42264</v>
      </c>
      <c r="B659" s="105" t="str">
        <f t="shared" si="52"/>
        <v>Thu</v>
      </c>
      <c r="C659" s="105" t="s">
        <v>932</v>
      </c>
      <c r="D659" s="105" t="str">
        <f t="shared" si="51"/>
        <v>FW33</v>
      </c>
      <c r="E659" s="105" t="s">
        <v>252</v>
      </c>
      <c r="F659" s="105" t="s">
        <v>969</v>
      </c>
      <c r="G659" s="105"/>
      <c r="H659" s="105"/>
      <c r="I659" s="117">
        <v>1051</v>
      </c>
      <c r="J659" s="117"/>
      <c r="K659" s="117"/>
      <c r="L659" s="118">
        <f t="shared" si="53"/>
        <v>1</v>
      </c>
      <c r="M659" s="118">
        <f t="shared" si="54"/>
        <v>0</v>
      </c>
      <c r="N659" s="58">
        <f t="shared" si="55"/>
        <v>0</v>
      </c>
      <c r="O659" s="58">
        <f t="shared" si="56"/>
        <v>1</v>
      </c>
      <c r="P659" s="5" t="s">
        <v>867</v>
      </c>
      <c r="Q659" s="5" t="s">
        <v>281</v>
      </c>
    </row>
    <row r="660" spans="1:18">
      <c r="A660" s="104">
        <f t="shared" si="50"/>
        <v>42265</v>
      </c>
      <c r="B660" s="105" t="str">
        <f t="shared" si="52"/>
        <v>Fri</v>
      </c>
      <c r="C660" s="105" t="s">
        <v>932</v>
      </c>
      <c r="D660" s="105" t="str">
        <f t="shared" si="51"/>
        <v>FW33</v>
      </c>
      <c r="E660" s="105" t="s">
        <v>17</v>
      </c>
      <c r="F660" s="105" t="s">
        <v>970</v>
      </c>
      <c r="G660" s="105"/>
      <c r="H660" s="105"/>
      <c r="I660" s="117">
        <v>1089</v>
      </c>
      <c r="J660" s="117"/>
      <c r="K660" s="117"/>
      <c r="L660" s="118">
        <f t="shared" si="53"/>
        <v>1</v>
      </c>
      <c r="M660" s="118">
        <f t="shared" si="54"/>
        <v>0</v>
      </c>
      <c r="N660" s="58">
        <f t="shared" si="55"/>
        <v>0</v>
      </c>
      <c r="O660" s="58">
        <f t="shared" si="56"/>
        <v>1</v>
      </c>
      <c r="P660" s="5" t="s">
        <v>17</v>
      </c>
    </row>
    <row r="661" spans="1:18">
      <c r="A661" s="104">
        <f t="shared" si="50"/>
        <v>42266</v>
      </c>
      <c r="B661" s="105" t="str">
        <f t="shared" si="52"/>
        <v>Sat</v>
      </c>
      <c r="C661" s="105" t="s">
        <v>932</v>
      </c>
      <c r="D661" s="105" t="str">
        <f t="shared" si="51"/>
        <v>FW33</v>
      </c>
      <c r="E661" s="105" t="s">
        <v>17</v>
      </c>
      <c r="F661" s="105" t="s">
        <v>971</v>
      </c>
      <c r="G661" s="105"/>
      <c r="H661" s="105"/>
      <c r="I661" s="117">
        <v>842</v>
      </c>
      <c r="J661" s="117"/>
      <c r="K661" s="117"/>
      <c r="L661" s="118">
        <f t="shared" si="53"/>
        <v>1</v>
      </c>
      <c r="M661" s="118">
        <f t="shared" si="54"/>
        <v>0</v>
      </c>
      <c r="N661" s="58">
        <f t="shared" si="55"/>
        <v>0</v>
      </c>
      <c r="O661" s="58">
        <f t="shared" si="56"/>
        <v>1</v>
      </c>
      <c r="P661" s="5" t="s">
        <v>10</v>
      </c>
    </row>
    <row r="662" spans="1:18">
      <c r="A662" s="104">
        <f t="shared" si="50"/>
        <v>42267</v>
      </c>
      <c r="B662" s="105" t="str">
        <f t="shared" si="52"/>
        <v>Sun</v>
      </c>
      <c r="C662" s="105" t="s">
        <v>932</v>
      </c>
      <c r="D662" s="105" t="str">
        <f t="shared" si="51"/>
        <v>FW34</v>
      </c>
      <c r="E662" s="105" t="s">
        <v>165</v>
      </c>
      <c r="F662" s="105" t="s">
        <v>972</v>
      </c>
      <c r="G662" s="105"/>
      <c r="H662" s="105"/>
      <c r="I662" s="117">
        <v>654</v>
      </c>
      <c r="J662" s="117"/>
      <c r="K662" s="117"/>
      <c r="L662" s="118">
        <f t="shared" si="53"/>
        <v>1</v>
      </c>
      <c r="M662" s="118">
        <f t="shared" si="54"/>
        <v>0</v>
      </c>
      <c r="N662" s="58">
        <f t="shared" si="55"/>
        <v>0</v>
      </c>
      <c r="O662" s="58">
        <f t="shared" si="56"/>
        <v>1</v>
      </c>
      <c r="P662" s="5" t="s">
        <v>857</v>
      </c>
      <c r="Q662" s="5">
        <v>15</v>
      </c>
      <c r="R662" s="5" t="s">
        <v>902</v>
      </c>
    </row>
    <row r="663" spans="1:18">
      <c r="A663" s="104">
        <f t="shared" si="50"/>
        <v>42268</v>
      </c>
      <c r="B663" s="105" t="str">
        <f t="shared" si="52"/>
        <v>Mon</v>
      </c>
      <c r="C663" s="105" t="s">
        <v>932</v>
      </c>
      <c r="D663" s="105" t="str">
        <f t="shared" si="51"/>
        <v>FW34</v>
      </c>
      <c r="E663" s="105" t="s">
        <v>740</v>
      </c>
      <c r="F663" s="105" t="s">
        <v>973</v>
      </c>
      <c r="G663" s="105" t="s">
        <v>978</v>
      </c>
      <c r="H663" s="105"/>
      <c r="I663" s="117">
        <v>1283</v>
      </c>
      <c r="J663" s="117"/>
      <c r="K663" s="117"/>
      <c r="L663" s="118">
        <f t="shared" si="53"/>
        <v>1</v>
      </c>
      <c r="M663" s="118">
        <f t="shared" si="54"/>
        <v>1</v>
      </c>
      <c r="N663" s="58">
        <f t="shared" si="55"/>
        <v>0</v>
      </c>
      <c r="O663" s="58">
        <f t="shared" si="56"/>
        <v>2</v>
      </c>
      <c r="P663" s="5" t="s">
        <v>857</v>
      </c>
      <c r="Q663" s="5">
        <v>15</v>
      </c>
      <c r="R663" s="5" t="s">
        <v>902</v>
      </c>
    </row>
    <row r="664" spans="1:18">
      <c r="A664" s="104">
        <f t="shared" si="50"/>
        <v>42269</v>
      </c>
      <c r="B664" s="105" t="str">
        <f t="shared" si="52"/>
        <v>Tue</v>
      </c>
      <c r="C664" s="105" t="s">
        <v>932</v>
      </c>
      <c r="D664" s="105" t="str">
        <f t="shared" si="51"/>
        <v>FW34</v>
      </c>
      <c r="E664" s="105" t="s">
        <v>957</v>
      </c>
      <c r="F664" s="105" t="s">
        <v>974</v>
      </c>
      <c r="G664" s="105"/>
      <c r="H664" s="105"/>
      <c r="I664" s="117">
        <v>1049</v>
      </c>
      <c r="J664" s="117"/>
      <c r="K664" s="117"/>
      <c r="L664" s="118">
        <f t="shared" si="53"/>
        <v>1</v>
      </c>
      <c r="M664" s="118">
        <f t="shared" si="54"/>
        <v>0</v>
      </c>
      <c r="N664" s="58">
        <f t="shared" si="55"/>
        <v>0</v>
      </c>
      <c r="O664" s="58">
        <f t="shared" si="56"/>
        <v>1</v>
      </c>
      <c r="P664" s="5" t="s">
        <v>10</v>
      </c>
    </row>
    <row r="665" spans="1:18">
      <c r="A665" s="104">
        <f t="shared" si="50"/>
        <v>42270</v>
      </c>
      <c r="B665" s="105" t="str">
        <f t="shared" si="52"/>
        <v>Wed</v>
      </c>
      <c r="C665" s="105" t="s">
        <v>932</v>
      </c>
      <c r="D665" s="105" t="str">
        <f t="shared" si="51"/>
        <v>FW34</v>
      </c>
      <c r="E665" s="105" t="s">
        <v>957</v>
      </c>
      <c r="F665" s="105" t="s">
        <v>974</v>
      </c>
      <c r="G665" s="105"/>
      <c r="H665" s="105"/>
      <c r="I665" s="117">
        <v>983</v>
      </c>
      <c r="J665" s="117"/>
      <c r="K665" s="117"/>
      <c r="L665" s="118">
        <f t="shared" si="53"/>
        <v>1</v>
      </c>
      <c r="M665" s="118">
        <f t="shared" si="54"/>
        <v>0</v>
      </c>
      <c r="N665" s="58">
        <f t="shared" si="55"/>
        <v>0</v>
      </c>
      <c r="O665" s="58">
        <f t="shared" si="56"/>
        <v>1</v>
      </c>
      <c r="P665" s="5" t="s">
        <v>861</v>
      </c>
      <c r="Q665" s="5" t="s">
        <v>281</v>
      </c>
    </row>
    <row r="666" spans="1:18">
      <c r="A666" s="104">
        <f t="shared" si="50"/>
        <v>42271</v>
      </c>
      <c r="B666" s="105" t="str">
        <f t="shared" si="52"/>
        <v>Thu</v>
      </c>
      <c r="C666" s="105" t="s">
        <v>932</v>
      </c>
      <c r="D666" s="105" t="str">
        <f t="shared" si="51"/>
        <v>FW34</v>
      </c>
      <c r="E666" s="105" t="s">
        <v>957</v>
      </c>
      <c r="F666" s="105" t="s">
        <v>974</v>
      </c>
      <c r="G666" s="105"/>
      <c r="H666" s="105"/>
      <c r="I666" s="117">
        <v>906</v>
      </c>
      <c r="J666" s="117"/>
      <c r="K666" s="117"/>
      <c r="L666" s="118">
        <f t="shared" si="53"/>
        <v>1</v>
      </c>
      <c r="M666" s="118">
        <f t="shared" si="54"/>
        <v>0</v>
      </c>
      <c r="N666" s="58">
        <f t="shared" si="55"/>
        <v>0</v>
      </c>
      <c r="O666" s="58">
        <f t="shared" si="56"/>
        <v>1</v>
      </c>
      <c r="P666" s="5" t="s">
        <v>861</v>
      </c>
      <c r="Q666" s="5" t="s">
        <v>281</v>
      </c>
    </row>
    <row r="667" spans="1:18">
      <c r="A667" s="104">
        <f t="shared" si="50"/>
        <v>42272</v>
      </c>
      <c r="B667" s="105" t="str">
        <f t="shared" si="52"/>
        <v>Fri</v>
      </c>
      <c r="C667" s="105" t="s">
        <v>932</v>
      </c>
      <c r="D667" s="105" t="str">
        <f t="shared" si="51"/>
        <v>FW34</v>
      </c>
      <c r="E667" s="105" t="s">
        <v>957</v>
      </c>
      <c r="F667" s="105" t="s">
        <v>974</v>
      </c>
      <c r="G667" s="105" t="s">
        <v>979</v>
      </c>
      <c r="H667" s="105"/>
      <c r="I667" s="117">
        <v>927</v>
      </c>
      <c r="J667" s="117"/>
      <c r="K667" s="117"/>
      <c r="L667" s="118">
        <f t="shared" si="53"/>
        <v>1</v>
      </c>
      <c r="M667" s="118">
        <f t="shared" si="54"/>
        <v>1</v>
      </c>
      <c r="N667" s="58">
        <f t="shared" si="55"/>
        <v>0</v>
      </c>
      <c r="O667" s="58">
        <f t="shared" si="56"/>
        <v>2</v>
      </c>
      <c r="P667" s="5" t="s">
        <v>867</v>
      </c>
      <c r="Q667" s="5" t="s">
        <v>281</v>
      </c>
    </row>
    <row r="668" spans="1:18">
      <c r="A668" s="104">
        <f t="shared" si="50"/>
        <v>42273</v>
      </c>
      <c r="B668" s="105" t="str">
        <f t="shared" si="52"/>
        <v>Sat</v>
      </c>
      <c r="C668" s="105" t="s">
        <v>932</v>
      </c>
      <c r="D668" s="105" t="str">
        <f t="shared" si="51"/>
        <v>FW34</v>
      </c>
      <c r="E668" s="105" t="s">
        <v>957</v>
      </c>
      <c r="F668" s="105" t="s">
        <v>974</v>
      </c>
      <c r="G668" s="105" t="s">
        <v>980</v>
      </c>
      <c r="H668" s="105"/>
      <c r="I668" s="117">
        <v>849</v>
      </c>
      <c r="J668" s="117"/>
      <c r="K668" s="117"/>
      <c r="L668" s="118">
        <f t="shared" si="53"/>
        <v>1</v>
      </c>
      <c r="M668" s="118">
        <f t="shared" si="54"/>
        <v>1</v>
      </c>
      <c r="N668" s="58">
        <f t="shared" si="55"/>
        <v>0</v>
      </c>
      <c r="O668" s="58">
        <f t="shared" si="56"/>
        <v>2</v>
      </c>
      <c r="P668" s="5" t="s">
        <v>10</v>
      </c>
    </row>
    <row r="669" spans="1:18">
      <c r="A669" s="104">
        <f t="shared" si="50"/>
        <v>42274</v>
      </c>
      <c r="B669" s="105" t="str">
        <f t="shared" si="52"/>
        <v>Sun</v>
      </c>
      <c r="C669" s="105" t="s">
        <v>933</v>
      </c>
      <c r="D669" s="105" t="str">
        <f t="shared" si="51"/>
        <v>FW35</v>
      </c>
      <c r="E669" s="105" t="s">
        <v>934</v>
      </c>
      <c r="F669" s="105" t="s">
        <v>984</v>
      </c>
      <c r="G669" s="105"/>
      <c r="H669" s="105"/>
      <c r="I669" s="117">
        <v>527</v>
      </c>
      <c r="J669" s="117"/>
      <c r="K669" s="117"/>
      <c r="L669" s="118">
        <f t="shared" ref="L669:L703" si="57">IF(E669=$L$1,0,1)</f>
        <v>1</v>
      </c>
      <c r="M669" s="118">
        <f t="shared" ref="M669:M703" si="58">IF(ISBLANK(G669),0,1)</f>
        <v>0</v>
      </c>
      <c r="N669" s="58">
        <f t="shared" si="55"/>
        <v>0</v>
      </c>
      <c r="O669" s="58">
        <f t="shared" si="56"/>
        <v>1</v>
      </c>
    </row>
    <row r="670" spans="1:18">
      <c r="A670" s="104">
        <f t="shared" si="50"/>
        <v>42275</v>
      </c>
      <c r="B670" s="105" t="str">
        <f t="shared" si="52"/>
        <v>Mon</v>
      </c>
      <c r="C670" s="105" t="s">
        <v>933</v>
      </c>
      <c r="D670" s="105" t="str">
        <f t="shared" si="51"/>
        <v>FW35</v>
      </c>
      <c r="E670" s="105" t="s">
        <v>10</v>
      </c>
      <c r="F670" s="105" t="s">
        <v>10</v>
      </c>
      <c r="G670" s="105"/>
      <c r="H670" s="105"/>
      <c r="I670" s="117">
        <v>943</v>
      </c>
      <c r="J670" s="117"/>
      <c r="K670" s="117"/>
      <c r="L670" s="118">
        <f t="shared" si="57"/>
        <v>0</v>
      </c>
      <c r="M670" s="118">
        <f t="shared" si="58"/>
        <v>0</v>
      </c>
      <c r="N670" s="58">
        <f t="shared" si="55"/>
        <v>0</v>
      </c>
      <c r="O670" s="58">
        <f t="shared" si="56"/>
        <v>0</v>
      </c>
    </row>
    <row r="671" spans="1:18">
      <c r="A671" s="104">
        <f t="shared" si="50"/>
        <v>42276</v>
      </c>
      <c r="B671" s="105" t="str">
        <f t="shared" si="52"/>
        <v>Tue</v>
      </c>
      <c r="C671" s="105" t="s">
        <v>933</v>
      </c>
      <c r="D671" s="105" t="str">
        <f t="shared" si="51"/>
        <v>FW35</v>
      </c>
      <c r="E671" s="105" t="s">
        <v>10</v>
      </c>
      <c r="F671" s="105" t="s">
        <v>10</v>
      </c>
      <c r="G671" s="105"/>
      <c r="H671" s="105"/>
      <c r="I671" s="117">
        <v>984</v>
      </c>
      <c r="J671" s="117"/>
      <c r="K671" s="117"/>
      <c r="L671" s="118">
        <f t="shared" si="57"/>
        <v>0</v>
      </c>
      <c r="M671" s="118">
        <f t="shared" si="58"/>
        <v>0</v>
      </c>
      <c r="N671" s="58">
        <f t="shared" si="55"/>
        <v>0</v>
      </c>
      <c r="O671" s="58">
        <f t="shared" si="56"/>
        <v>0</v>
      </c>
    </row>
    <row r="672" spans="1:18">
      <c r="A672" s="104">
        <f t="shared" si="50"/>
        <v>42277</v>
      </c>
      <c r="B672" s="105" t="str">
        <f t="shared" si="52"/>
        <v>Wed</v>
      </c>
      <c r="C672" s="105" t="s">
        <v>933</v>
      </c>
      <c r="D672" s="105" t="str">
        <f t="shared" si="51"/>
        <v>FW35</v>
      </c>
      <c r="E672" s="105" t="s">
        <v>934</v>
      </c>
      <c r="F672" s="105" t="s">
        <v>984</v>
      </c>
      <c r="G672" s="105"/>
      <c r="H672" s="105"/>
      <c r="I672" s="117">
        <v>943</v>
      </c>
      <c r="J672" s="117"/>
      <c r="K672" s="117"/>
      <c r="L672" s="118">
        <f t="shared" si="57"/>
        <v>1</v>
      </c>
      <c r="M672" s="118">
        <f t="shared" si="58"/>
        <v>0</v>
      </c>
      <c r="N672" s="58">
        <f t="shared" si="55"/>
        <v>0</v>
      </c>
      <c r="O672" s="58">
        <f t="shared" si="56"/>
        <v>1</v>
      </c>
    </row>
    <row r="673" spans="1:15">
      <c r="A673" s="104">
        <f t="shared" si="50"/>
        <v>42278</v>
      </c>
      <c r="B673" s="105" t="str">
        <f t="shared" si="52"/>
        <v>Thu</v>
      </c>
      <c r="C673" s="105" t="s">
        <v>933</v>
      </c>
      <c r="D673" s="105" t="str">
        <f t="shared" si="51"/>
        <v>FW35</v>
      </c>
      <c r="E673" s="105" t="s">
        <v>934</v>
      </c>
      <c r="F673" s="105" t="s">
        <v>984</v>
      </c>
      <c r="G673" s="105" t="s">
        <v>995</v>
      </c>
      <c r="H673" s="105"/>
      <c r="I673" s="117">
        <v>954</v>
      </c>
      <c r="J673" s="117"/>
      <c r="K673" s="117"/>
      <c r="L673" s="118">
        <f t="shared" si="57"/>
        <v>1</v>
      </c>
      <c r="M673" s="118">
        <f t="shared" si="58"/>
        <v>1</v>
      </c>
      <c r="N673" s="58">
        <f t="shared" si="55"/>
        <v>0</v>
      </c>
      <c r="O673" s="58">
        <f t="shared" si="56"/>
        <v>2</v>
      </c>
    </row>
    <row r="674" spans="1:15">
      <c r="A674" s="104">
        <f t="shared" si="50"/>
        <v>42279</v>
      </c>
      <c r="B674" s="105" t="str">
        <f t="shared" si="52"/>
        <v>Fri</v>
      </c>
      <c r="C674" s="105" t="s">
        <v>933</v>
      </c>
      <c r="D674" s="105" t="str">
        <f t="shared" si="51"/>
        <v>FW35</v>
      </c>
      <c r="E674" s="105" t="s">
        <v>934</v>
      </c>
      <c r="F674" s="105" t="s">
        <v>984</v>
      </c>
      <c r="G674" s="105" t="s">
        <v>996</v>
      </c>
      <c r="H674" s="105"/>
      <c r="I674" s="117">
        <v>882</v>
      </c>
      <c r="J674" s="117"/>
      <c r="K674" s="117"/>
      <c r="L674" s="118">
        <f t="shared" si="57"/>
        <v>1</v>
      </c>
      <c r="M674" s="118">
        <f t="shared" si="58"/>
        <v>1</v>
      </c>
      <c r="N674" s="58">
        <f t="shared" si="55"/>
        <v>0</v>
      </c>
      <c r="O674" s="58">
        <f t="shared" si="56"/>
        <v>2</v>
      </c>
    </row>
    <row r="675" spans="1:15">
      <c r="A675" s="104">
        <f t="shared" si="50"/>
        <v>42280</v>
      </c>
      <c r="B675" s="105" t="str">
        <f t="shared" si="52"/>
        <v>Sat</v>
      </c>
      <c r="C675" s="105" t="s">
        <v>933</v>
      </c>
      <c r="D675" s="105" t="str">
        <f t="shared" si="51"/>
        <v>FW35</v>
      </c>
      <c r="E675" s="105" t="s">
        <v>934</v>
      </c>
      <c r="F675" s="105" t="s">
        <v>985</v>
      </c>
      <c r="G675" s="105" t="s">
        <v>985</v>
      </c>
      <c r="H675" s="105"/>
      <c r="I675" s="117">
        <v>751</v>
      </c>
      <c r="J675" s="117"/>
      <c r="K675" s="117"/>
      <c r="L675" s="118">
        <f t="shared" si="57"/>
        <v>1</v>
      </c>
      <c r="M675" s="118">
        <f t="shared" si="58"/>
        <v>1</v>
      </c>
      <c r="N675" s="58">
        <f t="shared" si="55"/>
        <v>0</v>
      </c>
      <c r="O675" s="58">
        <f t="shared" si="56"/>
        <v>2</v>
      </c>
    </row>
    <row r="676" spans="1:15">
      <c r="A676" s="104">
        <f t="shared" si="50"/>
        <v>42281</v>
      </c>
      <c r="B676" s="105" t="str">
        <f t="shared" si="52"/>
        <v>Sun</v>
      </c>
      <c r="C676" s="105" t="s">
        <v>933</v>
      </c>
      <c r="D676" s="105" t="str">
        <f t="shared" si="51"/>
        <v>FW36</v>
      </c>
      <c r="E676" s="105" t="s">
        <v>934</v>
      </c>
      <c r="F676" s="105" t="s">
        <v>984</v>
      </c>
      <c r="G676" s="105"/>
      <c r="H676" s="105"/>
      <c r="I676" s="117">
        <v>535</v>
      </c>
      <c r="J676" s="117"/>
      <c r="K676" s="117"/>
      <c r="L676" s="118">
        <f t="shared" si="57"/>
        <v>1</v>
      </c>
      <c r="M676" s="118">
        <f t="shared" si="58"/>
        <v>0</v>
      </c>
      <c r="N676" s="58">
        <f t="shared" si="55"/>
        <v>0</v>
      </c>
      <c r="O676" s="58">
        <f t="shared" si="56"/>
        <v>1</v>
      </c>
    </row>
    <row r="677" spans="1:15">
      <c r="A677" s="104">
        <f t="shared" si="50"/>
        <v>42282</v>
      </c>
      <c r="B677" s="105" t="str">
        <f t="shared" si="52"/>
        <v>Mon</v>
      </c>
      <c r="C677" s="105" t="s">
        <v>933</v>
      </c>
      <c r="D677" s="105" t="str">
        <f t="shared" si="51"/>
        <v>FW36</v>
      </c>
      <c r="E677" s="105" t="s">
        <v>10</v>
      </c>
      <c r="F677" s="105" t="s">
        <v>10</v>
      </c>
      <c r="G677" s="105"/>
      <c r="H677" s="105"/>
      <c r="I677" s="117">
        <v>1051</v>
      </c>
      <c r="J677" s="117"/>
      <c r="K677" s="117"/>
      <c r="L677" s="118">
        <f t="shared" si="57"/>
        <v>0</v>
      </c>
      <c r="M677" s="118">
        <f t="shared" si="58"/>
        <v>0</v>
      </c>
      <c r="N677" s="58">
        <f t="shared" si="55"/>
        <v>0</v>
      </c>
      <c r="O677" s="58">
        <f t="shared" si="56"/>
        <v>0</v>
      </c>
    </row>
    <row r="678" spans="1:15">
      <c r="A678" s="104">
        <f t="shared" ref="A678:A703" si="59">A677+1</f>
        <v>42283</v>
      </c>
      <c r="B678" s="105" t="str">
        <f t="shared" si="52"/>
        <v>Tue</v>
      </c>
      <c r="C678" s="105" t="s">
        <v>933</v>
      </c>
      <c r="D678" s="105" t="str">
        <f t="shared" si="51"/>
        <v>FW36</v>
      </c>
      <c r="E678" s="105" t="s">
        <v>934</v>
      </c>
      <c r="F678" s="105" t="s">
        <v>984</v>
      </c>
      <c r="G678" s="105" t="s">
        <v>997</v>
      </c>
      <c r="H678" s="105"/>
      <c r="I678" s="117">
        <v>1048</v>
      </c>
      <c r="J678" s="117"/>
      <c r="K678" s="117"/>
      <c r="L678" s="118">
        <f t="shared" si="57"/>
        <v>1</v>
      </c>
      <c r="M678" s="118">
        <f t="shared" si="58"/>
        <v>1</v>
      </c>
      <c r="N678" s="58">
        <f t="shared" si="55"/>
        <v>0</v>
      </c>
      <c r="O678" s="58">
        <f t="shared" si="56"/>
        <v>2</v>
      </c>
    </row>
    <row r="679" spans="1:15">
      <c r="A679" s="104">
        <f t="shared" si="59"/>
        <v>42284</v>
      </c>
      <c r="B679" s="105" t="str">
        <f t="shared" si="52"/>
        <v>Wed</v>
      </c>
      <c r="C679" s="105" t="s">
        <v>933</v>
      </c>
      <c r="D679" s="105" t="str">
        <f t="shared" ref="D679:D738" si="60">IF(B679="Sun",("FW"&amp;RIGHT(D678,2)+1),D678)</f>
        <v>FW36</v>
      </c>
      <c r="E679" s="105" t="s">
        <v>934</v>
      </c>
      <c r="F679" s="105" t="s">
        <v>984</v>
      </c>
      <c r="G679" s="105" t="s">
        <v>997</v>
      </c>
      <c r="H679" s="105"/>
      <c r="I679" s="117">
        <v>1114</v>
      </c>
      <c r="J679" s="117"/>
      <c r="K679" s="117"/>
      <c r="L679" s="118">
        <f t="shared" si="57"/>
        <v>1</v>
      </c>
      <c r="M679" s="118">
        <f t="shared" si="58"/>
        <v>1</v>
      </c>
      <c r="N679" s="58">
        <f t="shared" si="55"/>
        <v>0</v>
      </c>
      <c r="O679" s="58">
        <f t="shared" si="56"/>
        <v>2</v>
      </c>
    </row>
    <row r="680" spans="1:15">
      <c r="A680" s="104">
        <f t="shared" si="59"/>
        <v>42285</v>
      </c>
      <c r="B680" s="105" t="str">
        <f t="shared" si="52"/>
        <v>Thu</v>
      </c>
      <c r="C680" s="105" t="s">
        <v>933</v>
      </c>
      <c r="D680" s="105" t="str">
        <f t="shared" si="60"/>
        <v>FW36</v>
      </c>
      <c r="E680" s="105" t="s">
        <v>934</v>
      </c>
      <c r="F680" s="105" t="s">
        <v>986</v>
      </c>
      <c r="G680" s="105"/>
      <c r="H680" s="105"/>
      <c r="I680" s="117">
        <v>914</v>
      </c>
      <c r="J680" s="117"/>
      <c r="K680" s="117"/>
      <c r="L680" s="118">
        <f t="shared" si="57"/>
        <v>1</v>
      </c>
      <c r="M680" s="118">
        <f t="shared" si="58"/>
        <v>0</v>
      </c>
      <c r="N680" s="58">
        <f t="shared" ref="N680:N703" si="61">IF(ISBLANK(H680),0,1)</f>
        <v>0</v>
      </c>
      <c r="O680" s="58">
        <f t="shared" ref="O680:O703" si="62">SUM(L680:N680)</f>
        <v>1</v>
      </c>
    </row>
    <row r="681" spans="1:15">
      <c r="A681" s="104">
        <f t="shared" si="59"/>
        <v>42286</v>
      </c>
      <c r="B681" s="105" t="str">
        <f t="shared" ref="B681:B738" si="63">TEXT(A681,"DDD")</f>
        <v>Fri</v>
      </c>
      <c r="C681" s="105" t="s">
        <v>933</v>
      </c>
      <c r="D681" s="105" t="str">
        <f t="shared" si="60"/>
        <v>FW36</v>
      </c>
      <c r="E681" s="105" t="s">
        <v>934</v>
      </c>
      <c r="F681" s="105" t="s">
        <v>987</v>
      </c>
      <c r="G681" s="105" t="s">
        <v>997</v>
      </c>
      <c r="H681" s="105"/>
      <c r="I681" s="117">
        <v>935</v>
      </c>
      <c r="J681" s="117"/>
      <c r="K681" s="117"/>
      <c r="L681" s="118">
        <f t="shared" si="57"/>
        <v>1</v>
      </c>
      <c r="M681" s="118">
        <f t="shared" si="58"/>
        <v>1</v>
      </c>
      <c r="N681" s="58">
        <f t="shared" si="61"/>
        <v>0</v>
      </c>
      <c r="O681" s="58">
        <f t="shared" si="62"/>
        <v>2</v>
      </c>
    </row>
    <row r="682" spans="1:15">
      <c r="A682" s="104">
        <f t="shared" si="59"/>
        <v>42287</v>
      </c>
      <c r="B682" s="105" t="str">
        <f t="shared" si="63"/>
        <v>Sat</v>
      </c>
      <c r="C682" s="105" t="s">
        <v>933</v>
      </c>
      <c r="D682" s="105" t="str">
        <f t="shared" si="60"/>
        <v>FW36</v>
      </c>
      <c r="E682" s="105" t="s">
        <v>934</v>
      </c>
      <c r="F682" s="105" t="s">
        <v>988</v>
      </c>
      <c r="G682" s="105" t="s">
        <v>998</v>
      </c>
      <c r="H682" s="105"/>
      <c r="I682" s="117">
        <v>791</v>
      </c>
      <c r="J682" s="117"/>
      <c r="K682" s="117"/>
      <c r="L682" s="118">
        <f t="shared" si="57"/>
        <v>1</v>
      </c>
      <c r="M682" s="118">
        <f t="shared" si="58"/>
        <v>1</v>
      </c>
      <c r="N682" s="58">
        <f t="shared" si="61"/>
        <v>0</v>
      </c>
      <c r="O682" s="58">
        <f t="shared" si="62"/>
        <v>2</v>
      </c>
    </row>
    <row r="683" spans="1:15">
      <c r="A683" s="104">
        <f t="shared" si="59"/>
        <v>42288</v>
      </c>
      <c r="B683" s="105" t="str">
        <f t="shared" si="63"/>
        <v>Sun</v>
      </c>
      <c r="C683" s="105" t="s">
        <v>933</v>
      </c>
      <c r="D683" s="105" t="str">
        <f t="shared" si="60"/>
        <v>FW37</v>
      </c>
      <c r="E683" s="105" t="s">
        <v>48</v>
      </c>
      <c r="F683" s="105" t="s">
        <v>989</v>
      </c>
      <c r="G683" s="105"/>
      <c r="H683" s="105"/>
      <c r="I683" s="117">
        <v>526</v>
      </c>
      <c r="J683" s="117"/>
      <c r="K683" s="117"/>
      <c r="L683" s="118">
        <f t="shared" si="57"/>
        <v>1</v>
      </c>
      <c r="M683" s="118">
        <f t="shared" si="58"/>
        <v>0</v>
      </c>
      <c r="N683" s="58">
        <f t="shared" si="61"/>
        <v>0</v>
      </c>
      <c r="O683" s="58">
        <f t="shared" si="62"/>
        <v>1</v>
      </c>
    </row>
    <row r="684" spans="1:15">
      <c r="A684" s="104">
        <f t="shared" si="59"/>
        <v>42289</v>
      </c>
      <c r="B684" s="105" t="str">
        <f t="shared" si="63"/>
        <v>Mon</v>
      </c>
      <c r="C684" s="105" t="s">
        <v>933</v>
      </c>
      <c r="D684" s="105" t="str">
        <f t="shared" si="60"/>
        <v>FW37</v>
      </c>
      <c r="E684" s="105" t="s">
        <v>48</v>
      </c>
      <c r="F684" s="105" t="s">
        <v>989</v>
      </c>
      <c r="G684" s="105"/>
      <c r="H684" s="105"/>
      <c r="I684" s="117">
        <v>994</v>
      </c>
      <c r="J684" s="117"/>
      <c r="K684" s="117"/>
      <c r="L684" s="118">
        <f t="shared" si="57"/>
        <v>1</v>
      </c>
      <c r="M684" s="118">
        <f t="shared" si="58"/>
        <v>0</v>
      </c>
      <c r="N684" s="58">
        <f t="shared" si="61"/>
        <v>0</v>
      </c>
      <c r="O684" s="58">
        <f t="shared" si="62"/>
        <v>1</v>
      </c>
    </row>
    <row r="685" spans="1:15">
      <c r="A685" s="104">
        <f t="shared" si="59"/>
        <v>42290</v>
      </c>
      <c r="B685" s="105" t="str">
        <f t="shared" si="63"/>
        <v>Tue</v>
      </c>
      <c r="C685" s="105" t="s">
        <v>933</v>
      </c>
      <c r="D685" s="105" t="str">
        <f t="shared" si="60"/>
        <v>FW37</v>
      </c>
      <c r="E685" s="105" t="s">
        <v>48</v>
      </c>
      <c r="F685" s="105" t="s">
        <v>989</v>
      </c>
      <c r="G685" s="105" t="s">
        <v>989</v>
      </c>
      <c r="H685" s="105"/>
      <c r="I685" s="117">
        <v>1035</v>
      </c>
      <c r="J685" s="117"/>
      <c r="K685" s="117"/>
      <c r="L685" s="118">
        <f t="shared" si="57"/>
        <v>1</v>
      </c>
      <c r="M685" s="118">
        <f t="shared" si="58"/>
        <v>1</v>
      </c>
      <c r="N685" s="58">
        <f t="shared" si="61"/>
        <v>0</v>
      </c>
      <c r="O685" s="58">
        <f t="shared" si="62"/>
        <v>2</v>
      </c>
    </row>
    <row r="686" spans="1:15">
      <c r="A686" s="104">
        <f t="shared" si="59"/>
        <v>42291</v>
      </c>
      <c r="B686" s="105" t="str">
        <f t="shared" si="63"/>
        <v>Wed</v>
      </c>
      <c r="C686" s="105" t="s">
        <v>933</v>
      </c>
      <c r="D686" s="105" t="str">
        <f t="shared" si="60"/>
        <v>FW37</v>
      </c>
      <c r="E686" s="105" t="s">
        <v>311</v>
      </c>
      <c r="F686" s="105" t="s">
        <v>990</v>
      </c>
      <c r="G686" s="105" t="s">
        <v>975</v>
      </c>
      <c r="H686" s="105"/>
      <c r="I686" s="117">
        <v>1179</v>
      </c>
      <c r="J686" s="117"/>
      <c r="K686" s="117"/>
      <c r="L686" s="118">
        <f t="shared" si="57"/>
        <v>1</v>
      </c>
      <c r="M686" s="118">
        <f t="shared" si="58"/>
        <v>1</v>
      </c>
      <c r="N686" s="58">
        <f t="shared" si="61"/>
        <v>0</v>
      </c>
      <c r="O686" s="58">
        <f t="shared" si="62"/>
        <v>2</v>
      </c>
    </row>
    <row r="687" spans="1:15">
      <c r="A687" s="104">
        <f t="shared" si="59"/>
        <v>42292</v>
      </c>
      <c r="B687" s="105" t="str">
        <f t="shared" si="63"/>
        <v>Thu</v>
      </c>
      <c r="C687" s="105" t="s">
        <v>933</v>
      </c>
      <c r="D687" s="105" t="str">
        <f t="shared" si="60"/>
        <v>FW37</v>
      </c>
      <c r="E687" s="105" t="s">
        <v>212</v>
      </c>
      <c r="F687" s="105" t="s">
        <v>991</v>
      </c>
      <c r="G687" s="105"/>
      <c r="H687" s="105"/>
      <c r="I687" s="117">
        <v>992</v>
      </c>
      <c r="J687" s="117"/>
      <c r="K687" s="117"/>
      <c r="L687" s="118">
        <f t="shared" si="57"/>
        <v>1</v>
      </c>
      <c r="M687" s="118">
        <f t="shared" si="58"/>
        <v>0</v>
      </c>
      <c r="N687" s="58">
        <f t="shared" si="61"/>
        <v>0</v>
      </c>
      <c r="O687" s="58">
        <f t="shared" si="62"/>
        <v>1</v>
      </c>
    </row>
    <row r="688" spans="1:15">
      <c r="A688" s="104">
        <f t="shared" si="59"/>
        <v>42293</v>
      </c>
      <c r="B688" s="105" t="str">
        <f t="shared" si="63"/>
        <v>Fri</v>
      </c>
      <c r="C688" s="105" t="s">
        <v>933</v>
      </c>
      <c r="D688" s="105" t="str">
        <f t="shared" si="60"/>
        <v>FW37</v>
      </c>
      <c r="E688" s="105" t="s">
        <v>212</v>
      </c>
      <c r="F688" s="105" t="s">
        <v>935</v>
      </c>
      <c r="G688" s="105" t="s">
        <v>999</v>
      </c>
      <c r="H688" s="105"/>
      <c r="I688" s="117">
        <v>954</v>
      </c>
      <c r="J688" s="117"/>
      <c r="K688" s="117"/>
      <c r="L688" s="118">
        <f t="shared" si="57"/>
        <v>1</v>
      </c>
      <c r="M688" s="118">
        <f t="shared" si="58"/>
        <v>1</v>
      </c>
      <c r="N688" s="58">
        <f t="shared" si="61"/>
        <v>0</v>
      </c>
      <c r="O688" s="58">
        <f t="shared" si="62"/>
        <v>2</v>
      </c>
    </row>
    <row r="689" spans="1:15">
      <c r="A689" s="104">
        <f t="shared" si="59"/>
        <v>42294</v>
      </c>
      <c r="B689" s="105" t="str">
        <f t="shared" si="63"/>
        <v>Sat</v>
      </c>
      <c r="C689" s="105" t="s">
        <v>933</v>
      </c>
      <c r="D689" s="105" t="str">
        <f t="shared" si="60"/>
        <v>FW37</v>
      </c>
      <c r="E689" s="105" t="s">
        <v>10</v>
      </c>
      <c r="F689" s="105" t="s">
        <v>10</v>
      </c>
      <c r="G689" s="105"/>
      <c r="H689" s="105"/>
      <c r="I689" s="117">
        <v>565</v>
      </c>
      <c r="J689" s="117"/>
      <c r="K689" s="117"/>
      <c r="L689" s="118">
        <f t="shared" si="57"/>
        <v>0</v>
      </c>
      <c r="M689" s="118">
        <f t="shared" si="58"/>
        <v>0</v>
      </c>
      <c r="N689" s="58">
        <f t="shared" si="61"/>
        <v>0</v>
      </c>
      <c r="O689" s="58">
        <f t="shared" si="62"/>
        <v>0</v>
      </c>
    </row>
    <row r="690" spans="1:15">
      <c r="A690" s="104">
        <f t="shared" si="59"/>
        <v>42295</v>
      </c>
      <c r="B690" s="105" t="str">
        <f t="shared" si="63"/>
        <v>Sun</v>
      </c>
      <c r="C690" s="105" t="s">
        <v>933</v>
      </c>
      <c r="D690" s="105" t="str">
        <f t="shared" si="60"/>
        <v>FW38</v>
      </c>
      <c r="E690" s="105" t="s">
        <v>157</v>
      </c>
      <c r="F690" s="105" t="s">
        <v>936</v>
      </c>
      <c r="G690" s="105"/>
      <c r="H690" s="105"/>
      <c r="I690" s="117">
        <v>601</v>
      </c>
      <c r="J690" s="117"/>
      <c r="K690" s="117"/>
      <c r="L690" s="118">
        <f t="shared" si="57"/>
        <v>1</v>
      </c>
      <c r="M690" s="118">
        <f t="shared" si="58"/>
        <v>0</v>
      </c>
      <c r="N690" s="58">
        <f t="shared" si="61"/>
        <v>0</v>
      </c>
      <c r="O690" s="58">
        <f t="shared" si="62"/>
        <v>1</v>
      </c>
    </row>
    <row r="691" spans="1:15">
      <c r="A691" s="104">
        <f t="shared" si="59"/>
        <v>42296</v>
      </c>
      <c r="B691" s="105" t="str">
        <f t="shared" si="63"/>
        <v>Mon</v>
      </c>
      <c r="C691" s="105" t="s">
        <v>933</v>
      </c>
      <c r="D691" s="105" t="str">
        <f t="shared" si="60"/>
        <v>FW38</v>
      </c>
      <c r="E691" s="105" t="s">
        <v>157</v>
      </c>
      <c r="F691" s="105" t="s">
        <v>936</v>
      </c>
      <c r="G691" s="105"/>
      <c r="H691" s="105"/>
      <c r="I691" s="117">
        <v>1219</v>
      </c>
      <c r="J691" s="117"/>
      <c r="K691" s="117"/>
      <c r="L691" s="118">
        <f t="shared" si="57"/>
        <v>1</v>
      </c>
      <c r="M691" s="118">
        <f t="shared" si="58"/>
        <v>0</v>
      </c>
      <c r="N691" s="58">
        <f t="shared" si="61"/>
        <v>0</v>
      </c>
      <c r="O691" s="58">
        <f t="shared" si="62"/>
        <v>1</v>
      </c>
    </row>
    <row r="692" spans="1:15">
      <c r="A692" s="104">
        <f t="shared" si="59"/>
        <v>42297</v>
      </c>
      <c r="B692" s="105" t="str">
        <f t="shared" si="63"/>
        <v>Tue</v>
      </c>
      <c r="C692" s="105" t="s">
        <v>933</v>
      </c>
      <c r="D692" s="105" t="str">
        <f t="shared" si="60"/>
        <v>FW38</v>
      </c>
      <c r="E692" s="105" t="s">
        <v>157</v>
      </c>
      <c r="F692" s="105" t="s">
        <v>936</v>
      </c>
      <c r="G692" s="105" t="s">
        <v>969</v>
      </c>
      <c r="H692" s="105"/>
      <c r="I692" s="117">
        <v>1136</v>
      </c>
      <c r="J692" s="117"/>
      <c r="K692" s="117"/>
      <c r="L692" s="118">
        <f t="shared" si="57"/>
        <v>1</v>
      </c>
      <c r="M692" s="118">
        <f t="shared" si="58"/>
        <v>1</v>
      </c>
      <c r="N692" s="58">
        <f t="shared" si="61"/>
        <v>0</v>
      </c>
      <c r="O692" s="58">
        <f t="shared" si="62"/>
        <v>2</v>
      </c>
    </row>
    <row r="693" spans="1:15">
      <c r="A693" s="104">
        <f t="shared" si="59"/>
        <v>42298</v>
      </c>
      <c r="B693" s="105" t="str">
        <f t="shared" si="63"/>
        <v>Wed</v>
      </c>
      <c r="C693" s="105" t="s">
        <v>933</v>
      </c>
      <c r="D693" s="105" t="str">
        <f t="shared" si="60"/>
        <v>FW38</v>
      </c>
      <c r="E693" s="105" t="s">
        <v>157</v>
      </c>
      <c r="F693" s="105" t="s">
        <v>936</v>
      </c>
      <c r="G693" s="105"/>
      <c r="H693" s="105"/>
      <c r="I693" s="117">
        <v>1119</v>
      </c>
      <c r="J693" s="117"/>
      <c r="K693" s="117"/>
      <c r="L693" s="118">
        <f t="shared" si="57"/>
        <v>1</v>
      </c>
      <c r="M693" s="118">
        <f t="shared" si="58"/>
        <v>0</v>
      </c>
      <c r="N693" s="58">
        <f t="shared" si="61"/>
        <v>0</v>
      </c>
      <c r="O693" s="58">
        <f t="shared" si="62"/>
        <v>1</v>
      </c>
    </row>
    <row r="694" spans="1:15">
      <c r="A694" s="104">
        <f t="shared" si="59"/>
        <v>42299</v>
      </c>
      <c r="B694" s="105" t="str">
        <f t="shared" si="63"/>
        <v>Thu</v>
      </c>
      <c r="C694" s="105" t="s">
        <v>933</v>
      </c>
      <c r="D694" s="105" t="str">
        <f t="shared" si="60"/>
        <v>FW38</v>
      </c>
      <c r="E694" s="105" t="s">
        <v>10</v>
      </c>
      <c r="F694" s="105" t="s">
        <v>10</v>
      </c>
      <c r="G694" s="105"/>
      <c r="H694" s="105"/>
      <c r="I694" s="117">
        <v>1159</v>
      </c>
      <c r="J694" s="117"/>
      <c r="K694" s="117"/>
      <c r="L694" s="118">
        <f t="shared" si="57"/>
        <v>0</v>
      </c>
      <c r="M694" s="118">
        <f t="shared" si="58"/>
        <v>0</v>
      </c>
      <c r="N694" s="58">
        <f t="shared" si="61"/>
        <v>0</v>
      </c>
      <c r="O694" s="58">
        <f t="shared" si="62"/>
        <v>0</v>
      </c>
    </row>
    <row r="695" spans="1:15">
      <c r="A695" s="104">
        <f t="shared" si="59"/>
        <v>42300</v>
      </c>
      <c r="B695" s="105" t="str">
        <f t="shared" si="63"/>
        <v>Fri</v>
      </c>
      <c r="C695" s="105" t="s">
        <v>933</v>
      </c>
      <c r="D695" s="105" t="str">
        <f t="shared" si="60"/>
        <v>FW38</v>
      </c>
      <c r="E695" s="105" t="s">
        <v>10</v>
      </c>
      <c r="F695" s="105" t="s">
        <v>10</v>
      </c>
      <c r="G695" s="105"/>
      <c r="H695" s="105"/>
      <c r="I695" s="117">
        <v>1184</v>
      </c>
      <c r="J695" s="117"/>
      <c r="K695" s="117"/>
      <c r="L695" s="118">
        <f t="shared" si="57"/>
        <v>0</v>
      </c>
      <c r="M695" s="118">
        <f t="shared" si="58"/>
        <v>0</v>
      </c>
      <c r="N695" s="58">
        <f t="shared" si="61"/>
        <v>0</v>
      </c>
      <c r="O695" s="58">
        <f t="shared" si="62"/>
        <v>0</v>
      </c>
    </row>
    <row r="696" spans="1:15">
      <c r="A696" s="104">
        <f t="shared" si="59"/>
        <v>42301</v>
      </c>
      <c r="B696" s="105" t="str">
        <f t="shared" si="63"/>
        <v>Sat</v>
      </c>
      <c r="C696" s="105" t="s">
        <v>933</v>
      </c>
      <c r="D696" s="105" t="str">
        <f t="shared" si="60"/>
        <v>FW38</v>
      </c>
      <c r="E696" s="105" t="s">
        <v>157</v>
      </c>
      <c r="F696" s="105" t="s">
        <v>936</v>
      </c>
      <c r="G696" s="105"/>
      <c r="H696" s="105"/>
      <c r="I696" s="117">
        <v>904</v>
      </c>
      <c r="J696" s="117"/>
      <c r="K696" s="117"/>
      <c r="L696" s="118">
        <f t="shared" si="57"/>
        <v>1</v>
      </c>
      <c r="M696" s="118">
        <f t="shared" si="58"/>
        <v>0</v>
      </c>
      <c r="N696" s="58">
        <f t="shared" si="61"/>
        <v>0</v>
      </c>
      <c r="O696" s="58">
        <f t="shared" si="62"/>
        <v>1</v>
      </c>
    </row>
    <row r="697" spans="1:15">
      <c r="A697" s="104">
        <f t="shared" si="59"/>
        <v>42302</v>
      </c>
      <c r="B697" s="105" t="str">
        <f t="shared" si="63"/>
        <v>Sun</v>
      </c>
      <c r="C697" s="105" t="s">
        <v>933</v>
      </c>
      <c r="D697" s="105" t="str">
        <f t="shared" si="60"/>
        <v>FW39</v>
      </c>
      <c r="E697" s="105" t="s">
        <v>233</v>
      </c>
      <c r="F697" s="105" t="s">
        <v>938</v>
      </c>
      <c r="G697" s="105"/>
      <c r="H697" s="105"/>
      <c r="I697" s="117">
        <v>722</v>
      </c>
      <c r="J697" s="117"/>
      <c r="K697" s="117"/>
      <c r="L697" s="118">
        <f t="shared" si="57"/>
        <v>1</v>
      </c>
      <c r="M697" s="118">
        <f t="shared" si="58"/>
        <v>0</v>
      </c>
      <c r="N697" s="58">
        <f t="shared" si="61"/>
        <v>0</v>
      </c>
      <c r="O697" s="58">
        <f t="shared" si="62"/>
        <v>1</v>
      </c>
    </row>
    <row r="698" spans="1:15">
      <c r="A698" s="104">
        <f t="shared" si="59"/>
        <v>42303</v>
      </c>
      <c r="B698" s="105" t="str">
        <f t="shared" si="63"/>
        <v>Mon</v>
      </c>
      <c r="C698" s="105" t="s">
        <v>933</v>
      </c>
      <c r="D698" s="105" t="str">
        <f t="shared" si="60"/>
        <v>FW39</v>
      </c>
      <c r="E698" s="105" t="s">
        <v>233</v>
      </c>
      <c r="F698" s="105" t="s">
        <v>938</v>
      </c>
      <c r="G698" s="105" t="s">
        <v>938</v>
      </c>
      <c r="H698" s="105"/>
      <c r="I698" s="117">
        <v>1744</v>
      </c>
      <c r="J698" s="117"/>
      <c r="K698" s="117"/>
      <c r="L698" s="118">
        <f t="shared" si="57"/>
        <v>1</v>
      </c>
      <c r="M698" s="118">
        <f t="shared" si="58"/>
        <v>1</v>
      </c>
      <c r="N698" s="58">
        <f t="shared" si="61"/>
        <v>0</v>
      </c>
      <c r="O698" s="58">
        <f t="shared" si="62"/>
        <v>2</v>
      </c>
    </row>
    <row r="699" spans="1:15">
      <c r="A699" s="104">
        <f t="shared" si="59"/>
        <v>42304</v>
      </c>
      <c r="B699" s="105" t="str">
        <f t="shared" si="63"/>
        <v>Tue</v>
      </c>
      <c r="C699" s="105" t="s">
        <v>933</v>
      </c>
      <c r="D699" s="105" t="str">
        <f t="shared" si="60"/>
        <v>FW39</v>
      </c>
      <c r="E699" s="105" t="s">
        <v>165</v>
      </c>
      <c r="F699" s="105" t="s">
        <v>937</v>
      </c>
      <c r="G699" s="105"/>
      <c r="H699" s="105"/>
      <c r="I699" s="117">
        <v>1213</v>
      </c>
      <c r="J699" s="117"/>
      <c r="K699" s="117"/>
      <c r="L699" s="118">
        <f t="shared" si="57"/>
        <v>1</v>
      </c>
      <c r="M699" s="118">
        <f t="shared" si="58"/>
        <v>0</v>
      </c>
      <c r="N699" s="58">
        <f t="shared" si="61"/>
        <v>0</v>
      </c>
      <c r="O699" s="58">
        <f t="shared" si="62"/>
        <v>1</v>
      </c>
    </row>
    <row r="700" spans="1:15">
      <c r="A700" s="104">
        <f t="shared" si="59"/>
        <v>42305</v>
      </c>
      <c r="B700" s="105" t="str">
        <f t="shared" si="63"/>
        <v>Wed</v>
      </c>
      <c r="C700" s="105" t="s">
        <v>933</v>
      </c>
      <c r="D700" s="105" t="str">
        <f t="shared" si="60"/>
        <v>FW39</v>
      </c>
      <c r="E700" s="105" t="s">
        <v>17</v>
      </c>
      <c r="F700" s="105" t="s">
        <v>992</v>
      </c>
      <c r="G700" s="105"/>
      <c r="H700" s="105"/>
      <c r="I700" s="117">
        <v>1174</v>
      </c>
      <c r="J700" s="117"/>
      <c r="K700" s="117"/>
      <c r="L700" s="118">
        <f t="shared" si="57"/>
        <v>1</v>
      </c>
      <c r="M700" s="118">
        <f t="shared" si="58"/>
        <v>0</v>
      </c>
      <c r="N700" s="58">
        <f t="shared" si="61"/>
        <v>0</v>
      </c>
      <c r="O700" s="58">
        <f t="shared" si="62"/>
        <v>1</v>
      </c>
    </row>
    <row r="701" spans="1:15">
      <c r="A701" s="104">
        <f t="shared" si="59"/>
        <v>42306</v>
      </c>
      <c r="B701" s="105" t="str">
        <f t="shared" si="63"/>
        <v>Thu</v>
      </c>
      <c r="C701" s="105" t="s">
        <v>933</v>
      </c>
      <c r="D701" s="105" t="str">
        <f t="shared" si="60"/>
        <v>FW39</v>
      </c>
      <c r="E701" s="105" t="s">
        <v>983</v>
      </c>
      <c r="F701" s="105" t="s">
        <v>993</v>
      </c>
      <c r="G701" s="105"/>
      <c r="H701" s="105"/>
      <c r="I701" s="117">
        <v>1128</v>
      </c>
      <c r="J701" s="117"/>
      <c r="K701" s="117"/>
      <c r="L701" s="118">
        <f t="shared" si="57"/>
        <v>1</v>
      </c>
      <c r="M701" s="118">
        <f t="shared" si="58"/>
        <v>0</v>
      </c>
      <c r="N701" s="58">
        <f t="shared" si="61"/>
        <v>0</v>
      </c>
      <c r="O701" s="58">
        <f t="shared" si="62"/>
        <v>1</v>
      </c>
    </row>
    <row r="702" spans="1:15">
      <c r="A702" s="104">
        <f t="shared" si="59"/>
        <v>42307</v>
      </c>
      <c r="B702" s="105" t="str">
        <f t="shared" si="63"/>
        <v>Fri</v>
      </c>
      <c r="C702" s="105" t="s">
        <v>933</v>
      </c>
      <c r="D702" s="105" t="str">
        <f t="shared" si="60"/>
        <v>FW39</v>
      </c>
      <c r="E702" s="105" t="s">
        <v>233</v>
      </c>
      <c r="F702" s="105" t="s">
        <v>994</v>
      </c>
      <c r="G702" s="105" t="s">
        <v>994</v>
      </c>
      <c r="H702" s="105"/>
      <c r="I702" s="117">
        <v>1148</v>
      </c>
      <c r="J702" s="117"/>
      <c r="K702" s="117"/>
      <c r="L702" s="118">
        <f t="shared" si="57"/>
        <v>1</v>
      </c>
      <c r="M702" s="118">
        <f t="shared" si="58"/>
        <v>1</v>
      </c>
      <c r="N702" s="58">
        <f t="shared" si="61"/>
        <v>0</v>
      </c>
      <c r="O702" s="58">
        <f t="shared" si="62"/>
        <v>2</v>
      </c>
    </row>
    <row r="703" spans="1:15">
      <c r="A703" s="104">
        <f t="shared" si="59"/>
        <v>42308</v>
      </c>
      <c r="B703" s="105" t="str">
        <f t="shared" si="63"/>
        <v>Sat</v>
      </c>
      <c r="C703" s="105" t="s">
        <v>933</v>
      </c>
      <c r="D703" s="105" t="str">
        <f t="shared" si="60"/>
        <v>FW39</v>
      </c>
      <c r="E703" s="105" t="s">
        <v>233</v>
      </c>
      <c r="F703" s="105" t="s">
        <v>994</v>
      </c>
      <c r="G703" s="105"/>
      <c r="H703" s="105"/>
      <c r="I703" s="117">
        <v>838</v>
      </c>
      <c r="J703" s="117"/>
      <c r="K703" s="117"/>
      <c r="L703" s="118">
        <f t="shared" si="57"/>
        <v>1</v>
      </c>
      <c r="M703" s="118">
        <f t="shared" si="58"/>
        <v>0</v>
      </c>
      <c r="N703" s="58">
        <f t="shared" si="61"/>
        <v>0</v>
      </c>
      <c r="O703" s="58">
        <f t="shared" si="62"/>
        <v>1</v>
      </c>
    </row>
    <row r="704" spans="1:15">
      <c r="A704" s="145">
        <f>A703+1</f>
        <v>42309</v>
      </c>
      <c r="B704" s="105" t="str">
        <f t="shared" si="63"/>
        <v>Sun</v>
      </c>
      <c r="C704" s="105" t="s">
        <v>982</v>
      </c>
      <c r="D704" s="105" t="str">
        <f t="shared" si="60"/>
        <v>FW40</v>
      </c>
      <c r="E704" s="105" t="s">
        <v>233</v>
      </c>
      <c r="F704" s="105" t="s">
        <v>994</v>
      </c>
      <c r="G704" s="105" t="s">
        <v>994</v>
      </c>
      <c r="H704" s="105"/>
      <c r="I704" s="117">
        <v>882</v>
      </c>
      <c r="J704" s="117"/>
      <c r="K704" s="117"/>
      <c r="L704" s="118">
        <f t="shared" ref="L704:L738" si="64">IF(E704=$L$1,0,1)</f>
        <v>1</v>
      </c>
      <c r="M704" s="118">
        <f t="shared" ref="M704:M738" si="65">IF(ISBLANK(G704),0,1)</f>
        <v>1</v>
      </c>
      <c r="N704" s="58">
        <f t="shared" ref="N704:N738" si="66">IF(ISBLANK(H704),0,1)</f>
        <v>0</v>
      </c>
      <c r="O704" s="58">
        <f t="shared" ref="O704:O738" si="67">SUM(L704:N704)</f>
        <v>2</v>
      </c>
    </row>
    <row r="705" spans="1:15">
      <c r="A705" s="104">
        <f t="shared" ref="A705:A768" si="68">A704+1</f>
        <v>42310</v>
      </c>
      <c r="B705" s="105" t="str">
        <f t="shared" si="63"/>
        <v>Mon</v>
      </c>
      <c r="C705" s="105" t="s">
        <v>982</v>
      </c>
      <c r="D705" s="105" t="str">
        <f t="shared" si="60"/>
        <v>FW40</v>
      </c>
      <c r="E705" s="105" t="s">
        <v>484</v>
      </c>
      <c r="F705" s="105" t="s">
        <v>1024</v>
      </c>
      <c r="G705" s="105"/>
      <c r="H705" s="105"/>
      <c r="I705" s="117">
        <v>1310</v>
      </c>
      <c r="J705" s="117"/>
      <c r="K705" s="117"/>
      <c r="L705" s="118">
        <f t="shared" si="64"/>
        <v>1</v>
      </c>
      <c r="M705" s="118">
        <f t="shared" si="65"/>
        <v>0</v>
      </c>
      <c r="N705" s="58">
        <f t="shared" si="66"/>
        <v>0</v>
      </c>
      <c r="O705" s="58">
        <f t="shared" si="67"/>
        <v>1</v>
      </c>
    </row>
    <row r="706" spans="1:15">
      <c r="A706" s="104">
        <f t="shared" si="68"/>
        <v>42311</v>
      </c>
      <c r="B706" s="105" t="str">
        <f t="shared" si="63"/>
        <v>Tue</v>
      </c>
      <c r="C706" s="105" t="s">
        <v>982</v>
      </c>
      <c r="D706" s="105" t="str">
        <f t="shared" si="60"/>
        <v>FW40</v>
      </c>
      <c r="E706" s="105" t="s">
        <v>165</v>
      </c>
      <c r="F706" s="105" t="s">
        <v>1025</v>
      </c>
      <c r="G706" s="105"/>
      <c r="H706" s="105"/>
      <c r="I706" s="117">
        <v>1121</v>
      </c>
      <c r="J706" s="117"/>
      <c r="K706" s="117"/>
      <c r="L706" s="118">
        <f t="shared" si="64"/>
        <v>1</v>
      </c>
      <c r="M706" s="118">
        <f t="shared" si="65"/>
        <v>0</v>
      </c>
      <c r="N706" s="58">
        <f t="shared" si="66"/>
        <v>0</v>
      </c>
      <c r="O706" s="58">
        <f t="shared" si="67"/>
        <v>1</v>
      </c>
    </row>
    <row r="707" spans="1:15">
      <c r="A707" s="104">
        <f t="shared" si="68"/>
        <v>42312</v>
      </c>
      <c r="B707" s="105" t="str">
        <f t="shared" si="63"/>
        <v>Wed</v>
      </c>
      <c r="C707" s="105" t="s">
        <v>982</v>
      </c>
      <c r="D707" s="105" t="str">
        <f t="shared" si="60"/>
        <v>FW40</v>
      </c>
      <c r="E707" s="105" t="s">
        <v>484</v>
      </c>
      <c r="F707" s="105" t="s">
        <v>1024</v>
      </c>
      <c r="G707" s="105"/>
      <c r="H707" s="105"/>
      <c r="I707" s="117">
        <v>1144</v>
      </c>
      <c r="J707" s="117"/>
      <c r="K707" s="117"/>
      <c r="L707" s="118">
        <f t="shared" si="64"/>
        <v>1</v>
      </c>
      <c r="M707" s="118">
        <f t="shared" si="65"/>
        <v>0</v>
      </c>
      <c r="N707" s="58">
        <f t="shared" si="66"/>
        <v>0</v>
      </c>
      <c r="O707" s="58">
        <f t="shared" si="67"/>
        <v>1</v>
      </c>
    </row>
    <row r="708" spans="1:15">
      <c r="A708" s="104">
        <f t="shared" si="68"/>
        <v>42313</v>
      </c>
      <c r="B708" s="105" t="str">
        <f t="shared" si="63"/>
        <v>Thu</v>
      </c>
      <c r="C708" s="105" t="s">
        <v>982</v>
      </c>
      <c r="D708" s="105" t="str">
        <f t="shared" si="60"/>
        <v>FW40</v>
      </c>
      <c r="E708" s="105" t="s">
        <v>10</v>
      </c>
      <c r="F708" s="105" t="s">
        <v>10</v>
      </c>
      <c r="G708" s="105"/>
      <c r="H708" s="105"/>
      <c r="I708" s="117">
        <v>1212</v>
      </c>
      <c r="J708" s="117"/>
      <c r="K708" s="117"/>
      <c r="L708" s="118">
        <f t="shared" si="64"/>
        <v>0</v>
      </c>
      <c r="M708" s="118">
        <f t="shared" si="65"/>
        <v>0</v>
      </c>
      <c r="N708" s="58">
        <f t="shared" si="66"/>
        <v>0</v>
      </c>
      <c r="O708" s="58">
        <f t="shared" si="67"/>
        <v>0</v>
      </c>
    </row>
    <row r="709" spans="1:15">
      <c r="A709" s="104">
        <f t="shared" si="68"/>
        <v>42314</v>
      </c>
      <c r="B709" s="105" t="str">
        <f t="shared" si="63"/>
        <v>Fri</v>
      </c>
      <c r="C709" s="105" t="s">
        <v>982</v>
      </c>
      <c r="D709" s="105" t="str">
        <f t="shared" si="60"/>
        <v>FW40</v>
      </c>
      <c r="E709" s="105" t="s">
        <v>612</v>
      </c>
      <c r="F709" s="105" t="s">
        <v>1026</v>
      </c>
      <c r="G709" s="105"/>
      <c r="H709" s="105"/>
      <c r="I709" s="117">
        <v>1240</v>
      </c>
      <c r="J709" s="117"/>
      <c r="K709" s="117"/>
      <c r="L709" s="118">
        <f t="shared" si="64"/>
        <v>1</v>
      </c>
      <c r="M709" s="118">
        <f t="shared" si="65"/>
        <v>0</v>
      </c>
      <c r="N709" s="58">
        <f t="shared" si="66"/>
        <v>0</v>
      </c>
      <c r="O709" s="58">
        <f t="shared" si="67"/>
        <v>1</v>
      </c>
    </row>
    <row r="710" spans="1:15">
      <c r="A710" s="104">
        <f t="shared" si="68"/>
        <v>42315</v>
      </c>
      <c r="B710" s="105" t="str">
        <f t="shared" si="63"/>
        <v>Sat</v>
      </c>
      <c r="C710" s="105" t="s">
        <v>982</v>
      </c>
      <c r="D710" s="105" t="str">
        <f t="shared" si="60"/>
        <v>FW40</v>
      </c>
      <c r="E710" s="105" t="s">
        <v>78</v>
      </c>
      <c r="F710" s="105" t="s">
        <v>1027</v>
      </c>
      <c r="G710" s="105" t="s">
        <v>1027</v>
      </c>
      <c r="H710" s="105"/>
      <c r="I710" s="117">
        <v>937</v>
      </c>
      <c r="J710" s="117"/>
      <c r="K710" s="117"/>
      <c r="L710" s="118">
        <f t="shared" si="64"/>
        <v>1</v>
      </c>
      <c r="M710" s="118">
        <f t="shared" si="65"/>
        <v>1</v>
      </c>
      <c r="N710" s="58">
        <f t="shared" si="66"/>
        <v>0</v>
      </c>
      <c r="O710" s="58">
        <f t="shared" si="67"/>
        <v>2</v>
      </c>
    </row>
    <row r="711" spans="1:15">
      <c r="A711" s="104">
        <f t="shared" si="68"/>
        <v>42316</v>
      </c>
      <c r="B711" s="105" t="str">
        <f t="shared" si="63"/>
        <v>Sun</v>
      </c>
      <c r="C711" s="105" t="s">
        <v>982</v>
      </c>
      <c r="D711" s="105" t="str">
        <f t="shared" si="60"/>
        <v>FW41</v>
      </c>
      <c r="E711" s="105" t="s">
        <v>78</v>
      </c>
      <c r="F711" s="105" t="s">
        <v>1027</v>
      </c>
      <c r="G711" s="105" t="s">
        <v>1044</v>
      </c>
      <c r="H711" s="105"/>
      <c r="I711" s="117">
        <v>859</v>
      </c>
      <c r="J711" s="117"/>
      <c r="K711" s="117"/>
      <c r="L711" s="118">
        <f t="shared" si="64"/>
        <v>1</v>
      </c>
      <c r="M711" s="118">
        <f t="shared" si="65"/>
        <v>1</v>
      </c>
      <c r="N711" s="58">
        <f t="shared" si="66"/>
        <v>0</v>
      </c>
      <c r="O711" s="58">
        <f t="shared" si="67"/>
        <v>2</v>
      </c>
    </row>
    <row r="712" spans="1:15">
      <c r="A712" s="104">
        <f t="shared" si="68"/>
        <v>42317</v>
      </c>
      <c r="B712" s="105" t="str">
        <f t="shared" si="63"/>
        <v>Mon</v>
      </c>
      <c r="C712" s="105" t="s">
        <v>982</v>
      </c>
      <c r="D712" s="105" t="str">
        <f t="shared" si="60"/>
        <v>FW41</v>
      </c>
      <c r="E712" s="105" t="s">
        <v>48</v>
      </c>
      <c r="F712" s="105" t="s">
        <v>1028</v>
      </c>
      <c r="G712" s="105" t="s">
        <v>1045</v>
      </c>
      <c r="H712" s="105"/>
      <c r="I712" s="117">
        <v>1514</v>
      </c>
      <c r="J712" s="117"/>
      <c r="K712" s="117"/>
      <c r="L712" s="118">
        <f t="shared" si="64"/>
        <v>1</v>
      </c>
      <c r="M712" s="118">
        <f t="shared" si="65"/>
        <v>1</v>
      </c>
      <c r="N712" s="58">
        <f t="shared" si="66"/>
        <v>0</v>
      </c>
      <c r="O712" s="58">
        <f t="shared" si="67"/>
        <v>2</v>
      </c>
    </row>
    <row r="713" spans="1:15">
      <c r="A713" s="104">
        <f t="shared" si="68"/>
        <v>42318</v>
      </c>
      <c r="B713" s="105" t="str">
        <f t="shared" si="63"/>
        <v>Tue</v>
      </c>
      <c r="C713" s="105" t="s">
        <v>982</v>
      </c>
      <c r="D713" s="105" t="str">
        <f t="shared" si="60"/>
        <v>FW41</v>
      </c>
      <c r="E713" s="105" t="s">
        <v>48</v>
      </c>
      <c r="F713" s="105" t="s">
        <v>968</v>
      </c>
      <c r="G713" s="105" t="s">
        <v>1046</v>
      </c>
      <c r="H713" s="105"/>
      <c r="I713" s="117">
        <v>1537</v>
      </c>
      <c r="J713" s="117"/>
      <c r="K713" s="117"/>
      <c r="L713" s="118">
        <f t="shared" si="64"/>
        <v>1</v>
      </c>
      <c r="M713" s="118">
        <f t="shared" si="65"/>
        <v>1</v>
      </c>
      <c r="N713" s="58">
        <f t="shared" si="66"/>
        <v>0</v>
      </c>
      <c r="O713" s="58">
        <f t="shared" si="67"/>
        <v>2</v>
      </c>
    </row>
    <row r="714" spans="1:15">
      <c r="A714" s="104">
        <f t="shared" si="68"/>
        <v>42319</v>
      </c>
      <c r="B714" s="105" t="str">
        <f t="shared" si="63"/>
        <v>Wed</v>
      </c>
      <c r="C714" s="105" t="s">
        <v>982</v>
      </c>
      <c r="D714" s="105" t="str">
        <f t="shared" si="60"/>
        <v>FW41</v>
      </c>
      <c r="E714" s="105" t="s">
        <v>17</v>
      </c>
      <c r="F714" s="105" t="s">
        <v>1029</v>
      </c>
      <c r="G714" s="105" t="s">
        <v>1029</v>
      </c>
      <c r="H714" s="105"/>
      <c r="I714" s="117">
        <v>1661</v>
      </c>
      <c r="J714" s="117"/>
      <c r="K714" s="117"/>
      <c r="L714" s="118">
        <f t="shared" si="64"/>
        <v>1</v>
      </c>
      <c r="M714" s="118">
        <f t="shared" si="65"/>
        <v>1</v>
      </c>
      <c r="N714" s="58">
        <f t="shared" si="66"/>
        <v>0</v>
      </c>
      <c r="O714" s="58">
        <f t="shared" si="67"/>
        <v>2</v>
      </c>
    </row>
    <row r="715" spans="1:15">
      <c r="A715" s="104">
        <f t="shared" si="68"/>
        <v>42320</v>
      </c>
      <c r="B715" s="105" t="str">
        <f t="shared" si="63"/>
        <v>Thu</v>
      </c>
      <c r="C715" s="105" t="s">
        <v>982</v>
      </c>
      <c r="D715" s="105" t="str">
        <f t="shared" si="60"/>
        <v>FW41</v>
      </c>
      <c r="E715" s="105" t="s">
        <v>17</v>
      </c>
      <c r="F715" s="105" t="s">
        <v>1030</v>
      </c>
      <c r="G715" s="105"/>
      <c r="H715" s="105"/>
      <c r="I715" s="117">
        <v>1244</v>
      </c>
      <c r="J715" s="117"/>
      <c r="K715" s="117"/>
      <c r="L715" s="118">
        <f t="shared" si="64"/>
        <v>1</v>
      </c>
      <c r="M715" s="118">
        <f t="shared" si="65"/>
        <v>0</v>
      </c>
      <c r="N715" s="58">
        <f t="shared" si="66"/>
        <v>0</v>
      </c>
      <c r="O715" s="58">
        <f t="shared" si="67"/>
        <v>1</v>
      </c>
    </row>
    <row r="716" spans="1:15">
      <c r="A716" s="104">
        <f t="shared" si="68"/>
        <v>42321</v>
      </c>
      <c r="B716" s="105" t="str">
        <f t="shared" si="63"/>
        <v>Fri</v>
      </c>
      <c r="C716" s="105" t="s">
        <v>982</v>
      </c>
      <c r="D716" s="105" t="str">
        <f t="shared" si="60"/>
        <v>FW41</v>
      </c>
      <c r="E716" s="105" t="s">
        <v>238</v>
      </c>
      <c r="F716" s="105" t="s">
        <v>1031</v>
      </c>
      <c r="G716" s="105" t="s">
        <v>1031</v>
      </c>
      <c r="H716" s="105"/>
      <c r="I716" s="117">
        <v>1139</v>
      </c>
      <c r="J716" s="117"/>
      <c r="K716" s="117"/>
      <c r="L716" s="118">
        <f t="shared" si="64"/>
        <v>1</v>
      </c>
      <c r="M716" s="118">
        <f t="shared" si="65"/>
        <v>1</v>
      </c>
      <c r="N716" s="58">
        <f t="shared" si="66"/>
        <v>0</v>
      </c>
      <c r="O716" s="58">
        <f t="shared" si="67"/>
        <v>2</v>
      </c>
    </row>
    <row r="717" spans="1:15">
      <c r="A717" s="104">
        <f t="shared" si="68"/>
        <v>42322</v>
      </c>
      <c r="B717" s="105" t="str">
        <f t="shared" si="63"/>
        <v>Sat</v>
      </c>
      <c r="C717" s="105" t="s">
        <v>982</v>
      </c>
      <c r="D717" s="105" t="str">
        <f t="shared" si="60"/>
        <v>FW41</v>
      </c>
      <c r="E717" s="105" t="s">
        <v>165</v>
      </c>
      <c r="F717" s="105" t="s">
        <v>1032</v>
      </c>
      <c r="G717" s="105" t="s">
        <v>1047</v>
      </c>
      <c r="H717" s="105"/>
      <c r="I717" s="117">
        <v>912</v>
      </c>
      <c r="J717" s="117"/>
      <c r="K717" s="117"/>
      <c r="L717" s="118">
        <f t="shared" si="64"/>
        <v>1</v>
      </c>
      <c r="M717" s="118">
        <f t="shared" si="65"/>
        <v>1</v>
      </c>
      <c r="N717" s="58">
        <f t="shared" si="66"/>
        <v>0</v>
      </c>
      <c r="O717" s="58">
        <f t="shared" si="67"/>
        <v>2</v>
      </c>
    </row>
    <row r="718" spans="1:15">
      <c r="A718" s="104">
        <f t="shared" si="68"/>
        <v>42323</v>
      </c>
      <c r="B718" s="105" t="str">
        <f t="shared" si="63"/>
        <v>Sun</v>
      </c>
      <c r="C718" s="105" t="s">
        <v>982</v>
      </c>
      <c r="D718" s="105" t="str">
        <f t="shared" si="60"/>
        <v>FW42</v>
      </c>
      <c r="E718" s="105" t="s">
        <v>212</v>
      </c>
      <c r="F718" s="105" t="s">
        <v>1033</v>
      </c>
      <c r="G718" s="105" t="s">
        <v>1048</v>
      </c>
      <c r="H718" s="105"/>
      <c r="I718" s="117">
        <v>706</v>
      </c>
      <c r="J718" s="117"/>
      <c r="K718" s="117"/>
      <c r="L718" s="118">
        <f t="shared" si="64"/>
        <v>1</v>
      </c>
      <c r="M718" s="118">
        <f t="shared" si="65"/>
        <v>1</v>
      </c>
      <c r="N718" s="58">
        <f t="shared" si="66"/>
        <v>0</v>
      </c>
      <c r="O718" s="58">
        <f t="shared" si="67"/>
        <v>2</v>
      </c>
    </row>
    <row r="719" spans="1:15">
      <c r="A719" s="104">
        <f t="shared" si="68"/>
        <v>42324</v>
      </c>
      <c r="B719" s="105" t="str">
        <f t="shared" si="63"/>
        <v>Mon</v>
      </c>
      <c r="C719" s="105" t="s">
        <v>982</v>
      </c>
      <c r="D719" s="105" t="str">
        <f t="shared" si="60"/>
        <v>FW42</v>
      </c>
      <c r="E719" s="105" t="s">
        <v>212</v>
      </c>
      <c r="F719" s="105" t="s">
        <v>1034</v>
      </c>
      <c r="G719" s="105"/>
      <c r="H719" s="105"/>
      <c r="I719" s="117">
        <v>1331</v>
      </c>
      <c r="J719" s="117"/>
      <c r="K719" s="117"/>
      <c r="L719" s="118">
        <f t="shared" si="64"/>
        <v>1</v>
      </c>
      <c r="M719" s="118">
        <f t="shared" si="65"/>
        <v>0</v>
      </c>
      <c r="N719" s="58">
        <f t="shared" si="66"/>
        <v>0</v>
      </c>
      <c r="O719" s="58">
        <f t="shared" si="67"/>
        <v>1</v>
      </c>
    </row>
    <row r="720" spans="1:15">
      <c r="A720" s="104">
        <f t="shared" si="68"/>
        <v>42325</v>
      </c>
      <c r="B720" s="105" t="str">
        <f t="shared" si="63"/>
        <v>Tue</v>
      </c>
      <c r="C720" s="105" t="s">
        <v>982</v>
      </c>
      <c r="D720" s="105" t="str">
        <f t="shared" si="60"/>
        <v>FW42</v>
      </c>
      <c r="E720" s="105" t="s">
        <v>212</v>
      </c>
      <c r="F720" s="105" t="s">
        <v>1033</v>
      </c>
      <c r="G720" s="105"/>
      <c r="H720" s="105"/>
      <c r="I720" s="117">
        <v>1060</v>
      </c>
      <c r="J720" s="117"/>
      <c r="K720" s="117"/>
      <c r="L720" s="118">
        <f t="shared" si="64"/>
        <v>1</v>
      </c>
      <c r="M720" s="118">
        <f t="shared" si="65"/>
        <v>0</v>
      </c>
      <c r="N720" s="58">
        <f t="shared" si="66"/>
        <v>0</v>
      </c>
      <c r="O720" s="58">
        <f t="shared" si="67"/>
        <v>1</v>
      </c>
    </row>
    <row r="721" spans="1:15">
      <c r="A721" s="104">
        <f t="shared" si="68"/>
        <v>42326</v>
      </c>
      <c r="B721" s="105" t="str">
        <f t="shared" si="63"/>
        <v>Wed</v>
      </c>
      <c r="C721" s="105" t="s">
        <v>982</v>
      </c>
      <c r="D721" s="105" t="str">
        <f t="shared" si="60"/>
        <v>FW42</v>
      </c>
      <c r="E721" s="105" t="s">
        <v>212</v>
      </c>
      <c r="F721" s="105" t="s">
        <v>1033</v>
      </c>
      <c r="G721" s="105"/>
      <c r="H721" s="105"/>
      <c r="I721" s="117">
        <v>1052</v>
      </c>
      <c r="J721" s="117"/>
      <c r="K721" s="117"/>
      <c r="L721" s="118">
        <f t="shared" si="64"/>
        <v>1</v>
      </c>
      <c r="M721" s="118">
        <f t="shared" si="65"/>
        <v>0</v>
      </c>
      <c r="N721" s="58">
        <f t="shared" si="66"/>
        <v>0</v>
      </c>
      <c r="O721" s="58">
        <f t="shared" si="67"/>
        <v>1</v>
      </c>
    </row>
    <row r="722" spans="1:15">
      <c r="A722" s="104">
        <f t="shared" si="68"/>
        <v>42327</v>
      </c>
      <c r="B722" s="105" t="str">
        <f t="shared" si="63"/>
        <v>Thu</v>
      </c>
      <c r="C722" s="105" t="s">
        <v>982</v>
      </c>
      <c r="D722" s="105" t="str">
        <f t="shared" si="60"/>
        <v>FW42</v>
      </c>
      <c r="E722" s="105" t="s">
        <v>212</v>
      </c>
      <c r="F722" s="105" t="s">
        <v>1033</v>
      </c>
      <c r="G722" s="105"/>
      <c r="H722" s="105"/>
      <c r="I722" s="117">
        <v>1143</v>
      </c>
      <c r="J722" s="117"/>
      <c r="K722" s="117"/>
      <c r="L722" s="118">
        <f t="shared" si="64"/>
        <v>1</v>
      </c>
      <c r="M722" s="118">
        <f t="shared" si="65"/>
        <v>0</v>
      </c>
      <c r="N722" s="58">
        <f t="shared" si="66"/>
        <v>0</v>
      </c>
      <c r="O722" s="58">
        <f t="shared" si="67"/>
        <v>1</v>
      </c>
    </row>
    <row r="723" spans="1:15">
      <c r="A723" s="104">
        <f t="shared" si="68"/>
        <v>42328</v>
      </c>
      <c r="B723" s="105" t="str">
        <f t="shared" si="63"/>
        <v>Fri</v>
      </c>
      <c r="C723" s="105" t="s">
        <v>982</v>
      </c>
      <c r="D723" s="105" t="str">
        <f t="shared" si="60"/>
        <v>FW42</v>
      </c>
      <c r="E723" s="105" t="s">
        <v>165</v>
      </c>
      <c r="F723" s="105" t="s">
        <v>1035</v>
      </c>
      <c r="G723" s="105"/>
      <c r="H723" s="105"/>
      <c r="I723" s="117">
        <v>914</v>
      </c>
      <c r="J723" s="117"/>
      <c r="K723" s="117"/>
      <c r="L723" s="118">
        <f t="shared" si="64"/>
        <v>1</v>
      </c>
      <c r="M723" s="118">
        <f t="shared" si="65"/>
        <v>0</v>
      </c>
      <c r="N723" s="58">
        <f t="shared" si="66"/>
        <v>0</v>
      </c>
      <c r="O723" s="58">
        <f t="shared" si="67"/>
        <v>1</v>
      </c>
    </row>
    <row r="724" spans="1:15">
      <c r="A724" s="104">
        <f t="shared" si="68"/>
        <v>42329</v>
      </c>
      <c r="B724" s="105" t="str">
        <f t="shared" si="63"/>
        <v>Sat</v>
      </c>
      <c r="C724" s="105" t="s">
        <v>982</v>
      </c>
      <c r="D724" s="105" t="str">
        <f t="shared" si="60"/>
        <v>FW42</v>
      </c>
      <c r="E724" s="105" t="s">
        <v>725</v>
      </c>
      <c r="F724" s="105" t="s">
        <v>1036</v>
      </c>
      <c r="G724" s="105"/>
      <c r="H724" s="105"/>
      <c r="I724" s="117">
        <v>790</v>
      </c>
      <c r="J724" s="117"/>
      <c r="K724" s="117"/>
      <c r="L724" s="118">
        <f t="shared" si="64"/>
        <v>1</v>
      </c>
      <c r="M724" s="118">
        <f t="shared" si="65"/>
        <v>0</v>
      </c>
      <c r="N724" s="58">
        <f t="shared" si="66"/>
        <v>0</v>
      </c>
      <c r="O724" s="58">
        <f t="shared" si="67"/>
        <v>1</v>
      </c>
    </row>
    <row r="725" spans="1:15">
      <c r="A725" s="104">
        <f t="shared" si="68"/>
        <v>42330</v>
      </c>
      <c r="B725" s="105" t="str">
        <f t="shared" si="63"/>
        <v>Sun</v>
      </c>
      <c r="C725" s="105" t="s">
        <v>982</v>
      </c>
      <c r="D725" s="105" t="str">
        <f t="shared" si="60"/>
        <v>FW43</v>
      </c>
      <c r="E725" s="105" t="s">
        <v>725</v>
      </c>
      <c r="F725" s="105" t="s">
        <v>1037</v>
      </c>
      <c r="G725" s="105" t="s">
        <v>1037</v>
      </c>
      <c r="H725" s="105"/>
      <c r="I725" s="117">
        <v>595</v>
      </c>
      <c r="J725" s="117"/>
      <c r="K725" s="117"/>
      <c r="L725" s="118">
        <f t="shared" si="64"/>
        <v>1</v>
      </c>
      <c r="M725" s="118">
        <f t="shared" si="65"/>
        <v>1</v>
      </c>
      <c r="N725" s="58">
        <f t="shared" si="66"/>
        <v>0</v>
      </c>
      <c r="O725" s="58">
        <f t="shared" si="67"/>
        <v>2</v>
      </c>
    </row>
    <row r="726" spans="1:15">
      <c r="A726" s="104">
        <f t="shared" si="68"/>
        <v>42331</v>
      </c>
      <c r="B726" s="105" t="str">
        <f t="shared" si="63"/>
        <v>Mon</v>
      </c>
      <c r="C726" s="105" t="s">
        <v>982</v>
      </c>
      <c r="D726" s="105" t="str">
        <f t="shared" si="60"/>
        <v>FW43</v>
      </c>
      <c r="E726" s="105" t="s">
        <v>725</v>
      </c>
      <c r="F726" s="105" t="s">
        <v>1037</v>
      </c>
      <c r="G726" s="105"/>
      <c r="H726" s="105"/>
      <c r="I726" s="117">
        <v>1027</v>
      </c>
      <c r="J726" s="117"/>
      <c r="K726" s="117"/>
      <c r="L726" s="118">
        <f t="shared" si="64"/>
        <v>1</v>
      </c>
      <c r="M726" s="118">
        <f t="shared" si="65"/>
        <v>0</v>
      </c>
      <c r="N726" s="58">
        <f t="shared" si="66"/>
        <v>0</v>
      </c>
      <c r="O726" s="58">
        <f t="shared" si="67"/>
        <v>1</v>
      </c>
    </row>
    <row r="727" spans="1:15">
      <c r="A727" s="104">
        <f t="shared" si="68"/>
        <v>42332</v>
      </c>
      <c r="B727" s="105" t="str">
        <f t="shared" si="63"/>
        <v>Tue</v>
      </c>
      <c r="C727" s="105" t="s">
        <v>982</v>
      </c>
      <c r="D727" s="105" t="str">
        <f t="shared" si="60"/>
        <v>FW43</v>
      </c>
      <c r="E727" s="105" t="s">
        <v>725</v>
      </c>
      <c r="F727" s="105" t="s">
        <v>1037</v>
      </c>
      <c r="G727" s="105" t="s">
        <v>1037</v>
      </c>
      <c r="H727" s="105"/>
      <c r="I727" s="117">
        <v>993</v>
      </c>
      <c r="J727" s="117"/>
      <c r="K727" s="117"/>
      <c r="L727" s="118">
        <f t="shared" si="64"/>
        <v>1</v>
      </c>
      <c r="M727" s="118">
        <f t="shared" si="65"/>
        <v>1</v>
      </c>
      <c r="N727" s="58">
        <f t="shared" si="66"/>
        <v>0</v>
      </c>
      <c r="O727" s="58">
        <f t="shared" si="67"/>
        <v>2</v>
      </c>
    </row>
    <row r="728" spans="1:15">
      <c r="A728" s="104">
        <f t="shared" si="68"/>
        <v>42333</v>
      </c>
      <c r="B728" s="105" t="str">
        <f t="shared" si="63"/>
        <v>Wed</v>
      </c>
      <c r="C728" s="105" t="s">
        <v>982</v>
      </c>
      <c r="D728" s="105" t="str">
        <f t="shared" si="60"/>
        <v>FW43</v>
      </c>
      <c r="E728" s="105" t="s">
        <v>725</v>
      </c>
      <c r="F728" s="105" t="s">
        <v>1037</v>
      </c>
      <c r="G728" s="105" t="s">
        <v>1049</v>
      </c>
      <c r="H728" s="105"/>
      <c r="I728" s="117">
        <v>1024</v>
      </c>
      <c r="J728" s="117"/>
      <c r="K728" s="117"/>
      <c r="L728" s="118">
        <f t="shared" si="64"/>
        <v>1</v>
      </c>
      <c r="M728" s="118">
        <f t="shared" si="65"/>
        <v>1</v>
      </c>
      <c r="N728" s="58">
        <f t="shared" si="66"/>
        <v>0</v>
      </c>
      <c r="O728" s="58">
        <f t="shared" si="67"/>
        <v>2</v>
      </c>
    </row>
    <row r="729" spans="1:15">
      <c r="A729" s="104">
        <f t="shared" si="68"/>
        <v>42334</v>
      </c>
      <c r="B729" s="105" t="str">
        <f t="shared" si="63"/>
        <v>Thu</v>
      </c>
      <c r="C729" s="105" t="s">
        <v>982</v>
      </c>
      <c r="D729" s="105" t="str">
        <f t="shared" si="60"/>
        <v>FW43</v>
      </c>
      <c r="E729" s="105" t="s">
        <v>1023</v>
      </c>
      <c r="F729" s="105" t="s">
        <v>1038</v>
      </c>
      <c r="G729" s="105" t="s">
        <v>1038</v>
      </c>
      <c r="H729" s="105"/>
      <c r="I729" s="117">
        <v>466</v>
      </c>
      <c r="J729" s="117"/>
      <c r="K729" s="117"/>
      <c r="L729" s="118">
        <f t="shared" si="64"/>
        <v>1</v>
      </c>
      <c r="M729" s="118">
        <f t="shared" si="65"/>
        <v>1</v>
      </c>
      <c r="N729" s="58">
        <f t="shared" si="66"/>
        <v>0</v>
      </c>
      <c r="O729" s="58">
        <f t="shared" si="67"/>
        <v>2</v>
      </c>
    </row>
    <row r="730" spans="1:15">
      <c r="A730" s="104">
        <f t="shared" si="68"/>
        <v>42335</v>
      </c>
      <c r="B730" s="105" t="str">
        <f t="shared" si="63"/>
        <v>Fri</v>
      </c>
      <c r="C730" s="105" t="s">
        <v>982</v>
      </c>
      <c r="D730" s="105" t="str">
        <f t="shared" si="60"/>
        <v>FW43</v>
      </c>
      <c r="E730" s="105" t="s">
        <v>29</v>
      </c>
      <c r="F730" s="105" t="s">
        <v>1039</v>
      </c>
      <c r="G730" s="105" t="s">
        <v>1039</v>
      </c>
      <c r="H730" s="105"/>
      <c r="I730" s="117">
        <v>1332</v>
      </c>
      <c r="J730" s="117"/>
      <c r="K730" s="117"/>
      <c r="L730" s="118">
        <f t="shared" si="64"/>
        <v>1</v>
      </c>
      <c r="M730" s="118">
        <f t="shared" si="65"/>
        <v>1</v>
      </c>
      <c r="N730" s="58">
        <f t="shared" si="66"/>
        <v>0</v>
      </c>
      <c r="O730" s="58">
        <f t="shared" si="67"/>
        <v>2</v>
      </c>
    </row>
    <row r="731" spans="1:15">
      <c r="A731" s="104">
        <f t="shared" si="68"/>
        <v>42336</v>
      </c>
      <c r="B731" s="105" t="str">
        <f t="shared" si="63"/>
        <v>Sat</v>
      </c>
      <c r="C731" s="105" t="s">
        <v>982</v>
      </c>
      <c r="D731" s="105" t="str">
        <f t="shared" si="60"/>
        <v>FW43</v>
      </c>
      <c r="E731" s="105" t="s">
        <v>29</v>
      </c>
      <c r="F731" s="105" t="s">
        <v>1039</v>
      </c>
      <c r="G731" s="105" t="s">
        <v>1039</v>
      </c>
      <c r="H731" s="105"/>
      <c r="I731" s="117">
        <v>1073</v>
      </c>
      <c r="J731" s="117"/>
      <c r="K731" s="117"/>
      <c r="L731" s="118">
        <f t="shared" si="64"/>
        <v>1</v>
      </c>
      <c r="M731" s="118">
        <f t="shared" si="65"/>
        <v>1</v>
      </c>
      <c r="N731" s="58">
        <f t="shared" si="66"/>
        <v>0</v>
      </c>
      <c r="O731" s="58">
        <f t="shared" si="67"/>
        <v>2</v>
      </c>
    </row>
    <row r="732" spans="1:15">
      <c r="A732" s="104">
        <f t="shared" si="68"/>
        <v>42337</v>
      </c>
      <c r="B732" s="105" t="str">
        <f t="shared" si="63"/>
        <v>Sun</v>
      </c>
      <c r="C732" s="105" t="s">
        <v>1074</v>
      </c>
      <c r="D732" s="105" t="str">
        <f t="shared" si="60"/>
        <v>FW44</v>
      </c>
      <c r="E732" s="105" t="s">
        <v>32</v>
      </c>
      <c r="F732" s="105" t="s">
        <v>1040</v>
      </c>
      <c r="G732" s="105" t="s">
        <v>1040</v>
      </c>
      <c r="H732" s="105"/>
      <c r="I732" s="117">
        <v>841</v>
      </c>
      <c r="J732" s="117"/>
      <c r="K732" s="117"/>
      <c r="L732" s="118">
        <f t="shared" si="64"/>
        <v>1</v>
      </c>
      <c r="M732" s="118">
        <f t="shared" si="65"/>
        <v>1</v>
      </c>
      <c r="N732" s="58">
        <f t="shared" si="66"/>
        <v>0</v>
      </c>
      <c r="O732" s="58">
        <f t="shared" si="67"/>
        <v>2</v>
      </c>
    </row>
    <row r="733" spans="1:15">
      <c r="A733" s="104">
        <f t="shared" si="68"/>
        <v>42338</v>
      </c>
      <c r="B733" s="105" t="str">
        <f t="shared" si="63"/>
        <v>Mon</v>
      </c>
      <c r="C733" s="105" t="s">
        <v>1074</v>
      </c>
      <c r="D733" s="105" t="str">
        <f t="shared" si="60"/>
        <v>FW44</v>
      </c>
      <c r="E733" s="105" t="s">
        <v>32</v>
      </c>
      <c r="F733" s="105" t="s">
        <v>1041</v>
      </c>
      <c r="G733" s="105" t="s">
        <v>1041</v>
      </c>
      <c r="H733" s="105" t="s">
        <v>1041</v>
      </c>
      <c r="I733" s="117">
        <v>2262</v>
      </c>
      <c r="J733" s="117"/>
      <c r="K733" s="117"/>
      <c r="L733" s="118">
        <f t="shared" si="64"/>
        <v>1</v>
      </c>
      <c r="M733" s="118">
        <f t="shared" si="65"/>
        <v>1</v>
      </c>
      <c r="N733" s="58">
        <f t="shared" si="66"/>
        <v>1</v>
      </c>
      <c r="O733" s="58">
        <f t="shared" si="67"/>
        <v>3</v>
      </c>
    </row>
    <row r="734" spans="1:15">
      <c r="A734" s="104">
        <f t="shared" si="68"/>
        <v>42339</v>
      </c>
      <c r="B734" s="105" t="str">
        <f t="shared" si="63"/>
        <v>Tue</v>
      </c>
      <c r="C734" s="105" t="s">
        <v>1074</v>
      </c>
      <c r="D734" s="105" t="str">
        <f t="shared" si="60"/>
        <v>FW44</v>
      </c>
      <c r="E734" s="105" t="s">
        <v>32</v>
      </c>
      <c r="F734" s="105" t="s">
        <v>1042</v>
      </c>
      <c r="G734" s="105"/>
      <c r="H734" s="105"/>
      <c r="I734" s="117">
        <v>1812</v>
      </c>
      <c r="J734" s="117"/>
      <c r="K734" s="117"/>
      <c r="L734" s="118">
        <f t="shared" si="64"/>
        <v>1</v>
      </c>
      <c r="M734" s="118">
        <f t="shared" si="65"/>
        <v>0</v>
      </c>
      <c r="N734" s="58">
        <f t="shared" si="66"/>
        <v>0</v>
      </c>
      <c r="O734" s="58">
        <f t="shared" si="67"/>
        <v>1</v>
      </c>
    </row>
    <row r="735" spans="1:15">
      <c r="A735" s="104">
        <f t="shared" si="68"/>
        <v>42340</v>
      </c>
      <c r="B735" s="105" t="str">
        <f t="shared" si="63"/>
        <v>Wed</v>
      </c>
      <c r="C735" s="105" t="s">
        <v>1074</v>
      </c>
      <c r="D735" s="105" t="str">
        <f t="shared" si="60"/>
        <v>FW44</v>
      </c>
      <c r="E735" s="105" t="s">
        <v>32</v>
      </c>
      <c r="F735" s="105" t="s">
        <v>1043</v>
      </c>
      <c r="G735" s="105" t="s">
        <v>1043</v>
      </c>
      <c r="H735" s="105"/>
      <c r="I735" s="117">
        <v>2040</v>
      </c>
      <c r="J735" s="117"/>
      <c r="K735" s="117"/>
      <c r="L735" s="118">
        <f t="shared" si="64"/>
        <v>1</v>
      </c>
      <c r="M735" s="118">
        <f t="shared" si="65"/>
        <v>1</v>
      </c>
      <c r="N735" s="58">
        <f t="shared" si="66"/>
        <v>0</v>
      </c>
      <c r="O735" s="58">
        <f t="shared" si="67"/>
        <v>2</v>
      </c>
    </row>
    <row r="736" spans="1:15">
      <c r="A736" s="104">
        <f t="shared" si="68"/>
        <v>42341</v>
      </c>
      <c r="B736" s="105" t="str">
        <f t="shared" si="63"/>
        <v>Thu</v>
      </c>
      <c r="C736" s="105" t="s">
        <v>1074</v>
      </c>
      <c r="D736" s="105" t="str">
        <f t="shared" si="60"/>
        <v>FW44</v>
      </c>
      <c r="E736" s="105" t="s">
        <v>32</v>
      </c>
      <c r="F736" s="105" t="s">
        <v>1043</v>
      </c>
      <c r="G736" s="105"/>
      <c r="H736" s="105"/>
      <c r="I736" s="117">
        <v>2059</v>
      </c>
      <c r="J736" s="117"/>
      <c r="K736" s="117"/>
      <c r="L736" s="118">
        <f t="shared" si="64"/>
        <v>1</v>
      </c>
      <c r="M736" s="118">
        <f t="shared" si="65"/>
        <v>0</v>
      </c>
      <c r="N736" s="58">
        <f t="shared" si="66"/>
        <v>0</v>
      </c>
      <c r="O736" s="58">
        <f t="shared" si="67"/>
        <v>1</v>
      </c>
    </row>
    <row r="737" spans="1:15">
      <c r="A737" s="104">
        <f t="shared" si="68"/>
        <v>42342</v>
      </c>
      <c r="B737" s="105" t="str">
        <f t="shared" si="63"/>
        <v>Fri</v>
      </c>
      <c r="C737" s="105" t="s">
        <v>1074</v>
      </c>
      <c r="D737" s="105" t="str">
        <f t="shared" si="60"/>
        <v>FW44</v>
      </c>
      <c r="E737" s="105" t="s">
        <v>32</v>
      </c>
      <c r="F737" s="105" t="s">
        <v>1043</v>
      </c>
      <c r="G737" s="105" t="s">
        <v>1043</v>
      </c>
      <c r="H737" s="105"/>
      <c r="I737" s="117">
        <v>2152</v>
      </c>
      <c r="J737" s="117"/>
      <c r="K737" s="117"/>
      <c r="L737" s="118">
        <f t="shared" si="64"/>
        <v>1</v>
      </c>
      <c r="M737" s="118">
        <f t="shared" si="65"/>
        <v>1</v>
      </c>
      <c r="N737" s="58">
        <f t="shared" si="66"/>
        <v>0</v>
      </c>
      <c r="O737" s="58">
        <f t="shared" si="67"/>
        <v>2</v>
      </c>
    </row>
    <row r="738" spans="1:15">
      <c r="A738" s="104">
        <f t="shared" si="68"/>
        <v>42343</v>
      </c>
      <c r="B738" s="105" t="str">
        <f t="shared" si="63"/>
        <v>Sat</v>
      </c>
      <c r="C738" s="105" t="s">
        <v>1074</v>
      </c>
      <c r="D738" s="105" t="str">
        <f t="shared" si="60"/>
        <v>FW44</v>
      </c>
      <c r="E738" s="105" t="s">
        <v>32</v>
      </c>
      <c r="F738" s="105" t="s">
        <v>1043</v>
      </c>
      <c r="G738" s="105"/>
      <c r="H738" s="105"/>
      <c r="I738" s="117">
        <v>1575</v>
      </c>
      <c r="J738" s="117"/>
      <c r="K738" s="117"/>
      <c r="L738" s="118">
        <f t="shared" si="64"/>
        <v>1</v>
      </c>
      <c r="M738" s="118">
        <f t="shared" si="65"/>
        <v>0</v>
      </c>
      <c r="N738" s="58">
        <f t="shared" si="66"/>
        <v>0</v>
      </c>
      <c r="O738" s="58">
        <f t="shared" si="67"/>
        <v>1</v>
      </c>
    </row>
    <row r="739" spans="1:15">
      <c r="A739" s="104">
        <f t="shared" si="68"/>
        <v>42344</v>
      </c>
      <c r="B739" s="105" t="str">
        <f t="shared" ref="B739:B759" si="69">TEXT(A739,"DDD")</f>
        <v>Sun</v>
      </c>
      <c r="C739" s="105" t="s">
        <v>1074</v>
      </c>
      <c r="D739" s="105" t="str">
        <f t="shared" ref="D739:D759" si="70">IF(B739="Sun",("FW"&amp;RIGHT(D738,2)+1),D738)</f>
        <v>FW45</v>
      </c>
      <c r="E739" s="105" t="s">
        <v>285</v>
      </c>
      <c r="F739" s="105" t="s">
        <v>1051</v>
      </c>
      <c r="G739" s="105" t="s">
        <v>1066</v>
      </c>
      <c r="H739" s="105"/>
      <c r="I739" s="117">
        <v>974</v>
      </c>
      <c r="J739" s="117"/>
      <c r="K739" s="117"/>
      <c r="L739" s="118">
        <f t="shared" ref="L739:L759" si="71">IF(E739=$L$1,0,1)</f>
        <v>1</v>
      </c>
      <c r="M739" s="118">
        <f t="shared" ref="M739:M759" si="72">IF(ISBLANK(G739),0,1)</f>
        <v>1</v>
      </c>
      <c r="N739" s="58">
        <f t="shared" ref="N739:N759" si="73">IF(ISBLANK(H739),0,1)</f>
        <v>0</v>
      </c>
      <c r="O739" s="58">
        <f t="shared" ref="O739:O759" si="74">SUM(L739:N739)</f>
        <v>2</v>
      </c>
    </row>
    <row r="740" spans="1:15">
      <c r="A740" s="104">
        <f t="shared" si="68"/>
        <v>42345</v>
      </c>
      <c r="B740" s="105" t="str">
        <f t="shared" si="69"/>
        <v>Mon</v>
      </c>
      <c r="C740" s="105" t="s">
        <v>1074</v>
      </c>
      <c r="D740" s="105" t="str">
        <f t="shared" si="70"/>
        <v>FW45</v>
      </c>
      <c r="E740" s="105" t="s">
        <v>233</v>
      </c>
      <c r="F740" s="105" t="s">
        <v>1052</v>
      </c>
      <c r="G740" s="105" t="s">
        <v>1052</v>
      </c>
      <c r="H740" s="105"/>
      <c r="I740" s="117">
        <v>1956</v>
      </c>
      <c r="J740" s="117"/>
      <c r="K740" s="117"/>
      <c r="L740" s="118">
        <f t="shared" si="71"/>
        <v>1</v>
      </c>
      <c r="M740" s="118">
        <f t="shared" si="72"/>
        <v>1</v>
      </c>
      <c r="N740" s="58">
        <f t="shared" si="73"/>
        <v>0</v>
      </c>
      <c r="O740" s="58">
        <f t="shared" si="74"/>
        <v>2</v>
      </c>
    </row>
    <row r="741" spans="1:15">
      <c r="A741" s="104">
        <f t="shared" si="68"/>
        <v>42346</v>
      </c>
      <c r="B741" s="105" t="str">
        <f t="shared" si="69"/>
        <v>Tue</v>
      </c>
      <c r="C741" s="105" t="s">
        <v>1074</v>
      </c>
      <c r="D741" s="105" t="str">
        <f t="shared" si="70"/>
        <v>FW45</v>
      </c>
      <c r="E741" s="105" t="s">
        <v>233</v>
      </c>
      <c r="F741" s="105" t="s">
        <v>1053</v>
      </c>
      <c r="G741" s="105"/>
      <c r="H741" s="105"/>
      <c r="I741" s="117">
        <v>2020</v>
      </c>
      <c r="J741" s="117"/>
      <c r="K741" s="117"/>
      <c r="L741" s="118">
        <f t="shared" si="71"/>
        <v>1</v>
      </c>
      <c r="M741" s="118">
        <f t="shared" si="72"/>
        <v>0</v>
      </c>
      <c r="N741" s="58">
        <f t="shared" si="73"/>
        <v>0</v>
      </c>
      <c r="O741" s="58">
        <f t="shared" si="74"/>
        <v>1</v>
      </c>
    </row>
    <row r="742" spans="1:15">
      <c r="A742" s="104">
        <f t="shared" si="68"/>
        <v>42347</v>
      </c>
      <c r="B742" s="105" t="str">
        <f t="shared" si="69"/>
        <v>Wed</v>
      </c>
      <c r="C742" s="105" t="s">
        <v>1074</v>
      </c>
      <c r="D742" s="105" t="str">
        <f t="shared" si="70"/>
        <v>FW45</v>
      </c>
      <c r="E742" s="105" t="s">
        <v>233</v>
      </c>
      <c r="F742" s="105" t="s">
        <v>1054</v>
      </c>
      <c r="G742" s="105" t="s">
        <v>1067</v>
      </c>
      <c r="H742" s="105"/>
      <c r="I742" s="117">
        <v>1997</v>
      </c>
      <c r="J742" s="117"/>
      <c r="K742" s="117"/>
      <c r="L742" s="118">
        <f t="shared" si="71"/>
        <v>1</v>
      </c>
      <c r="M742" s="118">
        <f t="shared" si="72"/>
        <v>1</v>
      </c>
      <c r="N742" s="58">
        <f t="shared" si="73"/>
        <v>0</v>
      </c>
      <c r="O742" s="58">
        <f t="shared" si="74"/>
        <v>2</v>
      </c>
    </row>
    <row r="743" spans="1:15">
      <c r="A743" s="104">
        <f t="shared" si="68"/>
        <v>42348</v>
      </c>
      <c r="B743" s="105" t="str">
        <f t="shared" si="69"/>
        <v>Thu</v>
      </c>
      <c r="C743" s="105" t="s">
        <v>1074</v>
      </c>
      <c r="D743" s="105" t="str">
        <f t="shared" si="70"/>
        <v>FW45</v>
      </c>
      <c r="E743" s="105" t="s">
        <v>612</v>
      </c>
      <c r="F743" s="105" t="s">
        <v>1055</v>
      </c>
      <c r="G743" s="105"/>
      <c r="H743" s="105"/>
      <c r="I743" s="117">
        <v>1986</v>
      </c>
      <c r="J743" s="117"/>
      <c r="K743" s="117"/>
      <c r="L743" s="118">
        <f t="shared" si="71"/>
        <v>1</v>
      </c>
      <c r="M743" s="118">
        <f t="shared" si="72"/>
        <v>0</v>
      </c>
      <c r="N743" s="58">
        <f t="shared" si="73"/>
        <v>0</v>
      </c>
      <c r="O743" s="58">
        <f t="shared" si="74"/>
        <v>1</v>
      </c>
    </row>
    <row r="744" spans="1:15">
      <c r="A744" s="104">
        <f t="shared" si="68"/>
        <v>42349</v>
      </c>
      <c r="B744" s="105" t="str">
        <f t="shared" si="69"/>
        <v>Fri</v>
      </c>
      <c r="C744" s="105" t="s">
        <v>1074</v>
      </c>
      <c r="D744" s="105" t="str">
        <f t="shared" si="70"/>
        <v>FW45</v>
      </c>
      <c r="E744" s="105" t="s">
        <v>612</v>
      </c>
      <c r="F744" s="105" t="s">
        <v>1055</v>
      </c>
      <c r="G744" s="105" t="s">
        <v>1055</v>
      </c>
      <c r="H744" s="105"/>
      <c r="I744" s="117">
        <v>1932</v>
      </c>
      <c r="J744" s="117"/>
      <c r="K744" s="117"/>
      <c r="L744" s="118">
        <f t="shared" si="71"/>
        <v>1</v>
      </c>
      <c r="M744" s="118">
        <f t="shared" si="72"/>
        <v>1</v>
      </c>
      <c r="N744" s="58">
        <f t="shared" si="73"/>
        <v>0</v>
      </c>
      <c r="O744" s="58">
        <f t="shared" si="74"/>
        <v>2</v>
      </c>
    </row>
    <row r="745" spans="1:15">
      <c r="A745" s="104">
        <f t="shared" si="68"/>
        <v>42350</v>
      </c>
      <c r="B745" s="105" t="str">
        <f t="shared" si="69"/>
        <v>Sat</v>
      </c>
      <c r="C745" s="105" t="s">
        <v>1074</v>
      </c>
      <c r="D745" s="105" t="str">
        <f t="shared" si="70"/>
        <v>FW45</v>
      </c>
      <c r="E745" s="105" t="s">
        <v>612</v>
      </c>
      <c r="F745" s="105" t="s">
        <v>1055</v>
      </c>
      <c r="G745" s="105" t="s">
        <v>1068</v>
      </c>
      <c r="H745" s="105"/>
      <c r="I745" s="117">
        <v>1458</v>
      </c>
      <c r="J745" s="117"/>
      <c r="K745" s="117"/>
      <c r="L745" s="118">
        <f t="shared" si="71"/>
        <v>1</v>
      </c>
      <c r="M745" s="118">
        <f t="shared" si="72"/>
        <v>1</v>
      </c>
      <c r="N745" s="58">
        <f t="shared" si="73"/>
        <v>0</v>
      </c>
      <c r="O745" s="58">
        <f t="shared" si="74"/>
        <v>2</v>
      </c>
    </row>
    <row r="746" spans="1:15">
      <c r="A746" s="104">
        <f t="shared" si="68"/>
        <v>42351</v>
      </c>
      <c r="B746" s="105" t="str">
        <f t="shared" si="69"/>
        <v>Sun</v>
      </c>
      <c r="C746" s="105" t="s">
        <v>1074</v>
      </c>
      <c r="D746" s="105" t="str">
        <f t="shared" si="70"/>
        <v>FW46</v>
      </c>
      <c r="E746" s="105" t="s">
        <v>233</v>
      </c>
      <c r="F746" s="105" t="s">
        <v>1056</v>
      </c>
      <c r="G746" s="105" t="s">
        <v>1056</v>
      </c>
      <c r="H746" s="105"/>
      <c r="I746" s="117">
        <v>1136</v>
      </c>
      <c r="J746" s="117"/>
      <c r="K746" s="117"/>
      <c r="L746" s="118">
        <f t="shared" si="71"/>
        <v>1</v>
      </c>
      <c r="M746" s="118">
        <f t="shared" si="72"/>
        <v>1</v>
      </c>
      <c r="N746" s="58">
        <f t="shared" si="73"/>
        <v>0</v>
      </c>
      <c r="O746" s="58">
        <f t="shared" si="74"/>
        <v>2</v>
      </c>
    </row>
    <row r="747" spans="1:15">
      <c r="A747" s="104">
        <f t="shared" si="68"/>
        <v>42352</v>
      </c>
      <c r="B747" s="105" t="str">
        <f t="shared" si="69"/>
        <v>Mon</v>
      </c>
      <c r="C747" s="105" t="s">
        <v>1074</v>
      </c>
      <c r="D747" s="105" t="str">
        <f t="shared" si="70"/>
        <v>FW46</v>
      </c>
      <c r="E747" s="105" t="s">
        <v>233</v>
      </c>
      <c r="F747" s="105" t="s">
        <v>1057</v>
      </c>
      <c r="G747" s="105"/>
      <c r="H747" s="105"/>
      <c r="I747" s="117">
        <v>2441</v>
      </c>
      <c r="J747" s="117"/>
      <c r="K747" s="117"/>
      <c r="L747" s="118">
        <f t="shared" si="71"/>
        <v>1</v>
      </c>
      <c r="M747" s="118">
        <f t="shared" si="72"/>
        <v>0</v>
      </c>
      <c r="N747" s="58">
        <f t="shared" si="73"/>
        <v>0</v>
      </c>
      <c r="O747" s="58">
        <f t="shared" si="74"/>
        <v>1</v>
      </c>
    </row>
    <row r="748" spans="1:15">
      <c r="A748" s="104">
        <f t="shared" si="68"/>
        <v>42353</v>
      </c>
      <c r="B748" s="105" t="str">
        <f t="shared" si="69"/>
        <v>Tue</v>
      </c>
      <c r="C748" s="105" t="s">
        <v>1074</v>
      </c>
      <c r="D748" s="105" t="str">
        <f t="shared" si="70"/>
        <v>FW46</v>
      </c>
      <c r="E748" s="105" t="s">
        <v>165</v>
      </c>
      <c r="F748" s="105" t="s">
        <v>1058</v>
      </c>
      <c r="G748" s="105"/>
      <c r="H748" s="105"/>
      <c r="I748" s="117">
        <v>3027</v>
      </c>
      <c r="J748" s="117"/>
      <c r="K748" s="117"/>
      <c r="L748" s="118">
        <f t="shared" si="71"/>
        <v>1</v>
      </c>
      <c r="M748" s="118">
        <f t="shared" si="72"/>
        <v>0</v>
      </c>
      <c r="N748" s="58">
        <f t="shared" si="73"/>
        <v>0</v>
      </c>
      <c r="O748" s="58">
        <f t="shared" si="74"/>
        <v>1</v>
      </c>
    </row>
    <row r="749" spans="1:15">
      <c r="A749" s="104">
        <f t="shared" si="68"/>
        <v>42354</v>
      </c>
      <c r="B749" s="105" t="str">
        <f t="shared" si="69"/>
        <v>Wed</v>
      </c>
      <c r="C749" s="105" t="s">
        <v>1074</v>
      </c>
      <c r="D749" s="105" t="str">
        <f t="shared" si="70"/>
        <v>FW46</v>
      </c>
      <c r="E749" s="105" t="s">
        <v>10</v>
      </c>
      <c r="F749" s="105" t="s">
        <v>10</v>
      </c>
      <c r="G749" s="105" t="s">
        <v>10</v>
      </c>
      <c r="H749" s="105"/>
      <c r="I749" s="117">
        <v>3698</v>
      </c>
      <c r="J749" s="117"/>
      <c r="K749" s="117"/>
      <c r="L749" s="118">
        <f t="shared" si="71"/>
        <v>0</v>
      </c>
      <c r="M749" s="118">
        <f t="shared" si="72"/>
        <v>1</v>
      </c>
      <c r="N749" s="58">
        <f t="shared" si="73"/>
        <v>0</v>
      </c>
      <c r="O749" s="58">
        <f t="shared" si="74"/>
        <v>1</v>
      </c>
    </row>
    <row r="750" spans="1:15">
      <c r="A750" s="104">
        <f t="shared" si="68"/>
        <v>42355</v>
      </c>
      <c r="B750" s="105" t="str">
        <f t="shared" si="69"/>
        <v>Thu</v>
      </c>
      <c r="C750" s="105" t="s">
        <v>1074</v>
      </c>
      <c r="D750" s="105" t="str">
        <f t="shared" si="70"/>
        <v>FW46</v>
      </c>
      <c r="E750" s="105" t="s">
        <v>191</v>
      </c>
      <c r="F750" s="105" t="s">
        <v>1059</v>
      </c>
      <c r="G750" s="105" t="s">
        <v>1069</v>
      </c>
      <c r="H750" s="105"/>
      <c r="I750" s="117">
        <v>3176</v>
      </c>
      <c r="J750" s="117"/>
      <c r="K750" s="117"/>
      <c r="L750" s="118">
        <f t="shared" si="71"/>
        <v>1</v>
      </c>
      <c r="M750" s="118">
        <f t="shared" si="72"/>
        <v>1</v>
      </c>
      <c r="N750" s="58">
        <f t="shared" si="73"/>
        <v>0</v>
      </c>
      <c r="O750" s="58">
        <f t="shared" si="74"/>
        <v>2</v>
      </c>
    </row>
    <row r="751" spans="1:15">
      <c r="A751" s="104">
        <f t="shared" si="68"/>
        <v>42356</v>
      </c>
      <c r="B751" s="105" t="str">
        <f t="shared" si="69"/>
        <v>Fri</v>
      </c>
      <c r="C751" s="105" t="s">
        <v>1074</v>
      </c>
      <c r="D751" s="105" t="str">
        <f t="shared" si="70"/>
        <v>FW46</v>
      </c>
      <c r="E751" s="105" t="s">
        <v>191</v>
      </c>
      <c r="F751" s="105" t="s">
        <v>1059</v>
      </c>
      <c r="G751" s="105" t="s">
        <v>1070</v>
      </c>
      <c r="H751" s="105"/>
      <c r="I751" s="117">
        <v>2422</v>
      </c>
      <c r="J751" s="117"/>
      <c r="K751" s="117"/>
      <c r="L751" s="118">
        <f t="shared" si="71"/>
        <v>1</v>
      </c>
      <c r="M751" s="118">
        <f t="shared" si="72"/>
        <v>1</v>
      </c>
      <c r="N751" s="58">
        <f t="shared" si="73"/>
        <v>0</v>
      </c>
      <c r="O751" s="58">
        <f t="shared" si="74"/>
        <v>2</v>
      </c>
    </row>
    <row r="752" spans="1:15">
      <c r="A752" s="104">
        <f t="shared" si="68"/>
        <v>42357</v>
      </c>
      <c r="B752" s="105" t="str">
        <f t="shared" si="69"/>
        <v>Sat</v>
      </c>
      <c r="C752" s="105" t="s">
        <v>1074</v>
      </c>
      <c r="D752" s="105" t="str">
        <f t="shared" si="70"/>
        <v>FW46</v>
      </c>
      <c r="E752" s="105" t="s">
        <v>484</v>
      </c>
      <c r="F752" s="105" t="s">
        <v>1060</v>
      </c>
      <c r="G752" s="105" t="s">
        <v>1071</v>
      </c>
      <c r="H752" s="105"/>
      <c r="I752" s="117">
        <v>1541</v>
      </c>
      <c r="J752" s="117"/>
      <c r="K752" s="117"/>
      <c r="L752" s="118">
        <f t="shared" si="71"/>
        <v>1</v>
      </c>
      <c r="M752" s="118">
        <f t="shared" si="72"/>
        <v>1</v>
      </c>
      <c r="N752" s="58">
        <f t="shared" si="73"/>
        <v>0</v>
      </c>
      <c r="O752" s="58">
        <f t="shared" si="74"/>
        <v>2</v>
      </c>
    </row>
    <row r="753" spans="1:15">
      <c r="A753" s="104">
        <f t="shared" si="68"/>
        <v>42358</v>
      </c>
      <c r="B753" s="105" t="str">
        <f t="shared" si="69"/>
        <v>Sun</v>
      </c>
      <c r="C753" s="105" t="s">
        <v>1074</v>
      </c>
      <c r="D753" s="105" t="str">
        <f t="shared" si="70"/>
        <v>FW47</v>
      </c>
      <c r="E753" s="105" t="s">
        <v>484</v>
      </c>
      <c r="F753" s="105" t="s">
        <v>1061</v>
      </c>
      <c r="G753" s="105"/>
      <c r="H753" s="105"/>
      <c r="I753" s="117">
        <v>925</v>
      </c>
      <c r="J753" s="117"/>
      <c r="K753" s="117"/>
      <c r="L753" s="118">
        <f t="shared" si="71"/>
        <v>1</v>
      </c>
      <c r="M753" s="118">
        <f t="shared" si="72"/>
        <v>0</v>
      </c>
      <c r="N753" s="58">
        <f t="shared" si="73"/>
        <v>0</v>
      </c>
      <c r="O753" s="58">
        <f t="shared" si="74"/>
        <v>1</v>
      </c>
    </row>
    <row r="754" spans="1:15">
      <c r="A754" s="104">
        <f t="shared" si="68"/>
        <v>42359</v>
      </c>
      <c r="B754" s="105" t="str">
        <f t="shared" si="69"/>
        <v>Mon</v>
      </c>
      <c r="C754" s="105" t="s">
        <v>1074</v>
      </c>
      <c r="D754" s="105" t="str">
        <f t="shared" si="70"/>
        <v>FW47</v>
      </c>
      <c r="E754" s="105" t="s">
        <v>484</v>
      </c>
      <c r="F754" s="105" t="s">
        <v>1061</v>
      </c>
      <c r="G754" s="105"/>
      <c r="H754" s="105"/>
      <c r="I754" s="117">
        <v>1856</v>
      </c>
      <c r="J754" s="117"/>
      <c r="K754" s="117"/>
      <c r="L754" s="118">
        <f t="shared" si="71"/>
        <v>1</v>
      </c>
      <c r="M754" s="118">
        <f t="shared" si="72"/>
        <v>0</v>
      </c>
      <c r="N754" s="58">
        <f t="shared" si="73"/>
        <v>0</v>
      </c>
      <c r="O754" s="58">
        <f t="shared" si="74"/>
        <v>1</v>
      </c>
    </row>
    <row r="755" spans="1:15">
      <c r="A755" s="104">
        <f t="shared" si="68"/>
        <v>42360</v>
      </c>
      <c r="B755" s="105" t="str">
        <f t="shared" si="69"/>
        <v>Tue</v>
      </c>
      <c r="C755" s="105" t="s">
        <v>1074</v>
      </c>
      <c r="D755" s="105" t="str">
        <f t="shared" si="70"/>
        <v>FW47</v>
      </c>
      <c r="E755" s="105" t="s">
        <v>484</v>
      </c>
      <c r="F755" s="105" t="s">
        <v>1062</v>
      </c>
      <c r="G755" s="105" t="s">
        <v>1062</v>
      </c>
      <c r="H755" s="105"/>
      <c r="I755" s="117">
        <v>1729</v>
      </c>
      <c r="J755" s="117"/>
      <c r="K755" s="117"/>
      <c r="L755" s="118">
        <f t="shared" si="71"/>
        <v>1</v>
      </c>
      <c r="M755" s="118">
        <f t="shared" si="72"/>
        <v>1</v>
      </c>
      <c r="N755" s="58">
        <f t="shared" si="73"/>
        <v>0</v>
      </c>
      <c r="O755" s="58">
        <f t="shared" si="74"/>
        <v>2</v>
      </c>
    </row>
    <row r="756" spans="1:15">
      <c r="A756" s="104">
        <f t="shared" si="68"/>
        <v>42361</v>
      </c>
      <c r="B756" s="105" t="str">
        <f t="shared" si="69"/>
        <v>Wed</v>
      </c>
      <c r="C756" s="105" t="s">
        <v>1074</v>
      </c>
      <c r="D756" s="105" t="str">
        <f t="shared" si="70"/>
        <v>FW47</v>
      </c>
      <c r="E756" s="105" t="s">
        <v>484</v>
      </c>
      <c r="F756" s="105" t="s">
        <v>1063</v>
      </c>
      <c r="G756" s="105"/>
      <c r="H756" s="105"/>
      <c r="I756" s="117">
        <v>1388</v>
      </c>
      <c r="J756" s="117"/>
      <c r="K756" s="117"/>
      <c r="L756" s="118">
        <f t="shared" si="71"/>
        <v>1</v>
      </c>
      <c r="M756" s="118">
        <f t="shared" si="72"/>
        <v>0</v>
      </c>
      <c r="N756" s="58">
        <f t="shared" si="73"/>
        <v>0</v>
      </c>
      <c r="O756" s="58">
        <f t="shared" si="74"/>
        <v>1</v>
      </c>
    </row>
    <row r="757" spans="1:15">
      <c r="A757" s="104">
        <f t="shared" si="68"/>
        <v>42362</v>
      </c>
      <c r="B757" s="105" t="str">
        <f t="shared" si="69"/>
        <v>Thu</v>
      </c>
      <c r="C757" s="105" t="s">
        <v>1074</v>
      </c>
      <c r="D757" s="105" t="str">
        <f t="shared" si="70"/>
        <v>FW47</v>
      </c>
      <c r="E757" s="105" t="s">
        <v>484</v>
      </c>
      <c r="F757" s="105" t="s">
        <v>1064</v>
      </c>
      <c r="G757" s="105" t="s">
        <v>1072</v>
      </c>
      <c r="H757" s="105"/>
      <c r="I757" s="117">
        <v>919</v>
      </c>
      <c r="J757" s="117"/>
      <c r="K757" s="117"/>
      <c r="L757" s="118">
        <f t="shared" si="71"/>
        <v>1</v>
      </c>
      <c r="M757" s="118">
        <f t="shared" si="72"/>
        <v>1</v>
      </c>
      <c r="N757" s="58">
        <f t="shared" si="73"/>
        <v>0</v>
      </c>
      <c r="O757" s="58">
        <f t="shared" si="74"/>
        <v>2</v>
      </c>
    </row>
    <row r="758" spans="1:15">
      <c r="A758" s="104">
        <f t="shared" si="68"/>
        <v>42363</v>
      </c>
      <c r="B758" s="105" t="str">
        <f t="shared" si="69"/>
        <v>Fri</v>
      </c>
      <c r="C758" s="105" t="s">
        <v>1074</v>
      </c>
      <c r="D758" s="105" t="str">
        <f t="shared" si="70"/>
        <v>FW47</v>
      </c>
      <c r="E758" s="105" t="s">
        <v>484</v>
      </c>
      <c r="F758" s="105" t="s">
        <v>1064</v>
      </c>
      <c r="G758" s="105"/>
      <c r="H758" s="105"/>
      <c r="I758" s="117">
        <v>0</v>
      </c>
      <c r="J758" s="117"/>
      <c r="K758" s="117"/>
      <c r="L758" s="118">
        <f t="shared" si="71"/>
        <v>1</v>
      </c>
      <c r="M758" s="118">
        <f t="shared" si="72"/>
        <v>0</v>
      </c>
      <c r="N758" s="58">
        <f t="shared" si="73"/>
        <v>0</v>
      </c>
      <c r="O758" s="58">
        <f t="shared" si="74"/>
        <v>1</v>
      </c>
    </row>
    <row r="759" spans="1:15">
      <c r="A759" s="104">
        <f t="shared" si="68"/>
        <v>42364</v>
      </c>
      <c r="B759" s="105" t="str">
        <f t="shared" si="69"/>
        <v>Sat</v>
      </c>
      <c r="C759" s="105" t="s">
        <v>1074</v>
      </c>
      <c r="D759" s="105" t="str">
        <f t="shared" si="70"/>
        <v>FW47</v>
      </c>
      <c r="E759" s="105" t="s">
        <v>1050</v>
      </c>
      <c r="F759" s="105" t="s">
        <v>1065</v>
      </c>
      <c r="G759" s="105"/>
      <c r="H759" s="105"/>
      <c r="I759" s="117">
        <v>971</v>
      </c>
      <c r="J759" s="117"/>
      <c r="K759" s="117"/>
      <c r="L759" s="118">
        <f t="shared" si="71"/>
        <v>1</v>
      </c>
      <c r="M759" s="118">
        <f t="shared" si="72"/>
        <v>0</v>
      </c>
      <c r="N759" s="58">
        <f t="shared" si="73"/>
        <v>0</v>
      </c>
      <c r="O759" s="58">
        <f t="shared" si="74"/>
        <v>1</v>
      </c>
    </row>
    <row r="760" spans="1:15">
      <c r="A760" s="104">
        <f t="shared" si="68"/>
        <v>42365</v>
      </c>
      <c r="B760" s="105" t="str">
        <f t="shared" ref="B760" si="75">TEXT(A760,"DDD")</f>
        <v>Sun</v>
      </c>
      <c r="C760" s="105" t="s">
        <v>1138</v>
      </c>
      <c r="D760" s="105" t="str">
        <f t="shared" ref="D760" si="76">IF(B760="Sun",("FW"&amp;RIGHT(D759,2)+1),D759)</f>
        <v>FW48</v>
      </c>
      <c r="E760" s="105" t="s">
        <v>934</v>
      </c>
      <c r="F760" s="105" t="s">
        <v>1075</v>
      </c>
      <c r="G760" s="105"/>
      <c r="H760" s="105"/>
      <c r="I760" s="117">
        <v>683</v>
      </c>
      <c r="J760" s="117"/>
      <c r="K760" s="117"/>
      <c r="L760" s="118">
        <f t="shared" ref="L760:L794" si="77">IF(E760=$L$1,0,1)</f>
        <v>1</v>
      </c>
      <c r="M760" s="118">
        <f t="shared" ref="M760:M794" si="78">IF(ISBLANK(G760),0,1)</f>
        <v>0</v>
      </c>
      <c r="N760" s="58">
        <f t="shared" ref="N760:N794" si="79">IF(ISBLANK(H760),0,1)</f>
        <v>0</v>
      </c>
      <c r="O760" s="58">
        <f t="shared" ref="O760:O794" si="80">SUM(L760:N760)</f>
        <v>1</v>
      </c>
    </row>
    <row r="761" spans="1:15">
      <c r="A761" s="104">
        <f t="shared" si="68"/>
        <v>42366</v>
      </c>
      <c r="B761" s="105" t="str">
        <f t="shared" ref="B761:B792" si="81">TEXT(A761,"DDD")</f>
        <v>Mon</v>
      </c>
      <c r="C761" s="105" t="s">
        <v>1138</v>
      </c>
      <c r="D761" s="105" t="str">
        <f t="shared" ref="D761:D792" si="82">IF(B761="Sun",("FW"&amp;RIGHT(D760,2)+1),D760)</f>
        <v>FW48</v>
      </c>
      <c r="E761" s="105" t="s">
        <v>934</v>
      </c>
      <c r="F761" s="105" t="s">
        <v>1075</v>
      </c>
      <c r="G761" s="105"/>
      <c r="H761" s="105"/>
      <c r="I761" s="117">
        <v>1561</v>
      </c>
      <c r="J761" s="117"/>
      <c r="K761" s="117"/>
      <c r="L761" s="118">
        <f t="shared" si="77"/>
        <v>1</v>
      </c>
      <c r="M761" s="118">
        <f t="shared" si="78"/>
        <v>0</v>
      </c>
      <c r="N761" s="58">
        <f t="shared" si="79"/>
        <v>0</v>
      </c>
      <c r="O761" s="58">
        <f t="shared" si="80"/>
        <v>1</v>
      </c>
    </row>
    <row r="762" spans="1:15">
      <c r="A762" s="104">
        <f t="shared" si="68"/>
        <v>42367</v>
      </c>
      <c r="B762" s="105" t="str">
        <f t="shared" si="81"/>
        <v>Tue</v>
      </c>
      <c r="C762" s="105" t="s">
        <v>1138</v>
      </c>
      <c r="D762" s="105" t="str">
        <f t="shared" si="82"/>
        <v>FW48</v>
      </c>
      <c r="E762" s="105" t="s">
        <v>1105</v>
      </c>
      <c r="F762" s="105" t="s">
        <v>1076</v>
      </c>
      <c r="G762" s="105"/>
      <c r="H762" s="105"/>
      <c r="I762" s="117">
        <v>1918</v>
      </c>
      <c r="J762" s="117"/>
      <c r="K762" s="117"/>
      <c r="L762" s="118">
        <f t="shared" si="77"/>
        <v>1</v>
      </c>
      <c r="M762" s="118">
        <f t="shared" si="78"/>
        <v>0</v>
      </c>
      <c r="N762" s="58">
        <f t="shared" si="79"/>
        <v>0</v>
      </c>
      <c r="O762" s="58">
        <f t="shared" si="80"/>
        <v>1</v>
      </c>
    </row>
    <row r="763" spans="1:15">
      <c r="A763" s="104">
        <f t="shared" si="68"/>
        <v>42368</v>
      </c>
      <c r="B763" s="105" t="str">
        <f t="shared" si="81"/>
        <v>Wed</v>
      </c>
      <c r="C763" s="105" t="s">
        <v>1138</v>
      </c>
      <c r="D763" s="105" t="str">
        <f t="shared" si="82"/>
        <v>FW48</v>
      </c>
      <c r="E763" s="105" t="s">
        <v>1105</v>
      </c>
      <c r="F763" s="105" t="s">
        <v>1076</v>
      </c>
      <c r="G763" s="105" t="s">
        <v>1093</v>
      </c>
      <c r="H763" s="105"/>
      <c r="I763" s="117">
        <v>1781</v>
      </c>
      <c r="J763" s="117"/>
      <c r="K763" s="117"/>
      <c r="L763" s="118">
        <f t="shared" si="77"/>
        <v>1</v>
      </c>
      <c r="M763" s="118">
        <f t="shared" si="78"/>
        <v>1</v>
      </c>
      <c r="N763" s="58">
        <f t="shared" si="79"/>
        <v>0</v>
      </c>
      <c r="O763" s="58">
        <f t="shared" si="80"/>
        <v>2</v>
      </c>
    </row>
    <row r="764" spans="1:15">
      <c r="A764" s="104">
        <f t="shared" si="68"/>
        <v>42369</v>
      </c>
      <c r="B764" s="105" t="str">
        <f t="shared" si="81"/>
        <v>Thu</v>
      </c>
      <c r="C764" s="105" t="s">
        <v>1138</v>
      </c>
      <c r="D764" s="105" t="str">
        <f t="shared" si="82"/>
        <v>FW48</v>
      </c>
      <c r="E764" s="105" t="s">
        <v>48</v>
      </c>
      <c r="F764" s="105" t="s">
        <v>1077</v>
      </c>
      <c r="G764" s="105" t="s">
        <v>1094</v>
      </c>
      <c r="H764" s="105"/>
      <c r="I764" s="117">
        <v>1874</v>
      </c>
      <c r="J764" s="117"/>
      <c r="K764" s="117"/>
      <c r="L764" s="118">
        <f t="shared" si="77"/>
        <v>1</v>
      </c>
      <c r="M764" s="118">
        <f t="shared" si="78"/>
        <v>1</v>
      </c>
      <c r="N764" s="58">
        <f t="shared" si="79"/>
        <v>0</v>
      </c>
      <c r="O764" s="58">
        <f t="shared" si="80"/>
        <v>2</v>
      </c>
    </row>
    <row r="765" spans="1:15">
      <c r="A765" s="104">
        <f t="shared" si="68"/>
        <v>42370</v>
      </c>
      <c r="B765" s="105" t="str">
        <f t="shared" si="81"/>
        <v>Fri</v>
      </c>
      <c r="C765" s="105" t="s">
        <v>1138</v>
      </c>
      <c r="D765" s="105" t="str">
        <f t="shared" si="82"/>
        <v>FW48</v>
      </c>
      <c r="E765" s="105" t="s">
        <v>484</v>
      </c>
      <c r="F765" s="105" t="s">
        <v>1078</v>
      </c>
      <c r="G765" s="105" t="s">
        <v>1095</v>
      </c>
      <c r="H765" s="105"/>
      <c r="I765" s="117">
        <v>627</v>
      </c>
      <c r="J765" s="117"/>
      <c r="K765" s="117"/>
      <c r="L765" s="118">
        <f t="shared" si="77"/>
        <v>1</v>
      </c>
      <c r="M765" s="118">
        <f t="shared" si="78"/>
        <v>1</v>
      </c>
      <c r="N765" s="58">
        <f t="shared" si="79"/>
        <v>0</v>
      </c>
      <c r="O765" s="58">
        <f t="shared" si="80"/>
        <v>2</v>
      </c>
    </row>
    <row r="766" spans="1:15">
      <c r="A766" s="104">
        <f t="shared" si="68"/>
        <v>42371</v>
      </c>
      <c r="B766" s="105" t="str">
        <f t="shared" si="81"/>
        <v>Sat</v>
      </c>
      <c r="C766" s="105" t="s">
        <v>1138</v>
      </c>
      <c r="D766" s="105" t="str">
        <f t="shared" si="82"/>
        <v>FW48</v>
      </c>
      <c r="E766" s="105" t="s">
        <v>484</v>
      </c>
      <c r="F766" s="105" t="s">
        <v>1078</v>
      </c>
      <c r="G766" s="105" t="s">
        <v>1096</v>
      </c>
      <c r="H766" s="105"/>
      <c r="I766" s="117">
        <v>1134</v>
      </c>
      <c r="J766" s="117"/>
      <c r="K766" s="117"/>
      <c r="L766" s="118">
        <f t="shared" si="77"/>
        <v>1</v>
      </c>
      <c r="M766" s="118">
        <f t="shared" si="78"/>
        <v>1</v>
      </c>
      <c r="N766" s="58">
        <f t="shared" si="79"/>
        <v>0</v>
      </c>
      <c r="O766" s="58">
        <f t="shared" si="80"/>
        <v>2</v>
      </c>
    </row>
    <row r="767" spans="1:15">
      <c r="A767" s="104">
        <f t="shared" si="68"/>
        <v>42372</v>
      </c>
      <c r="B767" s="105" t="str">
        <f t="shared" si="81"/>
        <v>Sun</v>
      </c>
      <c r="C767" s="105" t="s">
        <v>1138</v>
      </c>
      <c r="D767" s="105" t="str">
        <f t="shared" si="82"/>
        <v>FW49</v>
      </c>
      <c r="E767" s="105" t="s">
        <v>484</v>
      </c>
      <c r="F767" s="105" t="s">
        <v>1078</v>
      </c>
      <c r="G767" s="105"/>
      <c r="H767" s="105"/>
      <c r="I767" s="117">
        <v>944</v>
      </c>
      <c r="J767" s="117"/>
      <c r="K767" s="117"/>
      <c r="L767" s="118">
        <f t="shared" si="77"/>
        <v>1</v>
      </c>
      <c r="M767" s="118">
        <f t="shared" si="78"/>
        <v>0</v>
      </c>
      <c r="N767" s="58">
        <f t="shared" si="79"/>
        <v>0</v>
      </c>
      <c r="O767" s="58">
        <f t="shared" si="80"/>
        <v>1</v>
      </c>
    </row>
    <row r="768" spans="1:15">
      <c r="A768" s="104">
        <f t="shared" si="68"/>
        <v>42373</v>
      </c>
      <c r="B768" s="105" t="str">
        <f t="shared" si="81"/>
        <v>Mon</v>
      </c>
      <c r="C768" s="105" t="s">
        <v>1138</v>
      </c>
      <c r="D768" s="105" t="str">
        <f t="shared" si="82"/>
        <v>FW49</v>
      </c>
      <c r="E768" s="105" t="s">
        <v>934</v>
      </c>
      <c r="F768" s="105" t="s">
        <v>1079</v>
      </c>
      <c r="G768" s="105"/>
      <c r="H768" s="105"/>
      <c r="I768" s="117">
        <v>2363</v>
      </c>
      <c r="J768" s="117"/>
      <c r="K768" s="117"/>
      <c r="L768" s="118">
        <f t="shared" si="77"/>
        <v>1</v>
      </c>
      <c r="M768" s="118">
        <f t="shared" si="78"/>
        <v>0</v>
      </c>
      <c r="N768" s="58">
        <f t="shared" si="79"/>
        <v>0</v>
      </c>
      <c r="O768" s="58">
        <f t="shared" si="80"/>
        <v>1</v>
      </c>
    </row>
    <row r="769" spans="1:15">
      <c r="A769" s="104">
        <f t="shared" ref="A769:A832" si="83">A768+1</f>
        <v>42374</v>
      </c>
      <c r="B769" s="105" t="str">
        <f t="shared" si="81"/>
        <v>Tue</v>
      </c>
      <c r="C769" s="105" t="s">
        <v>1138</v>
      </c>
      <c r="D769" s="105" t="str">
        <f t="shared" si="82"/>
        <v>FW49</v>
      </c>
      <c r="E769" s="105" t="s">
        <v>934</v>
      </c>
      <c r="F769" s="105" t="s">
        <v>1080</v>
      </c>
      <c r="G769" s="105" t="s">
        <v>1097</v>
      </c>
      <c r="H769" s="105"/>
      <c r="I769" s="117">
        <v>2303</v>
      </c>
      <c r="J769" s="117"/>
      <c r="K769" s="117"/>
      <c r="L769" s="118">
        <f t="shared" si="77"/>
        <v>1</v>
      </c>
      <c r="M769" s="118">
        <f t="shared" si="78"/>
        <v>1</v>
      </c>
      <c r="N769" s="58">
        <f t="shared" si="79"/>
        <v>0</v>
      </c>
      <c r="O769" s="58">
        <f t="shared" si="80"/>
        <v>2</v>
      </c>
    </row>
    <row r="770" spans="1:15">
      <c r="A770" s="104">
        <f t="shared" si="83"/>
        <v>42375</v>
      </c>
      <c r="B770" s="105" t="str">
        <f t="shared" si="81"/>
        <v>Wed</v>
      </c>
      <c r="C770" s="105" t="s">
        <v>1138</v>
      </c>
      <c r="D770" s="105" t="str">
        <f t="shared" si="82"/>
        <v>FW49</v>
      </c>
      <c r="E770" s="105" t="s">
        <v>934</v>
      </c>
      <c r="F770" s="105" t="s">
        <v>1081</v>
      </c>
      <c r="G770" s="105"/>
      <c r="H770" s="105"/>
      <c r="I770" s="117">
        <v>1867</v>
      </c>
      <c r="J770" s="117"/>
      <c r="K770" s="117"/>
      <c r="L770" s="118">
        <f t="shared" si="77"/>
        <v>1</v>
      </c>
      <c r="M770" s="118">
        <f t="shared" si="78"/>
        <v>0</v>
      </c>
      <c r="N770" s="58">
        <f t="shared" si="79"/>
        <v>0</v>
      </c>
      <c r="O770" s="58">
        <f t="shared" si="80"/>
        <v>1</v>
      </c>
    </row>
    <row r="771" spans="1:15">
      <c r="A771" s="104">
        <f t="shared" si="83"/>
        <v>42376</v>
      </c>
      <c r="B771" s="105" t="str">
        <f t="shared" si="81"/>
        <v>Thu</v>
      </c>
      <c r="C771" s="105" t="s">
        <v>1138</v>
      </c>
      <c r="D771" s="105" t="str">
        <f t="shared" si="82"/>
        <v>FW49</v>
      </c>
      <c r="E771" s="105" t="s">
        <v>934</v>
      </c>
      <c r="F771" s="105" t="s">
        <v>1081</v>
      </c>
      <c r="G771" s="105" t="s">
        <v>1081</v>
      </c>
      <c r="H771" s="105"/>
      <c r="I771" s="117">
        <v>1768</v>
      </c>
      <c r="J771" s="117"/>
      <c r="K771" s="117"/>
      <c r="L771" s="118">
        <f t="shared" si="77"/>
        <v>1</v>
      </c>
      <c r="M771" s="118">
        <f t="shared" si="78"/>
        <v>1</v>
      </c>
      <c r="N771" s="58">
        <f t="shared" si="79"/>
        <v>0</v>
      </c>
      <c r="O771" s="58">
        <f t="shared" si="80"/>
        <v>2</v>
      </c>
    </row>
    <row r="772" spans="1:15">
      <c r="A772" s="104">
        <f t="shared" si="83"/>
        <v>42377</v>
      </c>
      <c r="B772" s="105" t="str">
        <f t="shared" si="81"/>
        <v>Fri</v>
      </c>
      <c r="C772" s="105" t="s">
        <v>1138</v>
      </c>
      <c r="D772" s="105" t="str">
        <f t="shared" si="82"/>
        <v>FW49</v>
      </c>
      <c r="E772" s="105" t="s">
        <v>957</v>
      </c>
      <c r="F772" s="105" t="s">
        <v>1082</v>
      </c>
      <c r="G772" s="105" t="s">
        <v>1082</v>
      </c>
      <c r="H772" s="105"/>
      <c r="I772" s="117">
        <v>1733</v>
      </c>
      <c r="J772" s="117"/>
      <c r="K772" s="117"/>
      <c r="L772" s="118">
        <f t="shared" si="77"/>
        <v>1</v>
      </c>
      <c r="M772" s="118">
        <f t="shared" si="78"/>
        <v>1</v>
      </c>
      <c r="N772" s="58">
        <f t="shared" si="79"/>
        <v>0</v>
      </c>
      <c r="O772" s="58">
        <f t="shared" si="80"/>
        <v>2</v>
      </c>
    </row>
    <row r="773" spans="1:15">
      <c r="A773" s="104">
        <f t="shared" si="83"/>
        <v>42378</v>
      </c>
      <c r="B773" s="105" t="str">
        <f t="shared" si="81"/>
        <v>Sat</v>
      </c>
      <c r="C773" s="105" t="s">
        <v>1138</v>
      </c>
      <c r="D773" s="105" t="str">
        <f t="shared" si="82"/>
        <v>FW49</v>
      </c>
      <c r="E773" s="105" t="s">
        <v>957</v>
      </c>
      <c r="F773" s="105" t="s">
        <v>1083</v>
      </c>
      <c r="G773" s="105"/>
      <c r="H773" s="105"/>
      <c r="I773" s="117">
        <v>1210</v>
      </c>
      <c r="J773" s="117"/>
      <c r="K773" s="117"/>
      <c r="L773" s="118">
        <f t="shared" si="77"/>
        <v>1</v>
      </c>
      <c r="M773" s="118">
        <f t="shared" si="78"/>
        <v>0</v>
      </c>
      <c r="N773" s="58">
        <f t="shared" si="79"/>
        <v>0</v>
      </c>
      <c r="O773" s="58">
        <f t="shared" si="80"/>
        <v>1</v>
      </c>
    </row>
    <row r="774" spans="1:15">
      <c r="A774" s="104">
        <f t="shared" si="83"/>
        <v>42379</v>
      </c>
      <c r="B774" s="105" t="str">
        <f t="shared" si="81"/>
        <v>Sun</v>
      </c>
      <c r="C774" s="105" t="s">
        <v>1138</v>
      </c>
      <c r="D774" s="105" t="str">
        <f t="shared" si="82"/>
        <v>FW50</v>
      </c>
      <c r="E774" s="105" t="s">
        <v>957</v>
      </c>
      <c r="F774" s="105" t="s">
        <v>1084</v>
      </c>
      <c r="G774" s="105"/>
      <c r="H774" s="105"/>
      <c r="I774" s="117">
        <v>1105</v>
      </c>
      <c r="J774" s="117"/>
      <c r="K774" s="117"/>
      <c r="L774" s="118">
        <f t="shared" si="77"/>
        <v>1</v>
      </c>
      <c r="M774" s="118">
        <f t="shared" si="78"/>
        <v>0</v>
      </c>
      <c r="N774" s="58">
        <f t="shared" si="79"/>
        <v>0</v>
      </c>
      <c r="O774" s="58">
        <f t="shared" si="80"/>
        <v>1</v>
      </c>
    </row>
    <row r="775" spans="1:15">
      <c r="A775" s="104">
        <f t="shared" si="83"/>
        <v>42380</v>
      </c>
      <c r="B775" s="105" t="str">
        <f t="shared" si="81"/>
        <v>Mon</v>
      </c>
      <c r="C775" s="105" t="s">
        <v>1138</v>
      </c>
      <c r="D775" s="105" t="str">
        <f t="shared" si="82"/>
        <v>FW50</v>
      </c>
      <c r="E775" s="105" t="s">
        <v>17</v>
      </c>
      <c r="F775" s="105" t="s">
        <v>1085</v>
      </c>
      <c r="G775" s="105"/>
      <c r="H775" s="105"/>
      <c r="I775" s="117">
        <v>1633</v>
      </c>
      <c r="J775" s="117"/>
      <c r="K775" s="117"/>
      <c r="L775" s="118">
        <f t="shared" si="77"/>
        <v>1</v>
      </c>
      <c r="M775" s="118">
        <f t="shared" si="78"/>
        <v>0</v>
      </c>
      <c r="N775" s="58">
        <f t="shared" si="79"/>
        <v>0</v>
      </c>
      <c r="O775" s="58">
        <f t="shared" si="80"/>
        <v>1</v>
      </c>
    </row>
    <row r="776" spans="1:15">
      <c r="A776" s="104">
        <f t="shared" si="83"/>
        <v>42381</v>
      </c>
      <c r="B776" s="105" t="str">
        <f t="shared" si="81"/>
        <v>Tue</v>
      </c>
      <c r="C776" s="105" t="s">
        <v>1138</v>
      </c>
      <c r="D776" s="105" t="str">
        <f t="shared" si="82"/>
        <v>FW50</v>
      </c>
      <c r="E776" s="105" t="s">
        <v>165</v>
      </c>
      <c r="F776" s="105" t="s">
        <v>1086</v>
      </c>
      <c r="G776" s="105"/>
      <c r="H776" s="105"/>
      <c r="I776" s="117">
        <v>1575</v>
      </c>
      <c r="J776" s="117"/>
      <c r="K776" s="117"/>
      <c r="L776" s="118">
        <f t="shared" si="77"/>
        <v>1</v>
      </c>
      <c r="M776" s="118">
        <f t="shared" si="78"/>
        <v>0</v>
      </c>
      <c r="N776" s="58">
        <f t="shared" si="79"/>
        <v>0</v>
      </c>
      <c r="O776" s="58">
        <f t="shared" si="80"/>
        <v>1</v>
      </c>
    </row>
    <row r="777" spans="1:15">
      <c r="A777" s="104">
        <f t="shared" si="83"/>
        <v>42382</v>
      </c>
      <c r="B777" s="105" t="str">
        <f t="shared" si="81"/>
        <v>Wed</v>
      </c>
      <c r="C777" s="105" t="s">
        <v>1138</v>
      </c>
      <c r="D777" s="105" t="str">
        <f t="shared" si="82"/>
        <v>FW50</v>
      </c>
      <c r="E777" s="105" t="s">
        <v>524</v>
      </c>
      <c r="F777" s="105" t="s">
        <v>1086</v>
      </c>
      <c r="G777" s="105" t="s">
        <v>1086</v>
      </c>
      <c r="H777" s="105"/>
      <c r="I777" s="117">
        <v>1573</v>
      </c>
      <c r="J777" s="117"/>
      <c r="K777" s="117"/>
      <c r="L777" s="118">
        <f t="shared" si="77"/>
        <v>1</v>
      </c>
      <c r="M777" s="118">
        <f t="shared" si="78"/>
        <v>1</v>
      </c>
      <c r="N777" s="58">
        <f t="shared" si="79"/>
        <v>0</v>
      </c>
      <c r="O777" s="58">
        <f t="shared" si="80"/>
        <v>2</v>
      </c>
    </row>
    <row r="778" spans="1:15">
      <c r="A778" s="104">
        <f t="shared" si="83"/>
        <v>42383</v>
      </c>
      <c r="B778" s="105" t="str">
        <f t="shared" si="81"/>
        <v>Thu</v>
      </c>
      <c r="C778" s="105" t="s">
        <v>1138</v>
      </c>
      <c r="D778" s="105" t="str">
        <f t="shared" si="82"/>
        <v>FW50</v>
      </c>
      <c r="E778" s="105" t="s">
        <v>524</v>
      </c>
      <c r="F778" s="105" t="s">
        <v>1087</v>
      </c>
      <c r="G778" s="105" t="s">
        <v>1098</v>
      </c>
      <c r="H778" s="105"/>
      <c r="I778" s="117">
        <v>1296</v>
      </c>
      <c r="J778" s="117"/>
      <c r="K778" s="117"/>
      <c r="L778" s="118">
        <f t="shared" si="77"/>
        <v>1</v>
      </c>
      <c r="M778" s="118">
        <f t="shared" si="78"/>
        <v>1</v>
      </c>
      <c r="N778" s="58">
        <f t="shared" si="79"/>
        <v>0</v>
      </c>
      <c r="O778" s="58">
        <f t="shared" si="80"/>
        <v>2</v>
      </c>
    </row>
    <row r="779" spans="1:15">
      <c r="A779" s="104">
        <f t="shared" si="83"/>
        <v>42384</v>
      </c>
      <c r="B779" s="105" t="str">
        <f t="shared" si="81"/>
        <v>Fri</v>
      </c>
      <c r="C779" s="105" t="s">
        <v>1138</v>
      </c>
      <c r="D779" s="105" t="str">
        <f t="shared" si="82"/>
        <v>FW50</v>
      </c>
      <c r="E779" s="105" t="s">
        <v>524</v>
      </c>
      <c r="F779" s="105" t="s">
        <v>1086</v>
      </c>
      <c r="G779" s="105" t="s">
        <v>1086</v>
      </c>
      <c r="H779" s="105"/>
      <c r="I779" s="117">
        <v>1473</v>
      </c>
      <c r="J779" s="117"/>
      <c r="K779" s="117"/>
      <c r="L779" s="118">
        <f t="shared" si="77"/>
        <v>1</v>
      </c>
      <c r="M779" s="118">
        <f t="shared" si="78"/>
        <v>1</v>
      </c>
      <c r="N779" s="58">
        <f t="shared" si="79"/>
        <v>0</v>
      </c>
      <c r="O779" s="58">
        <f t="shared" si="80"/>
        <v>2</v>
      </c>
    </row>
    <row r="780" spans="1:15">
      <c r="A780" s="104">
        <f t="shared" si="83"/>
        <v>42385</v>
      </c>
      <c r="B780" s="105" t="str">
        <f t="shared" si="81"/>
        <v>Sat</v>
      </c>
      <c r="C780" s="105" t="s">
        <v>1138</v>
      </c>
      <c r="D780" s="105" t="str">
        <f t="shared" si="82"/>
        <v>FW50</v>
      </c>
      <c r="E780" s="105" t="s">
        <v>934</v>
      </c>
      <c r="F780" s="105" t="s">
        <v>1088</v>
      </c>
      <c r="G780" s="105" t="s">
        <v>1099</v>
      </c>
      <c r="H780" s="105"/>
      <c r="I780" s="117">
        <v>1148</v>
      </c>
      <c r="J780" s="117"/>
      <c r="K780" s="117"/>
      <c r="L780" s="118">
        <f t="shared" si="77"/>
        <v>1</v>
      </c>
      <c r="M780" s="118">
        <f t="shared" si="78"/>
        <v>1</v>
      </c>
      <c r="N780" s="58">
        <f t="shared" si="79"/>
        <v>0</v>
      </c>
      <c r="O780" s="58">
        <f t="shared" si="80"/>
        <v>2</v>
      </c>
    </row>
    <row r="781" spans="1:15">
      <c r="A781" s="104">
        <f t="shared" si="83"/>
        <v>42386</v>
      </c>
      <c r="B781" s="105" t="str">
        <f t="shared" si="81"/>
        <v>Sun</v>
      </c>
      <c r="C781" s="105" t="s">
        <v>1138</v>
      </c>
      <c r="D781" s="105" t="str">
        <f t="shared" si="82"/>
        <v>FW51</v>
      </c>
      <c r="E781" s="105" t="s">
        <v>934</v>
      </c>
      <c r="F781" s="105" t="s">
        <v>1089</v>
      </c>
      <c r="G781" s="105" t="s">
        <v>1100</v>
      </c>
      <c r="H781" s="105"/>
      <c r="I781" s="117">
        <v>912</v>
      </c>
      <c r="J781" s="117"/>
      <c r="K781" s="117"/>
      <c r="L781" s="118">
        <f t="shared" si="77"/>
        <v>1</v>
      </c>
      <c r="M781" s="118">
        <f t="shared" si="78"/>
        <v>1</v>
      </c>
      <c r="N781" s="58">
        <f t="shared" si="79"/>
        <v>0</v>
      </c>
      <c r="O781" s="58">
        <f t="shared" si="80"/>
        <v>2</v>
      </c>
    </row>
    <row r="782" spans="1:15">
      <c r="A782" s="104">
        <f t="shared" si="83"/>
        <v>42387</v>
      </c>
      <c r="B782" s="105" t="str">
        <f t="shared" si="81"/>
        <v>Mon</v>
      </c>
      <c r="C782" s="105" t="s">
        <v>1138</v>
      </c>
      <c r="D782" s="105" t="str">
        <f t="shared" si="82"/>
        <v>FW51</v>
      </c>
      <c r="E782" s="105" t="s">
        <v>17</v>
      </c>
      <c r="F782" s="105" t="s">
        <v>1072</v>
      </c>
      <c r="G782" s="105" t="s">
        <v>1072</v>
      </c>
      <c r="H782" s="105"/>
      <c r="I782" s="117">
        <v>1548</v>
      </c>
      <c r="J782" s="117"/>
      <c r="K782" s="117"/>
      <c r="L782" s="118">
        <f t="shared" si="77"/>
        <v>1</v>
      </c>
      <c r="M782" s="118">
        <f t="shared" si="78"/>
        <v>1</v>
      </c>
      <c r="N782" s="58">
        <f t="shared" si="79"/>
        <v>0</v>
      </c>
      <c r="O782" s="58">
        <f t="shared" si="80"/>
        <v>2</v>
      </c>
    </row>
    <row r="783" spans="1:15">
      <c r="A783" s="104">
        <f t="shared" si="83"/>
        <v>42388</v>
      </c>
      <c r="B783" s="105" t="str">
        <f t="shared" si="81"/>
        <v>Tue</v>
      </c>
      <c r="C783" s="105" t="s">
        <v>1138</v>
      </c>
      <c r="D783" s="105" t="str">
        <f t="shared" si="82"/>
        <v>FW51</v>
      </c>
      <c r="E783" s="105" t="s">
        <v>17</v>
      </c>
      <c r="F783" s="105" t="s">
        <v>1072</v>
      </c>
      <c r="G783" s="105" t="s">
        <v>1101</v>
      </c>
      <c r="H783" s="105"/>
      <c r="I783" s="117">
        <v>1568</v>
      </c>
      <c r="J783" s="117"/>
      <c r="K783" s="117"/>
      <c r="L783" s="118">
        <f t="shared" si="77"/>
        <v>1</v>
      </c>
      <c r="M783" s="118">
        <f t="shared" si="78"/>
        <v>1</v>
      </c>
      <c r="N783" s="58">
        <f t="shared" si="79"/>
        <v>0</v>
      </c>
      <c r="O783" s="58">
        <f t="shared" si="80"/>
        <v>2</v>
      </c>
    </row>
    <row r="784" spans="1:15">
      <c r="A784" s="104">
        <f t="shared" si="83"/>
        <v>42389</v>
      </c>
      <c r="B784" s="105" t="str">
        <f t="shared" si="81"/>
        <v>Wed</v>
      </c>
      <c r="C784" s="105" t="s">
        <v>1138</v>
      </c>
      <c r="D784" s="105" t="str">
        <f t="shared" si="82"/>
        <v>FW51</v>
      </c>
      <c r="E784" s="105" t="s">
        <v>934</v>
      </c>
      <c r="F784" s="105" t="s">
        <v>1090</v>
      </c>
      <c r="G784" s="105" t="s">
        <v>1072</v>
      </c>
      <c r="H784" s="105"/>
      <c r="I784" s="117">
        <v>1564</v>
      </c>
      <c r="J784" s="117"/>
      <c r="K784" s="117"/>
      <c r="L784" s="118">
        <f t="shared" si="77"/>
        <v>1</v>
      </c>
      <c r="M784" s="118">
        <f t="shared" si="78"/>
        <v>1</v>
      </c>
      <c r="N784" s="58">
        <f t="shared" si="79"/>
        <v>0</v>
      </c>
      <c r="O784" s="58">
        <f t="shared" si="80"/>
        <v>2</v>
      </c>
    </row>
    <row r="785" spans="1:34">
      <c r="A785" s="104">
        <f t="shared" si="83"/>
        <v>42390</v>
      </c>
      <c r="B785" s="105" t="str">
        <f t="shared" si="81"/>
        <v>Thu</v>
      </c>
      <c r="C785" s="105" t="s">
        <v>1138</v>
      </c>
      <c r="D785" s="105" t="str">
        <f t="shared" si="82"/>
        <v>FW51</v>
      </c>
      <c r="E785" s="105" t="s">
        <v>285</v>
      </c>
      <c r="F785" s="105" t="s">
        <v>1051</v>
      </c>
      <c r="G785" s="105" t="s">
        <v>1051</v>
      </c>
      <c r="H785" s="105"/>
      <c r="I785" s="117">
        <v>1622</v>
      </c>
      <c r="J785" s="117"/>
      <c r="K785" s="117"/>
      <c r="L785" s="118">
        <f t="shared" si="77"/>
        <v>1</v>
      </c>
      <c r="M785" s="118">
        <f t="shared" si="78"/>
        <v>1</v>
      </c>
      <c r="N785" s="58">
        <f t="shared" si="79"/>
        <v>0</v>
      </c>
      <c r="O785" s="58">
        <f t="shared" si="80"/>
        <v>2</v>
      </c>
    </row>
    <row r="786" spans="1:34">
      <c r="A786" s="104">
        <f t="shared" si="83"/>
        <v>42391</v>
      </c>
      <c r="B786" s="105" t="str">
        <f t="shared" si="81"/>
        <v>Fri</v>
      </c>
      <c r="C786" s="105" t="s">
        <v>1138</v>
      </c>
      <c r="D786" s="105" t="str">
        <f t="shared" si="82"/>
        <v>FW51</v>
      </c>
      <c r="E786" s="105" t="s">
        <v>285</v>
      </c>
      <c r="F786" s="105" t="s">
        <v>1051</v>
      </c>
      <c r="G786" s="105" t="s">
        <v>1051</v>
      </c>
      <c r="H786" s="105"/>
      <c r="I786" s="117">
        <v>1316</v>
      </c>
      <c r="J786" s="117"/>
      <c r="K786" s="117"/>
      <c r="L786" s="118">
        <f t="shared" si="77"/>
        <v>1</v>
      </c>
      <c r="M786" s="118">
        <f t="shared" si="78"/>
        <v>1</v>
      </c>
      <c r="N786" s="58">
        <f t="shared" si="79"/>
        <v>0</v>
      </c>
      <c r="O786" s="58">
        <f t="shared" si="80"/>
        <v>2</v>
      </c>
    </row>
    <row r="787" spans="1:34">
      <c r="A787" s="104">
        <f t="shared" si="83"/>
        <v>42392</v>
      </c>
      <c r="B787" s="105" t="str">
        <f t="shared" si="81"/>
        <v>Sat</v>
      </c>
      <c r="C787" s="105" t="s">
        <v>1138</v>
      </c>
      <c r="D787" s="105" t="str">
        <f t="shared" si="82"/>
        <v>FW51</v>
      </c>
      <c r="E787" s="105" t="s">
        <v>934</v>
      </c>
      <c r="F787" s="105" t="s">
        <v>1091</v>
      </c>
      <c r="G787" s="105"/>
      <c r="H787" s="105"/>
      <c r="I787" s="117">
        <v>890</v>
      </c>
      <c r="J787" s="117"/>
      <c r="K787" s="117"/>
      <c r="L787" s="118">
        <f t="shared" si="77"/>
        <v>1</v>
      </c>
      <c r="M787" s="118">
        <f t="shared" si="78"/>
        <v>0</v>
      </c>
      <c r="N787" s="58">
        <f t="shared" si="79"/>
        <v>0</v>
      </c>
      <c r="O787" s="58">
        <f t="shared" si="80"/>
        <v>1</v>
      </c>
    </row>
    <row r="788" spans="1:34">
      <c r="A788" s="104">
        <f t="shared" si="83"/>
        <v>42393</v>
      </c>
      <c r="B788" s="105" t="str">
        <f t="shared" si="81"/>
        <v>Sun</v>
      </c>
      <c r="C788" s="105" t="s">
        <v>1138</v>
      </c>
      <c r="D788" s="105" t="str">
        <f t="shared" si="82"/>
        <v>FW52</v>
      </c>
      <c r="E788" s="105" t="s">
        <v>165</v>
      </c>
      <c r="F788" s="105" t="s">
        <v>1092</v>
      </c>
      <c r="G788" s="105" t="s">
        <v>1102</v>
      </c>
      <c r="H788" s="105"/>
      <c r="I788" s="117">
        <v>738</v>
      </c>
      <c r="J788" s="117"/>
      <c r="K788" s="117"/>
      <c r="L788" s="118">
        <f t="shared" si="77"/>
        <v>1</v>
      </c>
      <c r="M788" s="118">
        <f t="shared" si="78"/>
        <v>1</v>
      </c>
      <c r="N788" s="58">
        <f t="shared" si="79"/>
        <v>0</v>
      </c>
      <c r="O788" s="58">
        <f t="shared" si="80"/>
        <v>2</v>
      </c>
    </row>
    <row r="789" spans="1:34">
      <c r="A789" s="104">
        <f t="shared" si="83"/>
        <v>42394</v>
      </c>
      <c r="B789" s="105" t="str">
        <f t="shared" si="81"/>
        <v>Mon</v>
      </c>
      <c r="C789" s="105" t="s">
        <v>1138</v>
      </c>
      <c r="D789" s="105" t="str">
        <f t="shared" si="82"/>
        <v>FW52</v>
      </c>
      <c r="E789" s="105" t="s">
        <v>165</v>
      </c>
      <c r="F789" s="105" t="s">
        <v>1092</v>
      </c>
      <c r="G789" s="105" t="s">
        <v>1102</v>
      </c>
      <c r="H789" s="105"/>
      <c r="I789" s="117">
        <v>1476</v>
      </c>
      <c r="J789" s="117"/>
      <c r="K789" s="117"/>
      <c r="L789" s="118">
        <f t="shared" si="77"/>
        <v>1</v>
      </c>
      <c r="M789" s="118">
        <f t="shared" si="78"/>
        <v>1</v>
      </c>
      <c r="N789" s="58">
        <f t="shared" si="79"/>
        <v>0</v>
      </c>
      <c r="O789" s="58">
        <f t="shared" si="80"/>
        <v>2</v>
      </c>
    </row>
    <row r="790" spans="1:34">
      <c r="A790" s="104">
        <f t="shared" si="83"/>
        <v>42395</v>
      </c>
      <c r="B790" s="105" t="str">
        <f t="shared" si="81"/>
        <v>Tue</v>
      </c>
      <c r="C790" s="105" t="s">
        <v>1138</v>
      </c>
      <c r="D790" s="105" t="str">
        <f t="shared" si="82"/>
        <v>FW52</v>
      </c>
      <c r="E790" s="105" t="s">
        <v>165</v>
      </c>
      <c r="F790" s="105" t="s">
        <v>1092</v>
      </c>
      <c r="G790" s="105" t="s">
        <v>1102</v>
      </c>
      <c r="H790" s="105"/>
      <c r="I790" s="117">
        <v>1494</v>
      </c>
      <c r="J790" s="117"/>
      <c r="K790" s="117"/>
      <c r="L790" s="118">
        <f t="shared" si="77"/>
        <v>1</v>
      </c>
      <c r="M790" s="118">
        <f t="shared" si="78"/>
        <v>1</v>
      </c>
      <c r="N790" s="58">
        <f t="shared" si="79"/>
        <v>0</v>
      </c>
      <c r="O790" s="58">
        <f t="shared" si="80"/>
        <v>2</v>
      </c>
    </row>
    <row r="791" spans="1:34">
      <c r="A791" s="104">
        <f t="shared" si="83"/>
        <v>42396</v>
      </c>
      <c r="B791" s="105" t="str">
        <f t="shared" si="81"/>
        <v>Wed</v>
      </c>
      <c r="C791" s="105" t="s">
        <v>1138</v>
      </c>
      <c r="D791" s="105" t="str">
        <f t="shared" si="82"/>
        <v>FW52</v>
      </c>
      <c r="E791" s="105" t="s">
        <v>165</v>
      </c>
      <c r="F791" s="105" t="s">
        <v>1092</v>
      </c>
      <c r="G791" s="105" t="s">
        <v>1102</v>
      </c>
      <c r="H791" s="105"/>
      <c r="I791" s="117">
        <v>1646</v>
      </c>
      <c r="J791" s="117"/>
      <c r="K791" s="117"/>
      <c r="L791" s="118">
        <f t="shared" si="77"/>
        <v>1</v>
      </c>
      <c r="M791" s="118">
        <f t="shared" si="78"/>
        <v>1</v>
      </c>
      <c r="N791" s="58">
        <f t="shared" si="79"/>
        <v>0</v>
      </c>
      <c r="O791" s="58">
        <f t="shared" si="80"/>
        <v>2</v>
      </c>
    </row>
    <row r="792" spans="1:34">
      <c r="A792" s="104">
        <f t="shared" si="83"/>
        <v>42397</v>
      </c>
      <c r="B792" s="105" t="str">
        <f t="shared" si="81"/>
        <v>Thu</v>
      </c>
      <c r="C792" s="105" t="s">
        <v>1138</v>
      </c>
      <c r="D792" s="105" t="str">
        <f t="shared" si="82"/>
        <v>FW52</v>
      </c>
      <c r="E792" s="105" t="s">
        <v>17</v>
      </c>
      <c r="F792" s="105" t="s">
        <v>969</v>
      </c>
      <c r="G792" s="105" t="s">
        <v>1103</v>
      </c>
      <c r="H792" s="105" t="s">
        <v>1104</v>
      </c>
      <c r="I792" s="117">
        <v>1659</v>
      </c>
      <c r="J792" s="117"/>
      <c r="K792" s="117"/>
      <c r="L792" s="118">
        <f t="shared" si="77"/>
        <v>1</v>
      </c>
      <c r="M792" s="118">
        <f t="shared" si="78"/>
        <v>1</v>
      </c>
      <c r="N792" s="58">
        <f t="shared" si="79"/>
        <v>1</v>
      </c>
      <c r="O792" s="58">
        <f t="shared" si="80"/>
        <v>3</v>
      </c>
    </row>
    <row r="793" spans="1:34">
      <c r="A793" s="104">
        <f t="shared" si="83"/>
        <v>42398</v>
      </c>
      <c r="B793" s="105" t="str">
        <f t="shared" ref="B793:B794" si="84">TEXT(A793,"DDD")</f>
        <v>Fri</v>
      </c>
      <c r="C793" s="105" t="s">
        <v>1138</v>
      </c>
      <c r="D793" s="105" t="str">
        <f t="shared" ref="D793:D808" si="85">IF(B793="Sun",("FW"&amp;RIGHT(D792,2)+1),D792)</f>
        <v>FW52</v>
      </c>
      <c r="E793" s="105" t="s">
        <v>17</v>
      </c>
      <c r="F793" s="105" t="s">
        <v>1103</v>
      </c>
      <c r="G793" s="105" t="s">
        <v>1104</v>
      </c>
      <c r="H793" s="105"/>
      <c r="I793" s="117">
        <v>1582</v>
      </c>
      <c r="J793" s="117"/>
      <c r="K793" s="117"/>
      <c r="L793" s="118">
        <f t="shared" si="77"/>
        <v>1</v>
      </c>
      <c r="M793" s="118">
        <f t="shared" si="78"/>
        <v>1</v>
      </c>
      <c r="N793" s="58">
        <f t="shared" si="79"/>
        <v>0</v>
      </c>
      <c r="O793" s="58">
        <f t="shared" si="80"/>
        <v>2</v>
      </c>
    </row>
    <row r="794" spans="1:34">
      <c r="A794" s="104">
        <f t="shared" si="83"/>
        <v>42399</v>
      </c>
      <c r="B794" s="105" t="str">
        <f t="shared" si="84"/>
        <v>Sat</v>
      </c>
      <c r="C794" s="105" t="s">
        <v>1138</v>
      </c>
      <c r="D794" s="105" t="str">
        <f t="shared" si="85"/>
        <v>FW52</v>
      </c>
      <c r="E794" s="105" t="s">
        <v>17</v>
      </c>
      <c r="F794" s="105" t="s">
        <v>1103</v>
      </c>
      <c r="G794" s="105" t="s">
        <v>1104</v>
      </c>
      <c r="H794" s="105"/>
      <c r="I794" s="117">
        <v>1227</v>
      </c>
      <c r="J794" s="117"/>
      <c r="K794" s="117"/>
      <c r="L794" s="118">
        <f t="shared" si="77"/>
        <v>1</v>
      </c>
      <c r="M794" s="118">
        <f t="shared" si="78"/>
        <v>1</v>
      </c>
      <c r="N794" s="58">
        <f t="shared" si="79"/>
        <v>0</v>
      </c>
      <c r="O794" s="58">
        <f t="shared" si="80"/>
        <v>2</v>
      </c>
    </row>
    <row r="795" spans="1:34">
      <c r="A795" s="104">
        <f t="shared" si="83"/>
        <v>42400</v>
      </c>
      <c r="B795" s="105" t="str">
        <f t="shared" ref="B795" si="86">TEXT(A795,"DDD")</f>
        <v>Sun</v>
      </c>
      <c r="C795" s="105" t="s">
        <v>1139</v>
      </c>
      <c r="D795" s="105" t="s">
        <v>1106</v>
      </c>
      <c r="E795" s="105" t="s">
        <v>1127</v>
      </c>
      <c r="F795" s="105" t="s">
        <v>1107</v>
      </c>
      <c r="G795" s="105" t="s">
        <v>1129</v>
      </c>
      <c r="H795" s="105"/>
      <c r="I795" s="117">
        <v>776</v>
      </c>
      <c r="J795" s="117"/>
      <c r="K795" s="117"/>
      <c r="L795" s="118">
        <f t="shared" ref="L795:L822" si="87">IF(E795=$L$1,0,1)</f>
        <v>1</v>
      </c>
      <c r="M795" s="118">
        <f t="shared" ref="M795:M822" si="88">IF(ISBLANK(G795),0,1)</f>
        <v>1</v>
      </c>
      <c r="N795" s="58">
        <f t="shared" ref="N795:N822" si="89">IF(ISBLANK(H795),0,1)</f>
        <v>0</v>
      </c>
      <c r="O795" s="58">
        <f t="shared" ref="O795:O822" si="90">SUM(L795:N795)</f>
        <v>2</v>
      </c>
      <c r="AH795" s="5">
        <v>2</v>
      </c>
    </row>
    <row r="796" spans="1:34">
      <c r="A796" s="104">
        <f t="shared" si="83"/>
        <v>42401</v>
      </c>
      <c r="B796" s="105" t="str">
        <f t="shared" ref="B796" si="91">TEXT(A796,"DDD")</f>
        <v>Mon</v>
      </c>
      <c r="C796" s="105" t="s">
        <v>1139</v>
      </c>
      <c r="D796" s="105" t="str">
        <f t="shared" si="85"/>
        <v>FW01</v>
      </c>
      <c r="E796" s="105" t="s">
        <v>1127</v>
      </c>
      <c r="F796" s="105" t="s">
        <v>1107</v>
      </c>
      <c r="G796" s="105"/>
      <c r="H796" s="105"/>
      <c r="I796" s="117">
        <v>1686</v>
      </c>
      <c r="J796" s="117"/>
      <c r="K796" s="117"/>
      <c r="L796" s="118">
        <f t="shared" si="87"/>
        <v>1</v>
      </c>
      <c r="M796" s="118">
        <f t="shared" si="88"/>
        <v>0</v>
      </c>
      <c r="N796" s="58">
        <f t="shared" si="89"/>
        <v>0</v>
      </c>
      <c r="O796" s="58">
        <f t="shared" si="90"/>
        <v>1</v>
      </c>
      <c r="AH796" s="5">
        <v>1</v>
      </c>
    </row>
    <row r="797" spans="1:34">
      <c r="A797" s="104">
        <f t="shared" si="83"/>
        <v>42402</v>
      </c>
      <c r="B797" s="105" t="str">
        <f t="shared" ref="B797:B820" si="92">TEXT(A797,"DDD")</f>
        <v>Tue</v>
      </c>
      <c r="C797" s="105" t="s">
        <v>1139</v>
      </c>
      <c r="D797" s="105" t="str">
        <f t="shared" si="85"/>
        <v>FW01</v>
      </c>
      <c r="E797" s="105" t="s">
        <v>17</v>
      </c>
      <c r="F797" s="105" t="s">
        <v>1108</v>
      </c>
      <c r="G797" s="105" t="s">
        <v>1130</v>
      </c>
      <c r="H797" s="105"/>
      <c r="I797" s="117">
        <v>1767</v>
      </c>
      <c r="J797" s="117"/>
      <c r="K797" s="117"/>
      <c r="L797" s="118">
        <f t="shared" si="87"/>
        <v>1</v>
      </c>
      <c r="M797" s="118">
        <f t="shared" si="88"/>
        <v>1</v>
      </c>
      <c r="N797" s="58">
        <f t="shared" si="89"/>
        <v>0</v>
      </c>
      <c r="O797" s="58">
        <f t="shared" si="90"/>
        <v>2</v>
      </c>
      <c r="AH797" s="5">
        <v>2</v>
      </c>
    </row>
    <row r="798" spans="1:34">
      <c r="A798" s="104">
        <f t="shared" si="83"/>
        <v>42403</v>
      </c>
      <c r="B798" s="105" t="str">
        <f t="shared" si="92"/>
        <v>Wed</v>
      </c>
      <c r="C798" s="105" t="s">
        <v>1139</v>
      </c>
      <c r="D798" s="105" t="str">
        <f t="shared" si="85"/>
        <v>FW01</v>
      </c>
      <c r="E798" s="105" t="s">
        <v>1128</v>
      </c>
      <c r="F798" s="105" t="s">
        <v>1109</v>
      </c>
      <c r="G798" s="105"/>
      <c r="H798" s="105"/>
      <c r="I798" s="117">
        <v>1709</v>
      </c>
      <c r="J798" s="117"/>
      <c r="K798" s="117"/>
      <c r="L798" s="118">
        <f t="shared" si="87"/>
        <v>1</v>
      </c>
      <c r="M798" s="118">
        <f t="shared" si="88"/>
        <v>0</v>
      </c>
      <c r="N798" s="58">
        <f t="shared" si="89"/>
        <v>0</v>
      </c>
      <c r="O798" s="58">
        <f t="shared" si="90"/>
        <v>1</v>
      </c>
      <c r="AH798" s="5">
        <v>1</v>
      </c>
    </row>
    <row r="799" spans="1:34">
      <c r="A799" s="104">
        <f t="shared" si="83"/>
        <v>42404</v>
      </c>
      <c r="B799" s="105" t="str">
        <f t="shared" si="92"/>
        <v>Thu</v>
      </c>
      <c r="C799" s="105" t="s">
        <v>1139</v>
      </c>
      <c r="D799" s="105" t="str">
        <f t="shared" si="85"/>
        <v>FW01</v>
      </c>
      <c r="E799" s="105" t="s">
        <v>1128</v>
      </c>
      <c r="F799" s="105" t="s">
        <v>1110</v>
      </c>
      <c r="G799" s="105" t="s">
        <v>1110</v>
      </c>
      <c r="H799" s="105"/>
      <c r="I799" s="117">
        <v>1636</v>
      </c>
      <c r="J799" s="117"/>
      <c r="K799" s="117"/>
      <c r="L799" s="118">
        <f t="shared" si="87"/>
        <v>1</v>
      </c>
      <c r="M799" s="118">
        <f t="shared" si="88"/>
        <v>1</v>
      </c>
      <c r="N799" s="58">
        <f t="shared" si="89"/>
        <v>0</v>
      </c>
      <c r="O799" s="58">
        <f t="shared" si="90"/>
        <v>2</v>
      </c>
      <c r="AH799" s="5">
        <v>2</v>
      </c>
    </row>
    <row r="800" spans="1:34">
      <c r="A800" s="104">
        <f t="shared" si="83"/>
        <v>42405</v>
      </c>
      <c r="B800" s="105" t="str">
        <f t="shared" si="92"/>
        <v>Fri</v>
      </c>
      <c r="C800" s="105" t="s">
        <v>1139</v>
      </c>
      <c r="D800" s="105" t="str">
        <f t="shared" si="85"/>
        <v>FW01</v>
      </c>
      <c r="E800" s="105" t="s">
        <v>175</v>
      </c>
      <c r="F800" s="105" t="s">
        <v>1111</v>
      </c>
      <c r="G800" s="105" t="s">
        <v>1129</v>
      </c>
      <c r="H800" s="105"/>
      <c r="I800" s="117">
        <v>1887</v>
      </c>
      <c r="J800" s="117"/>
      <c r="K800" s="117"/>
      <c r="L800" s="118">
        <f t="shared" si="87"/>
        <v>1</v>
      </c>
      <c r="M800" s="118">
        <f t="shared" si="88"/>
        <v>1</v>
      </c>
      <c r="N800" s="58">
        <f t="shared" si="89"/>
        <v>0</v>
      </c>
      <c r="O800" s="58">
        <f t="shared" si="90"/>
        <v>2</v>
      </c>
      <c r="AH800" s="5">
        <v>2</v>
      </c>
    </row>
    <row r="801" spans="1:34">
      <c r="A801" s="104">
        <f t="shared" si="83"/>
        <v>42406</v>
      </c>
      <c r="B801" s="105" t="str">
        <f t="shared" si="92"/>
        <v>Sat</v>
      </c>
      <c r="C801" s="105" t="s">
        <v>1139</v>
      </c>
      <c r="D801" s="105" t="str">
        <f t="shared" si="85"/>
        <v>FW01</v>
      </c>
      <c r="E801" s="105" t="s">
        <v>175</v>
      </c>
      <c r="F801" s="105" t="s">
        <v>1111</v>
      </c>
      <c r="G801" s="105" t="s">
        <v>1131</v>
      </c>
      <c r="H801" s="105"/>
      <c r="I801" s="117">
        <v>1419</v>
      </c>
      <c r="J801" s="117"/>
      <c r="K801" s="117"/>
      <c r="L801" s="118">
        <f t="shared" si="87"/>
        <v>1</v>
      </c>
      <c r="M801" s="118">
        <f t="shared" si="88"/>
        <v>1</v>
      </c>
      <c r="N801" s="58">
        <f t="shared" si="89"/>
        <v>0</v>
      </c>
      <c r="O801" s="58">
        <f t="shared" si="90"/>
        <v>2</v>
      </c>
      <c r="AH801" s="5">
        <v>2</v>
      </c>
    </row>
    <row r="802" spans="1:34">
      <c r="A802" s="104">
        <f t="shared" si="83"/>
        <v>42407</v>
      </c>
      <c r="B802" s="105" t="str">
        <f t="shared" si="92"/>
        <v>Sun</v>
      </c>
      <c r="C802" s="105" t="s">
        <v>1139</v>
      </c>
      <c r="D802" s="105" t="str">
        <f t="shared" si="85"/>
        <v>FW2</v>
      </c>
      <c r="E802" s="105" t="s">
        <v>175</v>
      </c>
      <c r="F802" s="105" t="s">
        <v>1112</v>
      </c>
      <c r="G802" s="105"/>
      <c r="H802" s="105"/>
      <c r="I802" s="117">
        <v>789</v>
      </c>
      <c r="J802" s="117"/>
      <c r="K802" s="117"/>
      <c r="L802" s="118">
        <f t="shared" si="87"/>
        <v>1</v>
      </c>
      <c r="M802" s="118">
        <f t="shared" si="88"/>
        <v>0</v>
      </c>
      <c r="N802" s="58">
        <f t="shared" si="89"/>
        <v>0</v>
      </c>
      <c r="O802" s="58">
        <f t="shared" si="90"/>
        <v>1</v>
      </c>
      <c r="AH802" s="5">
        <v>1</v>
      </c>
    </row>
    <row r="803" spans="1:34">
      <c r="A803" s="104">
        <f t="shared" si="83"/>
        <v>42408</v>
      </c>
      <c r="B803" s="105" t="str">
        <f t="shared" si="92"/>
        <v>Mon</v>
      </c>
      <c r="C803" s="105" t="s">
        <v>1139</v>
      </c>
      <c r="D803" s="105" t="str">
        <f t="shared" si="85"/>
        <v>FW2</v>
      </c>
      <c r="E803" s="105" t="s">
        <v>175</v>
      </c>
      <c r="F803" s="105" t="s">
        <v>1113</v>
      </c>
      <c r="G803" s="105" t="s">
        <v>1132</v>
      </c>
      <c r="H803" s="105"/>
      <c r="I803" s="117">
        <v>1934</v>
      </c>
      <c r="J803" s="117"/>
      <c r="K803" s="117"/>
      <c r="L803" s="118">
        <f t="shared" si="87"/>
        <v>1</v>
      </c>
      <c r="M803" s="118">
        <f t="shared" si="88"/>
        <v>1</v>
      </c>
      <c r="N803" s="58">
        <f t="shared" si="89"/>
        <v>0</v>
      </c>
      <c r="O803" s="58">
        <f t="shared" si="90"/>
        <v>2</v>
      </c>
      <c r="AH803" s="5">
        <v>2</v>
      </c>
    </row>
    <row r="804" spans="1:34">
      <c r="A804" s="104">
        <f t="shared" si="83"/>
        <v>42409</v>
      </c>
      <c r="B804" s="105" t="str">
        <f t="shared" si="92"/>
        <v>Tue</v>
      </c>
      <c r="C804" s="105" t="s">
        <v>1139</v>
      </c>
      <c r="D804" s="105" t="str">
        <f t="shared" si="85"/>
        <v>FW2</v>
      </c>
      <c r="E804" s="105" t="s">
        <v>175</v>
      </c>
      <c r="F804" s="105" t="s">
        <v>1114</v>
      </c>
      <c r="G804" s="105" t="s">
        <v>1114</v>
      </c>
      <c r="H804" s="105"/>
      <c r="I804" s="117">
        <v>1959</v>
      </c>
      <c r="J804" s="117"/>
      <c r="K804" s="117"/>
      <c r="L804" s="118">
        <f t="shared" si="87"/>
        <v>1</v>
      </c>
      <c r="M804" s="118">
        <f t="shared" si="88"/>
        <v>1</v>
      </c>
      <c r="N804" s="58">
        <f t="shared" si="89"/>
        <v>0</v>
      </c>
      <c r="O804" s="58">
        <f t="shared" si="90"/>
        <v>2</v>
      </c>
      <c r="AH804" s="5">
        <v>2</v>
      </c>
    </row>
    <row r="805" spans="1:34">
      <c r="A805" s="104">
        <f t="shared" si="83"/>
        <v>42410</v>
      </c>
      <c r="B805" s="105" t="str">
        <f t="shared" si="92"/>
        <v>Wed</v>
      </c>
      <c r="C805" s="105" t="s">
        <v>1139</v>
      </c>
      <c r="D805" s="105" t="str">
        <f t="shared" si="85"/>
        <v>FW2</v>
      </c>
      <c r="E805" s="105" t="s">
        <v>175</v>
      </c>
      <c r="F805" s="105" t="s">
        <v>1114</v>
      </c>
      <c r="G805" s="105" t="s">
        <v>1133</v>
      </c>
      <c r="H805" s="105"/>
      <c r="I805" s="117">
        <v>1952</v>
      </c>
      <c r="J805" s="117"/>
      <c r="K805" s="117"/>
      <c r="L805" s="118">
        <f t="shared" si="87"/>
        <v>1</v>
      </c>
      <c r="M805" s="118">
        <f t="shared" si="88"/>
        <v>1</v>
      </c>
      <c r="N805" s="58">
        <f t="shared" si="89"/>
        <v>0</v>
      </c>
      <c r="O805" s="58">
        <f t="shared" si="90"/>
        <v>2</v>
      </c>
      <c r="AH805" s="5">
        <v>2</v>
      </c>
    </row>
    <row r="806" spans="1:34">
      <c r="A806" s="104">
        <f t="shared" si="83"/>
        <v>42411</v>
      </c>
      <c r="B806" s="105" t="str">
        <f t="shared" si="92"/>
        <v>Thu</v>
      </c>
      <c r="C806" s="105" t="s">
        <v>1139</v>
      </c>
      <c r="D806" s="105" t="str">
        <f t="shared" si="85"/>
        <v>FW2</v>
      </c>
      <c r="E806" s="105" t="s">
        <v>175</v>
      </c>
      <c r="F806" s="105" t="s">
        <v>1115</v>
      </c>
      <c r="G806" s="105"/>
      <c r="H806" s="105"/>
      <c r="I806" s="117">
        <v>1692</v>
      </c>
      <c r="J806" s="117"/>
      <c r="K806" s="117"/>
      <c r="L806" s="118">
        <f t="shared" si="87"/>
        <v>1</v>
      </c>
      <c r="M806" s="118">
        <f t="shared" si="88"/>
        <v>0</v>
      </c>
      <c r="N806" s="58">
        <f t="shared" si="89"/>
        <v>0</v>
      </c>
      <c r="O806" s="58">
        <f t="shared" si="90"/>
        <v>1</v>
      </c>
      <c r="AH806" s="5">
        <v>1</v>
      </c>
    </row>
    <row r="807" spans="1:34">
      <c r="A807" s="104">
        <f t="shared" si="83"/>
        <v>42412</v>
      </c>
      <c r="B807" s="105" t="str">
        <f t="shared" si="92"/>
        <v>Fri</v>
      </c>
      <c r="C807" s="105" t="s">
        <v>1139</v>
      </c>
      <c r="D807" s="105" t="str">
        <f t="shared" si="85"/>
        <v>FW2</v>
      </c>
      <c r="E807" s="105" t="s">
        <v>175</v>
      </c>
      <c r="F807" s="105" t="s">
        <v>1116</v>
      </c>
      <c r="G807" s="105"/>
      <c r="H807" s="105"/>
      <c r="I807" s="117">
        <v>1510</v>
      </c>
      <c r="J807" s="117"/>
      <c r="K807" s="117"/>
      <c r="L807" s="118">
        <f t="shared" si="87"/>
        <v>1</v>
      </c>
      <c r="M807" s="118">
        <f t="shared" si="88"/>
        <v>0</v>
      </c>
      <c r="N807" s="58">
        <f t="shared" si="89"/>
        <v>0</v>
      </c>
      <c r="O807" s="58">
        <f t="shared" si="90"/>
        <v>1</v>
      </c>
      <c r="AH807" s="5">
        <v>1</v>
      </c>
    </row>
    <row r="808" spans="1:34">
      <c r="A808" s="104">
        <f t="shared" si="83"/>
        <v>42413</v>
      </c>
      <c r="B808" s="105" t="str">
        <f t="shared" si="92"/>
        <v>Sat</v>
      </c>
      <c r="C808" s="105" t="s">
        <v>1139</v>
      </c>
      <c r="D808" s="105" t="str">
        <f t="shared" si="85"/>
        <v>FW2</v>
      </c>
      <c r="E808" s="105" t="s">
        <v>175</v>
      </c>
      <c r="F808" s="105" t="s">
        <v>1117</v>
      </c>
      <c r="G808" s="105"/>
      <c r="H808" s="105"/>
      <c r="I808" s="117">
        <v>1092</v>
      </c>
      <c r="J808" s="117"/>
      <c r="K808" s="117"/>
      <c r="L808" s="118">
        <f t="shared" si="87"/>
        <v>1</v>
      </c>
      <c r="M808" s="118">
        <f t="shared" si="88"/>
        <v>0</v>
      </c>
      <c r="N808" s="58">
        <f t="shared" si="89"/>
        <v>0</v>
      </c>
      <c r="O808" s="58">
        <f t="shared" si="90"/>
        <v>1</v>
      </c>
      <c r="AH808" s="5">
        <v>1</v>
      </c>
    </row>
    <row r="809" spans="1:34">
      <c r="A809" s="104">
        <f t="shared" si="83"/>
        <v>42414</v>
      </c>
      <c r="B809" s="105" t="str">
        <f t="shared" si="92"/>
        <v>Sun</v>
      </c>
      <c r="C809" s="105" t="s">
        <v>1139</v>
      </c>
      <c r="D809" s="105" t="str">
        <f>IF(B809="Sun",("FW"&amp;RIGHT(D808,1)+1),D808)</f>
        <v>FW3</v>
      </c>
      <c r="E809" s="105" t="s">
        <v>934</v>
      </c>
      <c r="F809" s="105" t="s">
        <v>1118</v>
      </c>
      <c r="G809" s="105"/>
      <c r="H809" s="105"/>
      <c r="I809" s="117">
        <v>650</v>
      </c>
      <c r="J809" s="117"/>
      <c r="K809" s="117"/>
      <c r="L809" s="118">
        <f t="shared" si="87"/>
        <v>1</v>
      </c>
      <c r="M809" s="118">
        <f t="shared" si="88"/>
        <v>0</v>
      </c>
      <c r="N809" s="58">
        <f t="shared" si="89"/>
        <v>0</v>
      </c>
      <c r="O809" s="58">
        <f t="shared" si="90"/>
        <v>1</v>
      </c>
      <c r="AH809" s="5">
        <v>1</v>
      </c>
    </row>
    <row r="810" spans="1:34">
      <c r="A810" s="104">
        <f t="shared" si="83"/>
        <v>42415</v>
      </c>
      <c r="B810" s="105" t="str">
        <f t="shared" si="92"/>
        <v>Mon</v>
      </c>
      <c r="C810" s="105" t="s">
        <v>1139</v>
      </c>
      <c r="D810" s="105" t="str">
        <f t="shared" ref="D810:D820" si="93">IF(B810="Sun",("FW"&amp;RIGHT(D809,1)+1),D809)</f>
        <v>FW3</v>
      </c>
      <c r="E810" s="105" t="s">
        <v>934</v>
      </c>
      <c r="F810" s="105" t="s">
        <v>1119</v>
      </c>
      <c r="G810" s="105" t="s">
        <v>1119</v>
      </c>
      <c r="H810" s="105"/>
      <c r="I810" s="117">
        <v>1545</v>
      </c>
      <c r="J810" s="117"/>
      <c r="K810" s="117"/>
      <c r="L810" s="118">
        <f t="shared" si="87"/>
        <v>1</v>
      </c>
      <c r="M810" s="118">
        <f t="shared" si="88"/>
        <v>1</v>
      </c>
      <c r="N810" s="58">
        <f t="shared" si="89"/>
        <v>0</v>
      </c>
      <c r="O810" s="58">
        <f t="shared" si="90"/>
        <v>2</v>
      </c>
      <c r="AH810" s="5">
        <v>2</v>
      </c>
    </row>
    <row r="811" spans="1:34">
      <c r="A811" s="104">
        <f t="shared" si="83"/>
        <v>42416</v>
      </c>
      <c r="B811" s="105" t="str">
        <f t="shared" si="92"/>
        <v>Tue</v>
      </c>
      <c r="C811" s="105" t="s">
        <v>1139</v>
      </c>
      <c r="D811" s="105" t="str">
        <f t="shared" si="93"/>
        <v>FW3</v>
      </c>
      <c r="E811" s="105" t="s">
        <v>191</v>
      </c>
      <c r="F811" s="105" t="s">
        <v>1120</v>
      </c>
      <c r="G811" s="105"/>
      <c r="H811" s="105"/>
      <c r="I811" s="117">
        <v>1625</v>
      </c>
      <c r="J811" s="117"/>
      <c r="K811" s="117"/>
      <c r="L811" s="118">
        <f t="shared" si="87"/>
        <v>1</v>
      </c>
      <c r="M811" s="118">
        <f t="shared" si="88"/>
        <v>0</v>
      </c>
      <c r="N811" s="58">
        <f t="shared" si="89"/>
        <v>0</v>
      </c>
      <c r="O811" s="58">
        <f t="shared" si="90"/>
        <v>1</v>
      </c>
      <c r="AH811" s="5">
        <v>1</v>
      </c>
    </row>
    <row r="812" spans="1:34">
      <c r="A812" s="104">
        <f t="shared" si="83"/>
        <v>42417</v>
      </c>
      <c r="B812" s="105" t="str">
        <f t="shared" si="92"/>
        <v>Wed</v>
      </c>
      <c r="C812" s="105" t="s">
        <v>1139</v>
      </c>
      <c r="D812" s="105" t="str">
        <f t="shared" si="93"/>
        <v>FW3</v>
      </c>
      <c r="E812" s="105" t="s">
        <v>934</v>
      </c>
      <c r="F812" s="105" t="s">
        <v>1121</v>
      </c>
      <c r="G812" s="105" t="s">
        <v>1134</v>
      </c>
      <c r="H812" s="105"/>
      <c r="I812" s="117">
        <v>1635</v>
      </c>
      <c r="J812" s="117"/>
      <c r="K812" s="117"/>
      <c r="L812" s="118">
        <f t="shared" si="87"/>
        <v>1</v>
      </c>
      <c r="M812" s="118">
        <f t="shared" si="88"/>
        <v>1</v>
      </c>
      <c r="N812" s="58">
        <f t="shared" si="89"/>
        <v>0</v>
      </c>
      <c r="O812" s="58">
        <f t="shared" si="90"/>
        <v>2</v>
      </c>
      <c r="AH812" s="5">
        <v>2</v>
      </c>
    </row>
    <row r="813" spans="1:34">
      <c r="A813" s="104">
        <f t="shared" si="83"/>
        <v>42418</v>
      </c>
      <c r="B813" s="105" t="str">
        <f t="shared" si="92"/>
        <v>Thu</v>
      </c>
      <c r="C813" s="105" t="s">
        <v>1139</v>
      </c>
      <c r="D813" s="105" t="str">
        <f t="shared" si="93"/>
        <v>FW3</v>
      </c>
      <c r="E813" s="105" t="s">
        <v>934</v>
      </c>
      <c r="F813" s="105" t="s">
        <v>1121</v>
      </c>
      <c r="G813" s="105"/>
      <c r="H813" s="105"/>
      <c r="I813" s="117">
        <v>1574</v>
      </c>
      <c r="J813" s="117"/>
      <c r="K813" s="117"/>
      <c r="L813" s="118">
        <f t="shared" si="87"/>
        <v>1</v>
      </c>
      <c r="M813" s="118">
        <f t="shared" si="88"/>
        <v>0</v>
      </c>
      <c r="N813" s="58">
        <f t="shared" si="89"/>
        <v>0</v>
      </c>
      <c r="O813" s="58">
        <f t="shared" si="90"/>
        <v>1</v>
      </c>
      <c r="AH813" s="5">
        <v>1</v>
      </c>
    </row>
    <row r="814" spans="1:34">
      <c r="A814" s="104">
        <f t="shared" si="83"/>
        <v>42419</v>
      </c>
      <c r="B814" s="105" t="str">
        <f t="shared" si="92"/>
        <v>Fri</v>
      </c>
      <c r="C814" s="105" t="s">
        <v>1139</v>
      </c>
      <c r="D814" s="105" t="str">
        <f t="shared" si="93"/>
        <v>FW3</v>
      </c>
      <c r="E814" s="105" t="s">
        <v>17</v>
      </c>
      <c r="F814" s="105" t="s">
        <v>1122</v>
      </c>
      <c r="G814" s="105" t="s">
        <v>1135</v>
      </c>
      <c r="H814" s="105"/>
      <c r="I814" s="117">
        <v>1470</v>
      </c>
      <c r="J814" s="117"/>
      <c r="K814" s="117"/>
      <c r="L814" s="118">
        <f t="shared" si="87"/>
        <v>1</v>
      </c>
      <c r="M814" s="118">
        <f t="shared" si="88"/>
        <v>1</v>
      </c>
      <c r="N814" s="58">
        <f t="shared" si="89"/>
        <v>0</v>
      </c>
      <c r="O814" s="58">
        <f t="shared" si="90"/>
        <v>2</v>
      </c>
      <c r="AH814" s="5">
        <v>2</v>
      </c>
    </row>
    <row r="815" spans="1:34">
      <c r="A815" s="104">
        <f t="shared" si="83"/>
        <v>42420</v>
      </c>
      <c r="B815" s="105" t="str">
        <f t="shared" si="92"/>
        <v>Sat</v>
      </c>
      <c r="C815" s="105" t="s">
        <v>1139</v>
      </c>
      <c r="D815" s="105" t="str">
        <f t="shared" si="93"/>
        <v>FW3</v>
      </c>
      <c r="E815" s="105" t="s">
        <v>17</v>
      </c>
      <c r="F815" s="105" t="s">
        <v>1123</v>
      </c>
      <c r="G815" s="105" t="s">
        <v>1136</v>
      </c>
      <c r="H815" s="105"/>
      <c r="I815" s="117">
        <v>995</v>
      </c>
      <c r="J815" s="117"/>
      <c r="K815" s="117"/>
      <c r="L815" s="118">
        <f t="shared" si="87"/>
        <v>1</v>
      </c>
      <c r="M815" s="118">
        <f t="shared" si="88"/>
        <v>1</v>
      </c>
      <c r="N815" s="58">
        <f t="shared" si="89"/>
        <v>0</v>
      </c>
      <c r="O815" s="58">
        <f t="shared" si="90"/>
        <v>2</v>
      </c>
      <c r="AH815" s="5">
        <v>2</v>
      </c>
    </row>
    <row r="816" spans="1:34">
      <c r="A816" s="104">
        <f t="shared" si="83"/>
        <v>42421</v>
      </c>
      <c r="B816" s="105" t="str">
        <f t="shared" si="92"/>
        <v>Sun</v>
      </c>
      <c r="C816" s="105" t="s">
        <v>1139</v>
      </c>
      <c r="D816" s="105" t="str">
        <f t="shared" si="93"/>
        <v>FW4</v>
      </c>
      <c r="E816" s="105" t="s">
        <v>191</v>
      </c>
      <c r="F816" s="105" t="s">
        <v>1124</v>
      </c>
      <c r="G816" s="105"/>
      <c r="H816" s="105"/>
      <c r="I816" s="117">
        <v>705</v>
      </c>
      <c r="J816" s="117"/>
      <c r="K816" s="117"/>
      <c r="L816" s="118">
        <f t="shared" si="87"/>
        <v>1</v>
      </c>
      <c r="M816" s="118">
        <f t="shared" si="88"/>
        <v>0</v>
      </c>
      <c r="N816" s="58">
        <f t="shared" si="89"/>
        <v>0</v>
      </c>
      <c r="O816" s="58">
        <f t="shared" si="90"/>
        <v>1</v>
      </c>
      <c r="AH816" s="5">
        <v>1</v>
      </c>
    </row>
    <row r="817" spans="1:34">
      <c r="A817" s="104">
        <f t="shared" si="83"/>
        <v>42422</v>
      </c>
      <c r="B817" s="105" t="str">
        <f t="shared" si="92"/>
        <v>Mon</v>
      </c>
      <c r="C817" s="105" t="s">
        <v>1139</v>
      </c>
      <c r="D817" s="105" t="str">
        <f t="shared" si="93"/>
        <v>FW4</v>
      </c>
      <c r="E817" s="105" t="s">
        <v>191</v>
      </c>
      <c r="F817" s="105" t="s">
        <v>1125</v>
      </c>
      <c r="G817" s="105" t="s">
        <v>1125</v>
      </c>
      <c r="H817" s="105"/>
      <c r="I817" s="117">
        <v>1731</v>
      </c>
      <c r="J817" s="117"/>
      <c r="K817" s="117"/>
      <c r="L817" s="118">
        <f t="shared" si="87"/>
        <v>1</v>
      </c>
      <c r="M817" s="118">
        <f t="shared" si="88"/>
        <v>1</v>
      </c>
      <c r="N817" s="58">
        <f t="shared" si="89"/>
        <v>0</v>
      </c>
      <c r="O817" s="58">
        <f t="shared" si="90"/>
        <v>2</v>
      </c>
      <c r="AH817" s="5">
        <v>2</v>
      </c>
    </row>
    <row r="818" spans="1:34">
      <c r="A818" s="104">
        <f t="shared" si="83"/>
        <v>42423</v>
      </c>
      <c r="B818" s="105" t="str">
        <f t="shared" si="92"/>
        <v>Tue</v>
      </c>
      <c r="C818" s="105" t="s">
        <v>1139</v>
      </c>
      <c r="D818" s="105" t="str">
        <f t="shared" si="93"/>
        <v>FW4</v>
      </c>
      <c r="E818" s="105" t="s">
        <v>191</v>
      </c>
      <c r="F818" s="105" t="s">
        <v>1125</v>
      </c>
      <c r="G818" s="105"/>
      <c r="H818" s="105"/>
      <c r="I818" s="117">
        <v>1510</v>
      </c>
      <c r="J818" s="117"/>
      <c r="K818" s="117"/>
      <c r="L818" s="118">
        <f t="shared" si="87"/>
        <v>1</v>
      </c>
      <c r="M818" s="118">
        <f t="shared" si="88"/>
        <v>0</v>
      </c>
      <c r="N818" s="58">
        <f t="shared" si="89"/>
        <v>0</v>
      </c>
      <c r="O818" s="58">
        <f t="shared" si="90"/>
        <v>1</v>
      </c>
      <c r="AH818" s="5">
        <v>1</v>
      </c>
    </row>
    <row r="819" spans="1:34">
      <c r="A819" s="104">
        <f t="shared" si="83"/>
        <v>42424</v>
      </c>
      <c r="B819" s="105" t="str">
        <f t="shared" si="92"/>
        <v>Wed</v>
      </c>
      <c r="C819" s="105" t="s">
        <v>1139</v>
      </c>
      <c r="D819" s="105" t="str">
        <f t="shared" si="93"/>
        <v>FW4</v>
      </c>
      <c r="E819" s="105" t="s">
        <v>191</v>
      </c>
      <c r="F819" s="105" t="s">
        <v>1125</v>
      </c>
      <c r="G819" s="105" t="s">
        <v>1125</v>
      </c>
      <c r="H819" s="105"/>
      <c r="I819" s="117">
        <v>1685</v>
      </c>
      <c r="J819" s="117"/>
      <c r="K819" s="117"/>
      <c r="L819" s="118">
        <f t="shared" si="87"/>
        <v>1</v>
      </c>
      <c r="M819" s="118">
        <f t="shared" si="88"/>
        <v>1</v>
      </c>
      <c r="N819" s="58">
        <f t="shared" si="89"/>
        <v>0</v>
      </c>
      <c r="O819" s="58">
        <f t="shared" si="90"/>
        <v>2</v>
      </c>
      <c r="AH819" s="5">
        <v>2</v>
      </c>
    </row>
    <row r="820" spans="1:34">
      <c r="A820" s="104">
        <f t="shared" si="83"/>
        <v>42425</v>
      </c>
      <c r="B820" s="105" t="str">
        <f t="shared" si="92"/>
        <v>Thu</v>
      </c>
      <c r="C820" s="105" t="s">
        <v>1139</v>
      </c>
      <c r="D820" s="105" t="str">
        <f t="shared" si="93"/>
        <v>FW4</v>
      </c>
      <c r="E820" s="105" t="s">
        <v>191</v>
      </c>
      <c r="F820" s="105" t="s">
        <v>1125</v>
      </c>
      <c r="G820" s="105" t="s">
        <v>1125</v>
      </c>
      <c r="H820" s="105"/>
      <c r="I820" s="117">
        <v>1556</v>
      </c>
      <c r="J820" s="117"/>
      <c r="K820" s="117"/>
      <c r="L820" s="118">
        <f t="shared" si="87"/>
        <v>1</v>
      </c>
      <c r="M820" s="118">
        <f t="shared" si="88"/>
        <v>1</v>
      </c>
      <c r="N820" s="58">
        <f t="shared" si="89"/>
        <v>0</v>
      </c>
      <c r="O820" s="58">
        <f t="shared" si="90"/>
        <v>2</v>
      </c>
      <c r="AH820" s="5">
        <v>2</v>
      </c>
    </row>
    <row r="821" spans="1:34">
      <c r="A821" s="104">
        <f t="shared" si="83"/>
        <v>42426</v>
      </c>
      <c r="B821" s="105" t="str">
        <f t="shared" ref="B821:B822" si="94">TEXT(A821,"DDD")</f>
        <v>Fri</v>
      </c>
      <c r="C821" s="105" t="s">
        <v>1139</v>
      </c>
      <c r="D821" s="105" t="str">
        <f t="shared" ref="D821:D822" si="95">IF(B821="Sun",("FW"&amp;RIGHT(D820,1)+1),D820)</f>
        <v>FW4</v>
      </c>
      <c r="E821" s="105" t="s">
        <v>48</v>
      </c>
      <c r="F821" s="105" t="s">
        <v>1126</v>
      </c>
      <c r="G821" s="105"/>
      <c r="H821" s="105"/>
      <c r="I821" s="117">
        <v>1429</v>
      </c>
      <c r="J821" s="117"/>
      <c r="K821" s="117"/>
      <c r="L821" s="118">
        <f t="shared" si="87"/>
        <v>1</v>
      </c>
      <c r="M821" s="118">
        <f t="shared" si="88"/>
        <v>0</v>
      </c>
      <c r="N821" s="58">
        <f t="shared" si="89"/>
        <v>0</v>
      </c>
      <c r="O821" s="58">
        <f t="shared" si="90"/>
        <v>1</v>
      </c>
      <c r="AH821" s="5">
        <v>1</v>
      </c>
    </row>
    <row r="822" spans="1:34">
      <c r="A822" s="104">
        <f t="shared" si="83"/>
        <v>42427</v>
      </c>
      <c r="B822" s="105" t="str">
        <f t="shared" si="94"/>
        <v>Sat</v>
      </c>
      <c r="C822" s="105" t="s">
        <v>1139</v>
      </c>
      <c r="D822" s="105" t="str">
        <f t="shared" si="95"/>
        <v>FW4</v>
      </c>
      <c r="E822" s="105" t="s">
        <v>48</v>
      </c>
      <c r="F822" s="105" t="s">
        <v>1126</v>
      </c>
      <c r="G822" s="105" t="s">
        <v>1137</v>
      </c>
      <c r="H822" s="105"/>
      <c r="I822" s="117">
        <v>1048</v>
      </c>
      <c r="J822" s="117"/>
      <c r="K822" s="117"/>
      <c r="L822" s="118">
        <f t="shared" si="87"/>
        <v>1</v>
      </c>
      <c r="M822" s="118">
        <f t="shared" si="88"/>
        <v>1</v>
      </c>
      <c r="N822" s="58">
        <f t="shared" si="89"/>
        <v>0</v>
      </c>
      <c r="O822" s="58">
        <f t="shared" si="90"/>
        <v>2</v>
      </c>
      <c r="AH822" s="5">
        <v>2</v>
      </c>
    </row>
    <row r="823" spans="1:34">
      <c r="A823" s="104">
        <f t="shared" si="83"/>
        <v>42428</v>
      </c>
      <c r="B823" s="105" t="str">
        <f t="shared" ref="B823:B855" si="96">TEXT(A823,"DDD")</f>
        <v>Sun</v>
      </c>
      <c r="C823" s="105" t="s">
        <v>1140</v>
      </c>
      <c r="D823" s="105" t="str">
        <f t="shared" ref="D823:D855" si="97">IF(B823="Sun",("FW"&amp;RIGHT(D822,1)+1),D822)</f>
        <v>FW5</v>
      </c>
      <c r="E823" s="105" t="s">
        <v>48</v>
      </c>
      <c r="F823" s="105" t="s">
        <v>1144</v>
      </c>
      <c r="G823" s="105"/>
      <c r="H823" s="105"/>
      <c r="I823" s="117">
        <v>635</v>
      </c>
      <c r="J823" s="117"/>
      <c r="K823" s="117"/>
      <c r="L823" s="118">
        <f t="shared" ref="L823:L850" si="98">IF(E823=$L$1,0,1)</f>
        <v>1</v>
      </c>
      <c r="M823" s="118">
        <f t="shared" ref="M823:M850" si="99">IF(ISBLANK(G823),0,1)</f>
        <v>0</v>
      </c>
      <c r="N823" s="58">
        <f t="shared" ref="N823:N850" si="100">IF(ISBLANK(H823),0,1)</f>
        <v>0</v>
      </c>
      <c r="O823" s="58">
        <f t="shared" ref="O823:O850" si="101">SUM(L823:N823)</f>
        <v>1</v>
      </c>
    </row>
    <row r="824" spans="1:34">
      <c r="A824" s="104">
        <f t="shared" si="83"/>
        <v>42429</v>
      </c>
      <c r="B824" s="105" t="str">
        <f t="shared" si="96"/>
        <v>Mon</v>
      </c>
      <c r="C824" s="105" t="s">
        <v>1140</v>
      </c>
      <c r="D824" s="105" t="str">
        <f t="shared" si="97"/>
        <v>FW5</v>
      </c>
      <c r="E824" s="105" t="s">
        <v>285</v>
      </c>
      <c r="F824" s="105" t="s">
        <v>1145</v>
      </c>
      <c r="G824" s="105"/>
      <c r="H824" s="105"/>
      <c r="I824" s="117">
        <v>1846</v>
      </c>
      <c r="J824" s="117"/>
      <c r="K824" s="117"/>
      <c r="L824" s="118">
        <f t="shared" si="98"/>
        <v>1</v>
      </c>
      <c r="M824" s="118">
        <f t="shared" si="99"/>
        <v>0</v>
      </c>
      <c r="N824" s="58">
        <f t="shared" si="100"/>
        <v>0</v>
      </c>
      <c r="O824" s="58">
        <f t="shared" si="101"/>
        <v>1</v>
      </c>
    </row>
    <row r="825" spans="1:34">
      <c r="A825" s="104">
        <f t="shared" si="83"/>
        <v>42430</v>
      </c>
      <c r="B825" s="105" t="str">
        <f t="shared" si="96"/>
        <v>Tue</v>
      </c>
      <c r="C825" s="105" t="s">
        <v>1140</v>
      </c>
      <c r="D825" s="105" t="str">
        <f t="shared" si="97"/>
        <v>FW5</v>
      </c>
      <c r="E825" s="105" t="s">
        <v>157</v>
      </c>
      <c r="F825" s="105" t="s">
        <v>1146</v>
      </c>
      <c r="G825" s="105"/>
      <c r="H825" s="105"/>
      <c r="I825" s="117">
        <v>1610</v>
      </c>
      <c r="J825" s="117"/>
      <c r="K825" s="117"/>
      <c r="L825" s="118">
        <f t="shared" si="98"/>
        <v>1</v>
      </c>
      <c r="M825" s="118">
        <f t="shared" si="99"/>
        <v>0</v>
      </c>
      <c r="N825" s="58">
        <f t="shared" si="100"/>
        <v>0</v>
      </c>
      <c r="O825" s="58">
        <f t="shared" si="101"/>
        <v>1</v>
      </c>
    </row>
    <row r="826" spans="1:34">
      <c r="A826" s="104">
        <f t="shared" si="83"/>
        <v>42431</v>
      </c>
      <c r="B826" s="105" t="str">
        <f t="shared" si="96"/>
        <v>Wed</v>
      </c>
      <c r="C826" s="105" t="s">
        <v>1140</v>
      </c>
      <c r="D826" s="105" t="str">
        <f t="shared" si="97"/>
        <v>FW5</v>
      </c>
      <c r="E826" s="105" t="s">
        <v>157</v>
      </c>
      <c r="F826" s="105" t="s">
        <v>1146</v>
      </c>
      <c r="G826" s="105" t="s">
        <v>1147</v>
      </c>
      <c r="H826" s="105"/>
      <c r="I826" s="117">
        <v>1668</v>
      </c>
      <c r="J826" s="117"/>
      <c r="K826" s="117"/>
      <c r="L826" s="118">
        <f t="shared" si="98"/>
        <v>1</v>
      </c>
      <c r="M826" s="118">
        <f t="shared" si="99"/>
        <v>1</v>
      </c>
      <c r="N826" s="58">
        <f t="shared" si="100"/>
        <v>0</v>
      </c>
      <c r="O826" s="58">
        <f t="shared" si="101"/>
        <v>2</v>
      </c>
    </row>
    <row r="827" spans="1:34">
      <c r="A827" s="104">
        <f t="shared" si="83"/>
        <v>42432</v>
      </c>
      <c r="B827" s="105" t="str">
        <f t="shared" si="96"/>
        <v>Thu</v>
      </c>
      <c r="C827" s="105" t="s">
        <v>1140</v>
      </c>
      <c r="D827" s="105" t="str">
        <f t="shared" si="97"/>
        <v>FW5</v>
      </c>
      <c r="E827" s="105" t="s">
        <v>157</v>
      </c>
      <c r="F827" s="105" t="s">
        <v>1146</v>
      </c>
      <c r="G827" s="105" t="s">
        <v>1099</v>
      </c>
      <c r="H827" s="105"/>
      <c r="I827" s="117">
        <v>1467</v>
      </c>
      <c r="J827" s="117"/>
      <c r="K827" s="117"/>
      <c r="L827" s="118">
        <f t="shared" si="98"/>
        <v>1</v>
      </c>
      <c r="M827" s="118">
        <f t="shared" si="99"/>
        <v>1</v>
      </c>
      <c r="N827" s="58">
        <f t="shared" si="100"/>
        <v>0</v>
      </c>
      <c r="O827" s="58">
        <f t="shared" si="101"/>
        <v>2</v>
      </c>
    </row>
    <row r="828" spans="1:34">
      <c r="A828" s="104">
        <f t="shared" si="83"/>
        <v>42433</v>
      </c>
      <c r="B828" s="105" t="str">
        <f t="shared" si="96"/>
        <v>Fri</v>
      </c>
      <c r="C828" s="105" t="s">
        <v>1140</v>
      </c>
      <c r="D828" s="105" t="str">
        <f t="shared" si="97"/>
        <v>FW5</v>
      </c>
      <c r="E828" s="105" t="s">
        <v>157</v>
      </c>
      <c r="F828" s="105" t="s">
        <v>1146</v>
      </c>
      <c r="G828" s="105" t="s">
        <v>1148</v>
      </c>
      <c r="H828" s="105"/>
      <c r="I828" s="117">
        <v>1466</v>
      </c>
      <c r="J828" s="117"/>
      <c r="K828" s="117"/>
      <c r="L828" s="118">
        <f t="shared" si="98"/>
        <v>1</v>
      </c>
      <c r="M828" s="118">
        <f t="shared" si="99"/>
        <v>1</v>
      </c>
      <c r="N828" s="58">
        <f t="shared" si="100"/>
        <v>0</v>
      </c>
      <c r="O828" s="58">
        <f t="shared" si="101"/>
        <v>2</v>
      </c>
    </row>
    <row r="829" spans="1:34">
      <c r="A829" s="104">
        <f t="shared" si="83"/>
        <v>42434</v>
      </c>
      <c r="B829" s="105" t="str">
        <f t="shared" si="96"/>
        <v>Sat</v>
      </c>
      <c r="C829" s="105" t="s">
        <v>1140</v>
      </c>
      <c r="D829" s="105" t="str">
        <f t="shared" si="97"/>
        <v>FW5</v>
      </c>
      <c r="E829" s="105" t="s">
        <v>17</v>
      </c>
      <c r="F829" s="105" t="s">
        <v>1072</v>
      </c>
      <c r="G829" s="105"/>
      <c r="H829" s="105"/>
      <c r="I829" s="117">
        <v>997</v>
      </c>
      <c r="J829" s="117"/>
      <c r="K829" s="117"/>
      <c r="L829" s="118">
        <f t="shared" si="98"/>
        <v>1</v>
      </c>
      <c r="M829" s="118">
        <f t="shared" si="99"/>
        <v>0</v>
      </c>
      <c r="N829" s="58">
        <f t="shared" si="100"/>
        <v>0</v>
      </c>
      <c r="O829" s="58">
        <f t="shared" si="101"/>
        <v>1</v>
      </c>
    </row>
    <row r="830" spans="1:34">
      <c r="A830" s="104">
        <f t="shared" si="83"/>
        <v>42435</v>
      </c>
      <c r="B830" s="105" t="str">
        <f t="shared" si="96"/>
        <v>Sun</v>
      </c>
      <c r="C830" s="105" t="s">
        <v>1140</v>
      </c>
      <c r="D830" s="105" t="str">
        <f t="shared" si="97"/>
        <v>FW6</v>
      </c>
      <c r="E830" s="105" t="s">
        <v>17</v>
      </c>
      <c r="F830" s="105" t="s">
        <v>1072</v>
      </c>
      <c r="G830" s="105" t="s">
        <v>1072</v>
      </c>
      <c r="H830" s="105"/>
      <c r="I830" s="117">
        <v>821</v>
      </c>
      <c r="J830" s="117"/>
      <c r="K830" s="117"/>
      <c r="L830" s="118">
        <f t="shared" si="98"/>
        <v>1</v>
      </c>
      <c r="M830" s="118">
        <f t="shared" si="99"/>
        <v>1</v>
      </c>
      <c r="N830" s="58">
        <f t="shared" si="100"/>
        <v>0</v>
      </c>
      <c r="O830" s="58">
        <f t="shared" si="101"/>
        <v>2</v>
      </c>
    </row>
    <row r="831" spans="1:34">
      <c r="A831" s="104">
        <f t="shared" si="83"/>
        <v>42436</v>
      </c>
      <c r="B831" s="105" t="str">
        <f t="shared" si="96"/>
        <v>Mon</v>
      </c>
      <c r="C831" s="105" t="s">
        <v>1140</v>
      </c>
      <c r="D831" s="105" t="str">
        <f t="shared" si="97"/>
        <v>FW6</v>
      </c>
      <c r="E831" s="105" t="s">
        <v>1142</v>
      </c>
      <c r="F831" s="105" t="s">
        <v>1149</v>
      </c>
      <c r="G831" s="105" t="s">
        <v>1149</v>
      </c>
      <c r="H831" s="105"/>
      <c r="I831" s="117">
        <v>1421</v>
      </c>
      <c r="J831" s="117"/>
      <c r="K831" s="117"/>
      <c r="L831" s="118">
        <f t="shared" si="98"/>
        <v>1</v>
      </c>
      <c r="M831" s="118">
        <f t="shared" si="99"/>
        <v>1</v>
      </c>
      <c r="N831" s="58">
        <f t="shared" si="100"/>
        <v>0</v>
      </c>
      <c r="O831" s="58">
        <f t="shared" si="101"/>
        <v>2</v>
      </c>
    </row>
    <row r="832" spans="1:34">
      <c r="A832" s="104">
        <f t="shared" si="83"/>
        <v>42437</v>
      </c>
      <c r="B832" s="105" t="str">
        <f t="shared" si="96"/>
        <v>Tue</v>
      </c>
      <c r="C832" s="105" t="s">
        <v>1140</v>
      </c>
      <c r="D832" s="105" t="str">
        <f t="shared" si="97"/>
        <v>FW6</v>
      </c>
      <c r="E832" s="105" t="s">
        <v>48</v>
      </c>
      <c r="F832" s="105" t="s">
        <v>1150</v>
      </c>
      <c r="G832" s="105"/>
      <c r="H832" s="105"/>
      <c r="I832" s="117">
        <v>1227</v>
      </c>
      <c r="J832" s="117"/>
      <c r="K832" s="117"/>
      <c r="L832" s="118">
        <f t="shared" si="98"/>
        <v>1</v>
      </c>
      <c r="M832" s="118">
        <f t="shared" si="99"/>
        <v>0</v>
      </c>
      <c r="N832" s="58">
        <f t="shared" si="100"/>
        <v>0</v>
      </c>
      <c r="O832" s="58">
        <f t="shared" si="101"/>
        <v>1</v>
      </c>
    </row>
    <row r="833" spans="1:15">
      <c r="A833" s="104">
        <f t="shared" ref="A833:A896" si="102">A832+1</f>
        <v>42438</v>
      </c>
      <c r="B833" s="105" t="str">
        <f t="shared" si="96"/>
        <v>Wed</v>
      </c>
      <c r="C833" s="105" t="s">
        <v>1140</v>
      </c>
      <c r="D833" s="105" t="str">
        <f t="shared" si="97"/>
        <v>FW6</v>
      </c>
      <c r="E833" s="105" t="s">
        <v>1142</v>
      </c>
      <c r="F833" s="105" t="s">
        <v>1151</v>
      </c>
      <c r="G833" s="105" t="s">
        <v>1152</v>
      </c>
      <c r="H833" s="105"/>
      <c r="I833" s="117">
        <v>1635</v>
      </c>
      <c r="J833" s="117"/>
      <c r="K833" s="117"/>
      <c r="L833" s="118">
        <f t="shared" si="98"/>
        <v>1</v>
      </c>
      <c r="M833" s="118">
        <f t="shared" si="99"/>
        <v>1</v>
      </c>
      <c r="N833" s="58">
        <f t="shared" si="100"/>
        <v>0</v>
      </c>
      <c r="O833" s="58">
        <f t="shared" si="101"/>
        <v>2</v>
      </c>
    </row>
    <row r="834" spans="1:15">
      <c r="A834" s="104">
        <f t="shared" si="102"/>
        <v>42439</v>
      </c>
      <c r="B834" s="105" t="str">
        <f t="shared" si="96"/>
        <v>Thu</v>
      </c>
      <c r="C834" s="105" t="s">
        <v>1140</v>
      </c>
      <c r="D834" s="105" t="str">
        <f t="shared" si="97"/>
        <v>FW6</v>
      </c>
      <c r="E834" s="105" t="s">
        <v>1142</v>
      </c>
      <c r="F834" s="105" t="s">
        <v>1153</v>
      </c>
      <c r="G834" s="105" t="s">
        <v>1154</v>
      </c>
      <c r="H834" s="105"/>
      <c r="I834" s="117">
        <v>1485</v>
      </c>
      <c r="J834" s="117"/>
      <c r="K834" s="117"/>
      <c r="L834" s="118">
        <f t="shared" si="98"/>
        <v>1</v>
      </c>
      <c r="M834" s="118">
        <f t="shared" si="99"/>
        <v>1</v>
      </c>
      <c r="N834" s="58">
        <f t="shared" si="100"/>
        <v>0</v>
      </c>
      <c r="O834" s="58">
        <f t="shared" si="101"/>
        <v>2</v>
      </c>
    </row>
    <row r="835" spans="1:15">
      <c r="A835" s="104">
        <f t="shared" si="102"/>
        <v>42440</v>
      </c>
      <c r="B835" s="105" t="str">
        <f t="shared" si="96"/>
        <v>Fri</v>
      </c>
      <c r="C835" s="105" t="s">
        <v>1140</v>
      </c>
      <c r="D835" s="105" t="str">
        <f t="shared" si="97"/>
        <v>FW6</v>
      </c>
      <c r="E835" s="105" t="s">
        <v>1142</v>
      </c>
      <c r="F835" s="105" t="s">
        <v>1155</v>
      </c>
      <c r="G835" s="105"/>
      <c r="H835" s="105"/>
      <c r="I835" s="117">
        <v>1346</v>
      </c>
      <c r="J835" s="117"/>
      <c r="K835" s="117"/>
      <c r="L835" s="118">
        <f t="shared" si="98"/>
        <v>1</v>
      </c>
      <c r="M835" s="118">
        <f t="shared" si="99"/>
        <v>0</v>
      </c>
      <c r="N835" s="58">
        <f t="shared" si="100"/>
        <v>0</v>
      </c>
      <c r="O835" s="58">
        <f t="shared" si="101"/>
        <v>1</v>
      </c>
    </row>
    <row r="836" spans="1:15">
      <c r="A836" s="104">
        <f t="shared" si="102"/>
        <v>42441</v>
      </c>
      <c r="B836" s="105" t="str">
        <f t="shared" si="96"/>
        <v>Sat</v>
      </c>
      <c r="C836" s="105" t="s">
        <v>1140</v>
      </c>
      <c r="D836" s="105" t="str">
        <f t="shared" si="97"/>
        <v>FW6</v>
      </c>
      <c r="E836" s="105" t="s">
        <v>957</v>
      </c>
      <c r="F836" s="105" t="s">
        <v>1156</v>
      </c>
      <c r="G836" s="105" t="s">
        <v>1156</v>
      </c>
      <c r="H836" s="105"/>
      <c r="I836" s="117">
        <v>1018</v>
      </c>
      <c r="J836" s="117"/>
      <c r="K836" s="117"/>
      <c r="L836" s="118">
        <f t="shared" si="98"/>
        <v>1</v>
      </c>
      <c r="M836" s="118">
        <f t="shared" si="99"/>
        <v>1</v>
      </c>
      <c r="N836" s="58">
        <f t="shared" si="100"/>
        <v>0</v>
      </c>
      <c r="O836" s="58">
        <f t="shared" si="101"/>
        <v>2</v>
      </c>
    </row>
    <row r="837" spans="1:15">
      <c r="A837" s="104">
        <f t="shared" si="102"/>
        <v>42442</v>
      </c>
      <c r="B837" s="105" t="str">
        <f t="shared" si="96"/>
        <v>Sun</v>
      </c>
      <c r="C837" s="105" t="s">
        <v>1140</v>
      </c>
      <c r="D837" s="105" t="str">
        <f t="shared" si="97"/>
        <v>FW7</v>
      </c>
      <c r="E837" s="105" t="s">
        <v>1143</v>
      </c>
      <c r="F837" s="105" t="s">
        <v>1157</v>
      </c>
      <c r="G837" s="105" t="s">
        <v>1158</v>
      </c>
      <c r="H837" s="105"/>
      <c r="I837" s="117">
        <v>817</v>
      </c>
      <c r="J837" s="117"/>
      <c r="K837" s="117"/>
      <c r="L837" s="118">
        <f t="shared" si="98"/>
        <v>1</v>
      </c>
      <c r="M837" s="118">
        <f t="shared" si="99"/>
        <v>1</v>
      </c>
      <c r="N837" s="58">
        <f t="shared" si="100"/>
        <v>0</v>
      </c>
      <c r="O837" s="58">
        <f t="shared" si="101"/>
        <v>2</v>
      </c>
    </row>
    <row r="838" spans="1:15">
      <c r="A838" s="104">
        <f t="shared" si="102"/>
        <v>42443</v>
      </c>
      <c r="B838" s="105" t="str">
        <f t="shared" si="96"/>
        <v>Mon</v>
      </c>
      <c r="C838" s="105" t="s">
        <v>1140</v>
      </c>
      <c r="D838" s="105" t="str">
        <f t="shared" si="97"/>
        <v>FW7</v>
      </c>
      <c r="E838" s="105" t="s">
        <v>1143</v>
      </c>
      <c r="F838" s="105" t="s">
        <v>1159</v>
      </c>
      <c r="G838" s="105" t="s">
        <v>1158</v>
      </c>
      <c r="H838" s="105"/>
      <c r="I838" s="117">
        <v>1966</v>
      </c>
      <c r="J838" s="117"/>
      <c r="K838" s="117"/>
      <c r="L838" s="118">
        <f t="shared" si="98"/>
        <v>1</v>
      </c>
      <c r="M838" s="118">
        <f t="shared" si="99"/>
        <v>1</v>
      </c>
      <c r="N838" s="58">
        <f t="shared" si="100"/>
        <v>0</v>
      </c>
      <c r="O838" s="58">
        <f t="shared" si="101"/>
        <v>2</v>
      </c>
    </row>
    <row r="839" spans="1:15">
      <c r="A839" s="104">
        <f t="shared" si="102"/>
        <v>42444</v>
      </c>
      <c r="B839" s="105" t="str">
        <f t="shared" si="96"/>
        <v>Tue</v>
      </c>
      <c r="C839" s="105" t="s">
        <v>1140</v>
      </c>
      <c r="D839" s="105" t="str">
        <f t="shared" si="97"/>
        <v>FW7</v>
      </c>
      <c r="E839" s="105" t="s">
        <v>1143</v>
      </c>
      <c r="F839" s="105" t="s">
        <v>1160</v>
      </c>
      <c r="G839" s="105" t="s">
        <v>1158</v>
      </c>
      <c r="H839" s="105"/>
      <c r="I839" s="117">
        <v>1660</v>
      </c>
      <c r="J839" s="117"/>
      <c r="K839" s="117"/>
      <c r="L839" s="118">
        <f t="shared" si="98"/>
        <v>1</v>
      </c>
      <c r="M839" s="118">
        <f t="shared" si="99"/>
        <v>1</v>
      </c>
      <c r="N839" s="58">
        <f t="shared" si="100"/>
        <v>0</v>
      </c>
      <c r="O839" s="58">
        <f t="shared" si="101"/>
        <v>2</v>
      </c>
    </row>
    <row r="840" spans="1:15">
      <c r="A840" s="104">
        <f t="shared" si="102"/>
        <v>42445</v>
      </c>
      <c r="B840" s="105" t="str">
        <f t="shared" si="96"/>
        <v>Wed</v>
      </c>
      <c r="C840" s="105" t="s">
        <v>1140</v>
      </c>
      <c r="D840" s="105" t="str">
        <f t="shared" si="97"/>
        <v>FW7</v>
      </c>
      <c r="E840" s="105" t="s">
        <v>1143</v>
      </c>
      <c r="F840" s="105" t="s">
        <v>1161</v>
      </c>
      <c r="G840" s="105" t="s">
        <v>1162</v>
      </c>
      <c r="H840" s="105"/>
      <c r="I840" s="117">
        <v>1595</v>
      </c>
      <c r="J840" s="117"/>
      <c r="K840" s="117"/>
      <c r="L840" s="118">
        <f t="shared" si="98"/>
        <v>1</v>
      </c>
      <c r="M840" s="118">
        <f t="shared" si="99"/>
        <v>1</v>
      </c>
      <c r="N840" s="58">
        <f t="shared" si="100"/>
        <v>0</v>
      </c>
      <c r="O840" s="58">
        <f t="shared" si="101"/>
        <v>2</v>
      </c>
    </row>
    <row r="841" spans="1:15">
      <c r="A841" s="104">
        <f t="shared" si="102"/>
        <v>42446</v>
      </c>
      <c r="B841" s="105" t="str">
        <f t="shared" si="96"/>
        <v>Thu</v>
      </c>
      <c r="C841" s="105" t="s">
        <v>1140</v>
      </c>
      <c r="D841" s="105" t="str">
        <f t="shared" si="97"/>
        <v>FW7</v>
      </c>
      <c r="E841" s="105" t="s">
        <v>311</v>
      </c>
      <c r="F841" s="105" t="s">
        <v>1163</v>
      </c>
      <c r="G841" s="105" t="s">
        <v>1163</v>
      </c>
      <c r="H841" s="105"/>
      <c r="I841" s="117">
        <v>1675</v>
      </c>
      <c r="J841" s="117"/>
      <c r="K841" s="117"/>
      <c r="L841" s="118">
        <f t="shared" si="98"/>
        <v>1</v>
      </c>
      <c r="M841" s="118">
        <f t="shared" si="99"/>
        <v>1</v>
      </c>
      <c r="N841" s="58">
        <f t="shared" si="100"/>
        <v>0</v>
      </c>
      <c r="O841" s="58">
        <f t="shared" si="101"/>
        <v>2</v>
      </c>
    </row>
    <row r="842" spans="1:15">
      <c r="A842" s="104">
        <f t="shared" si="102"/>
        <v>42447</v>
      </c>
      <c r="B842" s="105" t="str">
        <f t="shared" si="96"/>
        <v>Fri</v>
      </c>
      <c r="C842" s="105" t="s">
        <v>1140</v>
      </c>
      <c r="D842" s="105" t="str">
        <f t="shared" si="97"/>
        <v>FW7</v>
      </c>
      <c r="E842" s="105" t="s">
        <v>957</v>
      </c>
      <c r="F842" s="105" t="s">
        <v>1164</v>
      </c>
      <c r="G842" s="105" t="s">
        <v>1165</v>
      </c>
      <c r="H842" s="105"/>
      <c r="I842" s="117">
        <v>1500</v>
      </c>
      <c r="J842" s="117"/>
      <c r="K842" s="117"/>
      <c r="L842" s="118">
        <f t="shared" si="98"/>
        <v>1</v>
      </c>
      <c r="M842" s="118">
        <f t="shared" si="99"/>
        <v>1</v>
      </c>
      <c r="N842" s="58">
        <f t="shared" si="100"/>
        <v>0</v>
      </c>
      <c r="O842" s="58">
        <f t="shared" si="101"/>
        <v>2</v>
      </c>
    </row>
    <row r="843" spans="1:15">
      <c r="A843" s="104">
        <f t="shared" si="102"/>
        <v>42448</v>
      </c>
      <c r="B843" s="105" t="str">
        <f t="shared" si="96"/>
        <v>Sat</v>
      </c>
      <c r="C843" s="105" t="s">
        <v>1140</v>
      </c>
      <c r="D843" s="105" t="str">
        <f t="shared" si="97"/>
        <v>FW7</v>
      </c>
      <c r="E843" s="105" t="s">
        <v>1143</v>
      </c>
      <c r="F843" s="105" t="s">
        <v>1166</v>
      </c>
      <c r="G843" s="105" t="s">
        <v>1167</v>
      </c>
      <c r="H843" s="105"/>
      <c r="I843" s="117">
        <v>1101</v>
      </c>
      <c r="J843" s="117"/>
      <c r="K843" s="117"/>
      <c r="L843" s="118">
        <f t="shared" si="98"/>
        <v>1</v>
      </c>
      <c r="M843" s="118">
        <f t="shared" si="99"/>
        <v>1</v>
      </c>
      <c r="N843" s="58">
        <f t="shared" si="100"/>
        <v>0</v>
      </c>
      <c r="O843" s="58">
        <f t="shared" si="101"/>
        <v>2</v>
      </c>
    </row>
    <row r="844" spans="1:15">
      <c r="A844" s="104">
        <f t="shared" si="102"/>
        <v>42449</v>
      </c>
      <c r="B844" s="105" t="str">
        <f t="shared" si="96"/>
        <v>Sun</v>
      </c>
      <c r="C844" s="105" t="s">
        <v>1140</v>
      </c>
      <c r="D844" s="105" t="str">
        <f t="shared" si="97"/>
        <v>FW8</v>
      </c>
      <c r="E844" s="105" t="s">
        <v>17</v>
      </c>
      <c r="F844" s="105" t="s">
        <v>1168</v>
      </c>
      <c r="G844" s="105" t="s">
        <v>1168</v>
      </c>
      <c r="H844" s="105"/>
      <c r="I844" s="117">
        <v>987</v>
      </c>
      <c r="J844" s="117"/>
      <c r="K844" s="117"/>
      <c r="L844" s="118">
        <f t="shared" si="98"/>
        <v>1</v>
      </c>
      <c r="M844" s="118">
        <f t="shared" si="99"/>
        <v>1</v>
      </c>
      <c r="N844" s="58">
        <f t="shared" si="100"/>
        <v>0</v>
      </c>
      <c r="O844" s="58">
        <f t="shared" si="101"/>
        <v>2</v>
      </c>
    </row>
    <row r="845" spans="1:15">
      <c r="A845" s="104">
        <f t="shared" si="102"/>
        <v>42450</v>
      </c>
      <c r="B845" s="105" t="str">
        <f t="shared" si="96"/>
        <v>Mon</v>
      </c>
      <c r="C845" s="105" t="s">
        <v>1140</v>
      </c>
      <c r="D845" s="105" t="str">
        <f t="shared" si="97"/>
        <v>FW8</v>
      </c>
      <c r="E845" s="105" t="s">
        <v>157</v>
      </c>
      <c r="F845" s="105" t="s">
        <v>1169</v>
      </c>
      <c r="G845" s="105" t="s">
        <v>1170</v>
      </c>
      <c r="H845" s="105"/>
      <c r="I845" s="117">
        <v>1914</v>
      </c>
      <c r="J845" s="117"/>
      <c r="K845" s="117"/>
      <c r="L845" s="118">
        <f t="shared" si="98"/>
        <v>1</v>
      </c>
      <c r="M845" s="118">
        <f t="shared" si="99"/>
        <v>1</v>
      </c>
      <c r="N845" s="58">
        <f t="shared" si="100"/>
        <v>0</v>
      </c>
      <c r="O845" s="58">
        <f t="shared" si="101"/>
        <v>2</v>
      </c>
    </row>
    <row r="846" spans="1:15">
      <c r="A846" s="104">
        <f t="shared" si="102"/>
        <v>42451</v>
      </c>
      <c r="B846" s="105" t="str">
        <f t="shared" si="96"/>
        <v>Tue</v>
      </c>
      <c r="C846" s="105" t="s">
        <v>1140</v>
      </c>
      <c r="D846" s="105" t="str">
        <f t="shared" si="97"/>
        <v>FW8</v>
      </c>
      <c r="E846" s="105" t="s">
        <v>157</v>
      </c>
      <c r="F846" s="105" t="s">
        <v>1171</v>
      </c>
      <c r="G846" s="105" t="s">
        <v>1172</v>
      </c>
      <c r="H846" s="105"/>
      <c r="I846" s="117">
        <v>1592</v>
      </c>
      <c r="J846" s="117"/>
      <c r="K846" s="117"/>
      <c r="L846" s="118">
        <f t="shared" si="98"/>
        <v>1</v>
      </c>
      <c r="M846" s="118">
        <f t="shared" si="99"/>
        <v>1</v>
      </c>
      <c r="N846" s="58">
        <f t="shared" si="100"/>
        <v>0</v>
      </c>
      <c r="O846" s="58">
        <f t="shared" si="101"/>
        <v>2</v>
      </c>
    </row>
    <row r="847" spans="1:15">
      <c r="A847" s="104">
        <f t="shared" si="102"/>
        <v>42452</v>
      </c>
      <c r="B847" s="105" t="str">
        <f t="shared" si="96"/>
        <v>Wed</v>
      </c>
      <c r="C847" s="105" t="s">
        <v>1140</v>
      </c>
      <c r="D847" s="105" t="str">
        <f t="shared" si="97"/>
        <v>FW8</v>
      </c>
      <c r="E847" s="105" t="s">
        <v>58</v>
      </c>
      <c r="F847" s="105" t="s">
        <v>1173</v>
      </c>
      <c r="G847" s="105" t="s">
        <v>1169</v>
      </c>
      <c r="H847" s="105"/>
      <c r="I847" s="117">
        <v>1569</v>
      </c>
      <c r="J847" s="117"/>
      <c r="K847" s="117"/>
      <c r="L847" s="118">
        <f t="shared" si="98"/>
        <v>1</v>
      </c>
      <c r="M847" s="118">
        <f t="shared" si="99"/>
        <v>1</v>
      </c>
      <c r="N847" s="58">
        <f t="shared" si="100"/>
        <v>0</v>
      </c>
      <c r="O847" s="58">
        <f t="shared" si="101"/>
        <v>2</v>
      </c>
    </row>
    <row r="848" spans="1:15">
      <c r="A848" s="104">
        <f t="shared" si="102"/>
        <v>42453</v>
      </c>
      <c r="B848" s="105" t="str">
        <f t="shared" si="96"/>
        <v>Thu</v>
      </c>
      <c r="C848" s="105" t="s">
        <v>1140</v>
      </c>
      <c r="D848" s="105" t="str">
        <f t="shared" si="97"/>
        <v>FW8</v>
      </c>
      <c r="E848" s="105" t="s">
        <v>157</v>
      </c>
      <c r="F848" s="105" t="s">
        <v>1174</v>
      </c>
      <c r="G848" s="105" t="s">
        <v>1169</v>
      </c>
      <c r="H848" s="105"/>
      <c r="I848" s="117">
        <v>1473</v>
      </c>
      <c r="J848" s="117"/>
      <c r="K848" s="117"/>
      <c r="L848" s="118">
        <f t="shared" si="98"/>
        <v>1</v>
      </c>
      <c r="M848" s="118">
        <f t="shared" si="99"/>
        <v>1</v>
      </c>
      <c r="N848" s="58">
        <f t="shared" si="100"/>
        <v>0</v>
      </c>
      <c r="O848" s="58">
        <f t="shared" si="101"/>
        <v>2</v>
      </c>
    </row>
    <row r="849" spans="1:15">
      <c r="A849" s="104">
        <f t="shared" si="102"/>
        <v>42454</v>
      </c>
      <c r="B849" s="105" t="str">
        <f t="shared" si="96"/>
        <v>Fri</v>
      </c>
      <c r="C849" s="105" t="s">
        <v>1140</v>
      </c>
      <c r="D849" s="105" t="str">
        <f t="shared" si="97"/>
        <v>FW8</v>
      </c>
      <c r="E849" s="105" t="s">
        <v>17</v>
      </c>
      <c r="F849" s="105" t="s">
        <v>1174</v>
      </c>
      <c r="G849" s="105" t="s">
        <v>1174</v>
      </c>
      <c r="H849" s="105"/>
      <c r="I849" s="117">
        <v>1486</v>
      </c>
      <c r="J849" s="117"/>
      <c r="K849" s="117"/>
      <c r="L849" s="118">
        <f t="shared" si="98"/>
        <v>1</v>
      </c>
      <c r="M849" s="118">
        <f t="shared" si="99"/>
        <v>1</v>
      </c>
      <c r="N849" s="58">
        <f t="shared" si="100"/>
        <v>0</v>
      </c>
      <c r="O849" s="58">
        <f t="shared" si="101"/>
        <v>2</v>
      </c>
    </row>
    <row r="850" spans="1:15">
      <c r="A850" s="104">
        <f t="shared" si="102"/>
        <v>42455</v>
      </c>
      <c r="B850" s="105" t="str">
        <f t="shared" si="96"/>
        <v>Sat</v>
      </c>
      <c r="C850" s="105" t="s">
        <v>1140</v>
      </c>
      <c r="D850" s="105" t="str">
        <f t="shared" si="97"/>
        <v>FW8</v>
      </c>
      <c r="E850" s="105" t="s">
        <v>157</v>
      </c>
      <c r="F850" s="105" t="s">
        <v>1175</v>
      </c>
      <c r="G850" s="105" t="s">
        <v>1174</v>
      </c>
      <c r="H850" s="105"/>
      <c r="I850" s="117">
        <v>866</v>
      </c>
      <c r="J850" s="117"/>
      <c r="K850" s="117"/>
      <c r="L850" s="118">
        <f t="shared" si="98"/>
        <v>1</v>
      </c>
      <c r="M850" s="118">
        <f t="shared" si="99"/>
        <v>1</v>
      </c>
      <c r="N850" s="58">
        <f t="shared" si="100"/>
        <v>0</v>
      </c>
      <c r="O850" s="58">
        <f t="shared" si="101"/>
        <v>2</v>
      </c>
    </row>
    <row r="851" spans="1:15">
      <c r="A851" s="104">
        <f t="shared" si="102"/>
        <v>42456</v>
      </c>
      <c r="B851" s="105" t="str">
        <f t="shared" si="96"/>
        <v>Sun</v>
      </c>
      <c r="C851" s="105" t="s">
        <v>1141</v>
      </c>
      <c r="D851" s="105" t="str">
        <f t="shared" si="97"/>
        <v>FW9</v>
      </c>
      <c r="E851" s="105" t="s">
        <v>1176</v>
      </c>
      <c r="F851" s="105" t="s">
        <v>1177</v>
      </c>
      <c r="G851" s="105"/>
      <c r="H851" s="105"/>
      <c r="I851" s="117">
        <v>425</v>
      </c>
      <c r="J851" s="117"/>
      <c r="K851" s="117"/>
      <c r="L851" s="118">
        <f t="shared" ref="L851:L890" si="103">IF(E851=$L$1,0,1)</f>
        <v>1</v>
      </c>
      <c r="M851" s="118">
        <f t="shared" ref="M851:M890" si="104">IF(ISBLANK(G851),0,1)</f>
        <v>0</v>
      </c>
      <c r="N851" s="58">
        <f t="shared" ref="N851:N890" si="105">IF(ISBLANK(H851),0,1)</f>
        <v>0</v>
      </c>
      <c r="O851" s="58">
        <f t="shared" ref="O851:O890" si="106">SUM(L851:N851)</f>
        <v>1</v>
      </c>
    </row>
    <row r="852" spans="1:15">
      <c r="A852" s="104">
        <f t="shared" si="102"/>
        <v>42457</v>
      </c>
      <c r="B852" s="105" t="str">
        <f t="shared" si="96"/>
        <v>Mon</v>
      </c>
      <c r="C852" s="105" t="s">
        <v>1141</v>
      </c>
      <c r="D852" s="105" t="str">
        <f t="shared" si="97"/>
        <v>FW9</v>
      </c>
      <c r="E852" s="105" t="s">
        <v>1176</v>
      </c>
      <c r="F852" s="105" t="s">
        <v>1178</v>
      </c>
      <c r="G852" s="105" t="s">
        <v>1202</v>
      </c>
      <c r="H852" s="105"/>
      <c r="I852" s="117">
        <v>1435</v>
      </c>
      <c r="J852" s="117"/>
      <c r="K852" s="117"/>
      <c r="L852" s="118">
        <f t="shared" si="103"/>
        <v>1</v>
      </c>
      <c r="M852" s="118">
        <f t="shared" si="104"/>
        <v>1</v>
      </c>
      <c r="N852" s="58">
        <f t="shared" si="105"/>
        <v>0</v>
      </c>
      <c r="O852" s="58">
        <f t="shared" si="106"/>
        <v>2</v>
      </c>
    </row>
    <row r="853" spans="1:15">
      <c r="A853" s="104">
        <f t="shared" si="102"/>
        <v>42458</v>
      </c>
      <c r="B853" s="105" t="str">
        <f t="shared" si="96"/>
        <v>Tue</v>
      </c>
      <c r="C853" s="105" t="s">
        <v>1141</v>
      </c>
      <c r="D853" s="105" t="str">
        <f t="shared" si="97"/>
        <v>FW9</v>
      </c>
      <c r="E853" s="105" t="s">
        <v>58</v>
      </c>
      <c r="F853" s="105" t="s">
        <v>1179</v>
      </c>
      <c r="G853" s="105"/>
      <c r="H853" s="105"/>
      <c r="I853" s="117">
        <v>1235</v>
      </c>
      <c r="J853" s="117"/>
      <c r="K853" s="117"/>
      <c r="L853" s="118">
        <f t="shared" si="103"/>
        <v>1</v>
      </c>
      <c r="M853" s="118">
        <f t="shared" si="104"/>
        <v>0</v>
      </c>
      <c r="N853" s="58">
        <f t="shared" si="105"/>
        <v>0</v>
      </c>
      <c r="O853" s="58">
        <f t="shared" si="106"/>
        <v>1</v>
      </c>
    </row>
    <row r="854" spans="1:15">
      <c r="A854" s="104">
        <f t="shared" si="102"/>
        <v>42459</v>
      </c>
      <c r="B854" s="105" t="str">
        <f t="shared" si="96"/>
        <v>Wed</v>
      </c>
      <c r="C854" s="105" t="s">
        <v>1141</v>
      </c>
      <c r="D854" s="105" t="str">
        <f t="shared" si="97"/>
        <v>FW9</v>
      </c>
      <c r="E854" s="105" t="s">
        <v>17</v>
      </c>
      <c r="F854" s="105" t="s">
        <v>1180</v>
      </c>
      <c r="G854" s="105" t="s">
        <v>1203</v>
      </c>
      <c r="H854" s="105"/>
      <c r="I854" s="117">
        <v>1317</v>
      </c>
      <c r="J854" s="117"/>
      <c r="K854" s="117"/>
      <c r="L854" s="118">
        <f t="shared" si="103"/>
        <v>1</v>
      </c>
      <c r="M854" s="118">
        <f t="shared" si="104"/>
        <v>1</v>
      </c>
      <c r="N854" s="58">
        <f t="shared" si="105"/>
        <v>0</v>
      </c>
      <c r="O854" s="58">
        <f t="shared" si="106"/>
        <v>2</v>
      </c>
    </row>
    <row r="855" spans="1:15">
      <c r="A855" s="104">
        <f t="shared" si="102"/>
        <v>42460</v>
      </c>
      <c r="B855" s="105" t="str">
        <f t="shared" si="96"/>
        <v>Thu</v>
      </c>
      <c r="C855" s="105" t="s">
        <v>1141</v>
      </c>
      <c r="D855" s="105" t="str">
        <f t="shared" si="97"/>
        <v>FW9</v>
      </c>
      <c r="E855" s="105" t="s">
        <v>17</v>
      </c>
      <c r="F855" s="105" t="s">
        <v>1181</v>
      </c>
      <c r="G855" s="105" t="s">
        <v>1204</v>
      </c>
      <c r="H855" s="105"/>
      <c r="I855" s="117">
        <v>1478</v>
      </c>
      <c r="J855" s="117"/>
      <c r="K855" s="117"/>
      <c r="L855" s="118">
        <f t="shared" si="103"/>
        <v>1</v>
      </c>
      <c r="M855" s="118">
        <f t="shared" si="104"/>
        <v>1</v>
      </c>
      <c r="N855" s="58">
        <f t="shared" si="105"/>
        <v>0</v>
      </c>
      <c r="O855" s="58">
        <f t="shared" si="106"/>
        <v>2</v>
      </c>
    </row>
    <row r="856" spans="1:15">
      <c r="A856" s="104">
        <f t="shared" si="102"/>
        <v>42461</v>
      </c>
      <c r="B856" s="105" t="str">
        <f t="shared" ref="B856:B875" si="107">TEXT(A856,"DDD")</f>
        <v>Fri</v>
      </c>
      <c r="C856" s="105" t="s">
        <v>1141</v>
      </c>
      <c r="D856" s="105" t="str">
        <f t="shared" ref="D856:D864" si="108">IF(B856="Sun",("FW"&amp;RIGHT(D855,1)+1),D855)</f>
        <v>FW9</v>
      </c>
      <c r="E856" s="105" t="s">
        <v>17</v>
      </c>
      <c r="F856" s="105" t="s">
        <v>1181</v>
      </c>
      <c r="G856" s="105" t="s">
        <v>1205</v>
      </c>
      <c r="H856" s="105"/>
      <c r="I856" s="117">
        <v>1402</v>
      </c>
      <c r="J856" s="117"/>
      <c r="K856" s="117"/>
      <c r="L856" s="118">
        <f t="shared" si="103"/>
        <v>1</v>
      </c>
      <c r="M856" s="118">
        <f t="shared" si="104"/>
        <v>1</v>
      </c>
      <c r="N856" s="58">
        <f t="shared" si="105"/>
        <v>0</v>
      </c>
      <c r="O856" s="58">
        <f t="shared" si="106"/>
        <v>2</v>
      </c>
    </row>
    <row r="857" spans="1:15">
      <c r="A857" s="104">
        <f t="shared" si="102"/>
        <v>42462</v>
      </c>
      <c r="B857" s="105" t="str">
        <f t="shared" si="107"/>
        <v>Sat</v>
      </c>
      <c r="C857" s="105" t="s">
        <v>1141</v>
      </c>
      <c r="D857" s="105" t="str">
        <f t="shared" si="108"/>
        <v>FW9</v>
      </c>
      <c r="E857" s="105" t="s">
        <v>1142</v>
      </c>
      <c r="F857" s="105" t="s">
        <v>1182</v>
      </c>
      <c r="G857" s="105" t="s">
        <v>1206</v>
      </c>
      <c r="H857" s="105"/>
      <c r="I857" s="117">
        <v>996</v>
      </c>
      <c r="J857" s="117"/>
      <c r="K857" s="117"/>
      <c r="L857" s="118">
        <f t="shared" si="103"/>
        <v>1</v>
      </c>
      <c r="M857" s="118">
        <f t="shared" si="104"/>
        <v>1</v>
      </c>
      <c r="N857" s="58">
        <f t="shared" si="105"/>
        <v>0</v>
      </c>
      <c r="O857" s="58">
        <f t="shared" si="106"/>
        <v>2</v>
      </c>
    </row>
    <row r="858" spans="1:15">
      <c r="A858" s="104">
        <f t="shared" si="102"/>
        <v>42463</v>
      </c>
      <c r="B858" s="105" t="str">
        <f t="shared" si="107"/>
        <v>Sun</v>
      </c>
      <c r="C858" s="105" t="s">
        <v>1141</v>
      </c>
      <c r="D858" s="105" t="str">
        <f t="shared" si="108"/>
        <v>FW10</v>
      </c>
      <c r="E858" s="105" t="s">
        <v>484</v>
      </c>
      <c r="F858" s="105" t="s">
        <v>1183</v>
      </c>
      <c r="G858" s="105" t="s">
        <v>1207</v>
      </c>
      <c r="H858" s="105"/>
      <c r="I858" s="117">
        <v>755</v>
      </c>
      <c r="J858" s="117"/>
      <c r="K858" s="117"/>
      <c r="L858" s="118">
        <f t="shared" si="103"/>
        <v>1</v>
      </c>
      <c r="M858" s="118">
        <f t="shared" si="104"/>
        <v>1</v>
      </c>
      <c r="N858" s="58">
        <f t="shared" si="105"/>
        <v>0</v>
      </c>
      <c r="O858" s="58">
        <f t="shared" si="106"/>
        <v>2</v>
      </c>
    </row>
    <row r="859" spans="1:15">
      <c r="A859" s="104">
        <f t="shared" si="102"/>
        <v>42464</v>
      </c>
      <c r="B859" s="105" t="str">
        <f t="shared" si="107"/>
        <v>Mon</v>
      </c>
      <c r="C859" s="105" t="s">
        <v>1141</v>
      </c>
      <c r="D859" s="105" t="str">
        <f t="shared" si="108"/>
        <v>FW10</v>
      </c>
      <c r="E859" s="105" t="s">
        <v>484</v>
      </c>
      <c r="F859" s="105" t="s">
        <v>1183</v>
      </c>
      <c r="G859" s="105"/>
      <c r="H859" s="105"/>
      <c r="I859" s="117">
        <v>1383</v>
      </c>
      <c r="J859" s="117"/>
      <c r="K859" s="117"/>
      <c r="L859" s="118">
        <f t="shared" si="103"/>
        <v>1</v>
      </c>
      <c r="M859" s="118">
        <f t="shared" si="104"/>
        <v>0</v>
      </c>
      <c r="N859" s="58">
        <f t="shared" si="105"/>
        <v>0</v>
      </c>
      <c r="O859" s="58">
        <f t="shared" si="106"/>
        <v>1</v>
      </c>
    </row>
    <row r="860" spans="1:15">
      <c r="A860" s="104">
        <f t="shared" si="102"/>
        <v>42465</v>
      </c>
      <c r="B860" s="105" t="str">
        <f t="shared" si="107"/>
        <v>Tue</v>
      </c>
      <c r="C860" s="105" t="s">
        <v>1141</v>
      </c>
      <c r="D860" s="105" t="str">
        <f t="shared" si="108"/>
        <v>FW10</v>
      </c>
      <c r="E860" s="105" t="s">
        <v>484</v>
      </c>
      <c r="F860" s="105" t="s">
        <v>1183</v>
      </c>
      <c r="G860" s="105" t="s">
        <v>1208</v>
      </c>
      <c r="H860" s="105"/>
      <c r="I860" s="117">
        <v>1388</v>
      </c>
      <c r="J860" s="117"/>
      <c r="K860" s="117"/>
      <c r="L860" s="118">
        <f t="shared" si="103"/>
        <v>1</v>
      </c>
      <c r="M860" s="118">
        <f t="shared" si="104"/>
        <v>1</v>
      </c>
      <c r="N860" s="58">
        <f t="shared" si="105"/>
        <v>0</v>
      </c>
      <c r="O860" s="58">
        <f t="shared" si="106"/>
        <v>2</v>
      </c>
    </row>
    <row r="861" spans="1:15">
      <c r="A861" s="104">
        <f t="shared" si="102"/>
        <v>42466</v>
      </c>
      <c r="B861" s="105" t="str">
        <f t="shared" si="107"/>
        <v>Wed</v>
      </c>
      <c r="C861" s="105" t="s">
        <v>1141</v>
      </c>
      <c r="D861" s="105" t="str">
        <f t="shared" si="108"/>
        <v>FW10</v>
      </c>
      <c r="E861" s="105" t="s">
        <v>165</v>
      </c>
      <c r="F861" s="105" t="s">
        <v>1184</v>
      </c>
      <c r="G861" s="105"/>
      <c r="H861" s="105"/>
      <c r="I861" s="117">
        <v>1220</v>
      </c>
      <c r="J861" s="117"/>
      <c r="K861" s="117"/>
      <c r="L861" s="118">
        <f t="shared" si="103"/>
        <v>1</v>
      </c>
      <c r="M861" s="118">
        <f t="shared" si="104"/>
        <v>0</v>
      </c>
      <c r="N861" s="58">
        <f t="shared" si="105"/>
        <v>0</v>
      </c>
      <c r="O861" s="58">
        <f t="shared" si="106"/>
        <v>1</v>
      </c>
    </row>
    <row r="862" spans="1:15">
      <c r="A862" s="104">
        <f t="shared" si="102"/>
        <v>42467</v>
      </c>
      <c r="B862" s="105" t="str">
        <f t="shared" si="107"/>
        <v>Thu</v>
      </c>
      <c r="C862" s="105" t="s">
        <v>1141</v>
      </c>
      <c r="D862" s="105" t="str">
        <f t="shared" si="108"/>
        <v>FW10</v>
      </c>
      <c r="E862" s="105" t="s">
        <v>165</v>
      </c>
      <c r="F862" s="105" t="s">
        <v>1185</v>
      </c>
      <c r="G862" s="105"/>
      <c r="H862" s="105"/>
      <c r="I862" s="117">
        <v>1129</v>
      </c>
      <c r="J862" s="117"/>
      <c r="K862" s="117"/>
      <c r="L862" s="118">
        <f t="shared" si="103"/>
        <v>1</v>
      </c>
      <c r="M862" s="118">
        <f t="shared" si="104"/>
        <v>0</v>
      </c>
      <c r="N862" s="58">
        <f t="shared" si="105"/>
        <v>0</v>
      </c>
      <c r="O862" s="58">
        <f t="shared" si="106"/>
        <v>1</v>
      </c>
    </row>
    <row r="863" spans="1:15">
      <c r="A863" s="104">
        <f t="shared" si="102"/>
        <v>42468</v>
      </c>
      <c r="B863" s="105" t="str">
        <f t="shared" si="107"/>
        <v>Fri</v>
      </c>
      <c r="C863" s="105" t="s">
        <v>1141</v>
      </c>
      <c r="D863" s="105" t="str">
        <f t="shared" si="108"/>
        <v>FW10</v>
      </c>
      <c r="E863" s="105" t="s">
        <v>110</v>
      </c>
      <c r="F863" s="105" t="s">
        <v>1186</v>
      </c>
      <c r="G863" s="105"/>
      <c r="H863" s="105"/>
      <c r="I863" s="117">
        <v>1126</v>
      </c>
      <c r="J863" s="117"/>
      <c r="K863" s="117"/>
      <c r="L863" s="118">
        <f t="shared" si="103"/>
        <v>1</v>
      </c>
      <c r="M863" s="118">
        <f t="shared" si="104"/>
        <v>0</v>
      </c>
      <c r="N863" s="58">
        <f t="shared" si="105"/>
        <v>0</v>
      </c>
      <c r="O863" s="58">
        <f t="shared" si="106"/>
        <v>1</v>
      </c>
    </row>
    <row r="864" spans="1:15">
      <c r="A864" s="104">
        <f t="shared" si="102"/>
        <v>42469</v>
      </c>
      <c r="B864" s="105" t="str">
        <f t="shared" si="107"/>
        <v>Sat</v>
      </c>
      <c r="C864" s="105" t="s">
        <v>1141</v>
      </c>
      <c r="D864" s="105" t="str">
        <f t="shared" si="108"/>
        <v>FW10</v>
      </c>
      <c r="E864" s="105" t="s">
        <v>1142</v>
      </c>
      <c r="F864" s="105" t="s">
        <v>1182</v>
      </c>
      <c r="G864" s="105" t="s">
        <v>1209</v>
      </c>
      <c r="H864" s="105"/>
      <c r="I864" s="117">
        <v>910</v>
      </c>
      <c r="J864" s="117"/>
      <c r="K864" s="117"/>
      <c r="L864" s="118">
        <f t="shared" si="103"/>
        <v>1</v>
      </c>
      <c r="M864" s="118">
        <f t="shared" si="104"/>
        <v>1</v>
      </c>
      <c r="N864" s="58">
        <f t="shared" si="105"/>
        <v>0</v>
      </c>
      <c r="O864" s="58">
        <f t="shared" si="106"/>
        <v>2</v>
      </c>
    </row>
    <row r="865" spans="1:15">
      <c r="A865" s="104">
        <f t="shared" si="102"/>
        <v>42470</v>
      </c>
      <c r="B865" s="105" t="str">
        <f t="shared" si="107"/>
        <v>Sun</v>
      </c>
      <c r="C865" s="105" t="s">
        <v>1141</v>
      </c>
      <c r="D865" s="105" t="str">
        <f>IF(B865="Sun",("FW"&amp;RIGHT(D864,2)+1),D864)</f>
        <v>FW11</v>
      </c>
      <c r="E865" s="105" t="s">
        <v>165</v>
      </c>
      <c r="F865" s="105" t="s">
        <v>1187</v>
      </c>
      <c r="G865" s="105"/>
      <c r="H865" s="105"/>
      <c r="I865" s="117">
        <v>662</v>
      </c>
      <c r="J865" s="117"/>
      <c r="K865" s="117"/>
      <c r="L865" s="118">
        <f t="shared" si="103"/>
        <v>1</v>
      </c>
      <c r="M865" s="118">
        <f t="shared" si="104"/>
        <v>0</v>
      </c>
      <c r="N865" s="58">
        <f t="shared" si="105"/>
        <v>0</v>
      </c>
      <c r="O865" s="58">
        <f t="shared" si="106"/>
        <v>1</v>
      </c>
    </row>
    <row r="866" spans="1:15">
      <c r="A866" s="104">
        <f t="shared" si="102"/>
        <v>42471</v>
      </c>
      <c r="B866" s="105" t="str">
        <f t="shared" si="107"/>
        <v>Mon</v>
      </c>
      <c r="C866" s="105" t="s">
        <v>1141</v>
      </c>
      <c r="D866" s="105" t="str">
        <f t="shared" ref="D866:D875" si="109">IF(B866="Sun",("FW"&amp;RIGHT(D865,2)+1),D865)</f>
        <v>FW11</v>
      </c>
      <c r="E866" s="105" t="s">
        <v>165</v>
      </c>
      <c r="F866" s="105" t="s">
        <v>1187</v>
      </c>
      <c r="G866" s="105"/>
      <c r="H866" s="105"/>
      <c r="I866" s="117">
        <v>1244</v>
      </c>
      <c r="J866" s="117"/>
      <c r="K866" s="117"/>
      <c r="L866" s="118">
        <f t="shared" si="103"/>
        <v>1</v>
      </c>
      <c r="M866" s="118">
        <f t="shared" si="104"/>
        <v>0</v>
      </c>
      <c r="N866" s="58">
        <f t="shared" si="105"/>
        <v>0</v>
      </c>
      <c r="O866" s="58">
        <f t="shared" si="106"/>
        <v>1</v>
      </c>
    </row>
    <row r="867" spans="1:15">
      <c r="A867" s="104">
        <f t="shared" si="102"/>
        <v>42472</v>
      </c>
      <c r="B867" s="105" t="str">
        <f t="shared" si="107"/>
        <v>Tue</v>
      </c>
      <c r="C867" s="105" t="s">
        <v>1141</v>
      </c>
      <c r="D867" s="105" t="str">
        <f t="shared" si="109"/>
        <v>FW11</v>
      </c>
      <c r="E867" s="105" t="s">
        <v>165</v>
      </c>
      <c r="F867" s="105" t="s">
        <v>1187</v>
      </c>
      <c r="G867" s="105"/>
      <c r="H867" s="105"/>
      <c r="I867" s="117">
        <v>1214</v>
      </c>
      <c r="J867" s="117"/>
      <c r="K867" s="117"/>
      <c r="L867" s="118">
        <f t="shared" si="103"/>
        <v>1</v>
      </c>
      <c r="M867" s="118">
        <f t="shared" si="104"/>
        <v>0</v>
      </c>
      <c r="N867" s="58">
        <f t="shared" si="105"/>
        <v>0</v>
      </c>
      <c r="O867" s="58">
        <f t="shared" si="106"/>
        <v>1</v>
      </c>
    </row>
    <row r="868" spans="1:15">
      <c r="A868" s="104">
        <f t="shared" si="102"/>
        <v>42473</v>
      </c>
      <c r="B868" s="105" t="str">
        <f t="shared" si="107"/>
        <v>Wed</v>
      </c>
      <c r="C868" s="105" t="s">
        <v>1141</v>
      </c>
      <c r="D868" s="105" t="str">
        <f t="shared" si="109"/>
        <v>FW11</v>
      </c>
      <c r="E868" s="105" t="s">
        <v>110</v>
      </c>
      <c r="F868" s="105" t="s">
        <v>1188</v>
      </c>
      <c r="G868" s="105" t="s">
        <v>1210</v>
      </c>
      <c r="H868" s="105"/>
      <c r="I868" s="117">
        <v>1249</v>
      </c>
      <c r="J868" s="117"/>
      <c r="K868" s="117"/>
      <c r="L868" s="118">
        <f t="shared" si="103"/>
        <v>1</v>
      </c>
      <c r="M868" s="118">
        <f t="shared" si="104"/>
        <v>1</v>
      </c>
      <c r="N868" s="58">
        <f t="shared" si="105"/>
        <v>0</v>
      </c>
      <c r="O868" s="58">
        <f t="shared" si="106"/>
        <v>2</v>
      </c>
    </row>
    <row r="869" spans="1:15">
      <c r="A869" s="104">
        <f t="shared" si="102"/>
        <v>42474</v>
      </c>
      <c r="B869" s="105" t="str">
        <f t="shared" si="107"/>
        <v>Thu</v>
      </c>
      <c r="C869" s="105" t="s">
        <v>1141</v>
      </c>
      <c r="D869" s="105" t="str">
        <f t="shared" si="109"/>
        <v>FW11</v>
      </c>
      <c r="E869" s="105" t="s">
        <v>165</v>
      </c>
      <c r="F869" s="105" t="s">
        <v>1189</v>
      </c>
      <c r="G869" s="105" t="s">
        <v>1187</v>
      </c>
      <c r="H869" s="105"/>
      <c r="I869" s="117">
        <v>1066</v>
      </c>
      <c r="J869" s="117"/>
      <c r="K869" s="117"/>
      <c r="L869" s="118">
        <f t="shared" si="103"/>
        <v>1</v>
      </c>
      <c r="M869" s="118">
        <f t="shared" si="104"/>
        <v>1</v>
      </c>
      <c r="N869" s="58">
        <f t="shared" si="105"/>
        <v>0</v>
      </c>
      <c r="O869" s="58">
        <f t="shared" si="106"/>
        <v>2</v>
      </c>
    </row>
    <row r="870" spans="1:15">
      <c r="A870" s="104">
        <f t="shared" si="102"/>
        <v>42475</v>
      </c>
      <c r="B870" s="105" t="str">
        <f t="shared" si="107"/>
        <v>Fri</v>
      </c>
      <c r="C870" s="105" t="s">
        <v>1141</v>
      </c>
      <c r="D870" s="105" t="str">
        <f t="shared" si="109"/>
        <v>FW11</v>
      </c>
      <c r="E870" s="105" t="s">
        <v>484</v>
      </c>
      <c r="F870" s="105" t="s">
        <v>1190</v>
      </c>
      <c r="G870" s="105"/>
      <c r="H870" s="105"/>
      <c r="I870" s="117">
        <v>1008</v>
      </c>
      <c r="J870" s="117"/>
      <c r="K870" s="117"/>
      <c r="L870" s="118">
        <f t="shared" si="103"/>
        <v>1</v>
      </c>
      <c r="M870" s="118">
        <f t="shared" si="104"/>
        <v>0</v>
      </c>
      <c r="N870" s="58">
        <f t="shared" si="105"/>
        <v>0</v>
      </c>
      <c r="O870" s="58">
        <f t="shared" si="106"/>
        <v>1</v>
      </c>
    </row>
    <row r="871" spans="1:15">
      <c r="A871" s="104">
        <f t="shared" si="102"/>
        <v>42476</v>
      </c>
      <c r="B871" s="105" t="str">
        <f t="shared" si="107"/>
        <v>Sat</v>
      </c>
      <c r="C871" s="105" t="s">
        <v>1141</v>
      </c>
      <c r="D871" s="105" t="str">
        <f t="shared" si="109"/>
        <v>FW11</v>
      </c>
      <c r="E871" s="105" t="s">
        <v>484</v>
      </c>
      <c r="F871" s="105" t="s">
        <v>1191</v>
      </c>
      <c r="G871" s="105" t="s">
        <v>1211</v>
      </c>
      <c r="H871" s="105"/>
      <c r="I871" s="117">
        <v>789</v>
      </c>
      <c r="J871" s="117"/>
      <c r="K871" s="117"/>
      <c r="L871" s="118">
        <f t="shared" si="103"/>
        <v>1</v>
      </c>
      <c r="M871" s="118">
        <f t="shared" si="104"/>
        <v>1</v>
      </c>
      <c r="N871" s="58">
        <f t="shared" si="105"/>
        <v>0</v>
      </c>
      <c r="O871" s="58">
        <f t="shared" si="106"/>
        <v>2</v>
      </c>
    </row>
    <row r="872" spans="1:15">
      <c r="A872" s="104">
        <f t="shared" si="102"/>
        <v>42477</v>
      </c>
      <c r="B872" s="105" t="str">
        <f t="shared" si="107"/>
        <v>Sun</v>
      </c>
      <c r="C872" s="105" t="s">
        <v>1141</v>
      </c>
      <c r="D872" s="105" t="str">
        <f t="shared" si="109"/>
        <v>FW12</v>
      </c>
      <c r="E872" s="105" t="s">
        <v>484</v>
      </c>
      <c r="F872" s="105" t="s">
        <v>1190</v>
      </c>
      <c r="G872" s="105" t="s">
        <v>1212</v>
      </c>
      <c r="H872" s="105"/>
      <c r="I872" s="117">
        <v>579</v>
      </c>
      <c r="J872" s="117"/>
      <c r="K872" s="117"/>
      <c r="L872" s="118">
        <f t="shared" si="103"/>
        <v>1</v>
      </c>
      <c r="M872" s="118">
        <f t="shared" si="104"/>
        <v>1</v>
      </c>
      <c r="N872" s="58">
        <f t="shared" si="105"/>
        <v>0</v>
      </c>
      <c r="O872" s="58">
        <f t="shared" si="106"/>
        <v>2</v>
      </c>
    </row>
    <row r="873" spans="1:15">
      <c r="A873" s="104">
        <f t="shared" si="102"/>
        <v>42478</v>
      </c>
      <c r="B873" s="105" t="str">
        <f t="shared" si="107"/>
        <v>Mon</v>
      </c>
      <c r="C873" s="105" t="s">
        <v>1141</v>
      </c>
      <c r="D873" s="105" t="str">
        <f t="shared" si="109"/>
        <v>FW12</v>
      </c>
      <c r="E873" s="105" t="s">
        <v>110</v>
      </c>
      <c r="F873" s="105" t="s">
        <v>1192</v>
      </c>
      <c r="G873" s="105"/>
      <c r="H873" s="105"/>
      <c r="I873" s="117">
        <v>1390</v>
      </c>
      <c r="J873" s="117"/>
      <c r="K873" s="117"/>
      <c r="L873" s="118">
        <f t="shared" si="103"/>
        <v>1</v>
      </c>
      <c r="M873" s="118">
        <f t="shared" si="104"/>
        <v>0</v>
      </c>
      <c r="N873" s="58">
        <f t="shared" si="105"/>
        <v>0</v>
      </c>
      <c r="O873" s="58">
        <f t="shared" si="106"/>
        <v>1</v>
      </c>
    </row>
    <row r="874" spans="1:15">
      <c r="A874" s="104">
        <f t="shared" si="102"/>
        <v>42479</v>
      </c>
      <c r="B874" s="105" t="str">
        <f t="shared" si="107"/>
        <v>Tue</v>
      </c>
      <c r="C874" s="105" t="s">
        <v>1141</v>
      </c>
      <c r="D874" s="105" t="str">
        <f t="shared" si="109"/>
        <v>FW12</v>
      </c>
      <c r="E874" s="105" t="s">
        <v>484</v>
      </c>
      <c r="F874" s="105" t="s">
        <v>1193</v>
      </c>
      <c r="G874" s="105" t="s">
        <v>1213</v>
      </c>
      <c r="H874" s="105"/>
      <c r="I874" s="117">
        <v>1168</v>
      </c>
      <c r="J874" s="117"/>
      <c r="K874" s="117"/>
      <c r="L874" s="118">
        <f t="shared" si="103"/>
        <v>1</v>
      </c>
      <c r="M874" s="118">
        <f t="shared" si="104"/>
        <v>1</v>
      </c>
      <c r="N874" s="58">
        <f t="shared" si="105"/>
        <v>0</v>
      </c>
      <c r="O874" s="58">
        <f t="shared" si="106"/>
        <v>2</v>
      </c>
    </row>
    <row r="875" spans="1:15">
      <c r="A875" s="104">
        <f t="shared" si="102"/>
        <v>42480</v>
      </c>
      <c r="B875" s="105" t="str">
        <f t="shared" si="107"/>
        <v>Wed</v>
      </c>
      <c r="C875" s="105" t="s">
        <v>1141</v>
      </c>
      <c r="D875" s="105" t="str">
        <f t="shared" si="109"/>
        <v>FW12</v>
      </c>
      <c r="E875" s="105" t="s">
        <v>484</v>
      </c>
      <c r="F875" s="105" t="s">
        <v>1194</v>
      </c>
      <c r="G875" s="105" t="s">
        <v>1193</v>
      </c>
      <c r="H875" s="105"/>
      <c r="I875" s="117">
        <v>1454</v>
      </c>
      <c r="J875" s="117"/>
      <c r="K875" s="117"/>
      <c r="L875" s="118">
        <f t="shared" si="103"/>
        <v>1</v>
      </c>
      <c r="M875" s="118">
        <f t="shared" si="104"/>
        <v>1</v>
      </c>
      <c r="N875" s="58">
        <f t="shared" si="105"/>
        <v>0</v>
      </c>
      <c r="O875" s="58">
        <f t="shared" si="106"/>
        <v>2</v>
      </c>
    </row>
    <row r="876" spans="1:15">
      <c r="A876" s="104">
        <f t="shared" si="102"/>
        <v>42481</v>
      </c>
      <c r="B876" s="105" t="str">
        <f t="shared" ref="B876:B886" si="110">TEXT(A876,"DDD")</f>
        <v>Thu</v>
      </c>
      <c r="C876" s="105" t="s">
        <v>1141</v>
      </c>
      <c r="D876" s="105" t="str">
        <f t="shared" ref="D876:D886" si="111">IF(B876="Sun",("FW"&amp;RIGHT(D875,2)+1),D875)</f>
        <v>FW12</v>
      </c>
      <c r="E876" s="105" t="s">
        <v>484</v>
      </c>
      <c r="F876" s="105" t="s">
        <v>1194</v>
      </c>
      <c r="G876" s="105"/>
      <c r="H876" s="105"/>
      <c r="I876" s="117">
        <v>1163</v>
      </c>
      <c r="J876" s="117"/>
      <c r="K876" s="117"/>
      <c r="L876" s="118">
        <f t="shared" si="103"/>
        <v>1</v>
      </c>
      <c r="M876" s="118">
        <f t="shared" si="104"/>
        <v>0</v>
      </c>
      <c r="N876" s="58">
        <f t="shared" si="105"/>
        <v>0</v>
      </c>
      <c r="O876" s="58">
        <f t="shared" si="106"/>
        <v>1</v>
      </c>
    </row>
    <row r="877" spans="1:15">
      <c r="A877" s="104">
        <f t="shared" si="102"/>
        <v>42482</v>
      </c>
      <c r="B877" s="105" t="str">
        <f t="shared" si="110"/>
        <v>Fri</v>
      </c>
      <c r="C877" s="105" t="s">
        <v>1141</v>
      </c>
      <c r="D877" s="105" t="str">
        <f t="shared" si="111"/>
        <v>FW12</v>
      </c>
      <c r="E877" s="105" t="s">
        <v>17</v>
      </c>
      <c r="F877" s="105" t="s">
        <v>1195</v>
      </c>
      <c r="G877" s="105" t="s">
        <v>1214</v>
      </c>
      <c r="H877" s="105"/>
      <c r="I877" s="117">
        <v>1119</v>
      </c>
      <c r="J877" s="117"/>
      <c r="K877" s="117"/>
      <c r="L877" s="118">
        <f t="shared" si="103"/>
        <v>1</v>
      </c>
      <c r="M877" s="118">
        <f t="shared" si="104"/>
        <v>1</v>
      </c>
      <c r="N877" s="58">
        <f t="shared" si="105"/>
        <v>0</v>
      </c>
      <c r="O877" s="58">
        <f t="shared" si="106"/>
        <v>2</v>
      </c>
    </row>
    <row r="878" spans="1:15">
      <c r="A878" s="104">
        <f t="shared" si="102"/>
        <v>42483</v>
      </c>
      <c r="B878" s="105" t="str">
        <f t="shared" si="110"/>
        <v>Sat</v>
      </c>
      <c r="C878" s="105" t="s">
        <v>1141</v>
      </c>
      <c r="D878" s="105" t="str">
        <f t="shared" si="111"/>
        <v>FW12</v>
      </c>
      <c r="E878" s="105" t="s">
        <v>17</v>
      </c>
      <c r="F878" s="105" t="s">
        <v>1196</v>
      </c>
      <c r="G878" s="105"/>
      <c r="H878" s="105"/>
      <c r="I878" s="117">
        <v>905</v>
      </c>
      <c r="J878" s="117"/>
      <c r="K878" s="117"/>
      <c r="L878" s="118">
        <f t="shared" si="103"/>
        <v>1</v>
      </c>
      <c r="M878" s="118">
        <f t="shared" si="104"/>
        <v>0</v>
      </c>
      <c r="N878" s="58">
        <f t="shared" si="105"/>
        <v>0</v>
      </c>
      <c r="O878" s="58">
        <f t="shared" si="106"/>
        <v>1</v>
      </c>
    </row>
    <row r="879" spans="1:15">
      <c r="A879" s="104">
        <f t="shared" si="102"/>
        <v>42484</v>
      </c>
      <c r="B879" s="105" t="str">
        <f t="shared" si="110"/>
        <v>Sun</v>
      </c>
      <c r="C879" s="105" t="s">
        <v>1141</v>
      </c>
      <c r="D879" s="105" t="str">
        <f t="shared" si="111"/>
        <v>FW13</v>
      </c>
      <c r="E879" s="105" t="s">
        <v>110</v>
      </c>
      <c r="F879" s="105" t="s">
        <v>1192</v>
      </c>
      <c r="G879" s="105" t="s">
        <v>1215</v>
      </c>
      <c r="H879" s="105"/>
      <c r="I879" s="117">
        <v>585</v>
      </c>
      <c r="J879" s="117"/>
      <c r="K879" s="117"/>
      <c r="L879" s="118">
        <f t="shared" si="103"/>
        <v>1</v>
      </c>
      <c r="M879" s="118">
        <f t="shared" si="104"/>
        <v>1</v>
      </c>
      <c r="N879" s="58">
        <f t="shared" si="105"/>
        <v>0</v>
      </c>
      <c r="O879" s="58">
        <f t="shared" si="106"/>
        <v>2</v>
      </c>
    </row>
    <row r="880" spans="1:15">
      <c r="A880" s="104">
        <f t="shared" si="102"/>
        <v>42485</v>
      </c>
      <c r="B880" s="105" t="str">
        <f t="shared" si="110"/>
        <v>Mon</v>
      </c>
      <c r="C880" s="105" t="s">
        <v>1141</v>
      </c>
      <c r="D880" s="105" t="str">
        <f t="shared" si="111"/>
        <v>FW13</v>
      </c>
      <c r="E880" s="105" t="s">
        <v>110</v>
      </c>
      <c r="F880" s="105" t="s">
        <v>1197</v>
      </c>
      <c r="G880" s="105" t="s">
        <v>1216</v>
      </c>
      <c r="H880" s="105"/>
      <c r="I880" s="117">
        <v>1212</v>
      </c>
      <c r="J880" s="117"/>
      <c r="K880" s="117"/>
      <c r="L880" s="118">
        <f t="shared" si="103"/>
        <v>1</v>
      </c>
      <c r="M880" s="118">
        <f t="shared" si="104"/>
        <v>1</v>
      </c>
      <c r="N880" s="58">
        <f t="shared" si="105"/>
        <v>0</v>
      </c>
      <c r="O880" s="58">
        <f t="shared" si="106"/>
        <v>2</v>
      </c>
    </row>
    <row r="881" spans="1:15">
      <c r="A881" s="104">
        <f t="shared" si="102"/>
        <v>42486</v>
      </c>
      <c r="B881" s="105" t="str">
        <f t="shared" si="110"/>
        <v>Tue</v>
      </c>
      <c r="C881" s="105" t="s">
        <v>1141</v>
      </c>
      <c r="D881" s="105" t="str">
        <f t="shared" si="111"/>
        <v>FW13</v>
      </c>
      <c r="E881" s="105" t="s">
        <v>165</v>
      </c>
      <c r="F881" s="105" t="s">
        <v>1198</v>
      </c>
      <c r="G881" s="105" t="s">
        <v>1202</v>
      </c>
      <c r="H881" s="105"/>
      <c r="I881" s="117">
        <v>1111</v>
      </c>
      <c r="J881" s="117"/>
      <c r="K881" s="117"/>
      <c r="L881" s="118">
        <f t="shared" si="103"/>
        <v>1</v>
      </c>
      <c r="M881" s="118">
        <f t="shared" si="104"/>
        <v>1</v>
      </c>
      <c r="N881" s="58">
        <f t="shared" si="105"/>
        <v>0</v>
      </c>
      <c r="O881" s="58">
        <f t="shared" si="106"/>
        <v>2</v>
      </c>
    </row>
    <row r="882" spans="1:15">
      <c r="A882" s="104">
        <f t="shared" si="102"/>
        <v>42487</v>
      </c>
      <c r="B882" s="105" t="str">
        <f t="shared" si="110"/>
        <v>Wed</v>
      </c>
      <c r="C882" s="105" t="s">
        <v>1141</v>
      </c>
      <c r="D882" s="105" t="str">
        <f t="shared" si="111"/>
        <v>FW13</v>
      </c>
      <c r="E882" s="105" t="s">
        <v>165</v>
      </c>
      <c r="F882" s="105" t="s">
        <v>1199</v>
      </c>
      <c r="G882" s="105" t="s">
        <v>1217</v>
      </c>
      <c r="H882" s="105"/>
      <c r="I882" s="117">
        <v>1166</v>
      </c>
      <c r="J882" s="117"/>
      <c r="K882" s="117"/>
      <c r="L882" s="118">
        <f t="shared" si="103"/>
        <v>1</v>
      </c>
      <c r="M882" s="118">
        <f t="shared" si="104"/>
        <v>1</v>
      </c>
      <c r="N882" s="58">
        <f t="shared" si="105"/>
        <v>0</v>
      </c>
      <c r="O882" s="58">
        <f t="shared" si="106"/>
        <v>2</v>
      </c>
    </row>
    <row r="883" spans="1:15">
      <c r="A883" s="104">
        <f t="shared" si="102"/>
        <v>42488</v>
      </c>
      <c r="B883" s="105" t="str">
        <f t="shared" si="110"/>
        <v>Thu</v>
      </c>
      <c r="C883" s="105" t="s">
        <v>1141</v>
      </c>
      <c r="D883" s="105" t="str">
        <f t="shared" si="111"/>
        <v>FW13</v>
      </c>
      <c r="E883" s="105" t="s">
        <v>165</v>
      </c>
      <c r="F883" s="105" t="s">
        <v>1200</v>
      </c>
      <c r="G883" s="105"/>
      <c r="H883" s="105"/>
      <c r="I883" s="117">
        <v>899</v>
      </c>
      <c r="J883" s="117"/>
      <c r="K883" s="117"/>
      <c r="L883" s="118">
        <f t="shared" si="103"/>
        <v>1</v>
      </c>
      <c r="M883" s="118">
        <f t="shared" si="104"/>
        <v>0</v>
      </c>
      <c r="N883" s="58">
        <f t="shared" si="105"/>
        <v>0</v>
      </c>
      <c r="O883" s="58">
        <f t="shared" si="106"/>
        <v>1</v>
      </c>
    </row>
    <row r="884" spans="1:15">
      <c r="A884" s="104">
        <f t="shared" si="102"/>
        <v>42489</v>
      </c>
      <c r="B884" s="105" t="str">
        <f t="shared" si="110"/>
        <v>Fri</v>
      </c>
      <c r="C884" s="105" t="s">
        <v>1141</v>
      </c>
      <c r="D884" s="105" t="str">
        <f t="shared" si="111"/>
        <v>FW13</v>
      </c>
      <c r="E884" s="105" t="s">
        <v>17</v>
      </c>
      <c r="F884" s="105" t="s">
        <v>1201</v>
      </c>
      <c r="G884" s="105"/>
      <c r="H884" s="105"/>
      <c r="I884" s="117">
        <v>919</v>
      </c>
      <c r="J884" s="117"/>
      <c r="K884" s="117"/>
      <c r="L884" s="118">
        <f t="shared" si="103"/>
        <v>1</v>
      </c>
      <c r="M884" s="118">
        <f t="shared" si="104"/>
        <v>0</v>
      </c>
      <c r="N884" s="58">
        <f t="shared" si="105"/>
        <v>0</v>
      </c>
      <c r="O884" s="58">
        <f t="shared" si="106"/>
        <v>1</v>
      </c>
    </row>
    <row r="885" spans="1:15">
      <c r="A885" s="104">
        <f t="shared" si="102"/>
        <v>42490</v>
      </c>
      <c r="B885" s="105" t="str">
        <f t="shared" si="110"/>
        <v>Sat</v>
      </c>
      <c r="C885" s="105" t="s">
        <v>1141</v>
      </c>
      <c r="D885" s="105" t="str">
        <f t="shared" si="111"/>
        <v>FW13</v>
      </c>
      <c r="E885" s="105" t="s">
        <v>17</v>
      </c>
      <c r="F885" s="105" t="s">
        <v>1201</v>
      </c>
      <c r="G885" s="105" t="s">
        <v>1192</v>
      </c>
      <c r="H885" s="105"/>
      <c r="I885" s="117">
        <v>757</v>
      </c>
      <c r="J885" s="117"/>
      <c r="K885" s="117"/>
      <c r="L885" s="118">
        <f t="shared" si="103"/>
        <v>1</v>
      </c>
      <c r="M885" s="118">
        <f t="shared" si="104"/>
        <v>1</v>
      </c>
      <c r="N885" s="58">
        <f t="shared" si="105"/>
        <v>0</v>
      </c>
      <c r="O885" s="58">
        <f t="shared" si="106"/>
        <v>2</v>
      </c>
    </row>
    <row r="886" spans="1:15">
      <c r="A886" s="104">
        <f t="shared" si="102"/>
        <v>42491</v>
      </c>
      <c r="B886" s="105" t="str">
        <f t="shared" si="110"/>
        <v>Sun</v>
      </c>
      <c r="C886" s="105" t="s">
        <v>1218</v>
      </c>
      <c r="D886" s="105" t="str">
        <f t="shared" si="111"/>
        <v>FW14</v>
      </c>
      <c r="E886" s="105" t="s">
        <v>141</v>
      </c>
      <c r="F886" s="105" t="s">
        <v>1219</v>
      </c>
      <c r="G886" s="105"/>
      <c r="H886" s="105"/>
      <c r="I886" s="117">
        <v>475</v>
      </c>
      <c r="J886" s="117"/>
      <c r="K886" s="117"/>
      <c r="L886" s="118">
        <f t="shared" si="103"/>
        <v>1</v>
      </c>
      <c r="M886" s="118">
        <f t="shared" si="104"/>
        <v>0</v>
      </c>
      <c r="N886" s="58">
        <f t="shared" si="105"/>
        <v>0</v>
      </c>
      <c r="O886" s="58">
        <f t="shared" si="106"/>
        <v>1</v>
      </c>
    </row>
    <row r="887" spans="1:15">
      <c r="A887" s="104">
        <f t="shared" si="102"/>
        <v>42492</v>
      </c>
      <c r="B887" s="105" t="str">
        <f t="shared" ref="B887:B913" si="112">TEXT(A887,"DDD")</f>
        <v>Mon</v>
      </c>
      <c r="C887" s="105" t="s">
        <v>1218</v>
      </c>
      <c r="D887" s="105" t="str">
        <f t="shared" ref="D887:D913" si="113">IF(B887="Sun",("FW"&amp;RIGHT(D886,2)+1),D886)</f>
        <v>FW14</v>
      </c>
      <c r="E887" s="105" t="s">
        <v>141</v>
      </c>
      <c r="F887" s="105" t="s">
        <v>1219</v>
      </c>
      <c r="G887" s="105"/>
      <c r="H887" s="105"/>
      <c r="I887" s="117">
        <v>1122</v>
      </c>
      <c r="J887" s="117"/>
      <c r="K887" s="117"/>
      <c r="L887" s="118">
        <f t="shared" si="103"/>
        <v>1</v>
      </c>
      <c r="M887" s="118">
        <f t="shared" si="104"/>
        <v>0</v>
      </c>
      <c r="N887" s="58">
        <f t="shared" si="105"/>
        <v>0</v>
      </c>
      <c r="O887" s="58">
        <f t="shared" si="106"/>
        <v>1</v>
      </c>
    </row>
    <row r="888" spans="1:15">
      <c r="A888" s="104">
        <f t="shared" si="102"/>
        <v>42493</v>
      </c>
      <c r="B888" s="105" t="str">
        <f t="shared" si="112"/>
        <v>Tue</v>
      </c>
      <c r="C888" s="105" t="s">
        <v>1218</v>
      </c>
      <c r="D888" s="105" t="str">
        <f t="shared" si="113"/>
        <v>FW14</v>
      </c>
      <c r="E888" s="105" t="s">
        <v>141</v>
      </c>
      <c r="F888" s="105" t="s">
        <v>1219</v>
      </c>
      <c r="G888" s="105" t="s">
        <v>1240</v>
      </c>
      <c r="H888" s="105"/>
      <c r="I888" s="117">
        <v>982</v>
      </c>
      <c r="J888" s="117"/>
      <c r="K888" s="117"/>
      <c r="L888" s="118">
        <f t="shared" si="103"/>
        <v>1</v>
      </c>
      <c r="M888" s="118">
        <f t="shared" si="104"/>
        <v>1</v>
      </c>
      <c r="N888" s="58">
        <f t="shared" si="105"/>
        <v>0</v>
      </c>
      <c r="O888" s="58">
        <f t="shared" si="106"/>
        <v>2</v>
      </c>
    </row>
    <row r="889" spans="1:15">
      <c r="A889" s="104">
        <f t="shared" si="102"/>
        <v>42494</v>
      </c>
      <c r="B889" s="105" t="str">
        <f t="shared" si="112"/>
        <v>Wed</v>
      </c>
      <c r="C889" s="105" t="s">
        <v>1218</v>
      </c>
      <c r="D889" s="105" t="str">
        <f t="shared" si="113"/>
        <v>FW14</v>
      </c>
      <c r="E889" s="105" t="s">
        <v>1105</v>
      </c>
      <c r="F889" s="105" t="s">
        <v>1220</v>
      </c>
      <c r="G889" s="105" t="s">
        <v>1241</v>
      </c>
      <c r="H889" s="105"/>
      <c r="I889" s="117">
        <v>1093</v>
      </c>
      <c r="J889" s="117"/>
      <c r="K889" s="117"/>
      <c r="L889" s="118">
        <f t="shared" si="103"/>
        <v>1</v>
      </c>
      <c r="M889" s="118">
        <f t="shared" si="104"/>
        <v>1</v>
      </c>
      <c r="N889" s="58">
        <f t="shared" si="105"/>
        <v>0</v>
      </c>
      <c r="O889" s="58">
        <f t="shared" si="106"/>
        <v>2</v>
      </c>
    </row>
    <row r="890" spans="1:15">
      <c r="A890" s="104">
        <f t="shared" si="102"/>
        <v>42495</v>
      </c>
      <c r="B890" s="105" t="str">
        <f t="shared" si="112"/>
        <v>Thu</v>
      </c>
      <c r="C890" s="105" t="s">
        <v>1218</v>
      </c>
      <c r="D890" s="105" t="str">
        <f t="shared" si="113"/>
        <v>FW14</v>
      </c>
      <c r="E890" s="105" t="s">
        <v>311</v>
      </c>
      <c r="F890" s="105" t="s">
        <v>1221</v>
      </c>
      <c r="G890" s="105" t="s">
        <v>1242</v>
      </c>
      <c r="H890" s="105"/>
      <c r="I890" s="117">
        <v>1135</v>
      </c>
      <c r="J890" s="117"/>
      <c r="K890" s="117"/>
      <c r="L890" s="118">
        <f t="shared" si="103"/>
        <v>1</v>
      </c>
      <c r="M890" s="118">
        <f t="shared" si="104"/>
        <v>1</v>
      </c>
      <c r="N890" s="58">
        <f t="shared" si="105"/>
        <v>0</v>
      </c>
      <c r="O890" s="58">
        <f t="shared" si="106"/>
        <v>2</v>
      </c>
    </row>
    <row r="891" spans="1:15">
      <c r="A891" s="104">
        <f t="shared" si="102"/>
        <v>42496</v>
      </c>
      <c r="B891" s="105" t="str">
        <f t="shared" si="112"/>
        <v>Fri</v>
      </c>
      <c r="C891" s="105" t="s">
        <v>1218</v>
      </c>
      <c r="D891" s="105" t="str">
        <f t="shared" si="113"/>
        <v>FW14</v>
      </c>
      <c r="E891" s="105" t="s">
        <v>311</v>
      </c>
      <c r="F891" s="105" t="s">
        <v>1222</v>
      </c>
      <c r="G891" s="105"/>
      <c r="H891" s="105"/>
      <c r="I891" s="117">
        <v>747</v>
      </c>
      <c r="J891" s="117"/>
      <c r="K891" s="117"/>
      <c r="L891" s="118">
        <f t="shared" ref="L891:L914" si="114">IF(E891=$L$1,0,1)</f>
        <v>1</v>
      </c>
      <c r="M891" s="118">
        <f t="shared" ref="M891:M914" si="115">IF(ISBLANK(G891),0,1)</f>
        <v>0</v>
      </c>
      <c r="N891" s="58">
        <f t="shared" ref="N891:N914" si="116">IF(ISBLANK(H891),0,1)</f>
        <v>0</v>
      </c>
      <c r="O891" s="58">
        <f t="shared" ref="O891:O914" si="117">SUM(L891:N891)</f>
        <v>1</v>
      </c>
    </row>
    <row r="892" spans="1:15">
      <c r="A892" s="104">
        <f t="shared" si="102"/>
        <v>42497</v>
      </c>
      <c r="B892" s="105" t="str">
        <f t="shared" si="112"/>
        <v>Sat</v>
      </c>
      <c r="C892" s="105" t="s">
        <v>1218</v>
      </c>
      <c r="D892" s="105" t="str">
        <f t="shared" si="113"/>
        <v>FW14</v>
      </c>
      <c r="E892" s="105" t="s">
        <v>484</v>
      </c>
      <c r="F892" s="105" t="s">
        <v>1223</v>
      </c>
      <c r="G892" s="105" t="s">
        <v>1192</v>
      </c>
      <c r="H892" s="105"/>
      <c r="I892" s="117">
        <v>610</v>
      </c>
      <c r="J892" s="117"/>
      <c r="K892" s="117"/>
      <c r="L892" s="118">
        <f t="shared" si="114"/>
        <v>1</v>
      </c>
      <c r="M892" s="118">
        <f t="shared" si="115"/>
        <v>1</v>
      </c>
      <c r="N892" s="58">
        <f t="shared" si="116"/>
        <v>0</v>
      </c>
      <c r="O892" s="58">
        <f t="shared" si="117"/>
        <v>2</v>
      </c>
    </row>
    <row r="893" spans="1:15">
      <c r="A893" s="104">
        <f t="shared" si="102"/>
        <v>42498</v>
      </c>
      <c r="B893" s="105" t="str">
        <f t="shared" si="112"/>
        <v>Sun</v>
      </c>
      <c r="C893" s="105" t="s">
        <v>1218</v>
      </c>
      <c r="D893" s="105" t="str">
        <f t="shared" si="113"/>
        <v>FW15</v>
      </c>
      <c r="E893" s="105" t="s">
        <v>484</v>
      </c>
      <c r="F893" s="105" t="s">
        <v>1224</v>
      </c>
      <c r="G893" s="105" t="s">
        <v>1192</v>
      </c>
      <c r="H893" s="105"/>
      <c r="I893" s="117">
        <v>426</v>
      </c>
      <c r="J893" s="117"/>
      <c r="K893" s="117"/>
      <c r="L893" s="118">
        <f t="shared" si="114"/>
        <v>1</v>
      </c>
      <c r="M893" s="118">
        <f t="shared" si="115"/>
        <v>1</v>
      </c>
      <c r="N893" s="58">
        <f t="shared" si="116"/>
        <v>0</v>
      </c>
      <c r="O893" s="58">
        <f t="shared" si="117"/>
        <v>2</v>
      </c>
    </row>
    <row r="894" spans="1:15">
      <c r="A894" s="104">
        <f t="shared" si="102"/>
        <v>42499</v>
      </c>
      <c r="B894" s="105" t="str">
        <f t="shared" si="112"/>
        <v>Mon</v>
      </c>
      <c r="C894" s="105" t="s">
        <v>1218</v>
      </c>
      <c r="D894" s="105" t="str">
        <f t="shared" si="113"/>
        <v>FW15</v>
      </c>
      <c r="E894" s="105" t="s">
        <v>10</v>
      </c>
      <c r="F894" s="105" t="s">
        <v>10</v>
      </c>
      <c r="G894" s="105"/>
      <c r="H894" s="105"/>
      <c r="I894" s="117">
        <v>899</v>
      </c>
      <c r="J894" s="117"/>
      <c r="K894" s="117"/>
      <c r="L894" s="118">
        <f t="shared" si="114"/>
        <v>0</v>
      </c>
      <c r="M894" s="118">
        <f t="shared" si="115"/>
        <v>0</v>
      </c>
      <c r="N894" s="58">
        <f t="shared" si="116"/>
        <v>0</v>
      </c>
      <c r="O894" s="58">
        <f t="shared" si="117"/>
        <v>0</v>
      </c>
    </row>
    <row r="895" spans="1:15">
      <c r="A895" s="104">
        <f t="shared" si="102"/>
        <v>42500</v>
      </c>
      <c r="B895" s="105" t="str">
        <f t="shared" si="112"/>
        <v>Tue</v>
      </c>
      <c r="C895" s="105" t="s">
        <v>1218</v>
      </c>
      <c r="D895" s="105" t="str">
        <f t="shared" si="113"/>
        <v>FW15</v>
      </c>
      <c r="E895" s="105" t="s">
        <v>1105</v>
      </c>
      <c r="F895" s="105" t="s">
        <v>1225</v>
      </c>
      <c r="G895" s="105"/>
      <c r="H895" s="105"/>
      <c r="I895" s="117">
        <v>853</v>
      </c>
      <c r="J895" s="117"/>
      <c r="K895" s="117"/>
      <c r="L895" s="118">
        <f t="shared" si="114"/>
        <v>1</v>
      </c>
      <c r="M895" s="118">
        <f t="shared" si="115"/>
        <v>0</v>
      </c>
      <c r="N895" s="58">
        <f t="shared" si="116"/>
        <v>0</v>
      </c>
      <c r="O895" s="58">
        <f t="shared" si="117"/>
        <v>1</v>
      </c>
    </row>
    <row r="896" spans="1:15">
      <c r="A896" s="104">
        <f t="shared" si="102"/>
        <v>42501</v>
      </c>
      <c r="B896" s="105" t="str">
        <f t="shared" si="112"/>
        <v>Wed</v>
      </c>
      <c r="C896" s="105" t="s">
        <v>1218</v>
      </c>
      <c r="D896" s="105" t="str">
        <f t="shared" si="113"/>
        <v>FW15</v>
      </c>
      <c r="E896" s="105" t="s">
        <v>165</v>
      </c>
      <c r="F896" s="105" t="s">
        <v>1226</v>
      </c>
      <c r="G896" s="105" t="s">
        <v>1192</v>
      </c>
      <c r="H896" s="105"/>
      <c r="I896" s="117">
        <v>963</v>
      </c>
      <c r="J896" s="117"/>
      <c r="K896" s="117"/>
      <c r="L896" s="118">
        <f t="shared" si="114"/>
        <v>1</v>
      </c>
      <c r="M896" s="118">
        <f t="shared" si="115"/>
        <v>1</v>
      </c>
      <c r="N896" s="58">
        <f t="shared" si="116"/>
        <v>0</v>
      </c>
      <c r="O896" s="58">
        <f t="shared" si="117"/>
        <v>2</v>
      </c>
    </row>
    <row r="897" spans="1:33">
      <c r="A897" s="104">
        <f t="shared" ref="A897:A913" si="118">A896+1</f>
        <v>42502</v>
      </c>
      <c r="B897" s="105" t="str">
        <f t="shared" si="112"/>
        <v>Thu</v>
      </c>
      <c r="C897" s="105" t="s">
        <v>1218</v>
      </c>
      <c r="D897" s="105" t="str">
        <f t="shared" si="113"/>
        <v>FW15</v>
      </c>
      <c r="E897" s="105" t="s">
        <v>165</v>
      </c>
      <c r="F897" s="105" t="s">
        <v>1226</v>
      </c>
      <c r="G897" s="105"/>
      <c r="H897" s="105"/>
      <c r="I897" s="117">
        <v>877</v>
      </c>
      <c r="J897" s="117"/>
      <c r="K897" s="117"/>
      <c r="L897" s="118">
        <f t="shared" si="114"/>
        <v>1</v>
      </c>
      <c r="M897" s="118">
        <f t="shared" si="115"/>
        <v>0</v>
      </c>
      <c r="N897" s="58">
        <f t="shared" si="116"/>
        <v>0</v>
      </c>
      <c r="O897" s="58">
        <f t="shared" si="117"/>
        <v>1</v>
      </c>
    </row>
    <row r="898" spans="1:33">
      <c r="A898" s="104">
        <f t="shared" si="118"/>
        <v>42503</v>
      </c>
      <c r="B898" s="105" t="str">
        <f t="shared" si="112"/>
        <v>Fri</v>
      </c>
      <c r="C898" s="105" t="s">
        <v>1218</v>
      </c>
      <c r="D898" s="105" t="str">
        <f t="shared" si="113"/>
        <v>FW15</v>
      </c>
      <c r="E898" s="105" t="s">
        <v>17</v>
      </c>
      <c r="F898" s="105" t="s">
        <v>1227</v>
      </c>
      <c r="G898" s="105" t="s">
        <v>1243</v>
      </c>
      <c r="H898" s="105"/>
      <c r="I898" s="117">
        <v>961</v>
      </c>
      <c r="J898" s="117"/>
      <c r="K898" s="117"/>
      <c r="L898" s="118">
        <f t="shared" si="114"/>
        <v>1</v>
      </c>
      <c r="M898" s="118">
        <f t="shared" si="115"/>
        <v>1</v>
      </c>
      <c r="N898" s="58">
        <f t="shared" si="116"/>
        <v>0</v>
      </c>
      <c r="O898" s="58">
        <f t="shared" si="117"/>
        <v>2</v>
      </c>
    </row>
    <row r="899" spans="1:33">
      <c r="A899" s="104">
        <f t="shared" si="118"/>
        <v>42504</v>
      </c>
      <c r="B899" s="105" t="str">
        <f t="shared" si="112"/>
        <v>Sat</v>
      </c>
      <c r="C899" s="105" t="s">
        <v>1218</v>
      </c>
      <c r="D899" s="105" t="str">
        <f t="shared" si="113"/>
        <v>FW15</v>
      </c>
      <c r="E899" s="105" t="s">
        <v>17</v>
      </c>
      <c r="F899" s="105" t="s">
        <v>1228</v>
      </c>
      <c r="G899" s="105"/>
      <c r="H899" s="105"/>
      <c r="I899" s="117">
        <v>672</v>
      </c>
      <c r="J899" s="117"/>
      <c r="K899" s="117"/>
      <c r="L899" s="118">
        <f t="shared" si="114"/>
        <v>1</v>
      </c>
      <c r="M899" s="118">
        <f t="shared" si="115"/>
        <v>0</v>
      </c>
      <c r="N899" s="58">
        <f t="shared" si="116"/>
        <v>0</v>
      </c>
      <c r="O899" s="58">
        <f t="shared" si="117"/>
        <v>1</v>
      </c>
    </row>
    <row r="900" spans="1:33">
      <c r="A900" s="104">
        <f t="shared" si="118"/>
        <v>42505</v>
      </c>
      <c r="B900" s="105" t="str">
        <f t="shared" si="112"/>
        <v>Sun</v>
      </c>
      <c r="C900" s="105" t="s">
        <v>1218</v>
      </c>
      <c r="D900" s="105" t="str">
        <f t="shared" si="113"/>
        <v>FW16</v>
      </c>
      <c r="E900" s="105" t="s">
        <v>934</v>
      </c>
      <c r="F900" s="105" t="s">
        <v>1229</v>
      </c>
      <c r="G900" s="105" t="s">
        <v>1192</v>
      </c>
      <c r="H900" s="105"/>
      <c r="I900" s="117">
        <v>555</v>
      </c>
      <c r="J900" s="117"/>
      <c r="K900" s="117"/>
      <c r="L900" s="118">
        <f t="shared" si="114"/>
        <v>1</v>
      </c>
      <c r="M900" s="118">
        <f t="shared" si="115"/>
        <v>1</v>
      </c>
      <c r="N900" s="58">
        <f t="shared" si="116"/>
        <v>0</v>
      </c>
      <c r="O900" s="58">
        <f t="shared" si="117"/>
        <v>2</v>
      </c>
    </row>
    <row r="901" spans="1:33">
      <c r="A901" s="104">
        <f t="shared" si="118"/>
        <v>42506</v>
      </c>
      <c r="B901" s="105" t="str">
        <f t="shared" si="112"/>
        <v>Mon</v>
      </c>
      <c r="C901" s="105" t="s">
        <v>1218</v>
      </c>
      <c r="D901" s="105" t="str">
        <f t="shared" si="113"/>
        <v>FW16</v>
      </c>
      <c r="E901" s="105" t="s">
        <v>1105</v>
      </c>
      <c r="F901" s="105" t="s">
        <v>1230</v>
      </c>
      <c r="G901" s="105"/>
      <c r="H901" s="105"/>
      <c r="I901" s="117">
        <v>962</v>
      </c>
      <c r="J901" s="117"/>
      <c r="K901" s="117"/>
      <c r="L901" s="118">
        <f t="shared" si="114"/>
        <v>1</v>
      </c>
      <c r="M901" s="118">
        <f t="shared" si="115"/>
        <v>0</v>
      </c>
      <c r="N901" s="58">
        <f t="shared" si="116"/>
        <v>0</v>
      </c>
      <c r="O901" s="58">
        <f t="shared" si="117"/>
        <v>1</v>
      </c>
    </row>
    <row r="902" spans="1:33">
      <c r="A902" s="104">
        <f t="shared" si="118"/>
        <v>42507</v>
      </c>
      <c r="B902" s="105" t="str">
        <f t="shared" si="112"/>
        <v>Tue</v>
      </c>
      <c r="C902" s="105" t="s">
        <v>1218</v>
      </c>
      <c r="D902" s="105" t="str">
        <f t="shared" si="113"/>
        <v>FW16</v>
      </c>
      <c r="E902" s="105" t="s">
        <v>484</v>
      </c>
      <c r="F902" s="105" t="s">
        <v>1231</v>
      </c>
      <c r="G902" s="105"/>
      <c r="H902" s="105"/>
      <c r="I902" s="117">
        <v>854</v>
      </c>
      <c r="J902" s="117"/>
      <c r="K902" s="117"/>
      <c r="L902" s="118">
        <f t="shared" si="114"/>
        <v>1</v>
      </c>
      <c r="M902" s="118">
        <f t="shared" si="115"/>
        <v>0</v>
      </c>
      <c r="N902" s="58">
        <f t="shared" si="116"/>
        <v>0</v>
      </c>
      <c r="O902" s="58">
        <f t="shared" si="117"/>
        <v>1</v>
      </c>
    </row>
    <row r="903" spans="1:33">
      <c r="A903" s="104">
        <f t="shared" si="118"/>
        <v>42508</v>
      </c>
      <c r="B903" s="105" t="str">
        <f t="shared" si="112"/>
        <v>Wed</v>
      </c>
      <c r="C903" s="105" t="s">
        <v>1218</v>
      </c>
      <c r="D903" s="105" t="str">
        <f t="shared" si="113"/>
        <v>FW16</v>
      </c>
      <c r="E903" s="105" t="s">
        <v>484</v>
      </c>
      <c r="F903" s="105" t="s">
        <v>1231</v>
      </c>
      <c r="G903" s="105" t="s">
        <v>1244</v>
      </c>
      <c r="H903" s="104"/>
      <c r="I903" s="117">
        <v>918</v>
      </c>
      <c r="J903" s="104"/>
      <c r="K903" s="104"/>
      <c r="L903" s="118">
        <f t="shared" si="114"/>
        <v>1</v>
      </c>
      <c r="M903" s="118">
        <f t="shared" si="115"/>
        <v>1</v>
      </c>
      <c r="N903" s="58">
        <f t="shared" si="116"/>
        <v>0</v>
      </c>
      <c r="O903" s="58">
        <f t="shared" si="117"/>
        <v>2</v>
      </c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</row>
    <row r="904" spans="1:33">
      <c r="A904" s="104">
        <f t="shared" si="118"/>
        <v>42509</v>
      </c>
      <c r="B904" s="105" t="str">
        <f t="shared" si="112"/>
        <v>Thu</v>
      </c>
      <c r="C904" s="105" t="s">
        <v>1218</v>
      </c>
      <c r="D904" s="105" t="str">
        <f t="shared" si="113"/>
        <v>FW16</v>
      </c>
      <c r="E904" s="105" t="s">
        <v>484</v>
      </c>
      <c r="F904" s="105" t="s">
        <v>1232</v>
      </c>
      <c r="G904" s="105" t="s">
        <v>1192</v>
      </c>
      <c r="H904" s="104"/>
      <c r="I904" s="117">
        <v>902</v>
      </c>
      <c r="J904" s="104"/>
      <c r="K904" s="104"/>
      <c r="L904" s="118">
        <f t="shared" si="114"/>
        <v>1</v>
      </c>
      <c r="M904" s="118">
        <f t="shared" si="115"/>
        <v>1</v>
      </c>
      <c r="N904" s="58">
        <f t="shared" si="116"/>
        <v>0</v>
      </c>
      <c r="O904" s="58">
        <f t="shared" si="117"/>
        <v>2</v>
      </c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</row>
    <row r="905" spans="1:33">
      <c r="A905" s="104">
        <f t="shared" si="118"/>
        <v>42510</v>
      </c>
      <c r="B905" s="105" t="str">
        <f t="shared" si="112"/>
        <v>Fri</v>
      </c>
      <c r="C905" s="105" t="s">
        <v>1218</v>
      </c>
      <c r="D905" s="105" t="str">
        <f t="shared" si="113"/>
        <v>FW16</v>
      </c>
      <c r="E905" s="105" t="s">
        <v>17</v>
      </c>
      <c r="F905" s="105" t="s">
        <v>1233</v>
      </c>
      <c r="G905" s="105"/>
      <c r="H905" s="104"/>
      <c r="I905" s="117">
        <v>916</v>
      </c>
      <c r="J905" s="104"/>
      <c r="K905" s="104"/>
      <c r="L905" s="118">
        <f t="shared" si="114"/>
        <v>1</v>
      </c>
      <c r="M905" s="118">
        <f t="shared" si="115"/>
        <v>0</v>
      </c>
      <c r="N905" s="58">
        <f t="shared" si="116"/>
        <v>0</v>
      </c>
      <c r="O905" s="58">
        <f t="shared" si="117"/>
        <v>1</v>
      </c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</row>
    <row r="906" spans="1:33">
      <c r="A906" s="104">
        <f t="shared" si="118"/>
        <v>42511</v>
      </c>
      <c r="B906" s="105" t="str">
        <f t="shared" si="112"/>
        <v>Sat</v>
      </c>
      <c r="C906" s="105" t="s">
        <v>1218</v>
      </c>
      <c r="D906" s="105" t="str">
        <f t="shared" si="113"/>
        <v>FW16</v>
      </c>
      <c r="E906" s="105" t="s">
        <v>165</v>
      </c>
      <c r="F906" s="105" t="s">
        <v>1234</v>
      </c>
      <c r="G906" s="105"/>
      <c r="H906" s="104"/>
      <c r="I906" s="117">
        <v>560</v>
      </c>
      <c r="J906" s="104"/>
      <c r="K906" s="104"/>
      <c r="L906" s="118">
        <f t="shared" si="114"/>
        <v>1</v>
      </c>
      <c r="M906" s="118">
        <f t="shared" si="115"/>
        <v>0</v>
      </c>
      <c r="N906" s="58">
        <f t="shared" si="116"/>
        <v>0</v>
      </c>
      <c r="O906" s="58">
        <f t="shared" si="117"/>
        <v>1</v>
      </c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</row>
    <row r="907" spans="1:33">
      <c r="A907" s="104">
        <f t="shared" si="118"/>
        <v>42512</v>
      </c>
      <c r="B907" s="105" t="str">
        <f t="shared" si="112"/>
        <v>Sun</v>
      </c>
      <c r="C907" s="105" t="s">
        <v>1218</v>
      </c>
      <c r="D907" s="105" t="str">
        <f t="shared" si="113"/>
        <v>FW17</v>
      </c>
      <c r="E907" s="105" t="s">
        <v>191</v>
      </c>
      <c r="F907" s="105" t="s">
        <v>1235</v>
      </c>
      <c r="G907" s="105"/>
      <c r="H907" s="104"/>
      <c r="I907" s="117">
        <v>417</v>
      </c>
      <c r="J907" s="104"/>
      <c r="K907" s="104"/>
      <c r="L907" s="118">
        <f t="shared" si="114"/>
        <v>1</v>
      </c>
      <c r="M907" s="118">
        <f t="shared" si="115"/>
        <v>0</v>
      </c>
      <c r="N907" s="58">
        <f t="shared" si="116"/>
        <v>0</v>
      </c>
      <c r="O907" s="58">
        <f t="shared" si="117"/>
        <v>1</v>
      </c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</row>
    <row r="908" spans="1:33">
      <c r="A908" s="104">
        <f t="shared" si="118"/>
        <v>42513</v>
      </c>
      <c r="B908" s="105" t="str">
        <f t="shared" si="112"/>
        <v>Mon</v>
      </c>
      <c r="C908" s="105" t="s">
        <v>1218</v>
      </c>
      <c r="D908" s="105" t="str">
        <f t="shared" si="113"/>
        <v>FW17</v>
      </c>
      <c r="E908" s="105" t="s">
        <v>110</v>
      </c>
      <c r="F908" s="105" t="s">
        <v>1186</v>
      </c>
      <c r="G908" s="105"/>
      <c r="H908" s="104"/>
      <c r="I908" s="117">
        <v>905</v>
      </c>
      <c r="J908" s="104"/>
      <c r="K908" s="104"/>
      <c r="L908" s="118">
        <f t="shared" si="114"/>
        <v>1</v>
      </c>
      <c r="M908" s="118">
        <f t="shared" si="115"/>
        <v>0</v>
      </c>
      <c r="N908" s="58">
        <f t="shared" si="116"/>
        <v>0</v>
      </c>
      <c r="O908" s="58">
        <f t="shared" si="117"/>
        <v>1</v>
      </c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</row>
    <row r="909" spans="1:33">
      <c r="A909" s="104">
        <f t="shared" si="118"/>
        <v>42514</v>
      </c>
      <c r="B909" s="105" t="str">
        <f t="shared" si="112"/>
        <v>Tue</v>
      </c>
      <c r="C909" s="105" t="s">
        <v>1218</v>
      </c>
      <c r="D909" s="105" t="str">
        <f t="shared" si="113"/>
        <v>FW17</v>
      </c>
      <c r="E909" s="105" t="s">
        <v>191</v>
      </c>
      <c r="F909" s="105" t="s">
        <v>1236</v>
      </c>
      <c r="G909" s="105" t="s">
        <v>1192</v>
      </c>
      <c r="H909" s="104"/>
      <c r="I909" s="117">
        <v>841</v>
      </c>
      <c r="J909" s="104"/>
      <c r="K909" s="104"/>
      <c r="L909" s="118">
        <f t="shared" si="114"/>
        <v>1</v>
      </c>
      <c r="M909" s="118">
        <f t="shared" si="115"/>
        <v>1</v>
      </c>
      <c r="N909" s="58">
        <f t="shared" si="116"/>
        <v>0</v>
      </c>
      <c r="O909" s="58">
        <f t="shared" si="117"/>
        <v>2</v>
      </c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</row>
    <row r="910" spans="1:33">
      <c r="A910" s="104">
        <f t="shared" si="118"/>
        <v>42515</v>
      </c>
      <c r="B910" s="105" t="str">
        <f t="shared" si="112"/>
        <v>Wed</v>
      </c>
      <c r="C910" s="105" t="s">
        <v>1218</v>
      </c>
      <c r="D910" s="105" t="str">
        <f t="shared" si="113"/>
        <v>FW17</v>
      </c>
      <c r="E910" s="105" t="s">
        <v>17</v>
      </c>
      <c r="F910" s="105" t="s">
        <v>1237</v>
      </c>
      <c r="G910" s="105"/>
      <c r="H910" s="104"/>
      <c r="I910" s="117">
        <v>918</v>
      </c>
      <c r="J910" s="104"/>
      <c r="K910" s="104"/>
      <c r="L910" s="118">
        <f t="shared" si="114"/>
        <v>1</v>
      </c>
      <c r="M910" s="118">
        <f t="shared" si="115"/>
        <v>0</v>
      </c>
      <c r="N910" s="58">
        <f t="shared" si="116"/>
        <v>0</v>
      </c>
      <c r="O910" s="58">
        <f t="shared" si="117"/>
        <v>1</v>
      </c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</row>
    <row r="911" spans="1:33">
      <c r="A911" s="104">
        <f t="shared" si="118"/>
        <v>42516</v>
      </c>
      <c r="B911" s="105" t="str">
        <f t="shared" si="112"/>
        <v>Thu</v>
      </c>
      <c r="C911" s="105" t="s">
        <v>1218</v>
      </c>
      <c r="D911" s="105" t="str">
        <f t="shared" si="113"/>
        <v>FW17</v>
      </c>
      <c r="E911" s="105" t="s">
        <v>175</v>
      </c>
      <c r="F911" s="105" t="s">
        <v>1238</v>
      </c>
      <c r="G911" s="105" t="s">
        <v>1245</v>
      </c>
      <c r="H911" s="104"/>
      <c r="I911" s="117">
        <v>803</v>
      </c>
      <c r="J911" s="104"/>
      <c r="K911" s="104"/>
      <c r="L911" s="118">
        <f t="shared" si="114"/>
        <v>1</v>
      </c>
      <c r="M911" s="118">
        <f t="shared" si="115"/>
        <v>1</v>
      </c>
      <c r="N911" s="58">
        <f t="shared" si="116"/>
        <v>0</v>
      </c>
      <c r="O911" s="58">
        <f t="shared" si="117"/>
        <v>2</v>
      </c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</row>
    <row r="912" spans="1:33">
      <c r="A912" s="104">
        <f t="shared" si="118"/>
        <v>42517</v>
      </c>
      <c r="B912" s="105" t="str">
        <f t="shared" si="112"/>
        <v>Fri</v>
      </c>
      <c r="C912" s="105" t="s">
        <v>1218</v>
      </c>
      <c r="D912" s="105" t="str">
        <f t="shared" si="113"/>
        <v>FW17</v>
      </c>
      <c r="E912" s="105" t="s">
        <v>175</v>
      </c>
      <c r="F912" s="105" t="s">
        <v>1239</v>
      </c>
      <c r="G912" s="105" t="s">
        <v>1246</v>
      </c>
      <c r="H912" s="104"/>
      <c r="I912" s="117">
        <v>878</v>
      </c>
      <c r="J912" s="104"/>
      <c r="K912" s="104"/>
      <c r="L912" s="118">
        <f t="shared" si="114"/>
        <v>1</v>
      </c>
      <c r="M912" s="118">
        <f t="shared" si="115"/>
        <v>1</v>
      </c>
      <c r="N912" s="58">
        <f t="shared" si="116"/>
        <v>0</v>
      </c>
      <c r="O912" s="58">
        <f t="shared" si="117"/>
        <v>2</v>
      </c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</row>
    <row r="913" spans="1:33">
      <c r="A913" s="104">
        <f t="shared" si="118"/>
        <v>42518</v>
      </c>
      <c r="B913" s="105" t="str">
        <f t="shared" si="112"/>
        <v>Sat</v>
      </c>
      <c r="C913" s="105" t="s">
        <v>1218</v>
      </c>
      <c r="D913" s="105" t="str">
        <f t="shared" si="113"/>
        <v>FW17</v>
      </c>
      <c r="E913" s="105" t="s">
        <v>175</v>
      </c>
      <c r="F913" s="105" t="s">
        <v>1239</v>
      </c>
      <c r="G913" s="105"/>
      <c r="H913" s="104"/>
      <c r="I913" s="117">
        <v>543</v>
      </c>
      <c r="J913" s="104"/>
      <c r="K913" s="104"/>
      <c r="L913" s="118">
        <f t="shared" si="114"/>
        <v>1</v>
      </c>
      <c r="M913" s="118">
        <f t="shared" si="115"/>
        <v>0</v>
      </c>
      <c r="N913" s="58">
        <f t="shared" si="116"/>
        <v>0</v>
      </c>
      <c r="O913" s="58">
        <f t="shared" si="117"/>
        <v>1</v>
      </c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</row>
    <row r="914" spans="1:33">
      <c r="A914" s="104"/>
      <c r="B914" s="104"/>
      <c r="C914" s="104"/>
      <c r="D914" s="104"/>
      <c r="E914" s="104"/>
      <c r="F914" s="104"/>
      <c r="G914" s="104"/>
      <c r="H914" s="104"/>
      <c r="I914" s="117"/>
      <c r="J914" s="104"/>
      <c r="K914" s="104"/>
      <c r="L914" s="118">
        <f t="shared" si="114"/>
        <v>1</v>
      </c>
      <c r="M914" s="118">
        <f t="shared" si="115"/>
        <v>0</v>
      </c>
      <c r="N914" s="58">
        <f t="shared" si="116"/>
        <v>0</v>
      </c>
      <c r="O914" s="58">
        <f t="shared" si="117"/>
        <v>1</v>
      </c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</row>
    <row r="915" spans="1:33">
      <c r="A915" s="104"/>
      <c r="B915" s="104"/>
      <c r="C915" s="104"/>
      <c r="D915" s="104"/>
      <c r="E915" s="104"/>
      <c r="F915" s="104"/>
      <c r="G915" s="104"/>
      <c r="H915" s="104"/>
      <c r="I915" s="117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</row>
    <row r="916" spans="1:33">
      <c r="A916" s="104"/>
      <c r="B916" s="104"/>
      <c r="C916" s="104"/>
      <c r="D916" s="104"/>
      <c r="E916" s="104"/>
      <c r="F916" s="104"/>
      <c r="G916" s="104"/>
      <c r="H916" s="104"/>
      <c r="I916" s="117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</row>
    <row r="917" spans="1:33">
      <c r="A917" s="104"/>
      <c r="B917" s="104"/>
      <c r="C917" s="104"/>
      <c r="D917" s="104"/>
      <c r="E917" s="104"/>
      <c r="F917" s="104"/>
      <c r="G917" s="104"/>
      <c r="H917" s="104"/>
      <c r="I917" s="117"/>
      <c r="J917" s="104"/>
      <c r="K917" s="104"/>
      <c r="L917" s="104"/>
      <c r="M917" s="104"/>
      <c r="N917" s="104"/>
      <c r="O917" s="104"/>
    </row>
    <row r="918" spans="1:33">
      <c r="A918" s="104"/>
      <c r="B918" s="104"/>
      <c r="C918" s="104"/>
      <c r="D918" s="104"/>
      <c r="E918" s="104"/>
      <c r="F918" s="104"/>
      <c r="G918" s="104"/>
      <c r="H918" s="104"/>
      <c r="I918" s="117"/>
      <c r="J918" s="104"/>
      <c r="K918" s="104"/>
      <c r="L918" s="104"/>
      <c r="M918" s="104"/>
      <c r="N918" s="104"/>
      <c r="O918" s="104"/>
    </row>
    <row r="919" spans="1:33">
      <c r="A919" s="104"/>
      <c r="B919" s="104"/>
      <c r="C919" s="104"/>
      <c r="D919" s="104"/>
      <c r="E919" s="104"/>
      <c r="F919" s="104"/>
      <c r="G919" s="104"/>
      <c r="H919" s="104"/>
      <c r="I919" s="117"/>
      <c r="J919" s="104"/>
      <c r="K919" s="104"/>
      <c r="L919" s="104"/>
      <c r="M919" s="104"/>
      <c r="N919" s="104"/>
      <c r="O919" s="104"/>
    </row>
    <row r="920" spans="1:33">
      <c r="A920" s="104"/>
      <c r="B920" s="104"/>
      <c r="C920" s="104"/>
      <c r="D920" s="104"/>
      <c r="E920" s="104"/>
      <c r="F920" s="104"/>
      <c r="G920" s="104"/>
      <c r="H920" s="104"/>
      <c r="I920" s="117"/>
      <c r="J920" s="104"/>
      <c r="K920" s="104"/>
      <c r="L920" s="104"/>
      <c r="M920" s="104"/>
      <c r="N920" s="104"/>
      <c r="O920" s="104"/>
    </row>
    <row r="921" spans="1:33">
      <c r="A921" s="104"/>
      <c r="B921" s="104"/>
      <c r="C921" s="104"/>
      <c r="D921" s="104"/>
      <c r="E921" s="104"/>
      <c r="F921" s="104"/>
      <c r="G921" s="104"/>
      <c r="H921" s="104"/>
      <c r="I921" s="117"/>
      <c r="J921" s="104"/>
      <c r="K921" s="104"/>
      <c r="L921" s="104"/>
      <c r="M921" s="104"/>
      <c r="N921" s="104"/>
      <c r="O921" s="104"/>
    </row>
    <row r="922" spans="1:33">
      <c r="A922" s="104"/>
      <c r="B922" s="104"/>
      <c r="C922" s="104"/>
      <c r="D922" s="104"/>
      <c r="E922" s="104"/>
      <c r="F922" s="104"/>
      <c r="G922" s="104"/>
      <c r="H922" s="104"/>
      <c r="I922" s="117"/>
      <c r="J922" s="104"/>
      <c r="K922" s="104"/>
      <c r="L922" s="104"/>
      <c r="M922" s="104"/>
      <c r="N922" s="104"/>
      <c r="O922" s="104"/>
    </row>
    <row r="923" spans="1:33">
      <c r="A923" s="104"/>
      <c r="B923" s="104"/>
      <c r="C923" s="104"/>
      <c r="D923" s="104"/>
      <c r="E923" s="104"/>
      <c r="F923" s="104"/>
      <c r="G923" s="104"/>
      <c r="H923" s="104"/>
      <c r="I923" s="117"/>
      <c r="J923" s="104"/>
      <c r="K923" s="104"/>
      <c r="L923" s="104"/>
      <c r="M923" s="104"/>
      <c r="N923" s="104"/>
      <c r="O923" s="104"/>
    </row>
    <row r="924" spans="1:33">
      <c r="A924" s="104"/>
      <c r="B924" s="104"/>
      <c r="C924" s="104"/>
      <c r="D924" s="104"/>
      <c r="E924" s="104"/>
      <c r="F924" s="104"/>
      <c r="G924" s="104"/>
      <c r="H924" s="104"/>
      <c r="I924" s="117"/>
      <c r="J924" s="104"/>
      <c r="K924" s="104"/>
      <c r="L924" s="104"/>
      <c r="M924" s="104"/>
      <c r="N924" s="104"/>
      <c r="O924" s="104"/>
    </row>
    <row r="925" spans="1:33">
      <c r="A925" s="104"/>
      <c r="B925" s="104"/>
      <c r="C925" s="104"/>
      <c r="D925" s="104"/>
      <c r="E925" s="104"/>
      <c r="F925" s="104"/>
      <c r="G925" s="104"/>
      <c r="H925" s="104"/>
      <c r="I925" s="117"/>
      <c r="J925" s="104"/>
      <c r="K925" s="104"/>
      <c r="L925" s="104"/>
      <c r="M925" s="104"/>
      <c r="N925" s="104"/>
      <c r="O925" s="104"/>
    </row>
    <row r="926" spans="1:33">
      <c r="A926" s="104"/>
      <c r="B926" s="104"/>
      <c r="C926" s="104"/>
      <c r="D926" s="104"/>
      <c r="E926" s="104"/>
      <c r="F926" s="104"/>
      <c r="G926" s="104"/>
      <c r="H926" s="104"/>
      <c r="I926" s="117"/>
      <c r="J926" s="104"/>
      <c r="K926" s="104"/>
      <c r="L926" s="104"/>
      <c r="M926" s="104"/>
      <c r="N926" s="104"/>
      <c r="O926" s="104"/>
    </row>
    <row r="927" spans="1:33">
      <c r="A927" s="104"/>
      <c r="B927" s="104"/>
      <c r="C927" s="104"/>
      <c r="D927" s="104"/>
      <c r="E927" s="104"/>
      <c r="F927" s="104"/>
      <c r="G927" s="104"/>
      <c r="H927" s="104"/>
      <c r="I927" s="117"/>
      <c r="J927" s="104"/>
      <c r="K927" s="104"/>
      <c r="L927" s="104"/>
      <c r="M927" s="104"/>
      <c r="N927" s="104"/>
      <c r="O927" s="104"/>
    </row>
    <row r="928" spans="1:33">
      <c r="A928" s="104"/>
      <c r="B928" s="104"/>
      <c r="C928" s="104"/>
      <c r="D928" s="104"/>
      <c r="E928" s="104"/>
      <c r="F928" s="104"/>
      <c r="G928" s="104"/>
      <c r="H928" s="104"/>
      <c r="I928" s="117"/>
      <c r="J928" s="104"/>
      <c r="K928" s="104"/>
      <c r="L928" s="104"/>
      <c r="M928" s="104"/>
      <c r="N928" s="104"/>
      <c r="O928" s="104"/>
    </row>
    <row r="929" spans="1:15">
      <c r="A929" s="104"/>
      <c r="B929" s="104"/>
      <c r="C929" s="104"/>
      <c r="D929" s="104"/>
      <c r="E929" s="104"/>
      <c r="F929" s="104"/>
      <c r="G929" s="104"/>
      <c r="H929" s="104"/>
      <c r="I929" s="117"/>
      <c r="J929" s="104"/>
      <c r="K929" s="104"/>
      <c r="L929" s="104"/>
      <c r="M929" s="104"/>
      <c r="N929" s="104"/>
      <c r="O929" s="104"/>
    </row>
    <row r="930" spans="1:15">
      <c r="A930" s="104"/>
      <c r="B930" s="104"/>
      <c r="C930" s="104"/>
      <c r="D930" s="104"/>
      <c r="E930" s="104"/>
      <c r="F930" s="104"/>
      <c r="G930" s="104"/>
      <c r="H930" s="104"/>
      <c r="I930" s="117"/>
      <c r="J930" s="104"/>
      <c r="K930" s="104"/>
      <c r="L930" s="104"/>
      <c r="M930" s="104"/>
      <c r="N930" s="104"/>
      <c r="O930" s="104"/>
    </row>
    <row r="931" spans="1:15">
      <c r="A931" s="104"/>
      <c r="B931" s="104"/>
      <c r="C931" s="104"/>
      <c r="D931" s="104"/>
      <c r="E931" s="104"/>
      <c r="F931" s="104"/>
      <c r="G931" s="104"/>
      <c r="H931" s="104"/>
      <c r="I931" s="117"/>
      <c r="J931" s="104"/>
      <c r="K931" s="104"/>
      <c r="L931" s="104"/>
      <c r="M931" s="104"/>
      <c r="N931" s="104"/>
      <c r="O931" s="104"/>
    </row>
    <row r="932" spans="1:15">
      <c r="A932" s="104"/>
      <c r="B932" s="104"/>
      <c r="C932" s="104"/>
      <c r="D932" s="104"/>
      <c r="E932" s="104"/>
      <c r="F932" s="104"/>
      <c r="G932" s="104"/>
      <c r="H932" s="104"/>
      <c r="I932" s="117"/>
      <c r="J932" s="104"/>
      <c r="K932" s="104"/>
      <c r="L932" s="104"/>
      <c r="M932" s="104"/>
      <c r="N932" s="104"/>
      <c r="O932" s="104"/>
    </row>
    <row r="933" spans="1:15">
      <c r="A933" s="104"/>
      <c r="B933" s="104"/>
      <c r="C933" s="104"/>
      <c r="D933" s="104"/>
      <c r="E933" s="104"/>
      <c r="F933" s="104"/>
      <c r="G933" s="104"/>
      <c r="H933" s="104"/>
      <c r="I933" s="117"/>
      <c r="J933" s="104"/>
      <c r="K933" s="104"/>
      <c r="L933" s="104"/>
      <c r="M933" s="104"/>
      <c r="N933" s="104"/>
      <c r="O933" s="104"/>
    </row>
  </sheetData>
  <mergeCells count="1">
    <mergeCell ref="I2:K2"/>
  </mergeCells>
  <conditionalFormatting sqref="F317:F320 F322:F367 F67:F315 E67:E1048576 E1:F66 L1 F396:F1048576 E557:F703 G685:G686 G688 G701 G703:G738 G582 G585 G590 G632 G634 G637 F641:H668 G604 G681 E704:G933">
    <cfRule type="containsText" dxfId="1" priority="22" operator="containsText" text="No Email Drop">
      <formula>NOT(ISERROR(SEARCH("No Email Drop",E1)))</formula>
    </cfRule>
  </conditionalFormatting>
  <conditionalFormatting sqref="B1:F1 P903:AG916 A1:A1048576 B914:D933 L915:O933 E903:H933 J903:K933">
    <cfRule type="timePeriod" dxfId="0" priority="21" timePeriod="today">
      <formula>FLOOR(A1,1)=TODAY()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J31"/>
  <sheetViews>
    <sheetView showGridLines="0" workbookViewId="0"/>
  </sheetViews>
  <sheetFormatPr defaultRowHeight="15"/>
  <cols>
    <col min="5" max="5" width="12" customWidth="1"/>
  </cols>
  <sheetData>
    <row r="1" spans="1:10">
      <c r="A1" s="44" t="s">
        <v>788</v>
      </c>
      <c r="B1" s="44" t="s">
        <v>0</v>
      </c>
      <c r="C1" s="44" t="s">
        <v>789</v>
      </c>
      <c r="E1" s="44" t="s">
        <v>792</v>
      </c>
      <c r="F1" s="45" t="s">
        <v>790</v>
      </c>
      <c r="G1" s="45" t="s">
        <v>791</v>
      </c>
      <c r="H1" s="45" t="s">
        <v>793</v>
      </c>
      <c r="I1" s="44" t="s">
        <v>9</v>
      </c>
    </row>
    <row r="2" spans="1:10">
      <c r="A2" s="46">
        <v>41306</v>
      </c>
      <c r="B2" s="39" t="s">
        <v>777</v>
      </c>
      <c r="C2" s="40">
        <v>25162</v>
      </c>
      <c r="D2" s="41"/>
      <c r="E2" s="40" t="s">
        <v>777</v>
      </c>
      <c r="F2" s="10">
        <v>7847</v>
      </c>
      <c r="G2" s="10">
        <v>13640</v>
      </c>
      <c r="H2" s="143">
        <v>10126</v>
      </c>
      <c r="I2" s="10"/>
    </row>
    <row r="3" spans="1:10">
      <c r="A3" s="46">
        <v>41334</v>
      </c>
      <c r="B3" s="39" t="s">
        <v>778</v>
      </c>
      <c r="C3" s="40">
        <v>25887</v>
      </c>
      <c r="D3" s="41"/>
      <c r="E3" s="40" t="s">
        <v>778</v>
      </c>
      <c r="F3" s="10">
        <v>8024</v>
      </c>
      <c r="G3" s="10">
        <v>13094</v>
      </c>
      <c r="H3" s="143">
        <v>9506</v>
      </c>
      <c r="I3" s="10"/>
    </row>
    <row r="4" spans="1:10">
      <c r="A4" s="46">
        <v>41365</v>
      </c>
      <c r="B4" s="39" t="s">
        <v>779</v>
      </c>
      <c r="C4" s="40">
        <v>31078</v>
      </c>
      <c r="D4" s="41"/>
      <c r="E4" s="40" t="s">
        <v>779</v>
      </c>
      <c r="F4" s="10">
        <v>9630</v>
      </c>
      <c r="G4" s="10">
        <v>16210</v>
      </c>
      <c r="H4" s="143">
        <v>10232</v>
      </c>
      <c r="I4" s="10"/>
    </row>
    <row r="5" spans="1:10">
      <c r="A5" s="46">
        <v>41395</v>
      </c>
      <c r="B5" s="39" t="s">
        <v>780</v>
      </c>
      <c r="C5" s="40">
        <v>23501</v>
      </c>
      <c r="D5" s="41"/>
      <c r="E5" s="40" t="s">
        <v>780</v>
      </c>
      <c r="F5" s="10">
        <v>7799</v>
      </c>
      <c r="G5" s="10">
        <v>12531</v>
      </c>
      <c r="H5" s="143">
        <v>8293</v>
      </c>
      <c r="I5" s="10"/>
    </row>
    <row r="6" spans="1:10">
      <c r="A6" s="46">
        <v>41426</v>
      </c>
      <c r="B6" s="39" t="s">
        <v>781</v>
      </c>
      <c r="C6" s="40">
        <v>27232</v>
      </c>
      <c r="D6" s="41"/>
      <c r="E6" s="40" t="s">
        <v>781</v>
      </c>
      <c r="F6" s="10">
        <v>7867</v>
      </c>
      <c r="G6" s="10">
        <v>10134</v>
      </c>
      <c r="H6" s="143">
        <v>8774</v>
      </c>
      <c r="I6" s="10"/>
      <c r="J6" s="9"/>
    </row>
    <row r="7" spans="1:10">
      <c r="A7" s="46">
        <v>41456</v>
      </c>
      <c r="B7" s="39" t="s">
        <v>782</v>
      </c>
      <c r="C7" s="40">
        <v>34398</v>
      </c>
      <c r="D7" s="41"/>
      <c r="E7" s="40" t="s">
        <v>782</v>
      </c>
      <c r="F7" s="10">
        <v>10212</v>
      </c>
      <c r="G7" s="10">
        <v>11642</v>
      </c>
      <c r="H7" s="143">
        <v>12537</v>
      </c>
      <c r="I7" s="10"/>
    </row>
    <row r="8" spans="1:10">
      <c r="A8" s="46">
        <v>41487</v>
      </c>
      <c r="B8" s="39" t="s">
        <v>783</v>
      </c>
      <c r="C8" s="40">
        <v>28058</v>
      </c>
      <c r="D8" s="41"/>
      <c r="E8" s="40" t="s">
        <v>783</v>
      </c>
      <c r="F8" s="10">
        <v>8584</v>
      </c>
      <c r="G8" s="10">
        <v>10751</v>
      </c>
      <c r="H8" s="27">
        <v>9998</v>
      </c>
      <c r="I8" s="10"/>
    </row>
    <row r="9" spans="1:10">
      <c r="A9" s="46">
        <v>41518</v>
      </c>
      <c r="B9" s="39" t="s">
        <v>784</v>
      </c>
      <c r="C9" s="40">
        <v>27291</v>
      </c>
      <c r="D9" s="41"/>
      <c r="E9" s="40" t="s">
        <v>784</v>
      </c>
      <c r="F9" s="10">
        <v>8584</v>
      </c>
      <c r="G9" s="10">
        <v>10240</v>
      </c>
      <c r="H9" s="27">
        <v>9784</v>
      </c>
      <c r="I9" s="10"/>
    </row>
    <row r="10" spans="1:10">
      <c r="A10" s="46">
        <v>41548</v>
      </c>
      <c r="B10" s="39" t="s">
        <v>785</v>
      </c>
      <c r="C10" s="40">
        <v>33115</v>
      </c>
      <c r="D10" s="41"/>
      <c r="E10" s="40" t="s">
        <v>785</v>
      </c>
      <c r="F10" s="10">
        <v>12843</v>
      </c>
      <c r="G10" s="10">
        <v>11931</v>
      </c>
      <c r="H10" s="43"/>
      <c r="I10" s="10"/>
    </row>
    <row r="11" spans="1:10">
      <c r="A11" s="46">
        <v>41579</v>
      </c>
      <c r="B11" s="39" t="s">
        <v>786</v>
      </c>
      <c r="C11" s="40">
        <v>29279</v>
      </c>
      <c r="D11" s="41"/>
      <c r="E11" s="40" t="s">
        <v>786</v>
      </c>
      <c r="F11" s="10">
        <v>11035</v>
      </c>
      <c r="G11" s="10">
        <v>11352</v>
      </c>
      <c r="H11" s="10"/>
      <c r="I11" s="10"/>
    </row>
    <row r="12" spans="1:10">
      <c r="A12" s="46">
        <v>41609</v>
      </c>
      <c r="B12" s="39" t="s">
        <v>776</v>
      </c>
      <c r="C12" s="40">
        <v>32006</v>
      </c>
      <c r="D12" s="41"/>
      <c r="E12" s="40" t="s">
        <v>776</v>
      </c>
      <c r="F12" s="10">
        <v>15522</v>
      </c>
      <c r="G12" s="10">
        <v>11944</v>
      </c>
      <c r="H12" s="12">
        <f>'Forecast Workings'!I39</f>
        <v>30364.49</v>
      </c>
      <c r="I12" s="10"/>
    </row>
    <row r="13" spans="1:10">
      <c r="A13" s="46">
        <v>41640</v>
      </c>
      <c r="B13" s="39" t="s">
        <v>787</v>
      </c>
      <c r="C13" s="40">
        <v>39401</v>
      </c>
      <c r="D13" s="41"/>
      <c r="E13" s="40" t="s">
        <v>787</v>
      </c>
      <c r="F13" s="10">
        <v>18563</v>
      </c>
      <c r="G13" s="10">
        <v>15087</v>
      </c>
      <c r="H13" s="10"/>
      <c r="I13" s="10"/>
    </row>
    <row r="14" spans="1:10">
      <c r="A14" s="46">
        <v>41671</v>
      </c>
      <c r="B14" s="39" t="s">
        <v>777</v>
      </c>
      <c r="C14" s="40">
        <v>30712</v>
      </c>
      <c r="D14" s="41"/>
      <c r="E14" s="41"/>
    </row>
    <row r="15" spans="1:10">
      <c r="A15" s="46">
        <v>41699</v>
      </c>
      <c r="B15" s="39" t="s">
        <v>778</v>
      </c>
      <c r="C15" s="40">
        <v>28253</v>
      </c>
      <c r="D15" s="41"/>
      <c r="E15" s="41"/>
    </row>
    <row r="16" spans="1:10">
      <c r="A16" s="46">
        <v>41730</v>
      </c>
      <c r="B16" s="39" t="s">
        <v>779</v>
      </c>
      <c r="C16" s="40">
        <v>32600</v>
      </c>
      <c r="D16" s="41"/>
      <c r="E16" s="44" t="s">
        <v>797</v>
      </c>
    </row>
    <row r="17" spans="1:8">
      <c r="A17" s="46">
        <v>41760</v>
      </c>
      <c r="B17" s="39" t="s">
        <v>780</v>
      </c>
      <c r="C17" s="40">
        <v>24985</v>
      </c>
      <c r="D17" s="41"/>
      <c r="E17" s="44" t="str">
        <f>E1</f>
        <v>Month</v>
      </c>
      <c r="F17" s="45" t="str">
        <f t="shared" ref="F17:H17" si="0">F1</f>
        <v>13-14</v>
      </c>
      <c r="G17" s="45" t="str">
        <f t="shared" si="0"/>
        <v>14-15</v>
      </c>
      <c r="H17" s="45" t="str">
        <f t="shared" si="0"/>
        <v>15-16</v>
      </c>
    </row>
    <row r="18" spans="1:8">
      <c r="A18" s="46">
        <v>41791</v>
      </c>
      <c r="B18" s="39" t="s">
        <v>781</v>
      </c>
      <c r="C18" s="40">
        <v>26928</v>
      </c>
      <c r="D18" s="41"/>
      <c r="E18" s="40" t="str">
        <f t="shared" ref="E18:E29" si="1">E2</f>
        <v>Feb</v>
      </c>
      <c r="F18" s="71"/>
      <c r="G18" s="71">
        <f>G2/F13-1</f>
        <v>-0.26520497764369988</v>
      </c>
      <c r="H18" s="71">
        <f>H2/G13-1</f>
        <v>-0.32882614171140723</v>
      </c>
    </row>
    <row r="19" spans="1:8">
      <c r="A19" s="46">
        <v>41821</v>
      </c>
      <c r="B19" s="39" t="s">
        <v>782</v>
      </c>
      <c r="C19" s="40">
        <v>36599</v>
      </c>
      <c r="D19" s="41"/>
      <c r="E19" s="40" t="str">
        <f t="shared" si="1"/>
        <v>Mar</v>
      </c>
      <c r="F19" s="71">
        <f>F3/F2-1</f>
        <v>2.2556390977443552E-2</v>
      </c>
      <c r="G19" s="71">
        <f>G3/G2-1</f>
        <v>-4.002932551319649E-2</v>
      </c>
      <c r="H19" s="71">
        <f>H3/H2-1</f>
        <v>-6.1228520639936779E-2</v>
      </c>
    </row>
    <row r="20" spans="1:8">
      <c r="A20" s="46">
        <v>41852</v>
      </c>
      <c r="B20" s="39" t="s">
        <v>783</v>
      </c>
      <c r="C20" s="40">
        <v>33308</v>
      </c>
      <c r="D20" s="41"/>
      <c r="E20" s="40" t="str">
        <f t="shared" si="1"/>
        <v>Apr</v>
      </c>
      <c r="F20" s="71">
        <f t="shared" ref="F20:G29" si="2">F4/F3-1</f>
        <v>0.20014955134596213</v>
      </c>
      <c r="G20" s="71">
        <f t="shared" si="2"/>
        <v>0.23797159004124024</v>
      </c>
      <c r="H20" s="71">
        <f t="shared" ref="H20" si="3">H4/H3-1</f>
        <v>7.6372817168104401E-2</v>
      </c>
    </row>
    <row r="21" spans="1:8">
      <c r="A21" s="46">
        <v>41883</v>
      </c>
      <c r="B21" s="39" t="s">
        <v>784</v>
      </c>
      <c r="C21" s="40">
        <v>28211</v>
      </c>
      <c r="D21" s="41"/>
      <c r="E21" s="40" t="str">
        <f t="shared" si="1"/>
        <v>May</v>
      </c>
      <c r="F21" s="71">
        <f t="shared" si="2"/>
        <v>-0.19013499480789198</v>
      </c>
      <c r="G21" s="71">
        <f t="shared" si="2"/>
        <v>-0.22695866748920424</v>
      </c>
      <c r="H21" s="71">
        <f t="shared" ref="H21" si="4">H5/H4-1</f>
        <v>-0.18950351837372947</v>
      </c>
    </row>
    <row r="22" spans="1:8">
      <c r="A22" s="46">
        <v>41913</v>
      </c>
      <c r="B22" s="39" t="s">
        <v>785</v>
      </c>
      <c r="C22" s="40">
        <v>35566</v>
      </c>
      <c r="D22" s="41"/>
      <c r="E22" s="40" t="str">
        <f t="shared" si="1"/>
        <v>Jun</v>
      </c>
      <c r="F22" s="71">
        <f t="shared" si="2"/>
        <v>8.7190665469931705E-3</v>
      </c>
      <c r="G22" s="71">
        <f t="shared" si="2"/>
        <v>-0.19128561168302605</v>
      </c>
      <c r="H22" s="71">
        <f t="shared" ref="H22" si="5">H6/H5-1</f>
        <v>5.8000723501748563E-2</v>
      </c>
    </row>
    <row r="23" spans="1:8">
      <c r="A23" s="46">
        <v>41944</v>
      </c>
      <c r="B23" s="39" t="s">
        <v>786</v>
      </c>
      <c r="C23" s="40">
        <v>28743</v>
      </c>
      <c r="D23" s="41"/>
      <c r="E23" s="40" t="str">
        <f t="shared" si="1"/>
        <v>Jul</v>
      </c>
      <c r="F23" s="71">
        <f t="shared" si="2"/>
        <v>0.29808058980551677</v>
      </c>
      <c r="G23" s="71">
        <f t="shared" si="2"/>
        <v>0.14880599960528906</v>
      </c>
      <c r="H23" s="71"/>
    </row>
    <row r="24" spans="1:8">
      <c r="A24" s="46">
        <v>41974</v>
      </c>
      <c r="B24" s="39" t="s">
        <v>776</v>
      </c>
      <c r="C24" s="40">
        <v>31071</v>
      </c>
      <c r="D24" s="41"/>
      <c r="E24" s="40" t="str">
        <f t="shared" si="1"/>
        <v>Aug</v>
      </c>
      <c r="F24" s="71">
        <f t="shared" si="2"/>
        <v>-0.15942028985507251</v>
      </c>
      <c r="G24" s="71">
        <f t="shared" si="2"/>
        <v>-7.6533241711046252E-2</v>
      </c>
      <c r="H24" s="71"/>
    </row>
    <row r="25" spans="1:8">
      <c r="A25" s="46">
        <v>42005</v>
      </c>
      <c r="B25" s="39" t="s">
        <v>787</v>
      </c>
      <c r="C25" s="40">
        <v>40766</v>
      </c>
      <c r="D25" s="41"/>
      <c r="E25" s="40" t="str">
        <f t="shared" si="1"/>
        <v>Sep</v>
      </c>
      <c r="F25" s="71">
        <f t="shared" si="2"/>
        <v>0</v>
      </c>
      <c r="G25" s="71">
        <f t="shared" si="2"/>
        <v>-4.7530462282578401E-2</v>
      </c>
      <c r="H25" s="43"/>
    </row>
    <row r="26" spans="1:8">
      <c r="A26" s="46">
        <v>42036</v>
      </c>
      <c r="B26" s="39" t="s">
        <v>777</v>
      </c>
      <c r="C26" s="40">
        <v>30090</v>
      </c>
      <c r="D26" s="41"/>
      <c r="E26" s="40" t="str">
        <f t="shared" si="1"/>
        <v>Oct</v>
      </c>
      <c r="F26" s="71">
        <f t="shared" si="2"/>
        <v>0.49615563839701782</v>
      </c>
      <c r="G26" s="71">
        <f t="shared" si="2"/>
        <v>0.16513671874999991</v>
      </c>
      <c r="H26" s="10"/>
    </row>
    <row r="27" spans="1:8">
      <c r="A27" s="46">
        <v>42064</v>
      </c>
      <c r="B27" s="39" t="s">
        <v>778</v>
      </c>
      <c r="C27" s="40">
        <v>29284</v>
      </c>
      <c r="D27" s="41"/>
      <c r="E27" s="40" t="str">
        <f t="shared" si="1"/>
        <v>Nov</v>
      </c>
      <c r="F27" s="71">
        <f t="shared" si="2"/>
        <v>-0.14077707700692987</v>
      </c>
      <c r="G27" s="71">
        <f t="shared" si="2"/>
        <v>-4.8529041991450805E-2</v>
      </c>
      <c r="H27" s="10"/>
    </row>
    <row r="28" spans="1:8">
      <c r="A28" s="46">
        <v>42095</v>
      </c>
      <c r="B28" s="39" t="s">
        <v>779</v>
      </c>
      <c r="C28" s="40">
        <v>34334</v>
      </c>
      <c r="D28" s="41"/>
      <c r="E28" s="40" t="str">
        <f t="shared" si="1"/>
        <v>Dec</v>
      </c>
      <c r="F28" s="71">
        <f t="shared" si="2"/>
        <v>0.40661531490711367</v>
      </c>
      <c r="G28" s="71">
        <f t="shared" si="2"/>
        <v>5.2149400986610361E-2</v>
      </c>
      <c r="H28" s="10"/>
    </row>
    <row r="29" spans="1:8">
      <c r="A29" s="46">
        <v>42125</v>
      </c>
      <c r="B29" s="39" t="s">
        <v>780</v>
      </c>
      <c r="C29" s="40">
        <v>25941</v>
      </c>
      <c r="D29" s="41"/>
      <c r="E29" s="40" t="str">
        <f t="shared" si="1"/>
        <v>Jan</v>
      </c>
      <c r="F29" s="71">
        <f t="shared" si="2"/>
        <v>0.1959154748099472</v>
      </c>
      <c r="G29" s="71">
        <f t="shared" si="2"/>
        <v>0.26314467515070339</v>
      </c>
      <c r="H29" s="10"/>
    </row>
    <row r="30" spans="1:8">
      <c r="A30" s="46">
        <v>42156</v>
      </c>
      <c r="B30" s="39" t="s">
        <v>939</v>
      </c>
      <c r="C30" s="40">
        <v>27104</v>
      </c>
    </row>
    <row r="31" spans="1:8">
      <c r="A31" s="46">
        <v>42186</v>
      </c>
      <c r="B31" s="39" t="s">
        <v>782</v>
      </c>
      <c r="C31" s="4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C4:E9"/>
  <sheetViews>
    <sheetView workbookViewId="0">
      <selection activeCell="D9" sqref="D9"/>
    </sheetView>
  </sheetViews>
  <sheetFormatPr defaultRowHeight="15"/>
  <cols>
    <col min="3" max="3" width="9.7109375" bestFit="1" customWidth="1"/>
    <col min="4" max="4" width="26.42578125" customWidth="1"/>
    <col min="5" max="5" width="15.42578125" bestFit="1" customWidth="1"/>
  </cols>
  <sheetData>
    <row r="4" spans="3:5">
      <c r="C4" s="36">
        <v>42268</v>
      </c>
      <c r="D4" t="s">
        <v>801</v>
      </c>
    </row>
    <row r="8" spans="3:5">
      <c r="D8" t="s">
        <v>141</v>
      </c>
      <c r="E8" t="s">
        <v>805</v>
      </c>
    </row>
    <row r="9" spans="3:5">
      <c r="D9" t="s">
        <v>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2:L24"/>
  <sheetViews>
    <sheetView workbookViewId="0"/>
  </sheetViews>
  <sheetFormatPr defaultRowHeight="15"/>
  <cols>
    <col min="2" max="2" width="9.7109375" bestFit="1" customWidth="1"/>
    <col min="3" max="3" width="14.140625" bestFit="1" customWidth="1"/>
    <col min="4" max="4" width="20.85546875" customWidth="1"/>
    <col min="5" max="5" width="7.7109375" bestFit="1" customWidth="1"/>
    <col min="6" max="6" width="31.5703125" customWidth="1"/>
    <col min="8" max="8" width="16.140625" bestFit="1" customWidth="1"/>
    <col min="10" max="10" width="16.140625" bestFit="1" customWidth="1"/>
    <col min="11" max="11" width="22.5703125" bestFit="1" customWidth="1"/>
    <col min="12" max="12" width="29.7109375" bestFit="1" customWidth="1"/>
  </cols>
  <sheetData>
    <row r="2" spans="1:12">
      <c r="B2" s="36">
        <v>42247</v>
      </c>
      <c r="C2" s="15" t="s">
        <v>810</v>
      </c>
      <c r="D2" s="15" t="s">
        <v>811</v>
      </c>
      <c r="E2" s="15" t="s">
        <v>812</v>
      </c>
    </row>
    <row r="4" spans="1:12">
      <c r="B4" s="36">
        <v>42248</v>
      </c>
      <c r="C4" t="s">
        <v>813</v>
      </c>
    </row>
    <row r="7" spans="1:12">
      <c r="B7" t="s">
        <v>814</v>
      </c>
      <c r="F7" s="11">
        <v>42249</v>
      </c>
      <c r="G7" s="10" t="s">
        <v>727</v>
      </c>
      <c r="H7" s="87" t="s">
        <v>738</v>
      </c>
      <c r="I7" s="10" t="s">
        <v>23</v>
      </c>
      <c r="J7" s="87" t="s">
        <v>484</v>
      </c>
    </row>
    <row r="10" spans="1:12" ht="23.25" customHeight="1">
      <c r="B10" s="11">
        <v>42270</v>
      </c>
      <c r="C10" s="10" t="s">
        <v>727</v>
      </c>
      <c r="D10" s="89" t="s">
        <v>804</v>
      </c>
      <c r="E10" s="10" t="s">
        <v>24</v>
      </c>
      <c r="F10" s="88" t="s">
        <v>285</v>
      </c>
    </row>
    <row r="11" spans="1:12">
      <c r="D11" t="s">
        <v>815</v>
      </c>
      <c r="F11" t="s">
        <v>816</v>
      </c>
    </row>
    <row r="15" spans="1:12">
      <c r="A15" s="11">
        <v>42257</v>
      </c>
      <c r="B15" s="10" t="s">
        <v>728</v>
      </c>
      <c r="C15" s="10" t="s">
        <v>17</v>
      </c>
      <c r="D15" s="10" t="s">
        <v>24</v>
      </c>
      <c r="E15" s="10"/>
      <c r="F15" s="12">
        <v>701</v>
      </c>
      <c r="G15" s="13" t="s">
        <v>36</v>
      </c>
      <c r="H15" s="13"/>
      <c r="I15" s="17">
        <v>701</v>
      </c>
      <c r="K15">
        <v>450</v>
      </c>
      <c r="L15" t="s">
        <v>817</v>
      </c>
    </row>
    <row r="16" spans="1:12">
      <c r="A16" s="11">
        <v>42258</v>
      </c>
      <c r="B16" s="10" t="s">
        <v>729</v>
      </c>
      <c r="C16" s="10" t="s">
        <v>17</v>
      </c>
      <c r="D16" s="10" t="s">
        <v>23</v>
      </c>
      <c r="E16" s="10"/>
      <c r="F16" s="12">
        <v>396.5</v>
      </c>
      <c r="G16" s="13" t="s">
        <v>36</v>
      </c>
      <c r="H16" s="13"/>
      <c r="I16" s="17">
        <v>396.5</v>
      </c>
    </row>
    <row r="20" spans="10:12">
      <c r="J20">
        <v>1</v>
      </c>
      <c r="K20" t="s">
        <v>823</v>
      </c>
    </row>
    <row r="21" spans="10:12">
      <c r="J21">
        <v>2</v>
      </c>
      <c r="K21" t="s">
        <v>818</v>
      </c>
    </row>
    <row r="22" spans="10:12">
      <c r="J22">
        <v>3</v>
      </c>
      <c r="K22" t="s">
        <v>819</v>
      </c>
    </row>
    <row r="23" spans="10:12">
      <c r="J23">
        <v>4</v>
      </c>
      <c r="K23" t="s">
        <v>820</v>
      </c>
      <c r="L23" t="s">
        <v>821</v>
      </c>
    </row>
    <row r="24" spans="10:12">
      <c r="J24">
        <v>5</v>
      </c>
      <c r="K24" t="s">
        <v>822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FC Validation</vt:lpstr>
      <vt:lpstr>Forecast Workings</vt:lpstr>
      <vt:lpstr>Raw Data</vt:lpstr>
      <vt:lpstr>Monthly Analysis</vt:lpstr>
      <vt:lpstr>Sheet2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gkumar</dc:creator>
  <cp:lastModifiedBy>Rengaraj  M</cp:lastModifiedBy>
  <dcterms:created xsi:type="dcterms:W3CDTF">2015-06-15T14:04:39Z</dcterms:created>
  <dcterms:modified xsi:type="dcterms:W3CDTF">2016-06-08T15:26:42Z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