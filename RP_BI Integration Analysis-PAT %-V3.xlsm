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19440" windowHeight="7305"/>
  </bookViews>
  <sheets>
    <sheet name="Summary" sheetId="2" r:id="rId1"/>
    <sheet name="Raw Data" sheetId="1" state="hidden" r:id="rId2"/>
    <sheet name="Sheet1" sheetId="4" state="hidden" r:id="rId3"/>
    <sheet name="Readme" sheetId="5" r:id="rId4"/>
  </sheets>
  <definedNames>
    <definedName name="_xlnm._FilterDatabase" localSheetId="1" hidden="1">'Raw Data'!$A$4:$BT$290</definedName>
    <definedName name="_xlnm._FilterDatabase" localSheetId="0" hidden="1">Summary!$A$12:$T$165</definedName>
  </definedNames>
  <calcPr calcId="125725"/>
</workbook>
</file>

<file path=xl/calcChain.xml><?xml version="1.0" encoding="utf-8"?>
<calcChain xmlns="http://schemas.openxmlformats.org/spreadsheetml/2006/main">
  <c r="F15" i="2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4"/>
  <c r="J4"/>
  <c r="J5"/>
  <c r="J6"/>
  <c r="J7"/>
  <c r="J8"/>
  <c r="J3"/>
  <c r="BA5"/>
  <c r="BA6" s="1"/>
  <c r="BA7" s="1"/>
  <c r="BA8" s="1"/>
  <c r="BA9" s="1"/>
  <c r="BA10" s="1"/>
  <c r="BA11" s="1"/>
  <c r="BA12" s="1"/>
  <c r="BA13" s="1"/>
  <c r="BA14" s="1"/>
  <c r="BA15" s="1"/>
  <c r="BA4"/>
  <c r="BA3"/>
  <c r="BN290" i="1"/>
  <c r="BM290"/>
  <c r="BL290"/>
  <c r="BK290"/>
  <c r="BA290"/>
  <c r="AZ290"/>
  <c r="AY290"/>
  <c r="AX290"/>
  <c r="AN290"/>
  <c r="AM290"/>
  <c r="AL290"/>
  <c r="AK290"/>
  <c r="AA290"/>
  <c r="Z290"/>
  <c r="Y290"/>
  <c r="X290"/>
  <c r="N290"/>
  <c r="BN289"/>
  <c r="BM289"/>
  <c r="BL289"/>
  <c r="BK289"/>
  <c r="BA289"/>
  <c r="AZ289"/>
  <c r="AY289"/>
  <c r="AX289"/>
  <c r="AN289"/>
  <c r="AM289"/>
  <c r="AL289"/>
  <c r="AK289"/>
  <c r="AA289"/>
  <c r="Z289"/>
  <c r="Y289"/>
  <c r="X289"/>
  <c r="N289"/>
  <c r="BN288"/>
  <c r="BM288"/>
  <c r="BL288"/>
  <c r="BK288"/>
  <c r="BA288"/>
  <c r="AZ288"/>
  <c r="AY288"/>
  <c r="AX288"/>
  <c r="AN288"/>
  <c r="AM288"/>
  <c r="AL288"/>
  <c r="AK288"/>
  <c r="AA288"/>
  <c r="Z288"/>
  <c r="Y288"/>
  <c r="X288"/>
  <c r="N288"/>
  <c r="BN287"/>
  <c r="BM287"/>
  <c r="BL287"/>
  <c r="BK287"/>
  <c r="BA287"/>
  <c r="AZ287"/>
  <c r="AY287"/>
  <c r="AX287"/>
  <c r="AN287"/>
  <c r="AM287"/>
  <c r="AL287"/>
  <c r="AK287"/>
  <c r="AA287"/>
  <c r="Z287"/>
  <c r="Y287"/>
  <c r="X287"/>
  <c r="N287"/>
  <c r="BN286"/>
  <c r="BM286"/>
  <c r="BL286"/>
  <c r="BK286"/>
  <c r="BA286"/>
  <c r="AZ286"/>
  <c r="AY286"/>
  <c r="AX286"/>
  <c r="AN286"/>
  <c r="AM286"/>
  <c r="AL286"/>
  <c r="AK286"/>
  <c r="AA286"/>
  <c r="Z286"/>
  <c r="Y286"/>
  <c r="X286"/>
  <c r="N286"/>
  <c r="BN285"/>
  <c r="BM285"/>
  <c r="BL285"/>
  <c r="BK285"/>
  <c r="BA285"/>
  <c r="AZ285"/>
  <c r="AY285"/>
  <c r="AX285"/>
  <c r="AN285"/>
  <c r="AM285"/>
  <c r="AL285"/>
  <c r="AK285"/>
  <c r="AA285"/>
  <c r="Z285"/>
  <c r="Y285"/>
  <c r="X285"/>
  <c r="N285"/>
  <c r="BN284"/>
  <c r="BM284"/>
  <c r="BL284"/>
  <c r="BK284"/>
  <c r="BA284"/>
  <c r="AZ284"/>
  <c r="AY284"/>
  <c r="AX284"/>
  <c r="AN284"/>
  <c r="AM284"/>
  <c r="AL284"/>
  <c r="AK284"/>
  <c r="AA284"/>
  <c r="Z284"/>
  <c r="Y284"/>
  <c r="X284"/>
  <c r="N284"/>
  <c r="BN283"/>
  <c r="BM283"/>
  <c r="BL283"/>
  <c r="BK283"/>
  <c r="BA283"/>
  <c r="AZ283"/>
  <c r="AY283"/>
  <c r="AX283"/>
  <c r="AN283"/>
  <c r="AM283"/>
  <c r="AL283"/>
  <c r="AK283"/>
  <c r="AA283"/>
  <c r="Z283"/>
  <c r="Y283"/>
  <c r="X283"/>
  <c r="N283"/>
  <c r="BN282"/>
  <c r="BM282"/>
  <c r="BL282"/>
  <c r="BK282"/>
  <c r="BA282"/>
  <c r="AZ282"/>
  <c r="AY282"/>
  <c r="AX282"/>
  <c r="AN282"/>
  <c r="AM282"/>
  <c r="AL282"/>
  <c r="AK282"/>
  <c r="AA282"/>
  <c r="Z282"/>
  <c r="Y282"/>
  <c r="X282"/>
  <c r="N282"/>
  <c r="BN281"/>
  <c r="BM281"/>
  <c r="BL281"/>
  <c r="BK281"/>
  <c r="BA281"/>
  <c r="AZ281"/>
  <c r="AY281"/>
  <c r="AX281"/>
  <c r="AN281"/>
  <c r="AM281"/>
  <c r="AL281"/>
  <c r="AK281"/>
  <c r="AA281"/>
  <c r="Z281"/>
  <c r="Y281"/>
  <c r="X281"/>
  <c r="N281"/>
  <c r="BN280"/>
  <c r="BM280"/>
  <c r="BL280"/>
  <c r="BK280"/>
  <c r="BA280"/>
  <c r="AZ280"/>
  <c r="AY280"/>
  <c r="AX280"/>
  <c r="AN280"/>
  <c r="AM280"/>
  <c r="AL280"/>
  <c r="AK280"/>
  <c r="AA280"/>
  <c r="Z280"/>
  <c r="Y280"/>
  <c r="X280"/>
  <c r="N280"/>
  <c r="BN279"/>
  <c r="BM279"/>
  <c r="BL279"/>
  <c r="BK279"/>
  <c r="BA279"/>
  <c r="AZ279"/>
  <c r="AY279"/>
  <c r="AX279"/>
  <c r="AN279"/>
  <c r="AM279"/>
  <c r="AL279"/>
  <c r="AK279"/>
  <c r="AA279"/>
  <c r="Z279"/>
  <c r="Y279"/>
  <c r="X279"/>
  <c r="N279"/>
  <c r="BN278"/>
  <c r="BM278"/>
  <c r="BL278"/>
  <c r="BK278"/>
  <c r="BA278"/>
  <c r="AZ278"/>
  <c r="AY278"/>
  <c r="AX278"/>
  <c r="AN278"/>
  <c r="AM278"/>
  <c r="AL278"/>
  <c r="AK278"/>
  <c r="AA278"/>
  <c r="Z278"/>
  <c r="Y278"/>
  <c r="X278"/>
  <c r="N278"/>
  <c r="BN277"/>
  <c r="BM277"/>
  <c r="BL277"/>
  <c r="BK277"/>
  <c r="BA277"/>
  <c r="AZ277"/>
  <c r="AY277"/>
  <c r="AX277"/>
  <c r="AN277"/>
  <c r="AM277"/>
  <c r="AL277"/>
  <c r="AK277"/>
  <c r="AA277"/>
  <c r="Z277"/>
  <c r="Y277"/>
  <c r="X277"/>
  <c r="N277"/>
  <c r="BN276"/>
  <c r="BM276"/>
  <c r="BL276"/>
  <c r="BK276"/>
  <c r="BA276"/>
  <c r="AZ276"/>
  <c r="AY276"/>
  <c r="AX276"/>
  <c r="AN276"/>
  <c r="AM276"/>
  <c r="AL276"/>
  <c r="AK276"/>
  <c r="AA276"/>
  <c r="Z276"/>
  <c r="Y276"/>
  <c r="X276"/>
  <c r="N276"/>
  <c r="BN275"/>
  <c r="BM275"/>
  <c r="BL275"/>
  <c r="BK275"/>
  <c r="BA275"/>
  <c r="AZ275"/>
  <c r="AY275"/>
  <c r="AX275"/>
  <c r="AN275"/>
  <c r="AM275"/>
  <c r="AL275"/>
  <c r="AK275"/>
  <c r="AA275"/>
  <c r="Z275"/>
  <c r="Y275"/>
  <c r="X275"/>
  <c r="N275"/>
  <c r="BN274"/>
  <c r="BM274"/>
  <c r="BL274"/>
  <c r="BK274"/>
  <c r="BA274"/>
  <c r="AZ274"/>
  <c r="AY274"/>
  <c r="AX274"/>
  <c r="AN274"/>
  <c r="AM274"/>
  <c r="AL274"/>
  <c r="AK274"/>
  <c r="AA274"/>
  <c r="Z274"/>
  <c r="Y274"/>
  <c r="X274"/>
  <c r="N274"/>
  <c r="BN273"/>
  <c r="BM273"/>
  <c r="BL273"/>
  <c r="BK273"/>
  <c r="BA273"/>
  <c r="AZ273"/>
  <c r="AY273"/>
  <c r="AX273"/>
  <c r="AN273"/>
  <c r="AM273"/>
  <c r="AL273"/>
  <c r="AK273"/>
  <c r="AA273"/>
  <c r="Z273"/>
  <c r="Y273"/>
  <c r="X273"/>
  <c r="N273"/>
  <c r="BN272"/>
  <c r="BM272"/>
  <c r="BL272"/>
  <c r="BK272"/>
  <c r="BA272"/>
  <c r="AZ272"/>
  <c r="AY272"/>
  <c r="AX272"/>
  <c r="AN272"/>
  <c r="AM272"/>
  <c r="AL272"/>
  <c r="AK272"/>
  <c r="AA272"/>
  <c r="Z272"/>
  <c r="Y272"/>
  <c r="X272"/>
  <c r="N272"/>
  <c r="BN271"/>
  <c r="BM271"/>
  <c r="BL271"/>
  <c r="BK271"/>
  <c r="BA271"/>
  <c r="AZ271"/>
  <c r="AY271"/>
  <c r="AX271"/>
  <c r="AN271"/>
  <c r="AM271"/>
  <c r="AL271"/>
  <c r="AK271"/>
  <c r="AA271"/>
  <c r="Z271"/>
  <c r="Y271"/>
  <c r="X271"/>
  <c r="N271"/>
  <c r="BN270"/>
  <c r="BM270"/>
  <c r="BL270"/>
  <c r="BK270"/>
  <c r="BA270"/>
  <c r="AZ270"/>
  <c r="AY270"/>
  <c r="AX270"/>
  <c r="AN270"/>
  <c r="AM270"/>
  <c r="AL270"/>
  <c r="AK270"/>
  <c r="AA270"/>
  <c r="Z270"/>
  <c r="Y270"/>
  <c r="X270"/>
  <c r="N270"/>
  <c r="BN269"/>
  <c r="BM269"/>
  <c r="BL269"/>
  <c r="BK269"/>
  <c r="BA269"/>
  <c r="AZ269"/>
  <c r="AY269"/>
  <c r="AX269"/>
  <c r="AN269"/>
  <c r="AM269"/>
  <c r="AL269"/>
  <c r="AK269"/>
  <c r="AA269"/>
  <c r="Z269"/>
  <c r="Y269"/>
  <c r="X269"/>
  <c r="N269"/>
  <c r="BN268"/>
  <c r="BM268"/>
  <c r="BL268"/>
  <c r="BK268"/>
  <c r="BA268"/>
  <c r="AZ268"/>
  <c r="AY268"/>
  <c r="AX268"/>
  <c r="AN268"/>
  <c r="AM268"/>
  <c r="AL268"/>
  <c r="AK268"/>
  <c r="AA268"/>
  <c r="Z268"/>
  <c r="Y268"/>
  <c r="X268"/>
  <c r="N268"/>
  <c r="BN267"/>
  <c r="BM267"/>
  <c r="BL267"/>
  <c r="BK267"/>
  <c r="BA267"/>
  <c r="AZ267"/>
  <c r="AY267"/>
  <c r="AX267"/>
  <c r="AN267"/>
  <c r="AM267"/>
  <c r="AL267"/>
  <c r="AK267"/>
  <c r="AA267"/>
  <c r="Z267"/>
  <c r="Y267"/>
  <c r="X267"/>
  <c r="N267"/>
  <c r="BN266"/>
  <c r="BM266"/>
  <c r="BL266"/>
  <c r="BK266"/>
  <c r="BA266"/>
  <c r="AZ266"/>
  <c r="AY266"/>
  <c r="AX266"/>
  <c r="AN266"/>
  <c r="AM266"/>
  <c r="AL266"/>
  <c r="AK266"/>
  <c r="AA266"/>
  <c r="Z266"/>
  <c r="Y266"/>
  <c r="X266"/>
  <c r="N266"/>
  <c r="BN265"/>
  <c r="BM265"/>
  <c r="BL265"/>
  <c r="BK265"/>
  <c r="BA265"/>
  <c r="AZ265"/>
  <c r="AY265"/>
  <c r="AX265"/>
  <c r="AN265"/>
  <c r="AM265"/>
  <c r="AL265"/>
  <c r="AK265"/>
  <c r="AA265"/>
  <c r="Z265"/>
  <c r="Y265"/>
  <c r="X265"/>
  <c r="N265"/>
  <c r="BN264"/>
  <c r="BM264"/>
  <c r="BL264"/>
  <c r="BK264"/>
  <c r="BA264"/>
  <c r="AZ264"/>
  <c r="AY264"/>
  <c r="AX264"/>
  <c r="AN264"/>
  <c r="AM264"/>
  <c r="AL264"/>
  <c r="AK264"/>
  <c r="AA264"/>
  <c r="Z264"/>
  <c r="Y264"/>
  <c r="X264"/>
  <c r="N264"/>
  <c r="BN263"/>
  <c r="BM263"/>
  <c r="BL263"/>
  <c r="BK263"/>
  <c r="BA263"/>
  <c r="AZ263"/>
  <c r="AY263"/>
  <c r="AX263"/>
  <c r="AN263"/>
  <c r="AM263"/>
  <c r="AL263"/>
  <c r="AK263"/>
  <c r="AA263"/>
  <c r="Z263"/>
  <c r="Y263"/>
  <c r="X263"/>
  <c r="N263"/>
  <c r="BN262"/>
  <c r="BM262"/>
  <c r="BL262"/>
  <c r="BK262"/>
  <c r="BA262"/>
  <c r="AZ262"/>
  <c r="AY262"/>
  <c r="AX262"/>
  <c r="AN262"/>
  <c r="AM262"/>
  <c r="AL262"/>
  <c r="AK262"/>
  <c r="AA262"/>
  <c r="Z262"/>
  <c r="Y262"/>
  <c r="X262"/>
  <c r="N262"/>
  <c r="BN261"/>
  <c r="BM261"/>
  <c r="BL261"/>
  <c r="BK261"/>
  <c r="BA261"/>
  <c r="AZ261"/>
  <c r="AY261"/>
  <c r="AX261"/>
  <c r="AN261"/>
  <c r="AM261"/>
  <c r="AL261"/>
  <c r="AK261"/>
  <c r="AA261"/>
  <c r="Z261"/>
  <c r="Y261"/>
  <c r="X261"/>
  <c r="N261"/>
  <c r="BN260"/>
  <c r="BM260"/>
  <c r="BL260"/>
  <c r="BK260"/>
  <c r="BA260"/>
  <c r="AZ260"/>
  <c r="AY260"/>
  <c r="AX260"/>
  <c r="AN260"/>
  <c r="AM260"/>
  <c r="AL260"/>
  <c r="AK260"/>
  <c r="AA260"/>
  <c r="Z260"/>
  <c r="Y260"/>
  <c r="X260"/>
  <c r="N260"/>
  <c r="BN259"/>
  <c r="BM259"/>
  <c r="BL259"/>
  <c r="BK259"/>
  <c r="BA259"/>
  <c r="AZ259"/>
  <c r="AY259"/>
  <c r="AX259"/>
  <c r="AN259"/>
  <c r="AM259"/>
  <c r="AL259"/>
  <c r="AK259"/>
  <c r="AA259"/>
  <c r="Z259"/>
  <c r="Y259"/>
  <c r="X259"/>
  <c r="N259"/>
  <c r="BN258"/>
  <c r="BM258"/>
  <c r="BL258"/>
  <c r="BK258"/>
  <c r="BA258"/>
  <c r="AZ258"/>
  <c r="AY258"/>
  <c r="AX258"/>
  <c r="AN258"/>
  <c r="AM258"/>
  <c r="AL258"/>
  <c r="AK258"/>
  <c r="AA258"/>
  <c r="Z258"/>
  <c r="Y258"/>
  <c r="X258"/>
  <c r="N258"/>
  <c r="BN257"/>
  <c r="BM257"/>
  <c r="BL257"/>
  <c r="BK257"/>
  <c r="BA257"/>
  <c r="AZ257"/>
  <c r="AY257"/>
  <c r="AX257"/>
  <c r="AN257"/>
  <c r="AM257"/>
  <c r="AL257"/>
  <c r="AK257"/>
  <c r="AA257"/>
  <c r="Z257"/>
  <c r="Y257"/>
  <c r="X257"/>
  <c r="N257"/>
  <c r="BN256"/>
  <c r="BM256"/>
  <c r="BL256"/>
  <c r="BK256"/>
  <c r="BA256"/>
  <c r="AZ256"/>
  <c r="AY256"/>
  <c r="AX256"/>
  <c r="AN256"/>
  <c r="AM256"/>
  <c r="AL256"/>
  <c r="AK256"/>
  <c r="AA256"/>
  <c r="Z256"/>
  <c r="Y256"/>
  <c r="X256"/>
  <c r="N256"/>
  <c r="BN255"/>
  <c r="BM255"/>
  <c r="BL255"/>
  <c r="BK255"/>
  <c r="BA255"/>
  <c r="AZ255"/>
  <c r="AY255"/>
  <c r="AX255"/>
  <c r="AN255"/>
  <c r="AM255"/>
  <c r="AL255"/>
  <c r="AK255"/>
  <c r="AA255"/>
  <c r="Z255"/>
  <c r="Y255"/>
  <c r="X255"/>
  <c r="N255"/>
  <c r="BN254"/>
  <c r="BM254"/>
  <c r="BL254"/>
  <c r="BK254"/>
  <c r="BA254"/>
  <c r="AZ254"/>
  <c r="AY254"/>
  <c r="AX254"/>
  <c r="AN254"/>
  <c r="AM254"/>
  <c r="AL254"/>
  <c r="AK254"/>
  <c r="AA254"/>
  <c r="Z254"/>
  <c r="Y254"/>
  <c r="X254"/>
  <c r="N254"/>
  <c r="N253"/>
  <c r="BN252"/>
  <c r="BM252"/>
  <c r="BL252"/>
  <c r="BK252"/>
  <c r="BA252"/>
  <c r="AZ252"/>
  <c r="AY252"/>
  <c r="AX252"/>
  <c r="AN252"/>
  <c r="AM252"/>
  <c r="AL252"/>
  <c r="AK252"/>
  <c r="AA252"/>
  <c r="Z252"/>
  <c r="Y252"/>
  <c r="X252"/>
  <c r="N252"/>
  <c r="BN251"/>
  <c r="BM251"/>
  <c r="BL251"/>
  <c r="BK251"/>
  <c r="BA251"/>
  <c r="AZ251"/>
  <c r="AY251"/>
  <c r="AX251"/>
  <c r="AN251"/>
  <c r="AM251"/>
  <c r="AL251"/>
  <c r="AK251"/>
  <c r="AA251"/>
  <c r="Z251"/>
  <c r="Y251"/>
  <c r="X251"/>
  <c r="N251"/>
  <c r="BN250"/>
  <c r="BM250"/>
  <c r="BL250"/>
  <c r="BK250"/>
  <c r="BA250"/>
  <c r="AZ250"/>
  <c r="AY250"/>
  <c r="AX250"/>
  <c r="AN250"/>
  <c r="AM250"/>
  <c r="AL250"/>
  <c r="AK250"/>
  <c r="AA250"/>
  <c r="Z250"/>
  <c r="Y250"/>
  <c r="X250"/>
  <c r="N250"/>
  <c r="BN249"/>
  <c r="BM249"/>
  <c r="BL249"/>
  <c r="BK249"/>
  <c r="BA249"/>
  <c r="AZ249"/>
  <c r="AY249"/>
  <c r="AX249"/>
  <c r="AN249"/>
  <c r="AM249"/>
  <c r="AL249"/>
  <c r="AK249"/>
  <c r="AA249"/>
  <c r="Z249"/>
  <c r="Y249"/>
  <c r="X249"/>
  <c r="N249"/>
  <c r="BN248"/>
  <c r="BM248"/>
  <c r="BL248"/>
  <c r="BK248"/>
  <c r="BA248"/>
  <c r="AZ248"/>
  <c r="AY248"/>
  <c r="AX248"/>
  <c r="AN248"/>
  <c r="AM248"/>
  <c r="AL248"/>
  <c r="AK248"/>
  <c r="AA248"/>
  <c r="Z248"/>
  <c r="Y248"/>
  <c r="X248"/>
  <c r="N248"/>
  <c r="BN247"/>
  <c r="BM247"/>
  <c r="BL247"/>
  <c r="BK247"/>
  <c r="BA247"/>
  <c r="AZ247"/>
  <c r="AY247"/>
  <c r="AX247"/>
  <c r="AN247"/>
  <c r="AM247"/>
  <c r="AL247"/>
  <c r="AK247"/>
  <c r="AA247"/>
  <c r="Z247"/>
  <c r="Y247"/>
  <c r="X247"/>
  <c r="N247"/>
  <c r="BN246"/>
  <c r="BM246"/>
  <c r="BL246"/>
  <c r="BK246"/>
  <c r="BA246"/>
  <c r="AZ246"/>
  <c r="AY246"/>
  <c r="AX246"/>
  <c r="AN246"/>
  <c r="AM246"/>
  <c r="AL246"/>
  <c r="AK246"/>
  <c r="AA246"/>
  <c r="Z246"/>
  <c r="Y246"/>
  <c r="X246"/>
  <c r="N246"/>
  <c r="BN245"/>
  <c r="BM245"/>
  <c r="BL245"/>
  <c r="BK245"/>
  <c r="BA245"/>
  <c r="AZ245"/>
  <c r="AY245"/>
  <c r="AX245"/>
  <c r="AN245"/>
  <c r="AM245"/>
  <c r="AL245"/>
  <c r="AK245"/>
  <c r="AA245"/>
  <c r="Z245"/>
  <c r="Y245"/>
  <c r="X245"/>
  <c r="N245"/>
  <c r="BN244"/>
  <c r="BM244"/>
  <c r="BL244"/>
  <c r="BK244"/>
  <c r="BA244"/>
  <c r="AZ244"/>
  <c r="AY244"/>
  <c r="AX244"/>
  <c r="AN244"/>
  <c r="AM244"/>
  <c r="AL244"/>
  <c r="AK244"/>
  <c r="AA244"/>
  <c r="Z244"/>
  <c r="Y244"/>
  <c r="X244"/>
  <c r="N244"/>
  <c r="BN243"/>
  <c r="BM243"/>
  <c r="BL243"/>
  <c r="BK243"/>
  <c r="BA243"/>
  <c r="AZ243"/>
  <c r="AY243"/>
  <c r="AX243"/>
  <c r="AN243"/>
  <c r="AM243"/>
  <c r="AL243"/>
  <c r="AK243"/>
  <c r="AA243"/>
  <c r="Z243"/>
  <c r="Y243"/>
  <c r="X243"/>
  <c r="N243"/>
  <c r="BN242"/>
  <c r="BM242"/>
  <c r="BL242"/>
  <c r="BK242"/>
  <c r="BA242"/>
  <c r="AZ242"/>
  <c r="AY242"/>
  <c r="AX242"/>
  <c r="AN242"/>
  <c r="AM242"/>
  <c r="AL242"/>
  <c r="AK242"/>
  <c r="AA242"/>
  <c r="Z242"/>
  <c r="Y242"/>
  <c r="X242"/>
  <c r="N242"/>
  <c r="BN241"/>
  <c r="BM241"/>
  <c r="BL241"/>
  <c r="BK241"/>
  <c r="BA241"/>
  <c r="AZ241"/>
  <c r="AY241"/>
  <c r="AX241"/>
  <c r="AN241"/>
  <c r="AM241"/>
  <c r="AL241"/>
  <c r="AK241"/>
  <c r="AA241"/>
  <c r="Z241"/>
  <c r="Y241"/>
  <c r="X241"/>
  <c r="N241"/>
  <c r="BN240"/>
  <c r="BM240"/>
  <c r="BL240"/>
  <c r="BK240"/>
  <c r="BA240"/>
  <c r="AZ240"/>
  <c r="AY240"/>
  <c r="AX240"/>
  <c r="AN240"/>
  <c r="AM240"/>
  <c r="AL240"/>
  <c r="AK240"/>
  <c r="AA240"/>
  <c r="Z240"/>
  <c r="Y240"/>
  <c r="X240"/>
  <c r="N240"/>
  <c r="BN239"/>
  <c r="BM239"/>
  <c r="BL239"/>
  <c r="BK239"/>
  <c r="BA239"/>
  <c r="AZ239"/>
  <c r="AY239"/>
  <c r="AX239"/>
  <c r="AN239"/>
  <c r="AM239"/>
  <c r="AL239"/>
  <c r="AK239"/>
  <c r="AA239"/>
  <c r="Z239"/>
  <c r="Y239"/>
  <c r="X239"/>
  <c r="N239"/>
  <c r="BN238"/>
  <c r="BM238"/>
  <c r="BL238"/>
  <c r="BK238"/>
  <c r="BA238"/>
  <c r="AZ238"/>
  <c r="AY238"/>
  <c r="AX238"/>
  <c r="AN238"/>
  <c r="AM238"/>
  <c r="AL238"/>
  <c r="AK238"/>
  <c r="AA238"/>
  <c r="Z238"/>
  <c r="Y238"/>
  <c r="X238"/>
  <c r="N238"/>
  <c r="BN237"/>
  <c r="BM237"/>
  <c r="BL237"/>
  <c r="BK237"/>
  <c r="BA237"/>
  <c r="AZ237"/>
  <c r="AY237"/>
  <c r="AX237"/>
  <c r="AN237"/>
  <c r="AM237"/>
  <c r="AL237"/>
  <c r="AK237"/>
  <c r="AA237"/>
  <c r="Z237"/>
  <c r="Y237"/>
  <c r="X237"/>
  <c r="N237"/>
  <c r="BN236"/>
  <c r="BM236"/>
  <c r="BL236"/>
  <c r="BK236"/>
  <c r="BA236"/>
  <c r="AZ236"/>
  <c r="AY236"/>
  <c r="AX236"/>
  <c r="AN236"/>
  <c r="AM236"/>
  <c r="AL236"/>
  <c r="AK236"/>
  <c r="AA236"/>
  <c r="Z236"/>
  <c r="Y236"/>
  <c r="X236"/>
  <c r="N236"/>
  <c r="BN235"/>
  <c r="BM235"/>
  <c r="BL235"/>
  <c r="BK235"/>
  <c r="BA235"/>
  <c r="AZ235"/>
  <c r="AY235"/>
  <c r="AX235"/>
  <c r="AN235"/>
  <c r="AM235"/>
  <c r="AL235"/>
  <c r="AK235"/>
  <c r="AA235"/>
  <c r="Z235"/>
  <c r="Y235"/>
  <c r="X235"/>
  <c r="N235"/>
  <c r="BN234"/>
  <c r="BM234"/>
  <c r="BL234"/>
  <c r="BK234"/>
  <c r="BA234"/>
  <c r="AZ234"/>
  <c r="AY234"/>
  <c r="AX234"/>
  <c r="AN234"/>
  <c r="AM234"/>
  <c r="AL234"/>
  <c r="AK234"/>
  <c r="AA234"/>
  <c r="Z234"/>
  <c r="Y234"/>
  <c r="X234"/>
  <c r="N234"/>
  <c r="BN233"/>
  <c r="BM233"/>
  <c r="BL233"/>
  <c r="BK233"/>
  <c r="BA233"/>
  <c r="AZ233"/>
  <c r="AY233"/>
  <c r="AX233"/>
  <c r="AN233"/>
  <c r="AM233"/>
  <c r="AL233"/>
  <c r="AK233"/>
  <c r="AA233"/>
  <c r="Z233"/>
  <c r="Y233"/>
  <c r="X233"/>
  <c r="N233"/>
  <c r="BN232"/>
  <c r="BM232"/>
  <c r="BL232"/>
  <c r="BK232"/>
  <c r="BA232"/>
  <c r="AZ232"/>
  <c r="AY232"/>
  <c r="AX232"/>
  <c r="AN232"/>
  <c r="AM232"/>
  <c r="AL232"/>
  <c r="AK232"/>
  <c r="AA232"/>
  <c r="Z232"/>
  <c r="Y232"/>
  <c r="X232"/>
  <c r="N232"/>
  <c r="BN231"/>
  <c r="BM231"/>
  <c r="BL231"/>
  <c r="BK231"/>
  <c r="BA231"/>
  <c r="AZ231"/>
  <c r="AY231"/>
  <c r="AX231"/>
  <c r="AN231"/>
  <c r="AM231"/>
  <c r="AL231"/>
  <c r="AK231"/>
  <c r="AA231"/>
  <c r="Z231"/>
  <c r="Y231"/>
  <c r="X231"/>
  <c r="N231"/>
  <c r="BN230"/>
  <c r="BM230"/>
  <c r="BL230"/>
  <c r="BK230"/>
  <c r="BA230"/>
  <c r="AZ230"/>
  <c r="AY230"/>
  <c r="AX230"/>
  <c r="AN230"/>
  <c r="AM230"/>
  <c r="AL230"/>
  <c r="AK230"/>
  <c r="AA230"/>
  <c r="Z230"/>
  <c r="Y230"/>
  <c r="X230"/>
  <c r="N230"/>
  <c r="BN229"/>
  <c r="BM229"/>
  <c r="BL229"/>
  <c r="BK229"/>
  <c r="BA229"/>
  <c r="AZ229"/>
  <c r="AY229"/>
  <c r="AX229"/>
  <c r="AN229"/>
  <c r="AM229"/>
  <c r="AL229"/>
  <c r="AK229"/>
  <c r="AA229"/>
  <c r="Z229"/>
  <c r="Y229"/>
  <c r="X229"/>
  <c r="N229"/>
  <c r="BN228"/>
  <c r="BM228"/>
  <c r="BL228"/>
  <c r="BK228"/>
  <c r="BA228"/>
  <c r="AZ228"/>
  <c r="AY228"/>
  <c r="AX228"/>
  <c r="AN228"/>
  <c r="AM228"/>
  <c r="AL228"/>
  <c r="AK228"/>
  <c r="AA228"/>
  <c r="Z228"/>
  <c r="Y228"/>
  <c r="X228"/>
  <c r="N228"/>
  <c r="B228" s="1"/>
  <c r="BN227"/>
  <c r="BM227"/>
  <c r="BL227"/>
  <c r="BK227"/>
  <c r="BA227"/>
  <c r="AZ227"/>
  <c r="AY227"/>
  <c r="AX227"/>
  <c r="AN227"/>
  <c r="AM227"/>
  <c r="AL227"/>
  <c r="AK227"/>
  <c r="AA227"/>
  <c r="Z227"/>
  <c r="Y227"/>
  <c r="X227"/>
  <c r="N227"/>
  <c r="BN226"/>
  <c r="BM226"/>
  <c r="BL226"/>
  <c r="BK226"/>
  <c r="BA226"/>
  <c r="AZ226"/>
  <c r="AY226"/>
  <c r="AX226"/>
  <c r="AN226"/>
  <c r="AM226"/>
  <c r="AL226"/>
  <c r="AK226"/>
  <c r="AA226"/>
  <c r="Z226"/>
  <c r="Y226"/>
  <c r="X226"/>
  <c r="N226"/>
  <c r="BN225"/>
  <c r="BM225"/>
  <c r="BL225"/>
  <c r="BK225"/>
  <c r="BA225"/>
  <c r="AZ225"/>
  <c r="AY225"/>
  <c r="AX225"/>
  <c r="AN225"/>
  <c r="AM225"/>
  <c r="AL225"/>
  <c r="AK225"/>
  <c r="AA225"/>
  <c r="Z225"/>
  <c r="Y225"/>
  <c r="X225"/>
  <c r="N225"/>
  <c r="BN224"/>
  <c r="BM224"/>
  <c r="BL224"/>
  <c r="BK224"/>
  <c r="BA224"/>
  <c r="AZ224"/>
  <c r="AY224"/>
  <c r="AX224"/>
  <c r="AN224"/>
  <c r="AM224"/>
  <c r="AL224"/>
  <c r="AK224"/>
  <c r="AA224"/>
  <c r="Z224"/>
  <c r="Y224"/>
  <c r="X224"/>
  <c r="N224"/>
  <c r="B224" s="1"/>
  <c r="BN223"/>
  <c r="BM223"/>
  <c r="BL223"/>
  <c r="BK223"/>
  <c r="BA223"/>
  <c r="AZ223"/>
  <c r="AY223"/>
  <c r="AX223"/>
  <c r="AN223"/>
  <c r="AM223"/>
  <c r="AL223"/>
  <c r="AK223"/>
  <c r="AA223"/>
  <c r="Z223"/>
  <c r="Y223"/>
  <c r="X223"/>
  <c r="N223"/>
  <c r="BN222"/>
  <c r="BM222"/>
  <c r="BL222"/>
  <c r="BK222"/>
  <c r="BA222"/>
  <c r="AZ222"/>
  <c r="AY222"/>
  <c r="AX222"/>
  <c r="AN222"/>
  <c r="AM222"/>
  <c r="AL222"/>
  <c r="AK222"/>
  <c r="AA222"/>
  <c r="Z222"/>
  <c r="Y222"/>
  <c r="X222"/>
  <c r="N222"/>
  <c r="BN221"/>
  <c r="BM221"/>
  <c r="BL221"/>
  <c r="BK221"/>
  <c r="BA221"/>
  <c r="AZ221"/>
  <c r="AY221"/>
  <c r="AX221"/>
  <c r="AN221"/>
  <c r="AM221"/>
  <c r="AL221"/>
  <c r="AK221"/>
  <c r="AA221"/>
  <c r="Z221"/>
  <c r="Y221"/>
  <c r="X221"/>
  <c r="N221"/>
  <c r="BN220"/>
  <c r="BM220"/>
  <c r="BL220"/>
  <c r="BK220"/>
  <c r="BA220"/>
  <c r="AZ220"/>
  <c r="AY220"/>
  <c r="AX220"/>
  <c r="AN220"/>
  <c r="AM220"/>
  <c r="AL220"/>
  <c r="AK220"/>
  <c r="AA220"/>
  <c r="Z220"/>
  <c r="Y220"/>
  <c r="X220"/>
  <c r="N220"/>
  <c r="BN219"/>
  <c r="BM219"/>
  <c r="BL219"/>
  <c r="BK219"/>
  <c r="BA219"/>
  <c r="AZ219"/>
  <c r="AY219"/>
  <c r="AX219"/>
  <c r="AN219"/>
  <c r="AM219"/>
  <c r="AL219"/>
  <c r="AK219"/>
  <c r="AA219"/>
  <c r="Z219"/>
  <c r="Y219"/>
  <c r="X219"/>
  <c r="N219"/>
  <c r="BN218"/>
  <c r="BM218"/>
  <c r="BL218"/>
  <c r="BK218"/>
  <c r="BA218"/>
  <c r="AZ218"/>
  <c r="AY218"/>
  <c r="AX218"/>
  <c r="AN218"/>
  <c r="AM218"/>
  <c r="AL218"/>
  <c r="AK218"/>
  <c r="AA218"/>
  <c r="Z218"/>
  <c r="Y218"/>
  <c r="X218"/>
  <c r="N218"/>
  <c r="BN217"/>
  <c r="BM217"/>
  <c r="BL217"/>
  <c r="BK217"/>
  <c r="BA217"/>
  <c r="AZ217"/>
  <c r="AY217"/>
  <c r="AX217"/>
  <c r="AN217"/>
  <c r="AM217"/>
  <c r="AL217"/>
  <c r="AK217"/>
  <c r="AA217"/>
  <c r="Z217"/>
  <c r="Y217"/>
  <c r="X217"/>
  <c r="N217"/>
  <c r="BN216"/>
  <c r="BM216"/>
  <c r="BL216"/>
  <c r="BK216"/>
  <c r="BA216"/>
  <c r="AZ216"/>
  <c r="AY216"/>
  <c r="AX216"/>
  <c r="AN216"/>
  <c r="AM216"/>
  <c r="AL216"/>
  <c r="AK216"/>
  <c r="AA216"/>
  <c r="Z216"/>
  <c r="Y216"/>
  <c r="X216"/>
  <c r="N216"/>
  <c r="B216" s="1"/>
  <c r="BN215"/>
  <c r="BM215"/>
  <c r="BL215"/>
  <c r="BK215"/>
  <c r="BA215"/>
  <c r="AZ215"/>
  <c r="AY215"/>
  <c r="AX215"/>
  <c r="AN215"/>
  <c r="AM215"/>
  <c r="AL215"/>
  <c r="AK215"/>
  <c r="AA215"/>
  <c r="Z215"/>
  <c r="Y215"/>
  <c r="X215"/>
  <c r="N215"/>
  <c r="BN214"/>
  <c r="BM214"/>
  <c r="BL214"/>
  <c r="BK214"/>
  <c r="BA214"/>
  <c r="AZ214"/>
  <c r="AY214"/>
  <c r="AX214"/>
  <c r="AN214"/>
  <c r="AM214"/>
  <c r="AL214"/>
  <c r="AK214"/>
  <c r="AA214"/>
  <c r="Z214"/>
  <c r="Y214"/>
  <c r="X214"/>
  <c r="N214"/>
  <c r="BN213"/>
  <c r="BM213"/>
  <c r="BL213"/>
  <c r="BK213"/>
  <c r="BA213"/>
  <c r="AZ213"/>
  <c r="AY213"/>
  <c r="AX213"/>
  <c r="AN213"/>
  <c r="AM213"/>
  <c r="AL213"/>
  <c r="AK213"/>
  <c r="AA213"/>
  <c r="Z213"/>
  <c r="Y213"/>
  <c r="X213"/>
  <c r="N213"/>
  <c r="BN212"/>
  <c r="BM212"/>
  <c r="BL212"/>
  <c r="BK212"/>
  <c r="BA212"/>
  <c r="AZ212"/>
  <c r="AY212"/>
  <c r="AX212"/>
  <c r="AN212"/>
  <c r="AM212"/>
  <c r="AL212"/>
  <c r="AK212"/>
  <c r="AA212"/>
  <c r="Z212"/>
  <c r="Y212"/>
  <c r="X212"/>
  <c r="N212"/>
  <c r="B212" s="1"/>
  <c r="BN211"/>
  <c r="BM211"/>
  <c r="BL211"/>
  <c r="BK211"/>
  <c r="BA211"/>
  <c r="AZ211"/>
  <c r="AY211"/>
  <c r="AX211"/>
  <c r="AN211"/>
  <c r="AM211"/>
  <c r="AL211"/>
  <c r="AK211"/>
  <c r="AA211"/>
  <c r="Z211"/>
  <c r="Y211"/>
  <c r="X211"/>
  <c r="N211"/>
  <c r="BN210"/>
  <c r="BM210"/>
  <c r="BL210"/>
  <c r="BK210"/>
  <c r="BA210"/>
  <c r="AZ210"/>
  <c r="AY210"/>
  <c r="AX210"/>
  <c r="AN210"/>
  <c r="AM210"/>
  <c r="AL210"/>
  <c r="AK210"/>
  <c r="AA210"/>
  <c r="Z210"/>
  <c r="Y210"/>
  <c r="X210"/>
  <c r="N210"/>
  <c r="BN209"/>
  <c r="BM209"/>
  <c r="BL209"/>
  <c r="BK209"/>
  <c r="BA209"/>
  <c r="AZ209"/>
  <c r="AY209"/>
  <c r="AX209"/>
  <c r="AN209"/>
  <c r="AM209"/>
  <c r="AL209"/>
  <c r="AK209"/>
  <c r="AA209"/>
  <c r="Z209"/>
  <c r="Y209"/>
  <c r="X209"/>
  <c r="N209"/>
  <c r="BN208"/>
  <c r="BM208"/>
  <c r="BL208"/>
  <c r="BK208"/>
  <c r="BA208"/>
  <c r="AZ208"/>
  <c r="AY208"/>
  <c r="AX208"/>
  <c r="AN208"/>
  <c r="AM208"/>
  <c r="AL208"/>
  <c r="AK208"/>
  <c r="AA208"/>
  <c r="Z208"/>
  <c r="Y208"/>
  <c r="X208"/>
  <c r="N208"/>
  <c r="B208" s="1"/>
  <c r="BN207"/>
  <c r="BM207"/>
  <c r="BL207"/>
  <c r="BK207"/>
  <c r="BA207"/>
  <c r="AZ207"/>
  <c r="AY207"/>
  <c r="AX207"/>
  <c r="AN207"/>
  <c r="AM207"/>
  <c r="AL207"/>
  <c r="AK207"/>
  <c r="AA207"/>
  <c r="Z207"/>
  <c r="Y207"/>
  <c r="X207"/>
  <c r="N207"/>
  <c r="BN206"/>
  <c r="BM206"/>
  <c r="BL206"/>
  <c r="BK206"/>
  <c r="BA206"/>
  <c r="AZ206"/>
  <c r="AY206"/>
  <c r="AX206"/>
  <c r="AN206"/>
  <c r="AM206"/>
  <c r="AL206"/>
  <c r="AK206"/>
  <c r="AA206"/>
  <c r="Z206"/>
  <c r="Y206"/>
  <c r="X206"/>
  <c r="N206"/>
  <c r="BN205"/>
  <c r="BM205"/>
  <c r="BL205"/>
  <c r="BK205"/>
  <c r="BA205"/>
  <c r="AZ205"/>
  <c r="AY205"/>
  <c r="AX205"/>
  <c r="AN205"/>
  <c r="AM205"/>
  <c r="AL205"/>
  <c r="AK205"/>
  <c r="AA205"/>
  <c r="Z205"/>
  <c r="Y205"/>
  <c r="X205"/>
  <c r="N205"/>
  <c r="BN204"/>
  <c r="BM204"/>
  <c r="BL204"/>
  <c r="BK204"/>
  <c r="BA204"/>
  <c r="AZ204"/>
  <c r="AY204"/>
  <c r="AX204"/>
  <c r="AN204"/>
  <c r="AM204"/>
  <c r="AL204"/>
  <c r="AK204"/>
  <c r="AA204"/>
  <c r="Z204"/>
  <c r="Y204"/>
  <c r="X204"/>
  <c r="N204"/>
  <c r="BN203"/>
  <c r="BM203"/>
  <c r="BL203"/>
  <c r="BK203"/>
  <c r="BA203"/>
  <c r="AZ203"/>
  <c r="AY203"/>
  <c r="AX203"/>
  <c r="AN203"/>
  <c r="AM203"/>
  <c r="AL203"/>
  <c r="AK203"/>
  <c r="AA203"/>
  <c r="Z203"/>
  <c r="Y203"/>
  <c r="X203"/>
  <c r="N203"/>
  <c r="BN202"/>
  <c r="BM202"/>
  <c r="BL202"/>
  <c r="BK202"/>
  <c r="BA202"/>
  <c r="AZ202"/>
  <c r="AY202"/>
  <c r="AX202"/>
  <c r="AN202"/>
  <c r="AM202"/>
  <c r="AL202"/>
  <c r="AK202"/>
  <c r="AA202"/>
  <c r="Z202"/>
  <c r="Y202"/>
  <c r="X202"/>
  <c r="N202"/>
  <c r="BN201"/>
  <c r="BM201"/>
  <c r="BL201"/>
  <c r="BK201"/>
  <c r="BA201"/>
  <c r="AZ201"/>
  <c r="AY201"/>
  <c r="AX201"/>
  <c r="AN201"/>
  <c r="AM201"/>
  <c r="AL201"/>
  <c r="AK201"/>
  <c r="AA201"/>
  <c r="Z201"/>
  <c r="Y201"/>
  <c r="X201"/>
  <c r="N201"/>
  <c r="BN200"/>
  <c r="BM200"/>
  <c r="BL200"/>
  <c r="BK200"/>
  <c r="BA200"/>
  <c r="AZ200"/>
  <c r="AY200"/>
  <c r="AX200"/>
  <c r="AN200"/>
  <c r="AM200"/>
  <c r="AL200"/>
  <c r="AK200"/>
  <c r="AA200"/>
  <c r="Z200"/>
  <c r="Y200"/>
  <c r="X200"/>
  <c r="N200"/>
  <c r="B200" s="1"/>
  <c r="BN199"/>
  <c r="BM199"/>
  <c r="BL199"/>
  <c r="BK199"/>
  <c r="BA199"/>
  <c r="AZ199"/>
  <c r="AY199"/>
  <c r="AX199"/>
  <c r="AN199"/>
  <c r="AM199"/>
  <c r="AL199"/>
  <c r="AK199"/>
  <c r="AA199"/>
  <c r="Z199"/>
  <c r="Y199"/>
  <c r="X199"/>
  <c r="N199"/>
  <c r="BN198"/>
  <c r="BM198"/>
  <c r="BL198"/>
  <c r="BK198"/>
  <c r="BA198"/>
  <c r="AZ198"/>
  <c r="AY198"/>
  <c r="AX198"/>
  <c r="AN198"/>
  <c r="AM198"/>
  <c r="AL198"/>
  <c r="AK198"/>
  <c r="AA198"/>
  <c r="Z198"/>
  <c r="Y198"/>
  <c r="X198"/>
  <c r="N198"/>
  <c r="BN197"/>
  <c r="BM197"/>
  <c r="BL197"/>
  <c r="BK197"/>
  <c r="BA197"/>
  <c r="AZ197"/>
  <c r="AY197"/>
  <c r="AX197"/>
  <c r="AN197"/>
  <c r="AM197"/>
  <c r="AL197"/>
  <c r="AK197"/>
  <c r="AA197"/>
  <c r="Z197"/>
  <c r="Y197"/>
  <c r="X197"/>
  <c r="N197"/>
  <c r="BN196"/>
  <c r="BM196"/>
  <c r="BL196"/>
  <c r="BK196"/>
  <c r="BA196"/>
  <c r="AZ196"/>
  <c r="AY196"/>
  <c r="AX196"/>
  <c r="AN196"/>
  <c r="AM196"/>
  <c r="AL196"/>
  <c r="AK196"/>
  <c r="AA196"/>
  <c r="Z196"/>
  <c r="Y196"/>
  <c r="X196"/>
  <c r="N196"/>
  <c r="B196" s="1"/>
  <c r="BN195"/>
  <c r="BM195"/>
  <c r="BL195"/>
  <c r="BK195"/>
  <c r="BA195"/>
  <c r="AZ195"/>
  <c r="AY195"/>
  <c r="AX195"/>
  <c r="AN195"/>
  <c r="AM195"/>
  <c r="AL195"/>
  <c r="AK195"/>
  <c r="AA195"/>
  <c r="Z195"/>
  <c r="Y195"/>
  <c r="X195"/>
  <c r="N195"/>
  <c r="BN194"/>
  <c r="BM194"/>
  <c r="BL194"/>
  <c r="BK194"/>
  <c r="BA194"/>
  <c r="AZ194"/>
  <c r="AY194"/>
  <c r="AX194"/>
  <c r="AN194"/>
  <c r="AM194"/>
  <c r="AL194"/>
  <c r="AK194"/>
  <c r="AA194"/>
  <c r="Z194"/>
  <c r="Y194"/>
  <c r="X194"/>
  <c r="N194"/>
  <c r="BN193"/>
  <c r="BM193"/>
  <c r="BL193"/>
  <c r="BK193"/>
  <c r="BA193"/>
  <c r="AZ193"/>
  <c r="AY193"/>
  <c r="AX193"/>
  <c r="AN193"/>
  <c r="AM193"/>
  <c r="AL193"/>
  <c r="AK193"/>
  <c r="AA193"/>
  <c r="Z193"/>
  <c r="Y193"/>
  <c r="X193"/>
  <c r="N193"/>
  <c r="BN192"/>
  <c r="BM192"/>
  <c r="BL192"/>
  <c r="BK192"/>
  <c r="BA192"/>
  <c r="AZ192"/>
  <c r="AY192"/>
  <c r="AX192"/>
  <c r="AN192"/>
  <c r="AM192"/>
  <c r="AL192"/>
  <c r="AK192"/>
  <c r="AA192"/>
  <c r="Z192"/>
  <c r="Y192"/>
  <c r="X192"/>
  <c r="N192"/>
  <c r="B192" s="1"/>
  <c r="BN191"/>
  <c r="BM191"/>
  <c r="BL191"/>
  <c r="BK191"/>
  <c r="BA191"/>
  <c r="AZ191"/>
  <c r="AY191"/>
  <c r="AX191"/>
  <c r="AN191"/>
  <c r="AM191"/>
  <c r="AL191"/>
  <c r="AK191"/>
  <c r="AA191"/>
  <c r="Z191"/>
  <c r="Y191"/>
  <c r="X191"/>
  <c r="N191"/>
  <c r="BN190"/>
  <c r="BM190"/>
  <c r="BL190"/>
  <c r="BK190"/>
  <c r="BA190"/>
  <c r="AZ190"/>
  <c r="AY190"/>
  <c r="AX190"/>
  <c r="AN190"/>
  <c r="AM190"/>
  <c r="AL190"/>
  <c r="AK190"/>
  <c r="AA190"/>
  <c r="Z190"/>
  <c r="Y190"/>
  <c r="X190"/>
  <c r="N190"/>
  <c r="BN189"/>
  <c r="BM189"/>
  <c r="BL189"/>
  <c r="BK189"/>
  <c r="BA189"/>
  <c r="AZ189"/>
  <c r="AY189"/>
  <c r="AX189"/>
  <c r="AN189"/>
  <c r="AM189"/>
  <c r="AL189"/>
  <c r="AK189"/>
  <c r="AA189"/>
  <c r="Z189"/>
  <c r="Y189"/>
  <c r="X189"/>
  <c r="N189"/>
  <c r="BN188"/>
  <c r="BM188"/>
  <c r="BL188"/>
  <c r="BK188"/>
  <c r="BA188"/>
  <c r="AZ188"/>
  <c r="AY188"/>
  <c r="AX188"/>
  <c r="AN188"/>
  <c r="AM188"/>
  <c r="AL188"/>
  <c r="AK188"/>
  <c r="AA188"/>
  <c r="Z188"/>
  <c r="Y188"/>
  <c r="X188"/>
  <c r="N188"/>
  <c r="BN187"/>
  <c r="BM187"/>
  <c r="BL187"/>
  <c r="BK187"/>
  <c r="BA187"/>
  <c r="AZ187"/>
  <c r="AY187"/>
  <c r="AX187"/>
  <c r="AN187"/>
  <c r="AM187"/>
  <c r="AL187"/>
  <c r="AK187"/>
  <c r="AA187"/>
  <c r="Z187"/>
  <c r="Y187"/>
  <c r="X187"/>
  <c r="N187"/>
  <c r="N186"/>
  <c r="N185"/>
  <c r="BN184"/>
  <c r="BM184"/>
  <c r="BL184"/>
  <c r="BK184"/>
  <c r="BA184"/>
  <c r="AZ184"/>
  <c r="AY184"/>
  <c r="AX184"/>
  <c r="AN184"/>
  <c r="AM184"/>
  <c r="AL184"/>
  <c r="AK184"/>
  <c r="AA184"/>
  <c r="Z184"/>
  <c r="Y184"/>
  <c r="X184"/>
  <c r="N184"/>
  <c r="B184" s="1"/>
  <c r="BN183"/>
  <c r="BM183"/>
  <c r="BL183"/>
  <c r="BA183"/>
  <c r="AZ183"/>
  <c r="AY183"/>
  <c r="AN183"/>
  <c r="AM183"/>
  <c r="AL183"/>
  <c r="AA183"/>
  <c r="Z183"/>
  <c r="Y183"/>
  <c r="N183"/>
  <c r="N182"/>
  <c r="N181"/>
  <c r="N180"/>
  <c r="BN179"/>
  <c r="BM179"/>
  <c r="BL179"/>
  <c r="BK179"/>
  <c r="BA179"/>
  <c r="AZ179"/>
  <c r="AY179"/>
  <c r="AX179"/>
  <c r="AN179"/>
  <c r="AM179"/>
  <c r="AL179"/>
  <c r="AK179"/>
  <c r="AA179"/>
  <c r="Z179"/>
  <c r="Y179"/>
  <c r="X179"/>
  <c r="N179"/>
  <c r="N178"/>
  <c r="N177"/>
  <c r="N176"/>
  <c r="B176" s="1"/>
  <c r="BN175"/>
  <c r="BM175"/>
  <c r="BL175"/>
  <c r="BK175"/>
  <c r="BA175"/>
  <c r="AZ175"/>
  <c r="AY175"/>
  <c r="AX175"/>
  <c r="AN175"/>
  <c r="AM175"/>
  <c r="AL175"/>
  <c r="AK175"/>
  <c r="AA175"/>
  <c r="Z175"/>
  <c r="Y175"/>
  <c r="X175"/>
  <c r="N175"/>
  <c r="BN174"/>
  <c r="BM174"/>
  <c r="BL174"/>
  <c r="BK174"/>
  <c r="BA174"/>
  <c r="AZ174"/>
  <c r="AY174"/>
  <c r="AX174"/>
  <c r="AN174"/>
  <c r="AM174"/>
  <c r="AL174"/>
  <c r="AK174"/>
  <c r="AA174"/>
  <c r="Z174"/>
  <c r="Y174"/>
  <c r="X174"/>
  <c r="N174"/>
  <c r="BN173"/>
  <c r="BM173"/>
  <c r="BL173"/>
  <c r="BK173"/>
  <c r="BA173"/>
  <c r="AZ173"/>
  <c r="AY173"/>
  <c r="AX173"/>
  <c r="AN173"/>
  <c r="AM173"/>
  <c r="AL173"/>
  <c r="AK173"/>
  <c r="AA173"/>
  <c r="Z173"/>
  <c r="Y173"/>
  <c r="X173"/>
  <c r="N173"/>
  <c r="BN172"/>
  <c r="BM172"/>
  <c r="BL172"/>
  <c r="BK172"/>
  <c r="BA172"/>
  <c r="AZ172"/>
  <c r="AY172"/>
  <c r="AX172"/>
  <c r="AN172"/>
  <c r="AM172"/>
  <c r="AL172"/>
  <c r="AK172"/>
  <c r="AA172"/>
  <c r="Z172"/>
  <c r="Y172"/>
  <c r="X172"/>
  <c r="N172"/>
  <c r="B172" s="1"/>
  <c r="BN171"/>
  <c r="BM171"/>
  <c r="BL171"/>
  <c r="BK171"/>
  <c r="BA171"/>
  <c r="AZ171"/>
  <c r="AY171"/>
  <c r="AX171"/>
  <c r="AN171"/>
  <c r="AM171"/>
  <c r="AL171"/>
  <c r="AK171"/>
  <c r="AA171"/>
  <c r="Z171"/>
  <c r="Y171"/>
  <c r="X171"/>
  <c r="N171"/>
  <c r="BN170"/>
  <c r="BM170"/>
  <c r="BL170"/>
  <c r="BK170"/>
  <c r="BA170"/>
  <c r="AZ170"/>
  <c r="AY170"/>
  <c r="AX170"/>
  <c r="AN170"/>
  <c r="AM170"/>
  <c r="AL170"/>
  <c r="AK170"/>
  <c r="AA170"/>
  <c r="Z170"/>
  <c r="Y170"/>
  <c r="X170"/>
  <c r="N170"/>
  <c r="BN169"/>
  <c r="BM169"/>
  <c r="BL169"/>
  <c r="BK169"/>
  <c r="BA169"/>
  <c r="AZ169"/>
  <c r="AY169"/>
  <c r="AX169"/>
  <c r="AN169"/>
  <c r="AM169"/>
  <c r="AL169"/>
  <c r="AK169"/>
  <c r="AA169"/>
  <c r="Z169"/>
  <c r="Y169"/>
  <c r="X169"/>
  <c r="N169"/>
  <c r="BN168"/>
  <c r="BM168"/>
  <c r="BL168"/>
  <c r="BK168"/>
  <c r="BA168"/>
  <c r="AZ168"/>
  <c r="AY168"/>
  <c r="AX168"/>
  <c r="AN168"/>
  <c r="AM168"/>
  <c r="AL168"/>
  <c r="AK168"/>
  <c r="AA168"/>
  <c r="Z168"/>
  <c r="Y168"/>
  <c r="X168"/>
  <c r="N168"/>
  <c r="B168" s="1"/>
  <c r="BN167"/>
  <c r="BM167"/>
  <c r="BL167"/>
  <c r="BK167"/>
  <c r="BA167"/>
  <c r="AZ167"/>
  <c r="AY167"/>
  <c r="AX167"/>
  <c r="AN167"/>
  <c r="AM167"/>
  <c r="AL167"/>
  <c r="AK167"/>
  <c r="AA167"/>
  <c r="Z167"/>
  <c r="Y167"/>
  <c r="X167"/>
  <c r="N167"/>
  <c r="BN166"/>
  <c r="BM166"/>
  <c r="BL166"/>
  <c r="BK166"/>
  <c r="BA166"/>
  <c r="AZ166"/>
  <c r="AY166"/>
  <c r="AX166"/>
  <c r="AN166"/>
  <c r="AM166"/>
  <c r="AL166"/>
  <c r="AK166"/>
  <c r="AA166"/>
  <c r="Z166"/>
  <c r="Y166"/>
  <c r="X166"/>
  <c r="N166"/>
  <c r="BN165"/>
  <c r="BM165"/>
  <c r="BL165"/>
  <c r="BK165"/>
  <c r="BA165"/>
  <c r="AZ165"/>
  <c r="AY165"/>
  <c r="AX165"/>
  <c r="AN165"/>
  <c r="AM165"/>
  <c r="AL165"/>
  <c r="AK165"/>
  <c r="AA165"/>
  <c r="Z165"/>
  <c r="Y165"/>
  <c r="X165"/>
  <c r="N165"/>
  <c r="BN164"/>
  <c r="BM164"/>
  <c r="BL164"/>
  <c r="BK164"/>
  <c r="BA164"/>
  <c r="AZ164"/>
  <c r="AY164"/>
  <c r="AX164"/>
  <c r="AN164"/>
  <c r="AM164"/>
  <c r="AL164"/>
  <c r="AK164"/>
  <c r="AA164"/>
  <c r="Z164"/>
  <c r="Y164"/>
  <c r="X164"/>
  <c r="N164"/>
  <c r="BN163"/>
  <c r="BM163"/>
  <c r="BL163"/>
  <c r="BK163"/>
  <c r="BA163"/>
  <c r="AZ163"/>
  <c r="AY163"/>
  <c r="AX163"/>
  <c r="AN163"/>
  <c r="AM163"/>
  <c r="AL163"/>
  <c r="AK163"/>
  <c r="AA163"/>
  <c r="Z163"/>
  <c r="Y163"/>
  <c r="X163"/>
  <c r="N163"/>
  <c r="BN162"/>
  <c r="BM162"/>
  <c r="BL162"/>
  <c r="BK162"/>
  <c r="BA162"/>
  <c r="AZ162"/>
  <c r="AY162"/>
  <c r="AX162"/>
  <c r="AN162"/>
  <c r="AM162"/>
  <c r="AL162"/>
  <c r="AK162"/>
  <c r="AA162"/>
  <c r="Z162"/>
  <c r="Y162"/>
  <c r="X162"/>
  <c r="N162"/>
  <c r="BN161"/>
  <c r="BM161"/>
  <c r="BL161"/>
  <c r="BK161"/>
  <c r="BA161"/>
  <c r="AZ161"/>
  <c r="AY161"/>
  <c r="AX161"/>
  <c r="AN161"/>
  <c r="AM161"/>
  <c r="AL161"/>
  <c r="AK161"/>
  <c r="AA161"/>
  <c r="Z161"/>
  <c r="Y161"/>
  <c r="X161"/>
  <c r="N161"/>
  <c r="BN160"/>
  <c r="BM160"/>
  <c r="BL160"/>
  <c r="BK160"/>
  <c r="BA160"/>
  <c r="AZ160"/>
  <c r="AY160"/>
  <c r="AX160"/>
  <c r="AN160"/>
  <c r="AM160"/>
  <c r="AL160"/>
  <c r="AK160"/>
  <c r="AA160"/>
  <c r="Z160"/>
  <c r="Y160"/>
  <c r="X160"/>
  <c r="N160"/>
  <c r="B160" s="1"/>
  <c r="BN159"/>
  <c r="BM159"/>
  <c r="BL159"/>
  <c r="BK159"/>
  <c r="BA159"/>
  <c r="AZ159"/>
  <c r="AY159"/>
  <c r="AX159"/>
  <c r="AN159"/>
  <c r="AM159"/>
  <c r="AL159"/>
  <c r="AK159"/>
  <c r="AA159"/>
  <c r="Z159"/>
  <c r="Y159"/>
  <c r="X159"/>
  <c r="N159"/>
  <c r="BN158"/>
  <c r="BM158"/>
  <c r="BL158"/>
  <c r="BK158"/>
  <c r="BA158"/>
  <c r="AZ158"/>
  <c r="AY158"/>
  <c r="AX158"/>
  <c r="AN158"/>
  <c r="AM158"/>
  <c r="AL158"/>
  <c r="AK158"/>
  <c r="AA158"/>
  <c r="Z158"/>
  <c r="Y158"/>
  <c r="X158"/>
  <c r="N158"/>
  <c r="BN157"/>
  <c r="BM157"/>
  <c r="BL157"/>
  <c r="BK157"/>
  <c r="BA157"/>
  <c r="AZ157"/>
  <c r="AY157"/>
  <c r="AX157"/>
  <c r="AN157"/>
  <c r="AM157"/>
  <c r="AL157"/>
  <c r="AK157"/>
  <c r="AA157"/>
  <c r="Z157"/>
  <c r="Y157"/>
  <c r="X157"/>
  <c r="N157"/>
  <c r="BN156"/>
  <c r="BM156"/>
  <c r="BL156"/>
  <c r="BK156"/>
  <c r="BA156"/>
  <c r="AZ156"/>
  <c r="AY156"/>
  <c r="AX156"/>
  <c r="AN156"/>
  <c r="AM156"/>
  <c r="AL156"/>
  <c r="AK156"/>
  <c r="AA156"/>
  <c r="Z156"/>
  <c r="Y156"/>
  <c r="X156"/>
  <c r="N156"/>
  <c r="B156" s="1"/>
  <c r="BN155"/>
  <c r="BM155"/>
  <c r="BL155"/>
  <c r="BK155"/>
  <c r="BA155"/>
  <c r="AZ155"/>
  <c r="AY155"/>
  <c r="AX155"/>
  <c r="AN155"/>
  <c r="AM155"/>
  <c r="AL155"/>
  <c r="AK155"/>
  <c r="AA155"/>
  <c r="Z155"/>
  <c r="Y155"/>
  <c r="X155"/>
  <c r="N155"/>
  <c r="BN154"/>
  <c r="BM154"/>
  <c r="BL154"/>
  <c r="BK154"/>
  <c r="BA154"/>
  <c r="AZ154"/>
  <c r="AY154"/>
  <c r="AX154"/>
  <c r="AN154"/>
  <c r="AM154"/>
  <c r="AL154"/>
  <c r="AK154"/>
  <c r="AA154"/>
  <c r="Z154"/>
  <c r="Y154"/>
  <c r="X154"/>
  <c r="N154"/>
  <c r="BN153"/>
  <c r="BM153"/>
  <c r="BL153"/>
  <c r="BK153"/>
  <c r="BA153"/>
  <c r="AZ153"/>
  <c r="AY153"/>
  <c r="AX153"/>
  <c r="AN153"/>
  <c r="AM153"/>
  <c r="AL153"/>
  <c r="AK153"/>
  <c r="AA153"/>
  <c r="Z153"/>
  <c r="Y153"/>
  <c r="X153"/>
  <c r="N153"/>
  <c r="B153" s="1"/>
  <c r="BN152"/>
  <c r="BM152"/>
  <c r="BL152"/>
  <c r="BK152"/>
  <c r="BA152"/>
  <c r="AZ152"/>
  <c r="AY152"/>
  <c r="AX152"/>
  <c r="AN152"/>
  <c r="AM152"/>
  <c r="AL152"/>
  <c r="AK152"/>
  <c r="AA152"/>
  <c r="Z152"/>
  <c r="Y152"/>
  <c r="X152"/>
  <c r="N152"/>
  <c r="B152" s="1"/>
  <c r="BN151"/>
  <c r="BM151"/>
  <c r="BL151"/>
  <c r="BK151"/>
  <c r="BA151"/>
  <c r="AZ151"/>
  <c r="AY151"/>
  <c r="AX151"/>
  <c r="AN151"/>
  <c r="AM151"/>
  <c r="AL151"/>
  <c r="AK151"/>
  <c r="AA151"/>
  <c r="Z151"/>
  <c r="Y151"/>
  <c r="X151"/>
  <c r="N151"/>
  <c r="BN150"/>
  <c r="BM150"/>
  <c r="BL150"/>
  <c r="BK150"/>
  <c r="BA150"/>
  <c r="AZ150"/>
  <c r="AY150"/>
  <c r="AX150"/>
  <c r="AN150"/>
  <c r="AM150"/>
  <c r="AL150"/>
  <c r="AK150"/>
  <c r="AA150"/>
  <c r="Z150"/>
  <c r="Y150"/>
  <c r="X150"/>
  <c r="N150"/>
  <c r="BN149"/>
  <c r="BM149"/>
  <c r="BL149"/>
  <c r="BK149"/>
  <c r="BA149"/>
  <c r="AZ149"/>
  <c r="AY149"/>
  <c r="AX149"/>
  <c r="AN149"/>
  <c r="AM149"/>
  <c r="AL149"/>
  <c r="AK149"/>
  <c r="AA149"/>
  <c r="Z149"/>
  <c r="Y149"/>
  <c r="X149"/>
  <c r="N149"/>
  <c r="BN148"/>
  <c r="BM148"/>
  <c r="BL148"/>
  <c r="BK148"/>
  <c r="BA148"/>
  <c r="AZ148"/>
  <c r="AY148"/>
  <c r="AX148"/>
  <c r="AN148"/>
  <c r="AM148"/>
  <c r="AL148"/>
  <c r="AK148"/>
  <c r="AA148"/>
  <c r="Z148"/>
  <c r="Y148"/>
  <c r="X148"/>
  <c r="N148"/>
  <c r="B148" s="1"/>
  <c r="BN147"/>
  <c r="BM147"/>
  <c r="BL147"/>
  <c r="BK147"/>
  <c r="BA147"/>
  <c r="AZ147"/>
  <c r="AY147"/>
  <c r="AX147"/>
  <c r="AN147"/>
  <c r="AM147"/>
  <c r="AL147"/>
  <c r="AK147"/>
  <c r="AA147"/>
  <c r="Z147"/>
  <c r="Y147"/>
  <c r="X147"/>
  <c r="N147"/>
  <c r="BN146"/>
  <c r="BM146"/>
  <c r="BL146"/>
  <c r="BK146"/>
  <c r="BA146"/>
  <c r="AZ146"/>
  <c r="AY146"/>
  <c r="AX146"/>
  <c r="AN146"/>
  <c r="AM146"/>
  <c r="AL146"/>
  <c r="AK146"/>
  <c r="AA146"/>
  <c r="Z146"/>
  <c r="Y146"/>
  <c r="X146"/>
  <c r="N146"/>
  <c r="BN145"/>
  <c r="BM145"/>
  <c r="BL145"/>
  <c r="BK145"/>
  <c r="BA145"/>
  <c r="AZ145"/>
  <c r="AY145"/>
  <c r="AX145"/>
  <c r="AN145"/>
  <c r="AM145"/>
  <c r="AL145"/>
  <c r="AK145"/>
  <c r="AA145"/>
  <c r="Z145"/>
  <c r="Y145"/>
  <c r="X145"/>
  <c r="N145"/>
  <c r="BN144"/>
  <c r="BM144"/>
  <c r="BL144"/>
  <c r="BK144"/>
  <c r="BA144"/>
  <c r="AZ144"/>
  <c r="AY144"/>
  <c r="AX144"/>
  <c r="AN144"/>
  <c r="AM144"/>
  <c r="AL144"/>
  <c r="AK144"/>
  <c r="AA144"/>
  <c r="Z144"/>
  <c r="Y144"/>
  <c r="X144"/>
  <c r="N144"/>
  <c r="BN143"/>
  <c r="BM143"/>
  <c r="BL143"/>
  <c r="BK143"/>
  <c r="BA143"/>
  <c r="AZ143"/>
  <c r="AY143"/>
  <c r="AX143"/>
  <c r="AN143"/>
  <c r="AM143"/>
  <c r="AL143"/>
  <c r="AK143"/>
  <c r="AA143"/>
  <c r="Z143"/>
  <c r="Y143"/>
  <c r="X143"/>
  <c r="N143"/>
  <c r="BN142"/>
  <c r="BM142"/>
  <c r="BL142"/>
  <c r="BK142"/>
  <c r="BA142"/>
  <c r="AZ142"/>
  <c r="AY142"/>
  <c r="AX142"/>
  <c r="AN142"/>
  <c r="AM142"/>
  <c r="AL142"/>
  <c r="AK142"/>
  <c r="AA142"/>
  <c r="Z142"/>
  <c r="Y142"/>
  <c r="X142"/>
  <c r="N142"/>
  <c r="B142" s="1"/>
  <c r="BN141"/>
  <c r="BM141"/>
  <c r="BL141"/>
  <c r="BK141"/>
  <c r="BA141"/>
  <c r="AZ141"/>
  <c r="AY141"/>
  <c r="AX141"/>
  <c r="AN141"/>
  <c r="AM141"/>
  <c r="AL141"/>
  <c r="AK141"/>
  <c r="AA141"/>
  <c r="Z141"/>
  <c r="Y141"/>
  <c r="X141"/>
  <c r="N141"/>
  <c r="BN140"/>
  <c r="BM140"/>
  <c r="BL140"/>
  <c r="BK140"/>
  <c r="BA140"/>
  <c r="AZ140"/>
  <c r="AY140"/>
  <c r="AX140"/>
  <c r="AN140"/>
  <c r="AM140"/>
  <c r="AL140"/>
  <c r="AK140"/>
  <c r="AA140"/>
  <c r="Z140"/>
  <c r="Y140"/>
  <c r="X140"/>
  <c r="N140"/>
  <c r="B140" s="1"/>
  <c r="BN139"/>
  <c r="BM139"/>
  <c r="BL139"/>
  <c r="BK139"/>
  <c r="BA139"/>
  <c r="AZ139"/>
  <c r="AY139"/>
  <c r="AX139"/>
  <c r="AN139"/>
  <c r="AM139"/>
  <c r="AL139"/>
  <c r="AK139"/>
  <c r="AA139"/>
  <c r="Z139"/>
  <c r="Y139"/>
  <c r="X139"/>
  <c r="N139"/>
  <c r="BN138"/>
  <c r="BM138"/>
  <c r="BL138"/>
  <c r="BK138"/>
  <c r="BA138"/>
  <c r="AZ138"/>
  <c r="AY138"/>
  <c r="AX138"/>
  <c r="AN138"/>
  <c r="AM138"/>
  <c r="AL138"/>
  <c r="AK138"/>
  <c r="AA138"/>
  <c r="Z138"/>
  <c r="Y138"/>
  <c r="X138"/>
  <c r="N138"/>
  <c r="BN137"/>
  <c r="BM137"/>
  <c r="BL137"/>
  <c r="BK137"/>
  <c r="BA137"/>
  <c r="AZ137"/>
  <c r="AY137"/>
  <c r="AX137"/>
  <c r="AN137"/>
  <c r="AM137"/>
  <c r="AL137"/>
  <c r="AK137"/>
  <c r="AA137"/>
  <c r="Z137"/>
  <c r="Y137"/>
  <c r="X137"/>
  <c r="N137"/>
  <c r="BN136"/>
  <c r="BM136"/>
  <c r="BL136"/>
  <c r="BK136"/>
  <c r="BA136"/>
  <c r="AZ136"/>
  <c r="AY136"/>
  <c r="AX136"/>
  <c r="AN136"/>
  <c r="AM136"/>
  <c r="AL136"/>
  <c r="AK136"/>
  <c r="AA136"/>
  <c r="Z136"/>
  <c r="Y136"/>
  <c r="X136"/>
  <c r="N136"/>
  <c r="BN135"/>
  <c r="BM135"/>
  <c r="BL135"/>
  <c r="BK135"/>
  <c r="BA135"/>
  <c r="AZ135"/>
  <c r="AY135"/>
  <c r="AX135"/>
  <c r="AN135"/>
  <c r="AM135"/>
  <c r="AL135"/>
  <c r="AK135"/>
  <c r="AA135"/>
  <c r="Z135"/>
  <c r="Y135"/>
  <c r="X135"/>
  <c r="N135"/>
  <c r="BN134"/>
  <c r="BM134"/>
  <c r="BL134"/>
  <c r="BK134"/>
  <c r="BA134"/>
  <c r="AZ134"/>
  <c r="AY134"/>
  <c r="AX134"/>
  <c r="AN134"/>
  <c r="AM134"/>
  <c r="AL134"/>
  <c r="AK134"/>
  <c r="AA134"/>
  <c r="Z134"/>
  <c r="Y134"/>
  <c r="X134"/>
  <c r="N134"/>
  <c r="BN133"/>
  <c r="BM133"/>
  <c r="BL133"/>
  <c r="BK133"/>
  <c r="BA133"/>
  <c r="AZ133"/>
  <c r="AY133"/>
  <c r="AX133"/>
  <c r="AN133"/>
  <c r="AM133"/>
  <c r="AL133"/>
  <c r="AK133"/>
  <c r="AA133"/>
  <c r="Z133"/>
  <c r="Y133"/>
  <c r="X133"/>
  <c r="N133"/>
  <c r="BN132"/>
  <c r="BM132"/>
  <c r="BL132"/>
  <c r="BK132"/>
  <c r="BA132"/>
  <c r="AZ132"/>
  <c r="AY132"/>
  <c r="AX132"/>
  <c r="AN132"/>
  <c r="AM132"/>
  <c r="AL132"/>
  <c r="AK132"/>
  <c r="AA132"/>
  <c r="Z132"/>
  <c r="Y132"/>
  <c r="X132"/>
  <c r="N132"/>
  <c r="B132" s="1"/>
  <c r="BN131"/>
  <c r="BM131"/>
  <c r="BL131"/>
  <c r="BK131"/>
  <c r="BA131"/>
  <c r="AZ131"/>
  <c r="AY131"/>
  <c r="AX131"/>
  <c r="AN131"/>
  <c r="AM131"/>
  <c r="AL131"/>
  <c r="AK131"/>
  <c r="AA131"/>
  <c r="Z131"/>
  <c r="Y131"/>
  <c r="X131"/>
  <c r="N131"/>
  <c r="BN130"/>
  <c r="BM130"/>
  <c r="BL130"/>
  <c r="BK130"/>
  <c r="BA130"/>
  <c r="AZ130"/>
  <c r="AY130"/>
  <c r="AX130"/>
  <c r="AN130"/>
  <c r="AM130"/>
  <c r="AL130"/>
  <c r="AK130"/>
  <c r="AA130"/>
  <c r="Z130"/>
  <c r="Y130"/>
  <c r="X130"/>
  <c r="N130"/>
  <c r="B130" s="1"/>
  <c r="BN129"/>
  <c r="BM129"/>
  <c r="BL129"/>
  <c r="BK129"/>
  <c r="BA129"/>
  <c r="AZ129"/>
  <c r="AY129"/>
  <c r="AX129"/>
  <c r="AN129"/>
  <c r="AM129"/>
  <c r="AL129"/>
  <c r="AK129"/>
  <c r="AA129"/>
  <c r="Z129"/>
  <c r="Y129"/>
  <c r="X129"/>
  <c r="N129"/>
  <c r="BN128"/>
  <c r="BM128"/>
  <c r="BL128"/>
  <c r="BK128"/>
  <c r="BA128"/>
  <c r="AZ128"/>
  <c r="AY128"/>
  <c r="AX128"/>
  <c r="AN128"/>
  <c r="AM128"/>
  <c r="AL128"/>
  <c r="AK128"/>
  <c r="AA128"/>
  <c r="Z128"/>
  <c r="Y128"/>
  <c r="X128"/>
  <c r="N128"/>
  <c r="BN127"/>
  <c r="BM127"/>
  <c r="BL127"/>
  <c r="BK127"/>
  <c r="BA127"/>
  <c r="AZ127"/>
  <c r="AY127"/>
  <c r="AX127"/>
  <c r="AN127"/>
  <c r="AM127"/>
  <c r="AL127"/>
  <c r="AK127"/>
  <c r="AA127"/>
  <c r="Z127"/>
  <c r="Y127"/>
  <c r="X127"/>
  <c r="N127"/>
  <c r="BN126"/>
  <c r="BM126"/>
  <c r="BL126"/>
  <c r="BK126"/>
  <c r="BA126"/>
  <c r="AZ126"/>
  <c r="AY126"/>
  <c r="AX126"/>
  <c r="AN126"/>
  <c r="AM126"/>
  <c r="AL126"/>
  <c r="AK126"/>
  <c r="AA126"/>
  <c r="Z126"/>
  <c r="Y126"/>
  <c r="X126"/>
  <c r="N126"/>
  <c r="BN125"/>
  <c r="BM125"/>
  <c r="BL125"/>
  <c r="BK125"/>
  <c r="BA125"/>
  <c r="AZ125"/>
  <c r="AY125"/>
  <c r="AX125"/>
  <c r="AN125"/>
  <c r="AM125"/>
  <c r="AL125"/>
  <c r="AK125"/>
  <c r="AA125"/>
  <c r="Z125"/>
  <c r="Y125"/>
  <c r="X125"/>
  <c r="N125"/>
  <c r="BN124"/>
  <c r="BM124"/>
  <c r="BL124"/>
  <c r="BK124"/>
  <c r="BA124"/>
  <c r="AZ124"/>
  <c r="AY124"/>
  <c r="AX124"/>
  <c r="AN124"/>
  <c r="AM124"/>
  <c r="AL124"/>
  <c r="AK124"/>
  <c r="AA124"/>
  <c r="Z124"/>
  <c r="Y124"/>
  <c r="X124"/>
  <c r="N124"/>
  <c r="B124" s="1"/>
  <c r="BN123"/>
  <c r="BM123"/>
  <c r="BL123"/>
  <c r="BK123"/>
  <c r="BA123"/>
  <c r="AZ123"/>
  <c r="AY123"/>
  <c r="AX123"/>
  <c r="AN123"/>
  <c r="AM123"/>
  <c r="AL123"/>
  <c r="AK123"/>
  <c r="AA123"/>
  <c r="Z123"/>
  <c r="Y123"/>
  <c r="X123"/>
  <c r="N123"/>
  <c r="BN122"/>
  <c r="BM122"/>
  <c r="BL122"/>
  <c r="BK122"/>
  <c r="BA122"/>
  <c r="AZ122"/>
  <c r="AY122"/>
  <c r="AX122"/>
  <c r="AN122"/>
  <c r="AM122"/>
  <c r="AL122"/>
  <c r="AK122"/>
  <c r="AA122"/>
  <c r="Z122"/>
  <c r="Y122"/>
  <c r="X122"/>
  <c r="N122"/>
  <c r="B122" s="1"/>
  <c r="BN121"/>
  <c r="BM121"/>
  <c r="BL121"/>
  <c r="BK121"/>
  <c r="BA121"/>
  <c r="AZ121"/>
  <c r="AY121"/>
  <c r="AX121"/>
  <c r="AN121"/>
  <c r="AM121"/>
  <c r="AL121"/>
  <c r="AK121"/>
  <c r="AA121"/>
  <c r="Z121"/>
  <c r="Y121"/>
  <c r="X121"/>
  <c r="N121"/>
  <c r="BN120"/>
  <c r="BM120"/>
  <c r="BL120"/>
  <c r="BK120"/>
  <c r="BA120"/>
  <c r="AZ120"/>
  <c r="AY120"/>
  <c r="AX120"/>
  <c r="AN120"/>
  <c r="AM120"/>
  <c r="AL120"/>
  <c r="AK120"/>
  <c r="AA120"/>
  <c r="Z120"/>
  <c r="Y120"/>
  <c r="X120"/>
  <c r="N120"/>
  <c r="B120" s="1"/>
  <c r="BN119"/>
  <c r="BM119"/>
  <c r="BL119"/>
  <c r="BK119"/>
  <c r="BA119"/>
  <c r="AZ119"/>
  <c r="AY119"/>
  <c r="AX119"/>
  <c r="AN119"/>
  <c r="AM119"/>
  <c r="AL119"/>
  <c r="AK119"/>
  <c r="AA119"/>
  <c r="Z119"/>
  <c r="Y119"/>
  <c r="X119"/>
  <c r="N119"/>
  <c r="BN118"/>
  <c r="BM118"/>
  <c r="BL118"/>
  <c r="BK118"/>
  <c r="BA118"/>
  <c r="AZ118"/>
  <c r="AY118"/>
  <c r="AX118"/>
  <c r="AN118"/>
  <c r="AM118"/>
  <c r="AL118"/>
  <c r="AK118"/>
  <c r="AA118"/>
  <c r="Z118"/>
  <c r="Y118"/>
  <c r="X118"/>
  <c r="N118"/>
  <c r="BN117"/>
  <c r="BM117"/>
  <c r="BL117"/>
  <c r="BK117"/>
  <c r="BA117"/>
  <c r="AZ117"/>
  <c r="AY117"/>
  <c r="AX117"/>
  <c r="AN117"/>
  <c r="AM117"/>
  <c r="AL117"/>
  <c r="AK117"/>
  <c r="AA117"/>
  <c r="Z117"/>
  <c r="Y117"/>
  <c r="X117"/>
  <c r="N117"/>
  <c r="BN116"/>
  <c r="BM116"/>
  <c r="BL116"/>
  <c r="BK116"/>
  <c r="BA116"/>
  <c r="AZ116"/>
  <c r="AY116"/>
  <c r="AX116"/>
  <c r="AN116"/>
  <c r="AM116"/>
  <c r="AL116"/>
  <c r="AK116"/>
  <c r="AA116"/>
  <c r="Z116"/>
  <c r="Y116"/>
  <c r="X116"/>
  <c r="N116"/>
  <c r="B116" s="1"/>
  <c r="BN115"/>
  <c r="BM115"/>
  <c r="BL115"/>
  <c r="BK115"/>
  <c r="BA115"/>
  <c r="AZ115"/>
  <c r="AY115"/>
  <c r="AX115"/>
  <c r="AN115"/>
  <c r="AM115"/>
  <c r="AL115"/>
  <c r="AK115"/>
  <c r="AA115"/>
  <c r="Z115"/>
  <c r="Y115"/>
  <c r="X115"/>
  <c r="N115"/>
  <c r="B115" s="1"/>
  <c r="BN114"/>
  <c r="BM114"/>
  <c r="BL114"/>
  <c r="BK114"/>
  <c r="BA114"/>
  <c r="AZ114"/>
  <c r="AY114"/>
  <c r="AX114"/>
  <c r="AN114"/>
  <c r="AM114"/>
  <c r="AL114"/>
  <c r="AK114"/>
  <c r="AA114"/>
  <c r="Z114"/>
  <c r="Y114"/>
  <c r="X114"/>
  <c r="N114"/>
  <c r="BN113"/>
  <c r="BM113"/>
  <c r="BL113"/>
  <c r="BK113"/>
  <c r="BA113"/>
  <c r="AZ113"/>
  <c r="AY113"/>
  <c r="AX113"/>
  <c r="AN113"/>
  <c r="AM113"/>
  <c r="AL113"/>
  <c r="AK113"/>
  <c r="AA113"/>
  <c r="Z113"/>
  <c r="Y113"/>
  <c r="X113"/>
  <c r="N113"/>
  <c r="BN112"/>
  <c r="BM112"/>
  <c r="BL112"/>
  <c r="BK112"/>
  <c r="BA112"/>
  <c r="AZ112"/>
  <c r="AY112"/>
  <c r="AX112"/>
  <c r="AN112"/>
  <c r="AM112"/>
  <c r="AL112"/>
  <c r="AK112"/>
  <c r="AA112"/>
  <c r="Z112"/>
  <c r="Y112"/>
  <c r="X112"/>
  <c r="N112"/>
  <c r="BN111"/>
  <c r="BM111"/>
  <c r="BL111"/>
  <c r="BK111"/>
  <c r="BA111"/>
  <c r="AZ111"/>
  <c r="AY111"/>
  <c r="AX111"/>
  <c r="AN111"/>
  <c r="AM111"/>
  <c r="AL111"/>
  <c r="AK111"/>
  <c r="AA111"/>
  <c r="Z111"/>
  <c r="Y111"/>
  <c r="X111"/>
  <c r="N111"/>
  <c r="BN110"/>
  <c r="BM110"/>
  <c r="BL110"/>
  <c r="BK110"/>
  <c r="BA110"/>
  <c r="AZ110"/>
  <c r="AY110"/>
  <c r="AX110"/>
  <c r="AN110"/>
  <c r="AM110"/>
  <c r="AL110"/>
  <c r="AK110"/>
  <c r="AA110"/>
  <c r="Z110"/>
  <c r="Y110"/>
  <c r="X110"/>
  <c r="N110"/>
  <c r="BN109"/>
  <c r="BM109"/>
  <c r="BL109"/>
  <c r="BK109"/>
  <c r="BA109"/>
  <c r="AZ109"/>
  <c r="AY109"/>
  <c r="AX109"/>
  <c r="AN109"/>
  <c r="AM109"/>
  <c r="AL109"/>
  <c r="AK109"/>
  <c r="AA109"/>
  <c r="Z109"/>
  <c r="Y109"/>
  <c r="X109"/>
  <c r="N109"/>
  <c r="BN108"/>
  <c r="BM108"/>
  <c r="BL108"/>
  <c r="BK108"/>
  <c r="BA108"/>
  <c r="AZ108"/>
  <c r="AY108"/>
  <c r="AX108"/>
  <c r="AN108"/>
  <c r="AM108"/>
  <c r="AL108"/>
  <c r="AK108"/>
  <c r="AA108"/>
  <c r="Z108"/>
  <c r="Y108"/>
  <c r="X108"/>
  <c r="N108"/>
  <c r="B108" s="1"/>
  <c r="BN107"/>
  <c r="BM107"/>
  <c r="BL107"/>
  <c r="BK107"/>
  <c r="BA107"/>
  <c r="AZ107"/>
  <c r="AY107"/>
  <c r="AX107"/>
  <c r="AN107"/>
  <c r="AM107"/>
  <c r="AL107"/>
  <c r="AK107"/>
  <c r="AA107"/>
  <c r="Z107"/>
  <c r="Y107"/>
  <c r="X107"/>
  <c r="N107"/>
  <c r="BN106"/>
  <c r="BM106"/>
  <c r="BL106"/>
  <c r="BK106"/>
  <c r="BA106"/>
  <c r="AZ106"/>
  <c r="AY106"/>
  <c r="AX106"/>
  <c r="AN106"/>
  <c r="AM106"/>
  <c r="AL106"/>
  <c r="AK106"/>
  <c r="AA106"/>
  <c r="Z106"/>
  <c r="Y106"/>
  <c r="X106"/>
  <c r="N106"/>
  <c r="BN105"/>
  <c r="BM105"/>
  <c r="BL105"/>
  <c r="BK105"/>
  <c r="BA105"/>
  <c r="AZ105"/>
  <c r="AY105"/>
  <c r="AX105"/>
  <c r="AN105"/>
  <c r="AM105"/>
  <c r="AL105"/>
  <c r="AK105"/>
  <c r="AA105"/>
  <c r="Z105"/>
  <c r="Y105"/>
  <c r="X105"/>
  <c r="N105"/>
  <c r="BN104"/>
  <c r="BM104"/>
  <c r="BL104"/>
  <c r="BK104"/>
  <c r="BA104"/>
  <c r="AZ104"/>
  <c r="AY104"/>
  <c r="AX104"/>
  <c r="AN104"/>
  <c r="AM104"/>
  <c r="AL104"/>
  <c r="AK104"/>
  <c r="AA104"/>
  <c r="Z104"/>
  <c r="Y104"/>
  <c r="X104"/>
  <c r="N104"/>
  <c r="BN103"/>
  <c r="BM103"/>
  <c r="BL103"/>
  <c r="BK103"/>
  <c r="BA103"/>
  <c r="AZ103"/>
  <c r="AY103"/>
  <c r="AX103"/>
  <c r="AN103"/>
  <c r="AM103"/>
  <c r="AL103"/>
  <c r="AK103"/>
  <c r="AA103"/>
  <c r="Z103"/>
  <c r="Y103"/>
  <c r="X103"/>
  <c r="N103"/>
  <c r="BN102"/>
  <c r="BM102"/>
  <c r="BL102"/>
  <c r="BK102"/>
  <c r="BA102"/>
  <c r="AZ102"/>
  <c r="AY102"/>
  <c r="AX102"/>
  <c r="AN102"/>
  <c r="AM102"/>
  <c r="AL102"/>
  <c r="AK102"/>
  <c r="AA102"/>
  <c r="Z102"/>
  <c r="Y102"/>
  <c r="X102"/>
  <c r="N102"/>
  <c r="BN101"/>
  <c r="BM101"/>
  <c r="BL101"/>
  <c r="BK101"/>
  <c r="BA101"/>
  <c r="AZ101"/>
  <c r="AY101"/>
  <c r="AX101"/>
  <c r="AN101"/>
  <c r="AM101"/>
  <c r="AL101"/>
  <c r="AK101"/>
  <c r="AA101"/>
  <c r="Z101"/>
  <c r="Y101"/>
  <c r="X101"/>
  <c r="N101"/>
  <c r="N100"/>
  <c r="B100" s="1"/>
  <c r="BN99"/>
  <c r="BM99"/>
  <c r="BL99"/>
  <c r="BK99"/>
  <c r="BA99"/>
  <c r="AZ99"/>
  <c r="AY99"/>
  <c r="AX99"/>
  <c r="AN99"/>
  <c r="AM99"/>
  <c r="AL99"/>
  <c r="AK99"/>
  <c r="AA99"/>
  <c r="Z99"/>
  <c r="Y99"/>
  <c r="X99"/>
  <c r="N99"/>
  <c r="B99" s="1"/>
  <c r="BN98"/>
  <c r="BM98"/>
  <c r="BL98"/>
  <c r="BK98"/>
  <c r="BA98"/>
  <c r="AZ98"/>
  <c r="AY98"/>
  <c r="AX98"/>
  <c r="AN98"/>
  <c r="AM98"/>
  <c r="AL98"/>
  <c r="AK98"/>
  <c r="AA98"/>
  <c r="Z98"/>
  <c r="Y98"/>
  <c r="X98"/>
  <c r="N98"/>
  <c r="BN97"/>
  <c r="BM97"/>
  <c r="BL97"/>
  <c r="BK97"/>
  <c r="BA97"/>
  <c r="AZ97"/>
  <c r="AY97"/>
  <c r="AX97"/>
  <c r="AN97"/>
  <c r="AM97"/>
  <c r="AL97"/>
  <c r="AK97"/>
  <c r="AA97"/>
  <c r="Z97"/>
  <c r="Y97"/>
  <c r="X97"/>
  <c r="N97"/>
  <c r="BN96"/>
  <c r="BM96"/>
  <c r="BL96"/>
  <c r="BK96"/>
  <c r="BA96"/>
  <c r="AZ96"/>
  <c r="AY96"/>
  <c r="AX96"/>
  <c r="AN96"/>
  <c r="AM96"/>
  <c r="AL96"/>
  <c r="AK96"/>
  <c r="AA96"/>
  <c r="Z96"/>
  <c r="Y96"/>
  <c r="X96"/>
  <c r="N96"/>
  <c r="BN95"/>
  <c r="BM95"/>
  <c r="BL95"/>
  <c r="BK95"/>
  <c r="BA95"/>
  <c r="AZ95"/>
  <c r="AY95"/>
  <c r="AX95"/>
  <c r="AN95"/>
  <c r="AM95"/>
  <c r="AL95"/>
  <c r="AK95"/>
  <c r="AA95"/>
  <c r="Z95"/>
  <c r="Y95"/>
  <c r="X95"/>
  <c r="N95"/>
  <c r="BN94"/>
  <c r="BM94"/>
  <c r="BL94"/>
  <c r="BK94"/>
  <c r="BA94"/>
  <c r="AZ94"/>
  <c r="AY94"/>
  <c r="AX94"/>
  <c r="AN94"/>
  <c r="AM94"/>
  <c r="AL94"/>
  <c r="AK94"/>
  <c r="AA94"/>
  <c r="Z94"/>
  <c r="Y94"/>
  <c r="X94"/>
  <c r="N94"/>
  <c r="BN93"/>
  <c r="BM93"/>
  <c r="BL93"/>
  <c r="BK93"/>
  <c r="BA93"/>
  <c r="AZ93"/>
  <c r="AY93"/>
  <c r="AX93"/>
  <c r="AN93"/>
  <c r="AM93"/>
  <c r="AL93"/>
  <c r="AK93"/>
  <c r="AA93"/>
  <c r="Z93"/>
  <c r="Y93"/>
  <c r="X93"/>
  <c r="N93"/>
  <c r="BN92"/>
  <c r="BM92"/>
  <c r="BL92"/>
  <c r="BK92"/>
  <c r="BA92"/>
  <c r="AZ92"/>
  <c r="AY92"/>
  <c r="AX92"/>
  <c r="AN92"/>
  <c r="AM92"/>
  <c r="AL92"/>
  <c r="AK92"/>
  <c r="AA92"/>
  <c r="Z92"/>
  <c r="Y92"/>
  <c r="X92"/>
  <c r="N92"/>
  <c r="BN91"/>
  <c r="BM91"/>
  <c r="BL91"/>
  <c r="BK91"/>
  <c r="BA91"/>
  <c r="AZ91"/>
  <c r="AY91"/>
  <c r="AX91"/>
  <c r="AN91"/>
  <c r="AM91"/>
  <c r="AL91"/>
  <c r="AK91"/>
  <c r="AA91"/>
  <c r="Z91"/>
  <c r="Y91"/>
  <c r="X91"/>
  <c r="N91"/>
  <c r="B91" s="1"/>
  <c r="BN90"/>
  <c r="BM90"/>
  <c r="BL90"/>
  <c r="BK90"/>
  <c r="BA90"/>
  <c r="AZ90"/>
  <c r="AY90"/>
  <c r="AX90"/>
  <c r="AN90"/>
  <c r="AM90"/>
  <c r="AL90"/>
  <c r="AK90"/>
  <c r="AA90"/>
  <c r="Z90"/>
  <c r="Y90"/>
  <c r="X90"/>
  <c r="N90"/>
  <c r="BN89"/>
  <c r="BM89"/>
  <c r="BL89"/>
  <c r="BK89"/>
  <c r="BA89"/>
  <c r="AZ89"/>
  <c r="AY89"/>
  <c r="AX89"/>
  <c r="AN89"/>
  <c r="AM89"/>
  <c r="AL89"/>
  <c r="AK89"/>
  <c r="AA89"/>
  <c r="Z89"/>
  <c r="Y89"/>
  <c r="X89"/>
  <c r="N89"/>
  <c r="BN88"/>
  <c r="BM88"/>
  <c r="BL88"/>
  <c r="BK88"/>
  <c r="BA88"/>
  <c r="AZ88"/>
  <c r="AY88"/>
  <c r="AX88"/>
  <c r="AN88"/>
  <c r="AM88"/>
  <c r="AL88"/>
  <c r="AK88"/>
  <c r="AA88"/>
  <c r="Z88"/>
  <c r="Y88"/>
  <c r="X88"/>
  <c r="N88"/>
  <c r="BN87"/>
  <c r="BM87"/>
  <c r="BL87"/>
  <c r="BK87"/>
  <c r="BA87"/>
  <c r="AZ87"/>
  <c r="AY87"/>
  <c r="AX87"/>
  <c r="AN87"/>
  <c r="AM87"/>
  <c r="AL87"/>
  <c r="AK87"/>
  <c r="AA87"/>
  <c r="Z87"/>
  <c r="Y87"/>
  <c r="X87"/>
  <c r="N87"/>
  <c r="BN86"/>
  <c r="BM86"/>
  <c r="BL86"/>
  <c r="BK86"/>
  <c r="BA86"/>
  <c r="AZ86"/>
  <c r="AY86"/>
  <c r="AX86"/>
  <c r="AN86"/>
  <c r="AM86"/>
  <c r="AL86"/>
  <c r="AK86"/>
  <c r="AA86"/>
  <c r="Z86"/>
  <c r="Y86"/>
  <c r="X86"/>
  <c r="N86"/>
  <c r="BN85"/>
  <c r="BM85"/>
  <c r="BL85"/>
  <c r="BK85"/>
  <c r="BA85"/>
  <c r="AZ85"/>
  <c r="AY85"/>
  <c r="AX85"/>
  <c r="AN85"/>
  <c r="AM85"/>
  <c r="AL85"/>
  <c r="AK85"/>
  <c r="AA85"/>
  <c r="Z85"/>
  <c r="Y85"/>
  <c r="X85"/>
  <c r="N85"/>
  <c r="BN84"/>
  <c r="BM84"/>
  <c r="BL84"/>
  <c r="BK84"/>
  <c r="BA84"/>
  <c r="AZ84"/>
  <c r="AY84"/>
  <c r="AX84"/>
  <c r="AN84"/>
  <c r="AM84"/>
  <c r="AL84"/>
  <c r="AK84"/>
  <c r="AA84"/>
  <c r="Z84"/>
  <c r="Y84"/>
  <c r="X84"/>
  <c r="N84"/>
  <c r="B84" s="1"/>
  <c r="BN83"/>
  <c r="BM83"/>
  <c r="BL83"/>
  <c r="BK83"/>
  <c r="BA83"/>
  <c r="AZ83"/>
  <c r="AY83"/>
  <c r="AX83"/>
  <c r="AN83"/>
  <c r="AM83"/>
  <c r="AL83"/>
  <c r="AK83"/>
  <c r="AA83"/>
  <c r="Z83"/>
  <c r="Y83"/>
  <c r="X83"/>
  <c r="N83"/>
  <c r="B83" s="1"/>
  <c r="BN82"/>
  <c r="BM82"/>
  <c r="BL82"/>
  <c r="BK82"/>
  <c r="BA82"/>
  <c r="AZ82"/>
  <c r="AY82"/>
  <c r="AX82"/>
  <c r="AN82"/>
  <c r="AM82"/>
  <c r="AL82"/>
  <c r="AK82"/>
  <c r="AA82"/>
  <c r="Z82"/>
  <c r="Y82"/>
  <c r="X82"/>
  <c r="N82"/>
  <c r="BN81"/>
  <c r="BM81"/>
  <c r="BL81"/>
  <c r="BK81"/>
  <c r="BA81"/>
  <c r="AZ81"/>
  <c r="AY81"/>
  <c r="AX81"/>
  <c r="AN81"/>
  <c r="AM81"/>
  <c r="AL81"/>
  <c r="AK81"/>
  <c r="AA81"/>
  <c r="Z81"/>
  <c r="Y81"/>
  <c r="X81"/>
  <c r="N81"/>
  <c r="BN80"/>
  <c r="BM80"/>
  <c r="BL80"/>
  <c r="BK80"/>
  <c r="BA80"/>
  <c r="AZ80"/>
  <c r="AY80"/>
  <c r="AX80"/>
  <c r="AN80"/>
  <c r="AM80"/>
  <c r="AL80"/>
  <c r="AK80"/>
  <c r="AA80"/>
  <c r="Z80"/>
  <c r="Y80"/>
  <c r="X80"/>
  <c r="N80"/>
  <c r="BN79"/>
  <c r="BM79"/>
  <c r="BL79"/>
  <c r="BK79"/>
  <c r="BA79"/>
  <c r="AZ79"/>
  <c r="AY79"/>
  <c r="AX79"/>
  <c r="AN79"/>
  <c r="AM79"/>
  <c r="AL79"/>
  <c r="AK79"/>
  <c r="AA79"/>
  <c r="Z79"/>
  <c r="Y79"/>
  <c r="X79"/>
  <c r="N79"/>
  <c r="BN78"/>
  <c r="BM78"/>
  <c r="BL78"/>
  <c r="BK78"/>
  <c r="BA78"/>
  <c r="AZ78"/>
  <c r="AY78"/>
  <c r="AX78"/>
  <c r="AN78"/>
  <c r="AM78"/>
  <c r="AL78"/>
  <c r="AK78"/>
  <c r="AA78"/>
  <c r="Z78"/>
  <c r="Y78"/>
  <c r="X78"/>
  <c r="N78"/>
  <c r="BN77"/>
  <c r="BM77"/>
  <c r="BL77"/>
  <c r="BK77"/>
  <c r="BA77"/>
  <c r="AZ77"/>
  <c r="AY77"/>
  <c r="AX77"/>
  <c r="AN77"/>
  <c r="AM77"/>
  <c r="AL77"/>
  <c r="AK77"/>
  <c r="AA77"/>
  <c r="Z77"/>
  <c r="Y77"/>
  <c r="X77"/>
  <c r="N77"/>
  <c r="BN76"/>
  <c r="BM76"/>
  <c r="BL76"/>
  <c r="BK76"/>
  <c r="BA76"/>
  <c r="AZ76"/>
  <c r="AY76"/>
  <c r="AX76"/>
  <c r="AN76"/>
  <c r="AM76"/>
  <c r="AL76"/>
  <c r="AK76"/>
  <c r="AA76"/>
  <c r="Z76"/>
  <c r="Y76"/>
  <c r="X76"/>
  <c r="N76"/>
  <c r="BN75"/>
  <c r="BM75"/>
  <c r="BL75"/>
  <c r="BK75"/>
  <c r="BA75"/>
  <c r="AZ75"/>
  <c r="AY75"/>
  <c r="AX75"/>
  <c r="AN75"/>
  <c r="AM75"/>
  <c r="AL75"/>
  <c r="AK75"/>
  <c r="AA75"/>
  <c r="Z75"/>
  <c r="Y75"/>
  <c r="X75"/>
  <c r="N75"/>
  <c r="B75" s="1"/>
  <c r="BN74"/>
  <c r="BM74"/>
  <c r="BL74"/>
  <c r="BK74"/>
  <c r="BA74"/>
  <c r="AZ74"/>
  <c r="AY74"/>
  <c r="AX74"/>
  <c r="AN74"/>
  <c r="AM74"/>
  <c r="AL74"/>
  <c r="AK74"/>
  <c r="AA74"/>
  <c r="Z74"/>
  <c r="Y74"/>
  <c r="X74"/>
  <c r="N74"/>
  <c r="BN73"/>
  <c r="BM73"/>
  <c r="BL73"/>
  <c r="BK73"/>
  <c r="BA73"/>
  <c r="AZ73"/>
  <c r="AY73"/>
  <c r="AX73"/>
  <c r="AN73"/>
  <c r="AM73"/>
  <c r="AL73"/>
  <c r="AK73"/>
  <c r="AA73"/>
  <c r="Z73"/>
  <c r="Y73"/>
  <c r="X73"/>
  <c r="N73"/>
  <c r="BN72"/>
  <c r="BM72"/>
  <c r="BL72"/>
  <c r="BK72"/>
  <c r="BA72"/>
  <c r="AZ72"/>
  <c r="AY72"/>
  <c r="AX72"/>
  <c r="AN72"/>
  <c r="AM72"/>
  <c r="AL72"/>
  <c r="AK72"/>
  <c r="AA72"/>
  <c r="Z72"/>
  <c r="Y72"/>
  <c r="X72"/>
  <c r="N72"/>
  <c r="BN71"/>
  <c r="BM71"/>
  <c r="BL71"/>
  <c r="BK71"/>
  <c r="BA71"/>
  <c r="AZ71"/>
  <c r="AY71"/>
  <c r="AX71"/>
  <c r="AN71"/>
  <c r="AM71"/>
  <c r="AL71"/>
  <c r="AK71"/>
  <c r="AA71"/>
  <c r="Z71"/>
  <c r="Y71"/>
  <c r="X71"/>
  <c r="N71"/>
  <c r="BN70"/>
  <c r="BM70"/>
  <c r="BL70"/>
  <c r="BK70"/>
  <c r="BA70"/>
  <c r="AZ70"/>
  <c r="AY70"/>
  <c r="AX70"/>
  <c r="AN70"/>
  <c r="AM70"/>
  <c r="AL70"/>
  <c r="AK70"/>
  <c r="AA70"/>
  <c r="Z70"/>
  <c r="Y70"/>
  <c r="X70"/>
  <c r="N70"/>
  <c r="BN69"/>
  <c r="BM69"/>
  <c r="BL69"/>
  <c r="BK69"/>
  <c r="BA69"/>
  <c r="AZ69"/>
  <c r="AY69"/>
  <c r="AX69"/>
  <c r="AN69"/>
  <c r="AM69"/>
  <c r="AL69"/>
  <c r="AK69"/>
  <c r="AA69"/>
  <c r="Z69"/>
  <c r="Y69"/>
  <c r="X69"/>
  <c r="N69"/>
  <c r="BN68"/>
  <c r="BM68"/>
  <c r="BL68"/>
  <c r="BK68"/>
  <c r="BA68"/>
  <c r="AZ68"/>
  <c r="AY68"/>
  <c r="AX68"/>
  <c r="AN68"/>
  <c r="AM68"/>
  <c r="AL68"/>
  <c r="AK68"/>
  <c r="AA68"/>
  <c r="Z68"/>
  <c r="Y68"/>
  <c r="X68"/>
  <c r="N68"/>
  <c r="BN67"/>
  <c r="BM67"/>
  <c r="BL67"/>
  <c r="BK67"/>
  <c r="BA67"/>
  <c r="AZ67"/>
  <c r="AY67"/>
  <c r="AX67"/>
  <c r="AN67"/>
  <c r="AM67"/>
  <c r="AL67"/>
  <c r="AK67"/>
  <c r="AA67"/>
  <c r="Z67"/>
  <c r="Y67"/>
  <c r="X67"/>
  <c r="N67"/>
  <c r="BN66"/>
  <c r="BM66"/>
  <c r="BL66"/>
  <c r="BK66"/>
  <c r="BA66"/>
  <c r="AZ66"/>
  <c r="AY66"/>
  <c r="AX66"/>
  <c r="AN66"/>
  <c r="AM66"/>
  <c r="AL66"/>
  <c r="AK66"/>
  <c r="AA66"/>
  <c r="Z66"/>
  <c r="Y66"/>
  <c r="X66"/>
  <c r="N66"/>
  <c r="BN65"/>
  <c r="BM65"/>
  <c r="BL65"/>
  <c r="BK65"/>
  <c r="BA65"/>
  <c r="AZ65"/>
  <c r="AY65"/>
  <c r="AX65"/>
  <c r="AN65"/>
  <c r="AM65"/>
  <c r="AL65"/>
  <c r="AK65"/>
  <c r="AA65"/>
  <c r="Z65"/>
  <c r="Y65"/>
  <c r="X65"/>
  <c r="N65"/>
  <c r="BN64"/>
  <c r="BM64"/>
  <c r="BL64"/>
  <c r="BK64"/>
  <c r="BA64"/>
  <c r="AZ64"/>
  <c r="AY64"/>
  <c r="AX64"/>
  <c r="AN64"/>
  <c r="AM64"/>
  <c r="AL64"/>
  <c r="AK64"/>
  <c r="AA64"/>
  <c r="Z64"/>
  <c r="Y64"/>
  <c r="X64"/>
  <c r="N64"/>
  <c r="B64" s="1"/>
  <c r="BN63"/>
  <c r="BM63"/>
  <c r="BL63"/>
  <c r="BK63"/>
  <c r="BA63"/>
  <c r="AZ63"/>
  <c r="AY63"/>
  <c r="AX63"/>
  <c r="AN63"/>
  <c r="AM63"/>
  <c r="AL63"/>
  <c r="AK63"/>
  <c r="AA63"/>
  <c r="Z63"/>
  <c r="Y63"/>
  <c r="X63"/>
  <c r="N63"/>
  <c r="BN62"/>
  <c r="BM62"/>
  <c r="BL62"/>
  <c r="BK62"/>
  <c r="BA62"/>
  <c r="AZ62"/>
  <c r="AY62"/>
  <c r="AX62"/>
  <c r="AN62"/>
  <c r="AM62"/>
  <c r="AL62"/>
  <c r="AK62"/>
  <c r="AA62"/>
  <c r="Z62"/>
  <c r="Y62"/>
  <c r="X62"/>
  <c r="N62"/>
  <c r="BN61"/>
  <c r="BM61"/>
  <c r="BL61"/>
  <c r="BK61"/>
  <c r="BA61"/>
  <c r="AZ61"/>
  <c r="AY61"/>
  <c r="AX61"/>
  <c r="AN61"/>
  <c r="AM61"/>
  <c r="AL61"/>
  <c r="AK61"/>
  <c r="AA61"/>
  <c r="Z61"/>
  <c r="Y61"/>
  <c r="X61"/>
  <c r="N61"/>
  <c r="BN60"/>
  <c r="BM60"/>
  <c r="BL60"/>
  <c r="BK60"/>
  <c r="BA60"/>
  <c r="AZ60"/>
  <c r="AY60"/>
  <c r="AX60"/>
  <c r="AN60"/>
  <c r="AM60"/>
  <c r="AL60"/>
  <c r="AK60"/>
  <c r="AA60"/>
  <c r="Z60"/>
  <c r="Y60"/>
  <c r="X60"/>
  <c r="N60"/>
  <c r="BN59"/>
  <c r="BM59"/>
  <c r="BL59"/>
  <c r="BK59"/>
  <c r="BA59"/>
  <c r="AZ59"/>
  <c r="AY59"/>
  <c r="AX59"/>
  <c r="AN59"/>
  <c r="AM59"/>
  <c r="AL59"/>
  <c r="AK59"/>
  <c r="AA59"/>
  <c r="Z59"/>
  <c r="Y59"/>
  <c r="X59"/>
  <c r="N59"/>
  <c r="BN58"/>
  <c r="BM58"/>
  <c r="BL58"/>
  <c r="BK58"/>
  <c r="BA58"/>
  <c r="AZ58"/>
  <c r="AY58"/>
  <c r="AX58"/>
  <c r="AN58"/>
  <c r="AM58"/>
  <c r="AL58"/>
  <c r="AK58"/>
  <c r="AA58"/>
  <c r="Z58"/>
  <c r="Y58"/>
  <c r="X58"/>
  <c r="N58"/>
  <c r="BN57"/>
  <c r="BM57"/>
  <c r="BL57"/>
  <c r="BK57"/>
  <c r="BA57"/>
  <c r="AZ57"/>
  <c r="AY57"/>
  <c r="AX57"/>
  <c r="AN57"/>
  <c r="AM57"/>
  <c r="AL57"/>
  <c r="AK57"/>
  <c r="AA57"/>
  <c r="Z57"/>
  <c r="Y57"/>
  <c r="X57"/>
  <c r="N57"/>
  <c r="BN56"/>
  <c r="BM56"/>
  <c r="BL56"/>
  <c r="BK56"/>
  <c r="BA56"/>
  <c r="AZ56"/>
  <c r="AY56"/>
  <c r="AX56"/>
  <c r="AN56"/>
  <c r="AM56"/>
  <c r="AL56"/>
  <c r="AK56"/>
  <c r="AA56"/>
  <c r="Z56"/>
  <c r="Y56"/>
  <c r="X56"/>
  <c r="N56"/>
  <c r="BN55"/>
  <c r="BM55"/>
  <c r="BL55"/>
  <c r="BK55"/>
  <c r="BA55"/>
  <c r="AZ55"/>
  <c r="AY55"/>
  <c r="AX55"/>
  <c r="AN55"/>
  <c r="AM55"/>
  <c r="AL55"/>
  <c r="AK55"/>
  <c r="AA55"/>
  <c r="Z55"/>
  <c r="Y55"/>
  <c r="X55"/>
  <c r="N55"/>
  <c r="BN54"/>
  <c r="BM54"/>
  <c r="BL54"/>
  <c r="BK54"/>
  <c r="BA54"/>
  <c r="AZ54"/>
  <c r="AY54"/>
  <c r="AX54"/>
  <c r="AN54"/>
  <c r="AM54"/>
  <c r="AL54"/>
  <c r="AK54"/>
  <c r="AA54"/>
  <c r="Z54"/>
  <c r="Y54"/>
  <c r="X54"/>
  <c r="N54"/>
  <c r="BN53"/>
  <c r="BM53"/>
  <c r="BL53"/>
  <c r="BK53"/>
  <c r="BA53"/>
  <c r="AZ53"/>
  <c r="AY53"/>
  <c r="AX53"/>
  <c r="AN53"/>
  <c r="AM53"/>
  <c r="AL53"/>
  <c r="AK53"/>
  <c r="AA53"/>
  <c r="Z53"/>
  <c r="Y53"/>
  <c r="X53"/>
  <c r="N53"/>
  <c r="B53" s="1"/>
  <c r="BN52"/>
  <c r="BM52"/>
  <c r="BL52"/>
  <c r="BK52"/>
  <c r="BA52"/>
  <c r="AZ52"/>
  <c r="AY52"/>
  <c r="AX52"/>
  <c r="AN52"/>
  <c r="AM52"/>
  <c r="AL52"/>
  <c r="AK52"/>
  <c r="AA52"/>
  <c r="Z52"/>
  <c r="Y52"/>
  <c r="X52"/>
  <c r="N52"/>
  <c r="B52" s="1"/>
  <c r="BN51"/>
  <c r="BM51"/>
  <c r="BL51"/>
  <c r="BK51"/>
  <c r="BA51"/>
  <c r="AZ51"/>
  <c r="AY51"/>
  <c r="AX51"/>
  <c r="AN51"/>
  <c r="AM51"/>
  <c r="AL51"/>
  <c r="AK51"/>
  <c r="AA51"/>
  <c r="Z51"/>
  <c r="Y51"/>
  <c r="X51"/>
  <c r="N51"/>
  <c r="BN50"/>
  <c r="BM50"/>
  <c r="BL50"/>
  <c r="BK50"/>
  <c r="BA50"/>
  <c r="AZ50"/>
  <c r="AY50"/>
  <c r="AX50"/>
  <c r="AN50"/>
  <c r="AM50"/>
  <c r="AL50"/>
  <c r="AK50"/>
  <c r="AA50"/>
  <c r="Z50"/>
  <c r="Y50"/>
  <c r="X50"/>
  <c r="N50"/>
  <c r="BN49"/>
  <c r="BM49"/>
  <c r="BL49"/>
  <c r="BK49"/>
  <c r="BA49"/>
  <c r="AZ49"/>
  <c r="AY49"/>
  <c r="AX49"/>
  <c r="AN49"/>
  <c r="AM49"/>
  <c r="AL49"/>
  <c r="AK49"/>
  <c r="AA49"/>
  <c r="Z49"/>
  <c r="Y49"/>
  <c r="X49"/>
  <c r="N49"/>
  <c r="BN48"/>
  <c r="BM48"/>
  <c r="BL48"/>
  <c r="BK48"/>
  <c r="BA48"/>
  <c r="AZ48"/>
  <c r="AY48"/>
  <c r="AX48"/>
  <c r="AN48"/>
  <c r="AM48"/>
  <c r="AL48"/>
  <c r="AK48"/>
  <c r="AA48"/>
  <c r="Z48"/>
  <c r="Y48"/>
  <c r="X48"/>
  <c r="N48"/>
  <c r="BN47"/>
  <c r="BM47"/>
  <c r="BL47"/>
  <c r="BK47"/>
  <c r="BA47"/>
  <c r="AZ47"/>
  <c r="AY47"/>
  <c r="AX47"/>
  <c r="AN47"/>
  <c r="AM47"/>
  <c r="AL47"/>
  <c r="AK47"/>
  <c r="AA47"/>
  <c r="Z47"/>
  <c r="Y47"/>
  <c r="X47"/>
  <c r="N47"/>
  <c r="BN46"/>
  <c r="BM46"/>
  <c r="BL46"/>
  <c r="BK46"/>
  <c r="BA46"/>
  <c r="AZ46"/>
  <c r="AY46"/>
  <c r="AX46"/>
  <c r="AN46"/>
  <c r="AM46"/>
  <c r="AL46"/>
  <c r="AK46"/>
  <c r="AA46"/>
  <c r="Z46"/>
  <c r="Y46"/>
  <c r="X46"/>
  <c r="N46"/>
  <c r="BN45"/>
  <c r="BM45"/>
  <c r="BL45"/>
  <c r="BK45"/>
  <c r="BA45"/>
  <c r="AZ45"/>
  <c r="AY45"/>
  <c r="AX45"/>
  <c r="AN45"/>
  <c r="AM45"/>
  <c r="AL45"/>
  <c r="AK45"/>
  <c r="AA45"/>
  <c r="Z45"/>
  <c r="Y45"/>
  <c r="X45"/>
  <c r="N45"/>
  <c r="B45" s="1"/>
  <c r="BN44"/>
  <c r="BM44"/>
  <c r="BL44"/>
  <c r="BK44"/>
  <c r="BA44"/>
  <c r="AZ44"/>
  <c r="AY44"/>
  <c r="AX44"/>
  <c r="AN44"/>
  <c r="AM44"/>
  <c r="AL44"/>
  <c r="AK44"/>
  <c r="AA44"/>
  <c r="Z44"/>
  <c r="Y44"/>
  <c r="X44"/>
  <c r="N44"/>
  <c r="B44" s="1"/>
  <c r="BN43"/>
  <c r="BM43"/>
  <c r="BL43"/>
  <c r="BK43"/>
  <c r="BA43"/>
  <c r="AZ43"/>
  <c r="AY43"/>
  <c r="AX43"/>
  <c r="AN43"/>
  <c r="AM43"/>
  <c r="AL43"/>
  <c r="AK43"/>
  <c r="AA43"/>
  <c r="Z43"/>
  <c r="Y43"/>
  <c r="X43"/>
  <c r="N43"/>
  <c r="BN42"/>
  <c r="BM42"/>
  <c r="BL42"/>
  <c r="BK42"/>
  <c r="BA42"/>
  <c r="AZ42"/>
  <c r="AY42"/>
  <c r="AX42"/>
  <c r="AN42"/>
  <c r="AM42"/>
  <c r="AL42"/>
  <c r="AK42"/>
  <c r="AA42"/>
  <c r="Z42"/>
  <c r="Y42"/>
  <c r="X42"/>
  <c r="N42"/>
  <c r="BN41"/>
  <c r="BM41"/>
  <c r="BL41"/>
  <c r="BK41"/>
  <c r="BA41"/>
  <c r="AZ41"/>
  <c r="AY41"/>
  <c r="AX41"/>
  <c r="AN41"/>
  <c r="AM41"/>
  <c r="AL41"/>
  <c r="AK41"/>
  <c r="AA41"/>
  <c r="Z41"/>
  <c r="Y41"/>
  <c r="X41"/>
  <c r="N41"/>
  <c r="BN40"/>
  <c r="BM40"/>
  <c r="BL40"/>
  <c r="BK40"/>
  <c r="BA40"/>
  <c r="AZ40"/>
  <c r="AY40"/>
  <c r="AX40"/>
  <c r="AN40"/>
  <c r="AM40"/>
  <c r="AL40"/>
  <c r="AK40"/>
  <c r="AA40"/>
  <c r="Z40"/>
  <c r="Y40"/>
  <c r="X40"/>
  <c r="N40"/>
  <c r="B40" s="1"/>
  <c r="BN39"/>
  <c r="BM39"/>
  <c r="BL39"/>
  <c r="BK39"/>
  <c r="BA39"/>
  <c r="AZ39"/>
  <c r="AY39"/>
  <c r="AX39"/>
  <c r="AN39"/>
  <c r="AM39"/>
  <c r="AL39"/>
  <c r="AK39"/>
  <c r="AA39"/>
  <c r="Z39"/>
  <c r="Y39"/>
  <c r="X39"/>
  <c r="N39"/>
  <c r="BN38"/>
  <c r="BM38"/>
  <c r="BL38"/>
  <c r="BK38"/>
  <c r="BA38"/>
  <c r="AZ38"/>
  <c r="AY38"/>
  <c r="AX38"/>
  <c r="AN38"/>
  <c r="AM38"/>
  <c r="AL38"/>
  <c r="AK38"/>
  <c r="AA38"/>
  <c r="Z38"/>
  <c r="Y38"/>
  <c r="X38"/>
  <c r="N38"/>
  <c r="BN37"/>
  <c r="BM37"/>
  <c r="BL37"/>
  <c r="BK37"/>
  <c r="BA37"/>
  <c r="AZ37"/>
  <c r="AY37"/>
  <c r="AX37"/>
  <c r="AN37"/>
  <c r="AM37"/>
  <c r="AL37"/>
  <c r="AK37"/>
  <c r="AA37"/>
  <c r="Z37"/>
  <c r="Y37"/>
  <c r="X37"/>
  <c r="N37"/>
  <c r="BN36"/>
  <c r="BM36"/>
  <c r="BL36"/>
  <c r="BK36"/>
  <c r="BA36"/>
  <c r="AZ36"/>
  <c r="AY36"/>
  <c r="AX36"/>
  <c r="AN36"/>
  <c r="AM36"/>
  <c r="AL36"/>
  <c r="AK36"/>
  <c r="AA36"/>
  <c r="Z36"/>
  <c r="Y36"/>
  <c r="X36"/>
  <c r="N36"/>
  <c r="BN35"/>
  <c r="BM35"/>
  <c r="BL35"/>
  <c r="BK35"/>
  <c r="BA35"/>
  <c r="AZ35"/>
  <c r="AY35"/>
  <c r="AX35"/>
  <c r="AN35"/>
  <c r="AM35"/>
  <c r="AL35"/>
  <c r="AK35"/>
  <c r="AA35"/>
  <c r="Z35"/>
  <c r="Y35"/>
  <c r="X35"/>
  <c r="N35"/>
  <c r="BN34"/>
  <c r="BM34"/>
  <c r="BL34"/>
  <c r="BK34"/>
  <c r="BA34"/>
  <c r="AZ34"/>
  <c r="AY34"/>
  <c r="AX34"/>
  <c r="AN34"/>
  <c r="AM34"/>
  <c r="AL34"/>
  <c r="AK34"/>
  <c r="AA34"/>
  <c r="Z34"/>
  <c r="Y34"/>
  <c r="X34"/>
  <c r="N34"/>
  <c r="BN33"/>
  <c r="BM33"/>
  <c r="BL33"/>
  <c r="BK33"/>
  <c r="BA33"/>
  <c r="AZ33"/>
  <c r="AY33"/>
  <c r="AX33"/>
  <c r="AN33"/>
  <c r="AM33"/>
  <c r="AL33"/>
  <c r="AK33"/>
  <c r="AA33"/>
  <c r="Z33"/>
  <c r="Y33"/>
  <c r="X33"/>
  <c r="N33"/>
  <c r="B33" s="1"/>
  <c r="BN32"/>
  <c r="BM32"/>
  <c r="BL32"/>
  <c r="BK32"/>
  <c r="BA32"/>
  <c r="AZ32"/>
  <c r="AY32"/>
  <c r="AX32"/>
  <c r="AN32"/>
  <c r="AM32"/>
  <c r="AL32"/>
  <c r="AK32"/>
  <c r="AA32"/>
  <c r="Z32"/>
  <c r="Y32"/>
  <c r="X32"/>
  <c r="N32"/>
  <c r="B32" s="1"/>
  <c r="BN31"/>
  <c r="BM31"/>
  <c r="BL31"/>
  <c r="BK31"/>
  <c r="BA31"/>
  <c r="AZ31"/>
  <c r="AY31"/>
  <c r="AX31"/>
  <c r="AN31"/>
  <c r="AM31"/>
  <c r="AL31"/>
  <c r="AK31"/>
  <c r="AA31"/>
  <c r="Z31"/>
  <c r="Y31"/>
  <c r="X31"/>
  <c r="N31"/>
  <c r="BN30"/>
  <c r="BM30"/>
  <c r="BL30"/>
  <c r="BK30"/>
  <c r="BA30"/>
  <c r="AZ30"/>
  <c r="AY30"/>
  <c r="AX30"/>
  <c r="AN30"/>
  <c r="AM30"/>
  <c r="AL30"/>
  <c r="AK30"/>
  <c r="AA30"/>
  <c r="Z30"/>
  <c r="Y30"/>
  <c r="X30"/>
  <c r="N30"/>
  <c r="BN29"/>
  <c r="BM29"/>
  <c r="BL29"/>
  <c r="BK29"/>
  <c r="BA29"/>
  <c r="AZ29"/>
  <c r="AY29"/>
  <c r="AX29"/>
  <c r="AN29"/>
  <c r="AM29"/>
  <c r="AL29"/>
  <c r="AK29"/>
  <c r="AA29"/>
  <c r="Z29"/>
  <c r="Y29"/>
  <c r="X29"/>
  <c r="N29"/>
  <c r="BN28"/>
  <c r="BM28"/>
  <c r="BL28"/>
  <c r="BK28"/>
  <c r="BA28"/>
  <c r="AZ28"/>
  <c r="AY28"/>
  <c r="AX28"/>
  <c r="AN28"/>
  <c r="AM28"/>
  <c r="AL28"/>
  <c r="AK28"/>
  <c r="AA28"/>
  <c r="Z28"/>
  <c r="Y28"/>
  <c r="X28"/>
  <c r="N28"/>
  <c r="BN27"/>
  <c r="BM27"/>
  <c r="BL27"/>
  <c r="BK27"/>
  <c r="BA27"/>
  <c r="AZ27"/>
  <c r="AY27"/>
  <c r="AX27"/>
  <c r="AN27"/>
  <c r="AM27"/>
  <c r="AL27"/>
  <c r="AK27"/>
  <c r="AA27"/>
  <c r="Z27"/>
  <c r="Y27"/>
  <c r="X27"/>
  <c r="N27"/>
  <c r="BN26"/>
  <c r="BM26"/>
  <c r="BL26"/>
  <c r="BK26"/>
  <c r="BA26"/>
  <c r="AZ26"/>
  <c r="AY26"/>
  <c r="AX26"/>
  <c r="AN26"/>
  <c r="AM26"/>
  <c r="AL26"/>
  <c r="AK26"/>
  <c r="AA26"/>
  <c r="Z26"/>
  <c r="Y26"/>
  <c r="X26"/>
  <c r="N26"/>
  <c r="BN25"/>
  <c r="BM25"/>
  <c r="BL25"/>
  <c r="BK25"/>
  <c r="BA25"/>
  <c r="AZ25"/>
  <c r="AY25"/>
  <c r="AX25"/>
  <c r="AN25"/>
  <c r="AM25"/>
  <c r="AL25"/>
  <c r="AK25"/>
  <c r="AA25"/>
  <c r="Z25"/>
  <c r="Y25"/>
  <c r="X25"/>
  <c r="N25"/>
  <c r="BN24"/>
  <c r="BM24"/>
  <c r="BL24"/>
  <c r="BK24"/>
  <c r="BA24"/>
  <c r="AZ24"/>
  <c r="AY24"/>
  <c r="AX24"/>
  <c r="AN24"/>
  <c r="AM24"/>
  <c r="AL24"/>
  <c r="AK24"/>
  <c r="AA24"/>
  <c r="Z24"/>
  <c r="Y24"/>
  <c r="X24"/>
  <c r="N24"/>
  <c r="BN23"/>
  <c r="BM23"/>
  <c r="BL23"/>
  <c r="BK23"/>
  <c r="BA23"/>
  <c r="AZ23"/>
  <c r="AY23"/>
  <c r="AX23"/>
  <c r="AN23"/>
  <c r="AM23"/>
  <c r="AL23"/>
  <c r="AK23"/>
  <c r="AA23"/>
  <c r="Z23"/>
  <c r="Y23"/>
  <c r="X23"/>
  <c r="N23"/>
  <c r="BN22"/>
  <c r="BM22"/>
  <c r="BL22"/>
  <c r="BK22"/>
  <c r="BA22"/>
  <c r="AZ22"/>
  <c r="AY22"/>
  <c r="AX22"/>
  <c r="AN22"/>
  <c r="AM22"/>
  <c r="AL22"/>
  <c r="AK22"/>
  <c r="AA22"/>
  <c r="Z22"/>
  <c r="Y22"/>
  <c r="X22"/>
  <c r="N22"/>
  <c r="BN21"/>
  <c r="BM21"/>
  <c r="BL21"/>
  <c r="BK21"/>
  <c r="BA21"/>
  <c r="AZ21"/>
  <c r="AY21"/>
  <c r="AX21"/>
  <c r="AN21"/>
  <c r="AM21"/>
  <c r="AL21"/>
  <c r="AK21"/>
  <c r="AA21"/>
  <c r="Z21"/>
  <c r="Y21"/>
  <c r="X21"/>
  <c r="N21"/>
  <c r="B21" s="1"/>
  <c r="BN20"/>
  <c r="BM20"/>
  <c r="BL20"/>
  <c r="BK20"/>
  <c r="BA20"/>
  <c r="AZ20"/>
  <c r="AY20"/>
  <c r="AX20"/>
  <c r="AN20"/>
  <c r="AM20"/>
  <c r="AL20"/>
  <c r="AK20"/>
  <c r="AA20"/>
  <c r="Z20"/>
  <c r="Y20"/>
  <c r="X20"/>
  <c r="N20"/>
  <c r="B20" s="1"/>
  <c r="BN19"/>
  <c r="BM19"/>
  <c r="BL19"/>
  <c r="BK19"/>
  <c r="BA19"/>
  <c r="AZ19"/>
  <c r="AY19"/>
  <c r="AX19"/>
  <c r="AN19"/>
  <c r="AM19"/>
  <c r="AL19"/>
  <c r="AK19"/>
  <c r="AA19"/>
  <c r="Z19"/>
  <c r="Y19"/>
  <c r="X19"/>
  <c r="N19"/>
  <c r="BN18"/>
  <c r="BM18"/>
  <c r="BL18"/>
  <c r="BK18"/>
  <c r="BA18"/>
  <c r="AZ18"/>
  <c r="AY18"/>
  <c r="AX18"/>
  <c r="AN18"/>
  <c r="AM18"/>
  <c r="AL18"/>
  <c r="AK18"/>
  <c r="AA18"/>
  <c r="Z18"/>
  <c r="Y18"/>
  <c r="X18"/>
  <c r="N18"/>
  <c r="BN17"/>
  <c r="BM17"/>
  <c r="BL17"/>
  <c r="BK17"/>
  <c r="BA17"/>
  <c r="AZ17"/>
  <c r="AY17"/>
  <c r="AX17"/>
  <c r="AN17"/>
  <c r="AM17"/>
  <c r="AL17"/>
  <c r="AK17"/>
  <c r="AA17"/>
  <c r="Z17"/>
  <c r="Y17"/>
  <c r="X17"/>
  <c r="N17"/>
  <c r="BN16"/>
  <c r="BM16"/>
  <c r="BL16"/>
  <c r="BK16"/>
  <c r="BA16"/>
  <c r="AZ16"/>
  <c r="AY16"/>
  <c r="AX16"/>
  <c r="AN16"/>
  <c r="AM16"/>
  <c r="AL16"/>
  <c r="AK16"/>
  <c r="AA16"/>
  <c r="Z16"/>
  <c r="Y16"/>
  <c r="X16"/>
  <c r="N16"/>
  <c r="BN15"/>
  <c r="BM15"/>
  <c r="BL15"/>
  <c r="BK15"/>
  <c r="BA15"/>
  <c r="AZ15"/>
  <c r="AY15"/>
  <c r="AX15"/>
  <c r="AN15"/>
  <c r="AM15"/>
  <c r="AL15"/>
  <c r="AK15"/>
  <c r="AA15"/>
  <c r="Z15"/>
  <c r="Y15"/>
  <c r="X15"/>
  <c r="N15"/>
  <c r="BN14"/>
  <c r="BM14"/>
  <c r="BL14"/>
  <c r="BK14"/>
  <c r="BA14"/>
  <c r="AZ14"/>
  <c r="AY14"/>
  <c r="AX14"/>
  <c r="AN14"/>
  <c r="AM14"/>
  <c r="AL14"/>
  <c r="AK14"/>
  <c r="AA14"/>
  <c r="Z14"/>
  <c r="Y14"/>
  <c r="X14"/>
  <c r="N14"/>
  <c r="BN13"/>
  <c r="BM13"/>
  <c r="BL13"/>
  <c r="BK13"/>
  <c r="BA13"/>
  <c r="AZ13"/>
  <c r="AY13"/>
  <c r="AX13"/>
  <c r="AN13"/>
  <c r="AM13"/>
  <c r="AL13"/>
  <c r="AK13"/>
  <c r="AA13"/>
  <c r="Z13"/>
  <c r="Y13"/>
  <c r="X13"/>
  <c r="N13"/>
  <c r="B13" s="1"/>
  <c r="BN12"/>
  <c r="BM12"/>
  <c r="BL12"/>
  <c r="BK12"/>
  <c r="BA12"/>
  <c r="AZ12"/>
  <c r="AY12"/>
  <c r="AX12"/>
  <c r="AN12"/>
  <c r="AM12"/>
  <c r="AL12"/>
  <c r="AK12"/>
  <c r="AA12"/>
  <c r="Z12"/>
  <c r="Y12"/>
  <c r="X12"/>
  <c r="N12"/>
  <c r="B12" s="1"/>
  <c r="BN11"/>
  <c r="BM11"/>
  <c r="BL11"/>
  <c r="BK11"/>
  <c r="BA11"/>
  <c r="AZ11"/>
  <c r="AY11"/>
  <c r="AX11"/>
  <c r="AN11"/>
  <c r="AM11"/>
  <c r="AL11"/>
  <c r="AK11"/>
  <c r="AA11"/>
  <c r="Z11"/>
  <c r="Y11"/>
  <c r="X11"/>
  <c r="N11"/>
  <c r="BN10"/>
  <c r="BM10"/>
  <c r="BL10"/>
  <c r="BK10"/>
  <c r="BA10"/>
  <c r="AZ10"/>
  <c r="AY10"/>
  <c r="AX10"/>
  <c r="AN10"/>
  <c r="AM10"/>
  <c r="AL10"/>
  <c r="AK10"/>
  <c r="AA10"/>
  <c r="Z10"/>
  <c r="Y10"/>
  <c r="X10"/>
  <c r="N10"/>
  <c r="B10" s="1"/>
  <c r="BN9"/>
  <c r="BM9"/>
  <c r="BL9"/>
  <c r="BK9"/>
  <c r="BA9"/>
  <c r="AZ9"/>
  <c r="AY9"/>
  <c r="AX9"/>
  <c r="AN9"/>
  <c r="AM9"/>
  <c r="AL9"/>
  <c r="AK9"/>
  <c r="AA9"/>
  <c r="Z9"/>
  <c r="Y9"/>
  <c r="X9"/>
  <c r="N9"/>
  <c r="B9" s="1"/>
  <c r="BN8"/>
  <c r="BM8"/>
  <c r="BL8"/>
  <c r="BK8"/>
  <c r="BA8"/>
  <c r="AZ8"/>
  <c r="AY8"/>
  <c r="AX8"/>
  <c r="AN8"/>
  <c r="AM8"/>
  <c r="AL8"/>
  <c r="AK8"/>
  <c r="AA8"/>
  <c r="Z8"/>
  <c r="Y8"/>
  <c r="X8"/>
  <c r="N8"/>
  <c r="A8" s="1"/>
  <c r="BN7"/>
  <c r="BM7"/>
  <c r="BL7"/>
  <c r="BK7"/>
  <c r="BA7"/>
  <c r="AZ7"/>
  <c r="AY7"/>
  <c r="AX7"/>
  <c r="AN7"/>
  <c r="AM7"/>
  <c r="AL7"/>
  <c r="AK7"/>
  <c r="AA7"/>
  <c r="Z7"/>
  <c r="Y7"/>
  <c r="X7"/>
  <c r="N7"/>
  <c r="D164" i="2"/>
  <c r="C164"/>
  <c r="B164"/>
  <c r="A164"/>
  <c r="D163"/>
  <c r="C163"/>
  <c r="B163"/>
  <c r="A163"/>
  <c r="D162"/>
  <c r="C162"/>
  <c r="B162"/>
  <c r="A162"/>
  <c r="D161"/>
  <c r="C161"/>
  <c r="B161"/>
  <c r="A161"/>
  <c r="D160"/>
  <c r="C160"/>
  <c r="B160"/>
  <c r="A160"/>
  <c r="D159"/>
  <c r="C159"/>
  <c r="B159"/>
  <c r="A159"/>
  <c r="D158"/>
  <c r="C158"/>
  <c r="B158"/>
  <c r="A158"/>
  <c r="D157"/>
  <c r="C157"/>
  <c r="B157"/>
  <c r="A157"/>
  <c r="D156"/>
  <c r="C156"/>
  <c r="B156"/>
  <c r="A156"/>
  <c r="D155"/>
  <c r="C155"/>
  <c r="B155"/>
  <c r="A155"/>
  <c r="D154"/>
  <c r="C154"/>
  <c r="B154"/>
  <c r="A154"/>
  <c r="D153"/>
  <c r="C153"/>
  <c r="B153"/>
  <c r="A153"/>
  <c r="D152"/>
  <c r="C152"/>
  <c r="B152"/>
  <c r="A152"/>
  <c r="D151"/>
  <c r="C151"/>
  <c r="B151"/>
  <c r="A151"/>
  <c r="D150"/>
  <c r="C150"/>
  <c r="B150"/>
  <c r="A150"/>
  <c r="D149"/>
  <c r="C149"/>
  <c r="B149"/>
  <c r="A149"/>
  <c r="D148"/>
  <c r="C148"/>
  <c r="B148"/>
  <c r="A148"/>
  <c r="D147"/>
  <c r="C147"/>
  <c r="B147"/>
  <c r="A147"/>
  <c r="D146"/>
  <c r="C146"/>
  <c r="B146"/>
  <c r="A146"/>
  <c r="D145"/>
  <c r="C145"/>
  <c r="B145"/>
  <c r="A145"/>
  <c r="D144"/>
  <c r="C144"/>
  <c r="B144"/>
  <c r="A144"/>
  <c r="D143"/>
  <c r="C143"/>
  <c r="B143"/>
  <c r="A143"/>
  <c r="D142"/>
  <c r="C142"/>
  <c r="B142"/>
  <c r="A142"/>
  <c r="D141"/>
  <c r="C141"/>
  <c r="B141"/>
  <c r="A141"/>
  <c r="D140"/>
  <c r="C140"/>
  <c r="B140"/>
  <c r="A140"/>
  <c r="D139"/>
  <c r="C139"/>
  <c r="B139"/>
  <c r="A139"/>
  <c r="D138"/>
  <c r="C138"/>
  <c r="B138"/>
  <c r="A138"/>
  <c r="D137"/>
  <c r="C137"/>
  <c r="B137"/>
  <c r="A137"/>
  <c r="D136"/>
  <c r="C136"/>
  <c r="B136"/>
  <c r="A136"/>
  <c r="D135"/>
  <c r="C135"/>
  <c r="B135"/>
  <c r="A135"/>
  <c r="D134"/>
  <c r="C134"/>
  <c r="B134"/>
  <c r="A134"/>
  <c r="D133"/>
  <c r="C133"/>
  <c r="B133"/>
  <c r="A133"/>
  <c r="D132"/>
  <c r="C132"/>
  <c r="B132"/>
  <c r="A132"/>
  <c r="D131"/>
  <c r="C131"/>
  <c r="B131"/>
  <c r="A131"/>
  <c r="D130"/>
  <c r="C130"/>
  <c r="B130"/>
  <c r="A130"/>
  <c r="D129"/>
  <c r="C129"/>
  <c r="B129"/>
  <c r="A129"/>
  <c r="D128"/>
  <c r="C128"/>
  <c r="B128"/>
  <c r="A128"/>
  <c r="D127"/>
  <c r="C127"/>
  <c r="B127"/>
  <c r="A127"/>
  <c r="D126"/>
  <c r="C126"/>
  <c r="B126"/>
  <c r="A126"/>
  <c r="D125"/>
  <c r="C125"/>
  <c r="B125"/>
  <c r="A125"/>
  <c r="D124"/>
  <c r="C124"/>
  <c r="B124"/>
  <c r="A124"/>
  <c r="D123"/>
  <c r="C123"/>
  <c r="B123"/>
  <c r="A123"/>
  <c r="D122"/>
  <c r="C122"/>
  <c r="B122"/>
  <c r="A122"/>
  <c r="D121"/>
  <c r="C121"/>
  <c r="B121"/>
  <c r="A121"/>
  <c r="D120"/>
  <c r="C120"/>
  <c r="B120"/>
  <c r="A120"/>
  <c r="D119"/>
  <c r="C119"/>
  <c r="B119"/>
  <c r="A119"/>
  <c r="D118"/>
  <c r="C118"/>
  <c r="B118"/>
  <c r="A118"/>
  <c r="D117"/>
  <c r="C117"/>
  <c r="B117"/>
  <c r="A117"/>
  <c r="D116"/>
  <c r="C116"/>
  <c r="B116"/>
  <c r="A116"/>
  <c r="D115"/>
  <c r="C115"/>
  <c r="B115"/>
  <c r="A115"/>
  <c r="D114"/>
  <c r="C114"/>
  <c r="B114"/>
  <c r="A114"/>
  <c r="C113"/>
  <c r="B113"/>
  <c r="A113"/>
  <c r="C112"/>
  <c r="B112"/>
  <c r="A112"/>
  <c r="C11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AB231" i="1" l="1"/>
  <c r="AO231"/>
  <c r="BB231"/>
  <c r="BO231"/>
  <c r="AB235"/>
  <c r="AO235"/>
  <c r="BB235"/>
  <c r="BO235"/>
  <c r="AB239"/>
  <c r="AO239"/>
  <c r="BB239"/>
  <c r="BO239"/>
  <c r="AB243"/>
  <c r="AO243"/>
  <c r="BB243"/>
  <c r="BO243"/>
  <c r="AB247"/>
  <c r="AO247"/>
  <c r="BB247"/>
  <c r="BO247"/>
  <c r="AB282"/>
  <c r="AO282"/>
  <c r="BB282"/>
  <c r="AB286"/>
  <c r="AO286"/>
  <c r="BB286"/>
  <c r="BO286"/>
  <c r="AB290"/>
  <c r="AO290"/>
  <c r="BB290"/>
  <c r="BO290"/>
  <c r="AB251"/>
  <c r="AO251"/>
  <c r="BB251"/>
  <c r="BO251"/>
  <c r="AB255"/>
  <c r="AO255"/>
  <c r="BB255"/>
  <c r="BO255"/>
  <c r="AB259"/>
  <c r="AB151"/>
  <c r="AO151"/>
  <c r="BB151"/>
  <c r="BO151"/>
  <c r="BB155"/>
  <c r="BO155"/>
  <c r="AB158"/>
  <c r="BO158"/>
  <c r="BB162"/>
  <c r="BO162"/>
  <c r="AB166"/>
  <c r="AO166"/>
  <c r="BB166"/>
  <c r="BO166"/>
  <c r="AB169"/>
  <c r="AO169"/>
  <c r="BB169"/>
  <c r="BO169"/>
  <c r="AO259"/>
  <c r="BB259"/>
  <c r="BO259"/>
  <c r="AB263"/>
  <c r="AO263"/>
  <c r="BB263"/>
  <c r="BO263"/>
  <c r="AB267"/>
  <c r="AO267"/>
  <c r="BB267"/>
  <c r="BO267"/>
  <c r="AB271"/>
  <c r="AO271"/>
  <c r="AB211"/>
  <c r="AO211"/>
  <c r="BB211"/>
  <c r="BO211"/>
  <c r="AB214"/>
  <c r="AB32"/>
  <c r="AO32"/>
  <c r="BB32"/>
  <c r="BO32"/>
  <c r="AB35"/>
  <c r="AO35"/>
  <c r="BB35"/>
  <c r="BO35"/>
  <c r="AB39"/>
  <c r="AO39"/>
  <c r="BB39"/>
  <c r="BO39"/>
  <c r="AB42"/>
  <c r="AO42"/>
  <c r="BB42"/>
  <c r="BO42"/>
  <c r="AB103"/>
  <c r="AO103"/>
  <c r="BB103"/>
  <c r="BO103"/>
  <c r="AB107"/>
  <c r="AO107"/>
  <c r="BB107"/>
  <c r="BO107"/>
  <c r="AB110"/>
  <c r="AO110"/>
  <c r="BB110"/>
  <c r="BO110"/>
  <c r="AB114"/>
  <c r="AO114"/>
  <c r="BB114"/>
  <c r="BO114"/>
  <c r="AB221"/>
  <c r="AO221"/>
  <c r="BB221"/>
  <c r="BO221"/>
  <c r="A14"/>
  <c r="AB9"/>
  <c r="BO9"/>
  <c r="AO48"/>
  <c r="BO48"/>
  <c r="AB12"/>
  <c r="AO12"/>
  <c r="BB12"/>
  <c r="AB15"/>
  <c r="BB15"/>
  <c r="BO15"/>
  <c r="AB19"/>
  <c r="AO19"/>
  <c r="BB19"/>
  <c r="BO19"/>
  <c r="AB54"/>
  <c r="AO54"/>
  <c r="BB54"/>
  <c r="BO54"/>
  <c r="AB58"/>
  <c r="AO58"/>
  <c r="BB58"/>
  <c r="BO58"/>
  <c r="AB62"/>
  <c r="AO62"/>
  <c r="BB62"/>
  <c r="BO62"/>
  <c r="AB65"/>
  <c r="AO65"/>
  <c r="BB65"/>
  <c r="BO65"/>
  <c r="AB69"/>
  <c r="AO69"/>
  <c r="BB69"/>
  <c r="BO69"/>
  <c r="AB73"/>
  <c r="AO73"/>
  <c r="BB73"/>
  <c r="BO73"/>
  <c r="AB76"/>
  <c r="AO76"/>
  <c r="BB76"/>
  <c r="BO76"/>
  <c r="AB80"/>
  <c r="AO80"/>
  <c r="BB80"/>
  <c r="BO80"/>
  <c r="AB179"/>
  <c r="AO179"/>
  <c r="AB190"/>
  <c r="AO190"/>
  <c r="BB190"/>
  <c r="BO190"/>
  <c r="AB193"/>
  <c r="AO193"/>
  <c r="BB193"/>
  <c r="BO193"/>
  <c r="AB224"/>
  <c r="AO224"/>
  <c r="BB224"/>
  <c r="BO224"/>
  <c r="AB21"/>
  <c r="AO21"/>
  <c r="BO25"/>
  <c r="AB29"/>
  <c r="AO29"/>
  <c r="BB29"/>
  <c r="BO29"/>
  <c r="AB83"/>
  <c r="AO83"/>
  <c r="BB83"/>
  <c r="BO83"/>
  <c r="AB86"/>
  <c r="AO86"/>
  <c r="BB86"/>
  <c r="BO86"/>
  <c r="AB90"/>
  <c r="AO90"/>
  <c r="BB90"/>
  <c r="BO90"/>
  <c r="AB93"/>
  <c r="AO93"/>
  <c r="BB93"/>
  <c r="BO93"/>
  <c r="AB97"/>
  <c r="AO97"/>
  <c r="BB97"/>
  <c r="BO97"/>
  <c r="AO122"/>
  <c r="BB122"/>
  <c r="BO122"/>
  <c r="AB126"/>
  <c r="AO126"/>
  <c r="BB126"/>
  <c r="AB130"/>
  <c r="BB130"/>
  <c r="BO130"/>
  <c r="AO133"/>
  <c r="BB133"/>
  <c r="BO133"/>
  <c r="AO137"/>
  <c r="BB137"/>
  <c r="BO137"/>
  <c r="AB141"/>
  <c r="AO141"/>
  <c r="BB144"/>
  <c r="BO144"/>
  <c r="AB196"/>
  <c r="AO196"/>
  <c r="BB196"/>
  <c r="BO196"/>
  <c r="AB200"/>
  <c r="AO200"/>
  <c r="BB200"/>
  <c r="BO200"/>
  <c r="AB204"/>
  <c r="AO204"/>
  <c r="BB204"/>
  <c r="BO204"/>
  <c r="BB271"/>
  <c r="BO271"/>
  <c r="AB275"/>
  <c r="AO275"/>
  <c r="BB275"/>
  <c r="BO275"/>
  <c r="AB279"/>
  <c r="AO279"/>
  <c r="BB279"/>
  <c r="BO279"/>
  <c r="AB283"/>
  <c r="AB287"/>
  <c r="AB48"/>
  <c r="BB48"/>
  <c r="AB116"/>
  <c r="AO116"/>
  <c r="BB116"/>
  <c r="BO116"/>
  <c r="AB172"/>
  <c r="AO172"/>
  <c r="BB172"/>
  <c r="BO172"/>
  <c r="AB217"/>
  <c r="AO217"/>
  <c r="BB217"/>
  <c r="BO217"/>
  <c r="AO214"/>
  <c r="BB214"/>
  <c r="BO214"/>
  <c r="AB218"/>
  <c r="AO218"/>
  <c r="BB218"/>
  <c r="BO218"/>
  <c r="AB222"/>
  <c r="AO222"/>
  <c r="BB222"/>
  <c r="BO222"/>
  <c r="AB225"/>
  <c r="AO225"/>
  <c r="BB225"/>
  <c r="BO225"/>
  <c r="AB228"/>
  <c r="AO228"/>
  <c r="BB228"/>
  <c r="BO228"/>
  <c r="AB232"/>
  <c r="AO232"/>
  <c r="BB232"/>
  <c r="BO232"/>
  <c r="AB236"/>
  <c r="AO236"/>
  <c r="BB236"/>
  <c r="BO236"/>
  <c r="AB240"/>
  <c r="AO240"/>
  <c r="BB240"/>
  <c r="BO240"/>
  <c r="AB244"/>
  <c r="AO244"/>
  <c r="BB244"/>
  <c r="BO244"/>
  <c r="AB248"/>
  <c r="AO248"/>
  <c r="BB248"/>
  <c r="BO248"/>
  <c r="AB252"/>
  <c r="AO252"/>
  <c r="BB252"/>
  <c r="BO252"/>
  <c r="AB256"/>
  <c r="AO256"/>
  <c r="BB256"/>
  <c r="BO256"/>
  <c r="AB260"/>
  <c r="AO260"/>
  <c r="BB260"/>
  <c r="BO260"/>
  <c r="AB264"/>
  <c r="AO264"/>
  <c r="BB264"/>
  <c r="BO264"/>
  <c r="AB268"/>
  <c r="AO268"/>
  <c r="BB268"/>
  <c r="BO268"/>
  <c r="AB272"/>
  <c r="AO272"/>
  <c r="BB272"/>
  <c r="BO272"/>
  <c r="AB276"/>
  <c r="AO276"/>
  <c r="BB276"/>
  <c r="BO276"/>
  <c r="AB280"/>
  <c r="AO280"/>
  <c r="BB280"/>
  <c r="BO280"/>
  <c r="AB284"/>
  <c r="AO284"/>
  <c r="BB284"/>
  <c r="BO284"/>
  <c r="AB288"/>
  <c r="AO288"/>
  <c r="BB288"/>
  <c r="BO288"/>
  <c r="AB8"/>
  <c r="BO8"/>
  <c r="AO14"/>
  <c r="BB14"/>
  <c r="AB18"/>
  <c r="BO18"/>
  <c r="AB24"/>
  <c r="AO24"/>
  <c r="BO24"/>
  <c r="AB28"/>
  <c r="AO28"/>
  <c r="BB28"/>
  <c r="BO28"/>
  <c r="AB34"/>
  <c r="AO34"/>
  <c r="BB34"/>
  <c r="BO34"/>
  <c r="AB38"/>
  <c r="AO38"/>
  <c r="BB38"/>
  <c r="BO38"/>
  <c r="AB41"/>
  <c r="AO41"/>
  <c r="BB41"/>
  <c r="BO41"/>
  <c r="AB44"/>
  <c r="AO44"/>
  <c r="BB44"/>
  <c r="BO44"/>
  <c r="AB47"/>
  <c r="AO47"/>
  <c r="BB47"/>
  <c r="BO47"/>
  <c r="AB51"/>
  <c r="AO51"/>
  <c r="BB51"/>
  <c r="BO51"/>
  <c r="AB53"/>
  <c r="AO53"/>
  <c r="BB53"/>
  <c r="BO53"/>
  <c r="AB57"/>
  <c r="AO57"/>
  <c r="BB57"/>
  <c r="BO57"/>
  <c r="AB61"/>
  <c r="AO61"/>
  <c r="BB61"/>
  <c r="BO61"/>
  <c r="AB64"/>
  <c r="AO64"/>
  <c r="BB64"/>
  <c r="BO64"/>
  <c r="AB68"/>
  <c r="AO68"/>
  <c r="BB68"/>
  <c r="BO68"/>
  <c r="AB72"/>
  <c r="AO72"/>
  <c r="BB72"/>
  <c r="BO72"/>
  <c r="AB75"/>
  <c r="AO75"/>
  <c r="BB75"/>
  <c r="BO75"/>
  <c r="AB79"/>
  <c r="AO79"/>
  <c r="BB79"/>
  <c r="BO79"/>
  <c r="AB85"/>
  <c r="AO85"/>
  <c r="BB85"/>
  <c r="BO85"/>
  <c r="AB89"/>
  <c r="AO89"/>
  <c r="BB89"/>
  <c r="BO89"/>
  <c r="AB92"/>
  <c r="AO92"/>
  <c r="BB92"/>
  <c r="BO92"/>
  <c r="AB96"/>
  <c r="AO96"/>
  <c r="BB96"/>
  <c r="BO96"/>
  <c r="AB99"/>
  <c r="AO99"/>
  <c r="BB99"/>
  <c r="BO99"/>
  <c r="AB102"/>
  <c r="AO102"/>
  <c r="BB102"/>
  <c r="BO102"/>
  <c r="AB106"/>
  <c r="AO106"/>
  <c r="BB106"/>
  <c r="BO106"/>
  <c r="AB109"/>
  <c r="AO109"/>
  <c r="BB109"/>
  <c r="BO109"/>
  <c r="AB113"/>
  <c r="AO113"/>
  <c r="BB113"/>
  <c r="BO113"/>
  <c r="AB119"/>
  <c r="AO119"/>
  <c r="BB119"/>
  <c r="AB125"/>
  <c r="AO125"/>
  <c r="BO125"/>
  <c r="AB129"/>
  <c r="BB129"/>
  <c r="BO129"/>
  <c r="AB132"/>
  <c r="AO132"/>
  <c r="AB136"/>
  <c r="AO136"/>
  <c r="AB140"/>
  <c r="BO140"/>
  <c r="AO143"/>
  <c r="BB143"/>
  <c r="AO147"/>
  <c r="BB147"/>
  <c r="AB150"/>
  <c r="AO150"/>
  <c r="BB150"/>
  <c r="BO150"/>
  <c r="AB154"/>
  <c r="AO154"/>
  <c r="BO154"/>
  <c r="AB157"/>
  <c r="AO157"/>
  <c r="BB157"/>
  <c r="BO157"/>
  <c r="AO161"/>
  <c r="BB161"/>
  <c r="BO161"/>
  <c r="AB165"/>
  <c r="AO165"/>
  <c r="BB165"/>
  <c r="BO165"/>
  <c r="AB168"/>
  <c r="AO168"/>
  <c r="BB168"/>
  <c r="BO168"/>
  <c r="AB175"/>
  <c r="AO175"/>
  <c r="AB189"/>
  <c r="AO189"/>
  <c r="BB189"/>
  <c r="BO189"/>
  <c r="AB192"/>
  <c r="AO192"/>
  <c r="BB192"/>
  <c r="BO192"/>
  <c r="AB199"/>
  <c r="AO199"/>
  <c r="BB199"/>
  <c r="BO199"/>
  <c r="AB203"/>
  <c r="AO203"/>
  <c r="BB203"/>
  <c r="BO203"/>
  <c r="AB207"/>
  <c r="AO207"/>
  <c r="BB207"/>
  <c r="BO207"/>
  <c r="AB210"/>
  <c r="AO210"/>
  <c r="BB210"/>
  <c r="BO210"/>
  <c r="AB213"/>
  <c r="AO213"/>
  <c r="BB213"/>
  <c r="BO213"/>
  <c r="AO283"/>
  <c r="BB283"/>
  <c r="BO283"/>
  <c r="AO287"/>
  <c r="BB287"/>
  <c r="BO287"/>
  <c r="A27"/>
  <c r="AB11"/>
  <c r="AO11"/>
  <c r="AB13"/>
  <c r="AO13"/>
  <c r="BB13"/>
  <c r="BO13"/>
  <c r="BB17"/>
  <c r="BO17"/>
  <c r="AB20"/>
  <c r="AO20"/>
  <c r="BB23"/>
  <c r="BO23"/>
  <c r="AO27"/>
  <c r="BB27"/>
  <c r="BO27"/>
  <c r="AB31"/>
  <c r="AO31"/>
  <c r="BB31"/>
  <c r="BO31"/>
  <c r="AB33"/>
  <c r="AO33"/>
  <c r="BB33"/>
  <c r="BO33"/>
  <c r="AB37"/>
  <c r="AO37"/>
  <c r="BB37"/>
  <c r="BO37"/>
  <c r="AB40"/>
  <c r="AO40"/>
  <c r="BB40"/>
  <c r="BO40"/>
  <c r="AB46"/>
  <c r="AO46"/>
  <c r="BB46"/>
  <c r="BO46"/>
  <c r="AB50"/>
  <c r="AO50"/>
  <c r="BB50"/>
  <c r="BO50"/>
  <c r="AB56"/>
  <c r="AO56"/>
  <c r="BB56"/>
  <c r="BO56"/>
  <c r="AB60"/>
  <c r="AO60"/>
  <c r="BB60"/>
  <c r="BO60"/>
  <c r="AB67"/>
  <c r="AO67"/>
  <c r="BB67"/>
  <c r="BO67"/>
  <c r="AB71"/>
  <c r="AO71"/>
  <c r="BB71"/>
  <c r="BO71"/>
  <c r="AB78"/>
  <c r="AO78"/>
  <c r="BB78"/>
  <c r="BO78"/>
  <c r="AB82"/>
  <c r="AO82"/>
  <c r="BB82"/>
  <c r="BO82"/>
  <c r="AB84"/>
  <c r="AO84"/>
  <c r="BB84"/>
  <c r="BO84"/>
  <c r="AB88"/>
  <c r="AO88"/>
  <c r="BB88"/>
  <c r="BO88"/>
  <c r="AB91"/>
  <c r="AO91"/>
  <c r="BB91"/>
  <c r="BO91"/>
  <c r="AB95"/>
  <c r="AO95"/>
  <c r="BB95"/>
  <c r="BO95"/>
  <c r="AB101"/>
  <c r="AO101"/>
  <c r="BB101"/>
  <c r="BO101"/>
  <c r="AB105"/>
  <c r="AO105"/>
  <c r="BB105"/>
  <c r="BO105"/>
  <c r="AB108"/>
  <c r="AO108"/>
  <c r="BB108"/>
  <c r="BO108"/>
  <c r="AB112"/>
  <c r="AO112"/>
  <c r="BB112"/>
  <c r="BO112"/>
  <c r="AB115"/>
  <c r="AO115"/>
  <c r="BB115"/>
  <c r="BO115"/>
  <c r="AB118"/>
  <c r="AO118"/>
  <c r="BB118"/>
  <c r="BO118"/>
  <c r="AO121"/>
  <c r="BB121"/>
  <c r="BO121"/>
  <c r="AB124"/>
  <c r="BB124"/>
  <c r="BO124"/>
  <c r="AO128"/>
  <c r="BB128"/>
  <c r="BO128"/>
  <c r="AB135"/>
  <c r="BO135"/>
  <c r="AB139"/>
  <c r="BO139"/>
  <c r="AB142"/>
  <c r="AO142"/>
  <c r="BB142"/>
  <c r="BO142"/>
  <c r="AB146"/>
  <c r="AO146"/>
  <c r="BB146"/>
  <c r="BO146"/>
  <c r="AB149"/>
  <c r="AO149"/>
  <c r="BB149"/>
  <c r="BO149"/>
  <c r="AB153"/>
  <c r="AO153"/>
  <c r="BB153"/>
  <c r="BO153"/>
  <c r="BB156"/>
  <c r="BO156"/>
  <c r="AB160"/>
  <c r="AO160"/>
  <c r="BB160"/>
  <c r="BO160"/>
  <c r="AB164"/>
  <c r="AO164"/>
  <c r="BB164"/>
  <c r="BO164"/>
  <c r="AB171"/>
  <c r="AO171"/>
  <c r="BB171"/>
  <c r="BO171"/>
  <c r="AB174"/>
  <c r="AO174"/>
  <c r="BB174"/>
  <c r="BO174"/>
  <c r="AB184"/>
  <c r="AO184"/>
  <c r="AB188"/>
  <c r="AO188"/>
  <c r="BB188"/>
  <c r="BO188"/>
  <c r="AB195"/>
  <c r="AO195"/>
  <c r="BB195"/>
  <c r="BO195"/>
  <c r="AB198"/>
  <c r="AO198"/>
  <c r="BB198"/>
  <c r="BO198"/>
  <c r="AB202"/>
  <c r="AO202"/>
  <c r="BB202"/>
  <c r="BO202"/>
  <c r="AB206"/>
  <c r="AO206"/>
  <c r="BB206"/>
  <c r="BO206"/>
  <c r="AB209"/>
  <c r="AO209"/>
  <c r="BB209"/>
  <c r="BO209"/>
  <c r="AB212"/>
  <c r="AO212"/>
  <c r="BB212"/>
  <c r="BO212"/>
  <c r="AB216"/>
  <c r="AO216"/>
  <c r="BB216"/>
  <c r="BO216"/>
  <c r="AB220"/>
  <c r="AO220"/>
  <c r="BB220"/>
  <c r="BO220"/>
  <c r="AB227"/>
  <c r="AO227"/>
  <c r="BB227"/>
  <c r="BO227"/>
  <c r="AB230"/>
  <c r="AO230"/>
  <c r="BB230"/>
  <c r="BO230"/>
  <c r="AB234"/>
  <c r="AO234"/>
  <c r="BB234"/>
  <c r="BO234"/>
  <c r="AB238"/>
  <c r="AO238"/>
  <c r="BB238"/>
  <c r="BO238"/>
  <c r="AB242"/>
  <c r="AO242"/>
  <c r="BB242"/>
  <c r="BO242"/>
  <c r="AB246"/>
  <c r="AO246"/>
  <c r="BB246"/>
  <c r="BO246"/>
  <c r="AB250"/>
  <c r="AO250"/>
  <c r="BB250"/>
  <c r="BO250"/>
  <c r="AB254"/>
  <c r="AO254"/>
  <c r="BB254"/>
  <c r="BO254"/>
  <c r="AB258"/>
  <c r="AO258"/>
  <c r="BB258"/>
  <c r="BO258"/>
  <c r="AB262"/>
  <c r="AO262"/>
  <c r="BB262"/>
  <c r="BO262"/>
  <c r="AB266"/>
  <c r="AO266"/>
  <c r="BB266"/>
  <c r="BO266"/>
  <c r="AB270"/>
  <c r="AO270"/>
  <c r="BB270"/>
  <c r="BO270"/>
  <c r="AB274"/>
  <c r="AO274"/>
  <c r="BB274"/>
  <c r="BO274"/>
  <c r="AB278"/>
  <c r="AO278"/>
  <c r="BB278"/>
  <c r="BO278"/>
  <c r="BO282"/>
  <c r="AB7"/>
  <c r="BO7"/>
  <c r="AB10"/>
  <c r="BO10"/>
  <c r="BB16"/>
  <c r="BO16"/>
  <c r="AO22"/>
  <c r="BB22"/>
  <c r="BO22"/>
  <c r="AB26"/>
  <c r="AO26"/>
  <c r="BB26"/>
  <c r="BO26"/>
  <c r="AB30"/>
  <c r="AO30"/>
  <c r="BB30"/>
  <c r="BO30"/>
  <c r="AB36"/>
  <c r="AO36"/>
  <c r="BB36"/>
  <c r="BO36"/>
  <c r="AB43"/>
  <c r="AO43"/>
  <c r="BB43"/>
  <c r="BO43"/>
  <c r="AB45"/>
  <c r="AO45"/>
  <c r="BB45"/>
  <c r="BO45"/>
  <c r="AB49"/>
  <c r="AO49"/>
  <c r="BB49"/>
  <c r="BO49"/>
  <c r="AB52"/>
  <c r="AO52"/>
  <c r="BB52"/>
  <c r="BO52"/>
  <c r="AB55"/>
  <c r="AO55"/>
  <c r="BB55"/>
  <c r="BO55"/>
  <c r="AB59"/>
  <c r="AO59"/>
  <c r="BB59"/>
  <c r="BO59"/>
  <c r="AB63"/>
  <c r="AO63"/>
  <c r="BB63"/>
  <c r="BO63"/>
  <c r="AB66"/>
  <c r="AO66"/>
  <c r="BB66"/>
  <c r="BO66"/>
  <c r="AB70"/>
  <c r="AO70"/>
  <c r="BB70"/>
  <c r="BO70"/>
  <c r="AB74"/>
  <c r="AO74"/>
  <c r="BB74"/>
  <c r="BO74"/>
  <c r="AB77"/>
  <c r="AO77"/>
  <c r="BB77"/>
  <c r="BO77"/>
  <c r="AB81"/>
  <c r="AO81"/>
  <c r="BB81"/>
  <c r="BO81"/>
  <c r="AB87"/>
  <c r="AO87"/>
  <c r="BB87"/>
  <c r="BO87"/>
  <c r="AB94"/>
  <c r="AO94"/>
  <c r="BB94"/>
  <c r="BO94"/>
  <c r="AB98"/>
  <c r="AO98"/>
  <c r="BB98"/>
  <c r="BO98"/>
  <c r="AB104"/>
  <c r="AO104"/>
  <c r="BB104"/>
  <c r="BO104"/>
  <c r="AB111"/>
  <c r="AO111"/>
  <c r="BB111"/>
  <c r="BO111"/>
  <c r="AB117"/>
  <c r="AO117"/>
  <c r="BB117"/>
  <c r="BO117"/>
  <c r="AB120"/>
  <c r="AO120"/>
  <c r="BB120"/>
  <c r="AB123"/>
  <c r="BB123"/>
  <c r="BO123"/>
  <c r="AO127"/>
  <c r="BB127"/>
  <c r="BO127"/>
  <c r="AB131"/>
  <c r="AO131"/>
  <c r="BB134"/>
  <c r="BO134"/>
  <c r="BB138"/>
  <c r="BO138"/>
  <c r="AB145"/>
  <c r="BO145"/>
  <c r="AB148"/>
  <c r="AO148"/>
  <c r="BB148"/>
  <c r="AB152"/>
  <c r="AO152"/>
  <c r="BB152"/>
  <c r="BO152"/>
  <c r="AB159"/>
  <c r="AB163"/>
  <c r="AO163"/>
  <c r="BB163"/>
  <c r="BO163"/>
  <c r="AB167"/>
  <c r="AO167"/>
  <c r="BB167"/>
  <c r="BO167"/>
  <c r="AB170"/>
  <c r="AO170"/>
  <c r="BB170"/>
  <c r="BO170"/>
  <c r="AB173"/>
  <c r="AO173"/>
  <c r="BB173"/>
  <c r="BO173"/>
  <c r="AB187"/>
  <c r="AO187"/>
  <c r="BB187"/>
  <c r="BO187"/>
  <c r="AB191"/>
  <c r="AO191"/>
  <c r="BB191"/>
  <c r="BO191"/>
  <c r="AB194"/>
  <c r="AO194"/>
  <c r="BB194"/>
  <c r="BO194"/>
  <c r="AB197"/>
  <c r="AO197"/>
  <c r="BB197"/>
  <c r="BO197"/>
  <c r="AB201"/>
  <c r="AO201"/>
  <c r="BB201"/>
  <c r="BO201"/>
  <c r="AB205"/>
  <c r="AO205"/>
  <c r="BB205"/>
  <c r="BO205"/>
  <c r="AB208"/>
  <c r="AO208"/>
  <c r="BB208"/>
  <c r="BO208"/>
  <c r="AB215"/>
  <c r="AO215"/>
  <c r="BB215"/>
  <c r="BO215"/>
  <c r="AB219"/>
  <c r="AO219"/>
  <c r="BB219"/>
  <c r="BO219"/>
  <c r="AB223"/>
  <c r="AO223"/>
  <c r="BB223"/>
  <c r="BO223"/>
  <c r="AB226"/>
  <c r="AO226"/>
  <c r="BB226"/>
  <c r="BO226"/>
  <c r="AB229"/>
  <c r="AO229"/>
  <c r="BB229"/>
  <c r="BO229"/>
  <c r="AB233"/>
  <c r="AO233"/>
  <c r="BB233"/>
  <c r="BO233"/>
  <c r="AB237"/>
  <c r="AO237"/>
  <c r="BB237"/>
  <c r="BO237"/>
  <c r="AB241"/>
  <c r="AO241"/>
  <c r="BB241"/>
  <c r="BO241"/>
  <c r="AB245"/>
  <c r="AO245"/>
  <c r="BB245"/>
  <c r="BO245"/>
  <c r="AB249"/>
  <c r="AO249"/>
  <c r="BB249"/>
  <c r="BO249"/>
  <c r="AB257"/>
  <c r="AO257"/>
  <c r="BB257"/>
  <c r="BO257"/>
  <c r="AB261"/>
  <c r="AO261"/>
  <c r="BB261"/>
  <c r="BO261"/>
  <c r="AB265"/>
  <c r="AO265"/>
  <c r="BB265"/>
  <c r="BO265"/>
  <c r="AB269"/>
  <c r="AO269"/>
  <c r="BB269"/>
  <c r="BO269"/>
  <c r="AB273"/>
  <c r="AO273"/>
  <c r="BB273"/>
  <c r="BO273"/>
  <c r="AB277"/>
  <c r="AO277"/>
  <c r="BB277"/>
  <c r="BO277"/>
  <c r="AB281"/>
  <c r="AO281"/>
  <c r="BB281"/>
  <c r="BO281"/>
  <c r="AB285"/>
  <c r="AO285"/>
  <c r="BB285"/>
  <c r="BO285"/>
  <c r="AB289"/>
  <c r="AO289"/>
  <c r="BB289"/>
  <c r="BO289"/>
  <c r="AO7"/>
  <c r="BB7"/>
  <c r="AO8"/>
  <c r="BB8"/>
  <c r="AO9"/>
  <c r="BB9"/>
  <c r="AO10"/>
  <c r="BB10"/>
  <c r="BO14"/>
  <c r="A18"/>
  <c r="BB20"/>
  <c r="BO20"/>
  <c r="A21"/>
  <c r="C21" s="1"/>
  <c r="AB22"/>
  <c r="AB23"/>
  <c r="AO23"/>
  <c r="AB25"/>
  <c r="AO25"/>
  <c r="BB25"/>
  <c r="A36"/>
  <c r="A49"/>
  <c r="A55"/>
  <c r="A66"/>
  <c r="A70"/>
  <c r="A77"/>
  <c r="A81"/>
  <c r="A87"/>
  <c r="A94"/>
  <c r="A111"/>
  <c r="A25"/>
  <c r="B25"/>
  <c r="A19"/>
  <c r="A20"/>
  <c r="C20" s="1"/>
  <c r="A23"/>
  <c r="A29"/>
  <c r="A35"/>
  <c r="A42"/>
  <c r="A48"/>
  <c r="A62"/>
  <c r="A76"/>
  <c r="A80"/>
  <c r="A86"/>
  <c r="A93"/>
  <c r="A110"/>
  <c r="A249"/>
  <c r="A233"/>
  <c r="A207"/>
  <c r="A197"/>
  <c r="A162"/>
  <c r="A272"/>
  <c r="A268"/>
  <c r="A248"/>
  <c r="A236"/>
  <c r="A232"/>
  <c r="A201"/>
  <c r="A143"/>
  <c r="A117"/>
  <c r="A104"/>
  <c r="A79"/>
  <c r="A74"/>
  <c r="A69"/>
  <c r="A65"/>
  <c r="A119"/>
  <c r="A107"/>
  <c r="A103"/>
  <c r="A97"/>
  <c r="A78"/>
  <c r="A73"/>
  <c r="A68"/>
  <c r="A43"/>
  <c r="A131"/>
  <c r="A137"/>
  <c r="A136"/>
  <c r="A285"/>
  <c r="A281"/>
  <c r="A277"/>
  <c r="A273"/>
  <c r="A269"/>
  <c r="A265"/>
  <c r="A261"/>
  <c r="A257"/>
  <c r="A253"/>
  <c r="A245"/>
  <c r="A241"/>
  <c r="A237"/>
  <c r="A229"/>
  <c r="A228"/>
  <c r="C228" s="1"/>
  <c r="A223"/>
  <c r="A218"/>
  <c r="A213"/>
  <c r="A212"/>
  <c r="C212" s="1"/>
  <c r="A202"/>
  <c r="A196"/>
  <c r="C196" s="1"/>
  <c r="A191"/>
  <c r="A186"/>
  <c r="A183"/>
  <c r="A173"/>
  <c r="A172"/>
  <c r="C172" s="1"/>
  <c r="A167"/>
  <c r="A155"/>
  <c r="A284"/>
  <c r="A280"/>
  <c r="A276"/>
  <c r="A264"/>
  <c r="A260"/>
  <c r="A256"/>
  <c r="A252"/>
  <c r="A244"/>
  <c r="A240"/>
  <c r="A227"/>
  <c r="A222"/>
  <c r="A217"/>
  <c r="A216"/>
  <c r="C216" s="1"/>
  <c r="A211"/>
  <c r="A206"/>
  <c r="A200"/>
  <c r="C200" s="1"/>
  <c r="A195"/>
  <c r="A190"/>
  <c r="A185"/>
  <c r="A182"/>
  <c r="A179"/>
  <c r="A171"/>
  <c r="A166"/>
  <c r="A224"/>
  <c r="C224" s="1"/>
  <c r="A208"/>
  <c r="C208" s="1"/>
  <c r="A192"/>
  <c r="C192" s="1"/>
  <c r="A184"/>
  <c r="C184" s="1"/>
  <c r="A176"/>
  <c r="A168"/>
  <c r="C168" s="1"/>
  <c r="A156"/>
  <c r="C156" s="1"/>
  <c r="A148"/>
  <c r="C148" s="1"/>
  <c r="A147"/>
  <c r="A146"/>
  <c r="A116"/>
  <c r="C116" s="1"/>
  <c r="A115"/>
  <c r="C115" s="1"/>
  <c r="A109"/>
  <c r="A108"/>
  <c r="C108" s="1"/>
  <c r="A98"/>
  <c r="A90"/>
  <c r="A85"/>
  <c r="A84"/>
  <c r="C84" s="1"/>
  <c r="A83"/>
  <c r="C83" s="1"/>
  <c r="A64"/>
  <c r="C64" s="1"/>
  <c r="A59"/>
  <c r="A54"/>
  <c r="A53"/>
  <c r="C53" s="1"/>
  <c r="A52"/>
  <c r="C52" s="1"/>
  <c r="A46"/>
  <c r="A45"/>
  <c r="C45" s="1"/>
  <c r="A44"/>
  <c r="C44" s="1"/>
  <c r="A39"/>
  <c r="A31"/>
  <c r="A161"/>
  <c r="A154"/>
  <c r="A153"/>
  <c r="C153" s="1"/>
  <c r="A152"/>
  <c r="C152" s="1"/>
  <c r="A125"/>
  <c r="A114"/>
  <c r="A89"/>
  <c r="A82"/>
  <c r="A63"/>
  <c r="A58"/>
  <c r="A51"/>
  <c r="A38"/>
  <c r="A30"/>
  <c r="A26"/>
  <c r="A160"/>
  <c r="C160" s="1"/>
  <c r="A132"/>
  <c r="C132" s="1"/>
  <c r="A126"/>
  <c r="B8"/>
  <c r="C8" s="1"/>
  <c r="A142"/>
  <c r="C142" s="1"/>
  <c r="A141"/>
  <c r="A133"/>
  <c r="A120"/>
  <c r="C120" s="1"/>
  <c r="A100"/>
  <c r="C100" s="1"/>
  <c r="A99"/>
  <c r="C99" s="1"/>
  <c r="A91"/>
  <c r="C91" s="1"/>
  <c r="A75"/>
  <c r="C75" s="1"/>
  <c r="A40"/>
  <c r="C40" s="1"/>
  <c r="A33"/>
  <c r="C33" s="1"/>
  <c r="A32"/>
  <c r="C32" s="1"/>
  <c r="BO12"/>
  <c r="A13"/>
  <c r="C13" s="1"/>
  <c r="AB14"/>
  <c r="AO15"/>
  <c r="AB16"/>
  <c r="AO16"/>
  <c r="AB17"/>
  <c r="AO17"/>
  <c r="AO18"/>
  <c r="BB18"/>
  <c r="BB24"/>
  <c r="A28"/>
  <c r="A34"/>
  <c r="A41"/>
  <c r="A47"/>
  <c r="A57"/>
  <c r="A61"/>
  <c r="A72"/>
  <c r="A92"/>
  <c r="A96"/>
  <c r="A102"/>
  <c r="A106"/>
  <c r="A113"/>
  <c r="A16"/>
  <c r="B16"/>
  <c r="A17"/>
  <c r="B17"/>
  <c r="A9"/>
  <c r="C9" s="1"/>
  <c r="A10"/>
  <c r="C10" s="1"/>
  <c r="A11"/>
  <c r="BB11"/>
  <c r="BO11"/>
  <c r="A12"/>
  <c r="C12" s="1"/>
  <c r="A15"/>
  <c r="BB21"/>
  <c r="BO21"/>
  <c r="A22"/>
  <c r="A24"/>
  <c r="AB27"/>
  <c r="A37"/>
  <c r="A50"/>
  <c r="A56"/>
  <c r="A60"/>
  <c r="A67"/>
  <c r="A71"/>
  <c r="A88"/>
  <c r="A95"/>
  <c r="A101"/>
  <c r="A105"/>
  <c r="A112"/>
  <c r="A118"/>
  <c r="A121"/>
  <c r="A150"/>
  <c r="B150"/>
  <c r="B48"/>
  <c r="B49"/>
  <c r="B61"/>
  <c r="B93"/>
  <c r="B111"/>
  <c r="B112"/>
  <c r="BO119"/>
  <c r="AB122"/>
  <c r="A123"/>
  <c r="A124"/>
  <c r="C124" s="1"/>
  <c r="AO124"/>
  <c r="BO126"/>
  <c r="A129"/>
  <c r="BB132"/>
  <c r="BO132"/>
  <c r="BB136"/>
  <c r="BO136"/>
  <c r="A140"/>
  <c r="C140" s="1"/>
  <c r="BB141"/>
  <c r="BO141"/>
  <c r="AB143"/>
  <c r="AB144"/>
  <c r="AO144"/>
  <c r="AO145"/>
  <c r="BB145"/>
  <c r="AB147"/>
  <c r="A149"/>
  <c r="AB155"/>
  <c r="AO155"/>
  <c r="AB156"/>
  <c r="AO156"/>
  <c r="AO158"/>
  <c r="BB158"/>
  <c r="AB161"/>
  <c r="A163"/>
  <c r="A170"/>
  <c r="A180"/>
  <c r="A187"/>
  <c r="A194"/>
  <c r="A205"/>
  <c r="A215"/>
  <c r="A219"/>
  <c r="A226"/>
  <c r="A289"/>
  <c r="A158"/>
  <c r="B158"/>
  <c r="B29"/>
  <c r="B36"/>
  <c r="B37"/>
  <c r="B57"/>
  <c r="B72"/>
  <c r="B88"/>
  <c r="B95"/>
  <c r="B96"/>
  <c r="BO120"/>
  <c r="A122"/>
  <c r="C122" s="1"/>
  <c r="A130"/>
  <c r="C130" s="1"/>
  <c r="BB131"/>
  <c r="BO131"/>
  <c r="AB133"/>
  <c r="AB134"/>
  <c r="AO134"/>
  <c r="AO135"/>
  <c r="BB135"/>
  <c r="AB137"/>
  <c r="AB138"/>
  <c r="AO138"/>
  <c r="AO139"/>
  <c r="BB139"/>
  <c r="AO140"/>
  <c r="BB140"/>
  <c r="A144"/>
  <c r="BO148"/>
  <c r="A151"/>
  <c r="AO159"/>
  <c r="BB159"/>
  <c r="BO159"/>
  <c r="AB162"/>
  <c r="AO162"/>
  <c r="A169"/>
  <c r="A193"/>
  <c r="A204"/>
  <c r="A214"/>
  <c r="A225"/>
  <c r="AB121"/>
  <c r="AO123"/>
  <c r="BB125"/>
  <c r="AB127"/>
  <c r="AB128"/>
  <c r="AO129"/>
  <c r="AO130"/>
  <c r="A134"/>
  <c r="A138"/>
  <c r="BO143"/>
  <c r="A145"/>
  <c r="BO147"/>
  <c r="BB154"/>
  <c r="A165"/>
  <c r="A175"/>
  <c r="A178"/>
  <c r="A189"/>
  <c r="A199"/>
  <c r="A203"/>
  <c r="A210"/>
  <c r="A221"/>
  <c r="A231"/>
  <c r="A235"/>
  <c r="A239"/>
  <c r="A243"/>
  <c r="A247"/>
  <c r="A251"/>
  <c r="A255"/>
  <c r="A259"/>
  <c r="A263"/>
  <c r="A267"/>
  <c r="A271"/>
  <c r="A275"/>
  <c r="A279"/>
  <c r="A283"/>
  <c r="A287"/>
  <c r="A128"/>
  <c r="B128"/>
  <c r="A127"/>
  <c r="A135"/>
  <c r="A139"/>
  <c r="A157"/>
  <c r="A159"/>
  <c r="A164"/>
  <c r="A174"/>
  <c r="A177"/>
  <c r="A181"/>
  <c r="A188"/>
  <c r="A198"/>
  <c r="A209"/>
  <c r="A220"/>
  <c r="A230"/>
  <c r="A234"/>
  <c r="A238"/>
  <c r="A242"/>
  <c r="A246"/>
  <c r="A250"/>
  <c r="A254"/>
  <c r="A258"/>
  <c r="A262"/>
  <c r="A266"/>
  <c r="A270"/>
  <c r="A274"/>
  <c r="A278"/>
  <c r="A282"/>
  <c r="A286"/>
  <c r="A290"/>
  <c r="B164"/>
  <c r="BB175"/>
  <c r="B180"/>
  <c r="B188"/>
  <c r="B204"/>
  <c r="B220"/>
  <c r="BB179"/>
  <c r="BB184"/>
  <c r="A288"/>
  <c r="BG15" i="2"/>
  <c r="BF15"/>
  <c r="C15"/>
  <c r="B15"/>
  <c r="A15"/>
  <c r="BG14"/>
  <c r="BF14"/>
  <c r="C14"/>
  <c r="B14"/>
  <c r="A14"/>
  <c r="BH13" s="1"/>
  <c r="BG13"/>
  <c r="BF13"/>
  <c r="BH12" s="1"/>
  <c r="BG12"/>
  <c r="BF12"/>
  <c r="Z12" s="1"/>
  <c r="W12"/>
  <c r="BH11"/>
  <c r="BG11"/>
  <c r="BF11"/>
  <c r="AX11"/>
  <c r="Z25" s="1"/>
  <c r="Z14" s="1"/>
  <c r="BH10"/>
  <c r="BG10"/>
  <c r="BF10"/>
  <c r="AX10"/>
  <c r="BG9"/>
  <c r="BF9"/>
  <c r="BH8" s="1"/>
  <c r="BG8"/>
  <c r="BF8"/>
  <c r="BG7"/>
  <c r="BF7"/>
  <c r="AZ9" s="1"/>
  <c r="AZ8"/>
  <c r="AZ7"/>
  <c r="AZ7" a="1"/>
  <c r="C25" i="1" l="1"/>
  <c r="C220"/>
  <c r="C112"/>
  <c r="C128"/>
  <c r="BO175"/>
  <c r="C176"/>
  <c r="C88"/>
  <c r="C36"/>
  <c r="BO179"/>
  <c r="C180"/>
  <c r="C188"/>
  <c r="C164"/>
  <c r="C158"/>
  <c r="C95"/>
  <c r="C16"/>
  <c r="C96"/>
  <c r="C57"/>
  <c r="C111"/>
  <c r="C49"/>
  <c r="C204"/>
  <c r="C37"/>
  <c r="C61"/>
  <c r="C48"/>
  <c r="BO184"/>
  <c r="C150"/>
  <c r="C17"/>
  <c r="C72"/>
  <c r="C93"/>
  <c r="C29"/>
  <c r="BH15" i="2"/>
  <c r="BH9"/>
  <c r="Y15"/>
  <c r="Y16"/>
  <c r="Z16"/>
  <c r="W16"/>
  <c r="Z15"/>
  <c r="X16"/>
  <c r="W15"/>
  <c r="X15"/>
  <c r="W25"/>
  <c r="V25" s="1"/>
  <c r="V13"/>
  <c r="Y25"/>
  <c r="Y14" s="1"/>
  <c r="X25"/>
  <c r="BH6"/>
  <c r="BG6"/>
  <c r="BF6"/>
  <c r="BH14" l="1"/>
  <c r="X14"/>
  <c r="W14" s="1"/>
  <c r="V14" s="1"/>
  <c r="V15"/>
  <c r="V16"/>
  <c r="BH5"/>
  <c r="BG5"/>
  <c r="BF5"/>
  <c r="R5"/>
  <c r="BH4" l="1"/>
  <c r="BG4"/>
  <c r="BF4"/>
  <c r="R4"/>
  <c r="BH3"/>
  <c r="BG3"/>
  <c r="BF3"/>
  <c r="R3"/>
  <c r="S3" s="1"/>
  <c r="S4" l="1"/>
  <c r="S5"/>
  <c r="BH2"/>
  <c r="BG2"/>
  <c r="BF2"/>
  <c r="BH7" l="1"/>
  <c r="B7" i="1" l="1"/>
  <c r="C7" s="1"/>
  <c r="B11"/>
  <c r="C11" s="1"/>
  <c r="B14"/>
  <c r="C14" s="1"/>
  <c r="B15"/>
  <c r="C15" s="1"/>
  <c r="B18"/>
  <c r="C18" s="1"/>
  <c r="B19"/>
  <c r="C19" s="1"/>
  <c r="B22"/>
  <c r="C22" s="1"/>
  <c r="B23"/>
  <c r="C23" s="1"/>
  <c r="B24"/>
  <c r="C24" s="1"/>
  <c r="B26"/>
  <c r="C26" s="1"/>
  <c r="B27"/>
  <c r="C27" s="1"/>
  <c r="B28"/>
  <c r="C28" s="1"/>
  <c r="B30"/>
  <c r="C30" s="1"/>
  <c r="B31"/>
  <c r="C31" s="1"/>
  <c r="B34"/>
  <c r="C34" s="1"/>
  <c r="B35"/>
  <c r="C35" s="1"/>
  <c r="B38"/>
  <c r="C38" s="1"/>
  <c r="B39"/>
  <c r="C39" s="1"/>
  <c r="B41"/>
  <c r="C41" s="1"/>
  <c r="B42"/>
  <c r="C42" s="1"/>
  <c r="B43"/>
  <c r="C43" s="1"/>
  <c r="B46"/>
  <c r="C46" s="1"/>
  <c r="B47"/>
  <c r="C47" s="1"/>
  <c r="B50"/>
  <c r="C50" s="1"/>
  <c r="B51"/>
  <c r="C51" s="1"/>
  <c r="B54"/>
  <c r="C54" s="1"/>
  <c r="B55"/>
  <c r="C55" s="1"/>
  <c r="B56"/>
  <c r="C56" s="1"/>
  <c r="B58"/>
  <c r="C58" s="1"/>
  <c r="B59"/>
  <c r="C59" s="1"/>
  <c r="B60"/>
  <c r="C60" s="1"/>
  <c r="B62"/>
  <c r="C62" s="1"/>
  <c r="B63"/>
  <c r="C63" s="1"/>
  <c r="B65"/>
  <c r="C65" s="1"/>
  <c r="B66"/>
  <c r="C66" s="1"/>
  <c r="B67"/>
  <c r="C67" s="1"/>
  <c r="B68"/>
  <c r="C68" s="1"/>
  <c r="B69"/>
  <c r="C69" s="1"/>
  <c r="B70"/>
  <c r="C70" s="1"/>
  <c r="B71"/>
  <c r="C71" s="1"/>
  <c r="B73"/>
  <c r="C73" s="1"/>
  <c r="B74"/>
  <c r="C74" s="1"/>
  <c r="B76"/>
  <c r="C76" s="1"/>
  <c r="B77"/>
  <c r="C77" s="1"/>
  <c r="B78"/>
  <c r="C78" s="1"/>
  <c r="B79"/>
  <c r="C79" s="1"/>
  <c r="B80"/>
  <c r="C80" s="1"/>
  <c r="B81"/>
  <c r="C81" s="1"/>
  <c r="B82"/>
  <c r="C82" s="1"/>
  <c r="B85"/>
  <c r="C85" s="1"/>
  <c r="B86"/>
  <c r="C86" s="1"/>
  <c r="B87"/>
  <c r="C87" s="1"/>
  <c r="B89"/>
  <c r="C89" s="1"/>
  <c r="B90"/>
  <c r="C90" s="1"/>
  <c r="B92"/>
  <c r="C92" s="1"/>
  <c r="B94"/>
  <c r="C94" s="1"/>
  <c r="B97"/>
  <c r="C97" s="1"/>
  <c r="B98"/>
  <c r="C98" s="1"/>
  <c r="B101"/>
  <c r="C101" s="1"/>
  <c r="B102"/>
  <c r="C102" s="1"/>
  <c r="B103"/>
  <c r="C103" s="1"/>
  <c r="B104"/>
  <c r="C104" s="1"/>
  <c r="B105"/>
  <c r="C105" s="1"/>
  <c r="B106"/>
  <c r="C106" s="1"/>
  <c r="B107"/>
  <c r="C107" s="1"/>
  <c r="B109"/>
  <c r="C109" s="1"/>
  <c r="B110"/>
  <c r="C110" s="1"/>
  <c r="B113"/>
  <c r="C113" s="1"/>
  <c r="B114"/>
  <c r="C114" s="1"/>
  <c r="B117"/>
  <c r="C117" s="1"/>
  <c r="B118"/>
  <c r="C118" s="1"/>
  <c r="B119"/>
  <c r="C119" s="1"/>
  <c r="B121"/>
  <c r="C121" s="1"/>
  <c r="B123"/>
  <c r="C123" s="1"/>
  <c r="B125"/>
  <c r="C125" s="1"/>
  <c r="B126"/>
  <c r="C126" s="1"/>
  <c r="B127"/>
  <c r="C127" s="1"/>
  <c r="B129"/>
  <c r="C129" s="1"/>
  <c r="B131"/>
  <c r="C131" s="1"/>
  <c r="B133"/>
  <c r="C133" s="1"/>
  <c r="B134"/>
  <c r="C134" s="1"/>
  <c r="B135"/>
  <c r="C135" s="1"/>
  <c r="B136"/>
  <c r="C136" s="1"/>
  <c r="B137"/>
  <c r="C137" s="1"/>
  <c r="B138"/>
  <c r="C138" s="1"/>
  <c r="B139"/>
  <c r="C139" s="1"/>
  <c r="B141"/>
  <c r="C141" s="1"/>
  <c r="B143"/>
  <c r="C143" s="1"/>
  <c r="B144"/>
  <c r="C144" s="1"/>
  <c r="B145"/>
  <c r="C145" s="1"/>
  <c r="B146"/>
  <c r="C146" s="1"/>
  <c r="B147"/>
  <c r="C147" s="1"/>
  <c r="B149"/>
  <c r="C149" s="1"/>
  <c r="B151"/>
  <c r="C151" s="1"/>
  <c r="B154"/>
  <c r="C154" s="1"/>
  <c r="B155"/>
  <c r="C155" s="1"/>
  <c r="B157"/>
  <c r="C157" s="1"/>
  <c r="B159"/>
  <c r="C159" s="1"/>
  <c r="B161"/>
  <c r="C161" s="1"/>
  <c r="B162"/>
  <c r="C162" s="1"/>
  <c r="B163"/>
  <c r="C163" s="1"/>
  <c r="B165"/>
  <c r="C165" s="1"/>
  <c r="B166"/>
  <c r="C166" s="1"/>
  <c r="B167"/>
  <c r="C167" s="1"/>
  <c r="B169"/>
  <c r="C169" s="1"/>
  <c r="B170"/>
  <c r="C170" s="1"/>
  <c r="B171"/>
  <c r="C171" s="1"/>
  <c r="B173"/>
  <c r="C173" s="1"/>
  <c r="B174"/>
  <c r="C174" s="1"/>
  <c r="B175"/>
  <c r="C175" s="1"/>
  <c r="B177"/>
  <c r="C177" s="1"/>
  <c r="B178"/>
  <c r="C178" s="1"/>
  <c r="B179"/>
  <c r="C179" s="1"/>
  <c r="B181"/>
  <c r="C181" s="1"/>
  <c r="B182"/>
  <c r="C182" s="1"/>
  <c r="B183"/>
  <c r="C183" s="1"/>
  <c r="B185"/>
  <c r="C185" s="1"/>
  <c r="B186"/>
  <c r="C186" s="1"/>
  <c r="B187"/>
  <c r="C187" s="1"/>
  <c r="B189"/>
  <c r="C189" s="1"/>
  <c r="B190"/>
  <c r="C190" s="1"/>
  <c r="B191"/>
  <c r="C191" s="1"/>
  <c r="B193"/>
  <c r="C193" s="1"/>
  <c r="B194"/>
  <c r="C194" s="1"/>
  <c r="B195"/>
  <c r="C195" s="1"/>
  <c r="B197"/>
  <c r="C197" s="1"/>
  <c r="B198"/>
  <c r="C198" s="1"/>
  <c r="B199"/>
  <c r="C199" s="1"/>
  <c r="B201"/>
  <c r="C201" s="1"/>
  <c r="B202"/>
  <c r="C202" s="1"/>
  <c r="B203"/>
  <c r="C203" s="1"/>
  <c r="B205"/>
  <c r="C205" s="1"/>
  <c r="B206"/>
  <c r="C206" s="1"/>
  <c r="B207"/>
  <c r="C207" s="1"/>
  <c r="B209"/>
  <c r="C209" s="1"/>
  <c r="B210"/>
  <c r="C210" s="1"/>
  <c r="B211"/>
  <c r="C211" s="1"/>
  <c r="B213"/>
  <c r="C213" s="1"/>
  <c r="B214"/>
  <c r="C214" s="1"/>
  <c r="B215"/>
  <c r="C215" s="1"/>
  <c r="B217"/>
  <c r="C217" s="1"/>
  <c r="B218"/>
  <c r="C218" s="1"/>
  <c r="B219"/>
  <c r="C219" s="1"/>
  <c r="B221"/>
  <c r="C221" s="1"/>
  <c r="B222"/>
  <c r="C222" s="1"/>
  <c r="B223"/>
  <c r="C223" s="1"/>
  <c r="B225"/>
  <c r="C225" s="1"/>
  <c r="B226"/>
  <c r="C226" s="1"/>
  <c r="B227"/>
  <c r="C227" s="1"/>
  <c r="B229"/>
  <c r="C229" s="1"/>
  <c r="B230"/>
  <c r="C230" s="1"/>
  <c r="B231"/>
  <c r="C231" s="1"/>
  <c r="B232"/>
  <c r="C232" s="1"/>
  <c r="B233"/>
  <c r="C233" s="1"/>
  <c r="B234"/>
  <c r="C234" s="1"/>
  <c r="B235"/>
  <c r="C235" s="1"/>
  <c r="B236"/>
  <c r="C236" s="1"/>
  <c r="B237"/>
  <c r="C237" s="1"/>
  <c r="B238"/>
  <c r="C238" s="1"/>
  <c r="B239"/>
  <c r="C239" s="1"/>
  <c r="B240"/>
  <c r="C240" s="1"/>
  <c r="B241"/>
  <c r="C241" s="1"/>
  <c r="B242"/>
  <c r="C242" s="1"/>
  <c r="B243"/>
  <c r="C243" s="1"/>
  <c r="B244"/>
  <c r="C244" s="1"/>
  <c r="B245"/>
  <c r="C245" s="1"/>
  <c r="B246"/>
  <c r="C246" s="1"/>
  <c r="B247"/>
  <c r="C247" s="1"/>
  <c r="B248"/>
  <c r="C248" s="1"/>
  <c r="B249"/>
  <c r="C249" s="1"/>
  <c r="B250"/>
  <c r="C250" s="1"/>
  <c r="B251"/>
  <c r="C251" s="1"/>
  <c r="B252"/>
  <c r="C252" s="1"/>
  <c r="B253"/>
  <c r="C253" s="1"/>
  <c r="B254"/>
  <c r="C254" s="1"/>
  <c r="B255"/>
  <c r="C255" s="1"/>
  <c r="B256"/>
  <c r="C256" s="1"/>
  <c r="B257"/>
  <c r="C257" s="1"/>
  <c r="B258"/>
  <c r="C258" s="1"/>
  <c r="B259"/>
  <c r="C259" s="1"/>
  <c r="B260"/>
  <c r="C260" s="1"/>
  <c r="B261"/>
  <c r="C261" s="1"/>
  <c r="B262"/>
  <c r="C262" s="1"/>
  <c r="B263"/>
  <c r="C263" s="1"/>
  <c r="B264"/>
  <c r="C264" s="1"/>
  <c r="B265"/>
  <c r="C265" s="1"/>
  <c r="B266"/>
  <c r="C266" s="1"/>
  <c r="B267"/>
  <c r="C267" s="1"/>
  <c r="B268"/>
  <c r="C268" s="1"/>
  <c r="B269"/>
  <c r="C269" s="1"/>
  <c r="B270"/>
  <c r="C270" s="1"/>
  <c r="B271"/>
  <c r="C271" s="1"/>
  <c r="B272"/>
  <c r="C272" s="1"/>
  <c r="B273"/>
  <c r="C273" s="1"/>
  <c r="B274"/>
  <c r="C274" s="1"/>
  <c r="B275"/>
  <c r="C275" s="1"/>
  <c r="B276"/>
  <c r="C276" s="1"/>
  <c r="B277"/>
  <c r="C277" s="1"/>
  <c r="B278"/>
  <c r="C278" s="1"/>
  <c r="B279"/>
  <c r="C279" s="1"/>
  <c r="B280"/>
  <c r="C280" s="1"/>
  <c r="B281"/>
  <c r="C281" s="1"/>
  <c r="B282"/>
  <c r="C282" s="1"/>
  <c r="B283"/>
  <c r="C283" s="1"/>
  <c r="B284"/>
  <c r="C284" s="1"/>
  <c r="B285"/>
  <c r="C285" s="1"/>
  <c r="B286"/>
  <c r="C286" s="1"/>
  <c r="B287"/>
  <c r="C287" s="1"/>
  <c r="B288"/>
  <c r="C288" s="1"/>
  <c r="B289"/>
  <c r="C289" s="1"/>
  <c r="B290"/>
  <c r="C290" s="1"/>
  <c r="I153" i="2" l="1"/>
  <c r="H160"/>
  <c r="S93"/>
  <c r="S101"/>
  <c r="S109"/>
  <c r="S117"/>
  <c r="S125"/>
  <c r="H132"/>
  <c r="H134"/>
  <c r="H136"/>
  <c r="H138"/>
  <c r="H140"/>
  <c r="H142"/>
  <c r="H144"/>
  <c r="H146"/>
  <c r="H148"/>
  <c r="H150"/>
  <c r="H152"/>
  <c r="H154"/>
  <c r="H156"/>
  <c r="R158"/>
  <c r="R161"/>
  <c r="I111"/>
  <c r="R113"/>
  <c r="R117"/>
  <c r="R121"/>
  <c r="R125"/>
  <c r="R129"/>
  <c r="R133"/>
  <c r="R137"/>
  <c r="R141"/>
  <c r="R145"/>
  <c r="R149"/>
  <c r="R153"/>
  <c r="R157"/>
  <c r="H164"/>
  <c r="P158"/>
  <c r="E160"/>
  <c r="P162"/>
  <c r="P163"/>
  <c r="P151"/>
  <c r="P157"/>
  <c r="S115"/>
  <c r="S123"/>
  <c r="S131"/>
  <c r="S133"/>
  <c r="S135"/>
  <c r="S137"/>
  <c r="S139"/>
  <c r="S141"/>
  <c r="S143"/>
  <c r="S145"/>
  <c r="S147"/>
  <c r="S149"/>
  <c r="S151"/>
  <c r="S153"/>
  <c r="S155"/>
  <c r="S157"/>
  <c r="G160"/>
  <c r="BK160" s="1"/>
  <c r="BO160" s="1"/>
  <c r="BP160" s="1"/>
  <c r="T160" s="1"/>
  <c r="E111"/>
  <c r="Q112"/>
  <c r="R116"/>
  <c r="R120"/>
  <c r="R124"/>
  <c r="R128"/>
  <c r="R132"/>
  <c r="R136"/>
  <c r="R140"/>
  <c r="R144"/>
  <c r="R148"/>
  <c r="R152"/>
  <c r="R156"/>
  <c r="G159"/>
  <c r="BK159" s="1"/>
  <c r="BO159" s="1"/>
  <c r="BP159" s="1"/>
  <c r="T159" s="1"/>
  <c r="S162"/>
  <c r="Q161"/>
  <c r="Q163"/>
  <c r="I158"/>
  <c r="P159"/>
  <c r="E161"/>
  <c r="I162"/>
  <c r="P164"/>
  <c r="E149"/>
  <c r="I156"/>
  <c r="S89"/>
  <c r="S97"/>
  <c r="S105"/>
  <c r="S113"/>
  <c r="S121"/>
  <c r="S129"/>
  <c r="H133"/>
  <c r="H135"/>
  <c r="H137"/>
  <c r="H139"/>
  <c r="H141"/>
  <c r="H143"/>
  <c r="H145"/>
  <c r="H147"/>
  <c r="H149"/>
  <c r="H151"/>
  <c r="H153"/>
  <c r="H155"/>
  <c r="H157"/>
  <c r="Q159"/>
  <c r="S110"/>
  <c r="R115"/>
  <c r="R119"/>
  <c r="R123"/>
  <c r="R127"/>
  <c r="R131"/>
  <c r="R135"/>
  <c r="R139"/>
  <c r="R143"/>
  <c r="R147"/>
  <c r="R151"/>
  <c r="R155"/>
  <c r="Q158"/>
  <c r="H162"/>
  <c r="E158"/>
  <c r="I159"/>
  <c r="P160"/>
  <c r="E162"/>
  <c r="I163"/>
  <c r="E147"/>
  <c r="E155"/>
  <c r="H163"/>
  <c r="S119"/>
  <c r="S127"/>
  <c r="S132"/>
  <c r="S134"/>
  <c r="S136"/>
  <c r="S138"/>
  <c r="S140"/>
  <c r="S142"/>
  <c r="S144"/>
  <c r="S146"/>
  <c r="S148"/>
  <c r="S150"/>
  <c r="S152"/>
  <c r="S154"/>
  <c r="S156"/>
  <c r="H159"/>
  <c r="R163"/>
  <c r="P111"/>
  <c r="R114"/>
  <c r="R118"/>
  <c r="R122"/>
  <c r="R126"/>
  <c r="R130"/>
  <c r="R134"/>
  <c r="R138"/>
  <c r="R142"/>
  <c r="R146"/>
  <c r="R150"/>
  <c r="R154"/>
  <c r="H158"/>
  <c r="S160"/>
  <c r="S164"/>
  <c r="Q162"/>
  <c r="Q164"/>
  <c r="E159"/>
  <c r="I160"/>
  <c r="P161"/>
  <c r="E163"/>
  <c r="I164"/>
  <c r="I161"/>
  <c r="E164"/>
  <c r="J165"/>
  <c r="H131"/>
  <c r="P148"/>
  <c r="H130"/>
  <c r="H128"/>
  <c r="H126"/>
  <c r="H124"/>
  <c r="H122"/>
  <c r="H120"/>
  <c r="H118"/>
  <c r="H116"/>
  <c r="H114"/>
  <c r="Q111"/>
  <c r="E110"/>
  <c r="Q107"/>
  <c r="E106"/>
  <c r="Q103"/>
  <c r="E102"/>
  <c r="Q99"/>
  <c r="E98"/>
  <c r="Q95"/>
  <c r="E94"/>
  <c r="Q91"/>
  <c r="E90"/>
  <c r="S163"/>
  <c r="Q160"/>
  <c r="P156"/>
  <c r="I155"/>
  <c r="P153"/>
  <c r="E152"/>
  <c r="E150"/>
  <c r="I147"/>
  <c r="S130"/>
  <c r="S128"/>
  <c r="S126"/>
  <c r="S124"/>
  <c r="S122"/>
  <c r="S120"/>
  <c r="S118"/>
  <c r="S116"/>
  <c r="S114"/>
  <c r="R112"/>
  <c r="I110"/>
  <c r="R108"/>
  <c r="I106"/>
  <c r="R104"/>
  <c r="I102"/>
  <c r="R100"/>
  <c r="I98"/>
  <c r="R96"/>
  <c r="I94"/>
  <c r="R92"/>
  <c r="I90"/>
  <c r="R88"/>
  <c r="H161"/>
  <c r="S158"/>
  <c r="E157"/>
  <c r="P155"/>
  <c r="I154"/>
  <c r="I152"/>
  <c r="I150"/>
  <c r="I148"/>
  <c r="H129"/>
  <c r="H127"/>
  <c r="H125"/>
  <c r="H123"/>
  <c r="H121"/>
  <c r="H119"/>
  <c r="H117"/>
  <c r="H115"/>
  <c r="H113"/>
  <c r="P110"/>
  <c r="H109"/>
  <c r="P106"/>
  <c r="H105"/>
  <c r="P102"/>
  <c r="H101"/>
  <c r="P98"/>
  <c r="H97"/>
  <c r="P94"/>
  <c r="H93"/>
  <c r="P90"/>
  <c r="H89"/>
  <c r="S161"/>
  <c r="R159"/>
  <c r="I157"/>
  <c r="E156"/>
  <c r="P154"/>
  <c r="E153"/>
  <c r="E151"/>
  <c r="E154"/>
  <c r="P147"/>
  <c r="P152"/>
  <c r="I151"/>
  <c r="P149"/>
  <c r="G133"/>
  <c r="L146"/>
  <c r="BN146" s="1"/>
  <c r="L148"/>
  <c r="BN148" s="1"/>
  <c r="L150"/>
  <c r="BN150" s="1"/>
  <c r="G144"/>
  <c r="G146"/>
  <c r="G148"/>
  <c r="M156" s="1"/>
  <c r="G150"/>
  <c r="L160"/>
  <c r="BN160" s="1"/>
  <c r="L162"/>
  <c r="BN162" s="1"/>
  <c r="L164"/>
  <c r="BN164" s="1"/>
  <c r="G161"/>
  <c r="BK161" s="1"/>
  <c r="BO161" s="1"/>
  <c r="BP161" s="1"/>
  <c r="T161" s="1"/>
  <c r="G163"/>
  <c r="BK163" s="1"/>
  <c r="BO163" s="1"/>
  <c r="BP163" s="1"/>
  <c r="T163" s="1"/>
  <c r="G158"/>
  <c r="BK158" s="1"/>
  <c r="BO158" s="1"/>
  <c r="BP158" s="1"/>
  <c r="T158" s="1"/>
  <c r="R14"/>
  <c r="E15"/>
  <c r="R15"/>
  <c r="I14"/>
  <c r="R17"/>
  <c r="R21"/>
  <c r="P23"/>
  <c r="S26"/>
  <c r="H30"/>
  <c r="E35"/>
  <c r="E39"/>
  <c r="Q18"/>
  <c r="R22"/>
  <c r="I24"/>
  <c r="R26"/>
  <c r="I28"/>
  <c r="R30"/>
  <c r="I32"/>
  <c r="R34"/>
  <c r="I36"/>
  <c r="R38"/>
  <c r="I40"/>
  <c r="R42"/>
  <c r="I44"/>
  <c r="R46"/>
  <c r="I48"/>
  <c r="R50"/>
  <c r="I52"/>
  <c r="R54"/>
  <c r="I56"/>
  <c r="R58"/>
  <c r="I60"/>
  <c r="R62"/>
  <c r="I64"/>
  <c r="R66"/>
  <c r="I68"/>
  <c r="R70"/>
  <c r="I72"/>
  <c r="R74"/>
  <c r="I76"/>
  <c r="R78"/>
  <c r="I80"/>
  <c r="R82"/>
  <c r="I84"/>
  <c r="R86"/>
  <c r="I88"/>
  <c r="R90"/>
  <c r="Q92"/>
  <c r="I95"/>
  <c r="I97"/>
  <c r="R99"/>
  <c r="Q101"/>
  <c r="I104"/>
  <c r="I107"/>
  <c r="P109"/>
  <c r="H19"/>
  <c r="Q24"/>
  <c r="I31"/>
  <c r="I35"/>
  <c r="P16"/>
  <c r="P18"/>
  <c r="P20"/>
  <c r="Q22"/>
  <c r="E25"/>
  <c r="Q26"/>
  <c r="E29"/>
  <c r="Q30"/>
  <c r="E33"/>
  <c r="Q34"/>
  <c r="E37"/>
  <c r="Q38"/>
  <c r="E41"/>
  <c r="Q42"/>
  <c r="E45"/>
  <c r="Q46"/>
  <c r="E49"/>
  <c r="Q50"/>
  <c r="E53"/>
  <c r="Q54"/>
  <c r="E57"/>
  <c r="Q58"/>
  <c r="E61"/>
  <c r="Q62"/>
  <c r="E65"/>
  <c r="Q66"/>
  <c r="E69"/>
  <c r="Q70"/>
  <c r="E73"/>
  <c r="Q74"/>
  <c r="E77"/>
  <c r="Q78"/>
  <c r="E81"/>
  <c r="Q82"/>
  <c r="E85"/>
  <c r="Q86"/>
  <c r="P89"/>
  <c r="P91"/>
  <c r="H94"/>
  <c r="H96"/>
  <c r="Q98"/>
  <c r="P100"/>
  <c r="H103"/>
  <c r="R107"/>
  <c r="I16"/>
  <c r="S17"/>
  <c r="E19"/>
  <c r="I20"/>
  <c r="S21"/>
  <c r="S25"/>
  <c r="S29"/>
  <c r="S33"/>
  <c r="S37"/>
  <c r="S41"/>
  <c r="S45"/>
  <c r="S49"/>
  <c r="S53"/>
  <c r="S57"/>
  <c r="S61"/>
  <c r="S65"/>
  <c r="S69"/>
  <c r="S73"/>
  <c r="S77"/>
  <c r="S81"/>
  <c r="S85"/>
  <c r="S106"/>
  <c r="H110"/>
  <c r="I39"/>
  <c r="H42"/>
  <c r="P43"/>
  <c r="H46"/>
  <c r="P47"/>
  <c r="H50"/>
  <c r="P51"/>
  <c r="H54"/>
  <c r="P55"/>
  <c r="H58"/>
  <c r="P59"/>
  <c r="H62"/>
  <c r="P63"/>
  <c r="H66"/>
  <c r="P67"/>
  <c r="H70"/>
  <c r="P71"/>
  <c r="H74"/>
  <c r="P75"/>
  <c r="H78"/>
  <c r="P79"/>
  <c r="H82"/>
  <c r="P83"/>
  <c r="H86"/>
  <c r="P87"/>
  <c r="R89"/>
  <c r="S91"/>
  <c r="R93"/>
  <c r="S95"/>
  <c r="R97"/>
  <c r="S99"/>
  <c r="R101"/>
  <c r="S103"/>
  <c r="Q106"/>
  <c r="S107"/>
  <c r="S111"/>
  <c r="R160"/>
  <c r="Q110"/>
  <c r="E113"/>
  <c r="I114"/>
  <c r="P115"/>
  <c r="E117"/>
  <c r="I118"/>
  <c r="P119"/>
  <c r="E121"/>
  <c r="I122"/>
  <c r="P123"/>
  <c r="E125"/>
  <c r="I126"/>
  <c r="P127"/>
  <c r="E129"/>
  <c r="I130"/>
  <c r="P131"/>
  <c r="E133"/>
  <c r="I134"/>
  <c r="P135"/>
  <c r="E137"/>
  <c r="I138"/>
  <c r="P139"/>
  <c r="E141"/>
  <c r="I142"/>
  <c r="P143"/>
  <c r="E145"/>
  <c r="I146"/>
  <c r="G132"/>
  <c r="L145"/>
  <c r="BN145" s="1"/>
  <c r="J148"/>
  <c r="J150"/>
  <c r="BL150" s="1"/>
  <c r="K152"/>
  <c r="BM152" s="1"/>
  <c r="K154"/>
  <c r="BM154" s="1"/>
  <c r="K156"/>
  <c r="BM156" s="1"/>
  <c r="K158"/>
  <c r="BM158" s="1"/>
  <c r="J160"/>
  <c r="J162"/>
  <c r="BL162" s="1"/>
  <c r="J164"/>
  <c r="Q14"/>
  <c r="P14"/>
  <c r="E14"/>
  <c r="H16"/>
  <c r="H20"/>
  <c r="I23"/>
  <c r="H26"/>
  <c r="Q28"/>
  <c r="H34"/>
  <c r="H38"/>
  <c r="Q17"/>
  <c r="Q21"/>
  <c r="E24"/>
  <c r="Q25"/>
  <c r="E28"/>
  <c r="Q29"/>
  <c r="E32"/>
  <c r="Q33"/>
  <c r="E36"/>
  <c r="Q37"/>
  <c r="E40"/>
  <c r="Q41"/>
  <c r="E44"/>
  <c r="Q45"/>
  <c r="E48"/>
  <c r="Q49"/>
  <c r="E52"/>
  <c r="Q53"/>
  <c r="E56"/>
  <c r="Q57"/>
  <c r="E60"/>
  <c r="Q61"/>
  <c r="E64"/>
  <c r="Q65"/>
  <c r="E68"/>
  <c r="Q69"/>
  <c r="E72"/>
  <c r="Q73"/>
  <c r="E76"/>
  <c r="Q77"/>
  <c r="E80"/>
  <c r="Q81"/>
  <c r="E84"/>
  <c r="Q85"/>
  <c r="E88"/>
  <c r="Q89"/>
  <c r="I92"/>
  <c r="R94"/>
  <c r="Q96"/>
  <c r="I99"/>
  <c r="I101"/>
  <c r="R103"/>
  <c r="P105"/>
  <c r="E109"/>
  <c r="R18"/>
  <c r="E23"/>
  <c r="S30"/>
  <c r="S34"/>
  <c r="S24"/>
  <c r="S28"/>
  <c r="S32"/>
  <c r="S36"/>
  <c r="S40"/>
  <c r="S44"/>
  <c r="S48"/>
  <c r="S52"/>
  <c r="S56"/>
  <c r="S60"/>
  <c r="S64"/>
  <c r="S68"/>
  <c r="S72"/>
  <c r="S76"/>
  <c r="S80"/>
  <c r="S84"/>
  <c r="P88"/>
  <c r="H91"/>
  <c r="P93"/>
  <c r="P95"/>
  <c r="H98"/>
  <c r="H100"/>
  <c r="Q102"/>
  <c r="Q104"/>
  <c r="E16"/>
  <c r="I17"/>
  <c r="S18"/>
  <c r="E20"/>
  <c r="I21"/>
  <c r="P22"/>
  <c r="H25"/>
  <c r="P26"/>
  <c r="H29"/>
  <c r="P30"/>
  <c r="H33"/>
  <c r="P34"/>
  <c r="H37"/>
  <c r="P38"/>
  <c r="H41"/>
  <c r="P42"/>
  <c r="H45"/>
  <c r="P46"/>
  <c r="H49"/>
  <c r="P50"/>
  <c r="H53"/>
  <c r="P54"/>
  <c r="H57"/>
  <c r="P58"/>
  <c r="H61"/>
  <c r="P62"/>
  <c r="H65"/>
  <c r="P66"/>
  <c r="H69"/>
  <c r="P70"/>
  <c r="H73"/>
  <c r="P74"/>
  <c r="H77"/>
  <c r="P78"/>
  <c r="H81"/>
  <c r="P82"/>
  <c r="H85"/>
  <c r="P86"/>
  <c r="H106"/>
  <c r="I109"/>
  <c r="S38"/>
  <c r="Q40"/>
  <c r="I43"/>
  <c r="R45"/>
  <c r="I47"/>
  <c r="R49"/>
  <c r="I51"/>
  <c r="R53"/>
  <c r="I55"/>
  <c r="R57"/>
  <c r="I59"/>
  <c r="R61"/>
  <c r="I63"/>
  <c r="R65"/>
  <c r="I67"/>
  <c r="R69"/>
  <c r="I71"/>
  <c r="R73"/>
  <c r="I75"/>
  <c r="R77"/>
  <c r="I79"/>
  <c r="R81"/>
  <c r="I83"/>
  <c r="R85"/>
  <c r="I87"/>
  <c r="E89"/>
  <c r="E91"/>
  <c r="E93"/>
  <c r="E95"/>
  <c r="E97"/>
  <c r="E99"/>
  <c r="E101"/>
  <c r="E103"/>
  <c r="P104"/>
  <c r="H107"/>
  <c r="P108"/>
  <c r="H111"/>
  <c r="P112"/>
  <c r="Q114"/>
  <c r="Q116"/>
  <c r="Q118"/>
  <c r="Q120"/>
  <c r="Q122"/>
  <c r="Q124"/>
  <c r="Q126"/>
  <c r="Q128"/>
  <c r="Q130"/>
  <c r="Q132"/>
  <c r="Q134"/>
  <c r="Q136"/>
  <c r="Q138"/>
  <c r="Q140"/>
  <c r="Q142"/>
  <c r="Q144"/>
  <c r="Q146"/>
  <c r="Q148"/>
  <c r="Q150"/>
  <c r="Q152"/>
  <c r="Q154"/>
  <c r="Q156"/>
  <c r="S159"/>
  <c r="R164"/>
  <c r="S112"/>
  <c r="E114"/>
  <c r="I115"/>
  <c r="P116"/>
  <c r="E118"/>
  <c r="I119"/>
  <c r="P120"/>
  <c r="E122"/>
  <c r="I123"/>
  <c r="P124"/>
  <c r="E126"/>
  <c r="I127"/>
  <c r="P128"/>
  <c r="E130"/>
  <c r="I131"/>
  <c r="P132"/>
  <c r="E134"/>
  <c r="I135"/>
  <c r="P136"/>
  <c r="E138"/>
  <c r="I139"/>
  <c r="P140"/>
  <c r="E142"/>
  <c r="I143"/>
  <c r="P144"/>
  <c r="E146"/>
  <c r="G131"/>
  <c r="L144"/>
  <c r="BN144" s="1"/>
  <c r="L147"/>
  <c r="BN147" s="1"/>
  <c r="L149"/>
  <c r="BN149" s="1"/>
  <c r="G143"/>
  <c r="M151" s="1"/>
  <c r="G145"/>
  <c r="M153" s="1"/>
  <c r="G147"/>
  <c r="M155" s="1"/>
  <c r="G149"/>
  <c r="BK149" s="1"/>
  <c r="BO149" s="1"/>
  <c r="BP149" s="1"/>
  <c r="T149" s="1"/>
  <c r="L159"/>
  <c r="BN159" s="1"/>
  <c r="L161"/>
  <c r="BN161" s="1"/>
  <c r="L163"/>
  <c r="BN163" s="1"/>
  <c r="G162"/>
  <c r="BK162" s="1"/>
  <c r="BO162" s="1"/>
  <c r="BP162" s="1"/>
  <c r="T162" s="1"/>
  <c r="H14"/>
  <c r="S15"/>
  <c r="H15"/>
  <c r="Q15"/>
  <c r="R19"/>
  <c r="S22"/>
  <c r="R25"/>
  <c r="P31"/>
  <c r="R37"/>
  <c r="Q16"/>
  <c r="Q20"/>
  <c r="S23"/>
  <c r="S27"/>
  <c r="S31"/>
  <c r="S35"/>
  <c r="S39"/>
  <c r="S43"/>
  <c r="S47"/>
  <c r="S51"/>
  <c r="S55"/>
  <c r="S59"/>
  <c r="S63"/>
  <c r="S67"/>
  <c r="S71"/>
  <c r="S75"/>
  <c r="S79"/>
  <c r="S83"/>
  <c r="S87"/>
  <c r="I89"/>
  <c r="R91"/>
  <c r="Q93"/>
  <c r="I96"/>
  <c r="R98"/>
  <c r="Q100"/>
  <c r="I103"/>
  <c r="E105"/>
  <c r="S108"/>
  <c r="H17"/>
  <c r="H21"/>
  <c r="P27"/>
  <c r="Q32"/>
  <c r="Q36"/>
  <c r="P17"/>
  <c r="P19"/>
  <c r="P21"/>
  <c r="H24"/>
  <c r="P25"/>
  <c r="H28"/>
  <c r="P29"/>
  <c r="H32"/>
  <c r="P33"/>
  <c r="H36"/>
  <c r="P37"/>
  <c r="H40"/>
  <c r="P41"/>
  <c r="H44"/>
  <c r="P45"/>
  <c r="H48"/>
  <c r="P49"/>
  <c r="H52"/>
  <c r="P53"/>
  <c r="H56"/>
  <c r="P57"/>
  <c r="H60"/>
  <c r="P61"/>
  <c r="H64"/>
  <c r="P65"/>
  <c r="H68"/>
  <c r="P69"/>
  <c r="H72"/>
  <c r="P73"/>
  <c r="H76"/>
  <c r="P77"/>
  <c r="H80"/>
  <c r="P81"/>
  <c r="H84"/>
  <c r="P85"/>
  <c r="H88"/>
  <c r="Q90"/>
  <c r="P92"/>
  <c r="H95"/>
  <c r="P97"/>
  <c r="P99"/>
  <c r="H102"/>
  <c r="H104"/>
  <c r="Q108"/>
  <c r="E17"/>
  <c r="I18"/>
  <c r="S19"/>
  <c r="E21"/>
  <c r="I22"/>
  <c r="R24"/>
  <c r="I26"/>
  <c r="R28"/>
  <c r="I30"/>
  <c r="R32"/>
  <c r="I34"/>
  <c r="R36"/>
  <c r="I38"/>
  <c r="R40"/>
  <c r="I42"/>
  <c r="R44"/>
  <c r="I46"/>
  <c r="R48"/>
  <c r="I50"/>
  <c r="R52"/>
  <c r="I54"/>
  <c r="R56"/>
  <c r="I58"/>
  <c r="R60"/>
  <c r="I62"/>
  <c r="R64"/>
  <c r="I66"/>
  <c r="R68"/>
  <c r="I70"/>
  <c r="R72"/>
  <c r="I74"/>
  <c r="R76"/>
  <c r="I78"/>
  <c r="R80"/>
  <c r="I82"/>
  <c r="R84"/>
  <c r="I86"/>
  <c r="I105"/>
  <c r="P107"/>
  <c r="R33"/>
  <c r="E43"/>
  <c r="Q44"/>
  <c r="E47"/>
  <c r="Q48"/>
  <c r="E51"/>
  <c r="Q52"/>
  <c r="E55"/>
  <c r="Q56"/>
  <c r="E59"/>
  <c r="Q60"/>
  <c r="E63"/>
  <c r="Q64"/>
  <c r="E67"/>
  <c r="Q68"/>
  <c r="E71"/>
  <c r="Q72"/>
  <c r="E75"/>
  <c r="Q76"/>
  <c r="E79"/>
  <c r="Q80"/>
  <c r="E83"/>
  <c r="Q84"/>
  <c r="E87"/>
  <c r="S88"/>
  <c r="S90"/>
  <c r="S92"/>
  <c r="S94"/>
  <c r="S96"/>
  <c r="S98"/>
  <c r="S100"/>
  <c r="S102"/>
  <c r="R105"/>
  <c r="R106"/>
  <c r="I108"/>
  <c r="R110"/>
  <c r="I112"/>
  <c r="G164"/>
  <c r="BK164" s="1"/>
  <c r="BO164" s="1"/>
  <c r="BP164" s="1"/>
  <c r="T164" s="1"/>
  <c r="H112"/>
  <c r="P113"/>
  <c r="E115"/>
  <c r="I116"/>
  <c r="P117"/>
  <c r="E119"/>
  <c r="I120"/>
  <c r="P121"/>
  <c r="E123"/>
  <c r="I124"/>
  <c r="P125"/>
  <c r="E127"/>
  <c r="I128"/>
  <c r="P129"/>
  <c r="E131"/>
  <c r="I132"/>
  <c r="P133"/>
  <c r="E135"/>
  <c r="I136"/>
  <c r="P137"/>
  <c r="E139"/>
  <c r="I140"/>
  <c r="P141"/>
  <c r="E143"/>
  <c r="I144"/>
  <c r="P145"/>
  <c r="L143"/>
  <c r="BN143" s="1"/>
  <c r="J147"/>
  <c r="BL147" s="1"/>
  <c r="J149"/>
  <c r="BL149" s="1"/>
  <c r="K151"/>
  <c r="BM151" s="1"/>
  <c r="K153"/>
  <c r="BM153" s="1"/>
  <c r="K155"/>
  <c r="BM155" s="1"/>
  <c r="K157"/>
  <c r="BM157" s="1"/>
  <c r="J159"/>
  <c r="BL159" s="1"/>
  <c r="J161"/>
  <c r="BL161" s="1"/>
  <c r="J163"/>
  <c r="BL163" s="1"/>
  <c r="G157"/>
  <c r="BK157" s="1"/>
  <c r="BO157" s="1"/>
  <c r="BP157" s="1"/>
  <c r="T157" s="1"/>
  <c r="P15"/>
  <c r="I15"/>
  <c r="S14"/>
  <c r="H18"/>
  <c r="H22"/>
  <c r="I27"/>
  <c r="E31"/>
  <c r="P35"/>
  <c r="R41"/>
  <c r="Q19"/>
  <c r="H23"/>
  <c r="P24"/>
  <c r="H27"/>
  <c r="P28"/>
  <c r="H31"/>
  <c r="P32"/>
  <c r="H35"/>
  <c r="P36"/>
  <c r="H39"/>
  <c r="P40"/>
  <c r="H43"/>
  <c r="P44"/>
  <c r="H47"/>
  <c r="P48"/>
  <c r="H51"/>
  <c r="P52"/>
  <c r="H55"/>
  <c r="P56"/>
  <c r="H59"/>
  <c r="P60"/>
  <c r="H63"/>
  <c r="P64"/>
  <c r="H67"/>
  <c r="P68"/>
  <c r="H71"/>
  <c r="P72"/>
  <c r="H75"/>
  <c r="P76"/>
  <c r="H79"/>
  <c r="P80"/>
  <c r="H83"/>
  <c r="P84"/>
  <c r="H87"/>
  <c r="Q88"/>
  <c r="I91"/>
  <c r="I93"/>
  <c r="R95"/>
  <c r="Q97"/>
  <c r="I100"/>
  <c r="R102"/>
  <c r="S104"/>
  <c r="H108"/>
  <c r="R16"/>
  <c r="R20"/>
  <c r="E27"/>
  <c r="R23"/>
  <c r="I25"/>
  <c r="R27"/>
  <c r="I29"/>
  <c r="R31"/>
  <c r="I33"/>
  <c r="R35"/>
  <c r="I37"/>
  <c r="R39"/>
  <c r="I41"/>
  <c r="R43"/>
  <c r="I45"/>
  <c r="R47"/>
  <c r="I49"/>
  <c r="R51"/>
  <c r="I53"/>
  <c r="R55"/>
  <c r="I57"/>
  <c r="R59"/>
  <c r="I61"/>
  <c r="R63"/>
  <c r="I65"/>
  <c r="R67"/>
  <c r="I69"/>
  <c r="R71"/>
  <c r="I73"/>
  <c r="R75"/>
  <c r="I77"/>
  <c r="R79"/>
  <c r="I81"/>
  <c r="R83"/>
  <c r="I85"/>
  <c r="R87"/>
  <c r="H90"/>
  <c r="H92"/>
  <c r="Q94"/>
  <c r="P96"/>
  <c r="H99"/>
  <c r="P101"/>
  <c r="P103"/>
  <c r="S16"/>
  <c r="E18"/>
  <c r="I19"/>
  <c r="S20"/>
  <c r="E22"/>
  <c r="Q23"/>
  <c r="E26"/>
  <c r="Q27"/>
  <c r="E30"/>
  <c r="Q31"/>
  <c r="E34"/>
  <c r="Q35"/>
  <c r="E38"/>
  <c r="Q39"/>
  <c r="E42"/>
  <c r="Q43"/>
  <c r="E46"/>
  <c r="Q47"/>
  <c r="E50"/>
  <c r="Q51"/>
  <c r="E54"/>
  <c r="Q55"/>
  <c r="E58"/>
  <c r="Q59"/>
  <c r="E62"/>
  <c r="Q63"/>
  <c r="E66"/>
  <c r="Q67"/>
  <c r="E70"/>
  <c r="Q71"/>
  <c r="E74"/>
  <c r="Q75"/>
  <c r="E78"/>
  <c r="Q79"/>
  <c r="E82"/>
  <c r="Q83"/>
  <c r="E86"/>
  <c r="Q87"/>
  <c r="E107"/>
  <c r="R29"/>
  <c r="P39"/>
  <c r="S42"/>
  <c r="S46"/>
  <c r="S50"/>
  <c r="S54"/>
  <c r="S58"/>
  <c r="S62"/>
  <c r="S66"/>
  <c r="S70"/>
  <c r="S74"/>
  <c r="S78"/>
  <c r="S82"/>
  <c r="S86"/>
  <c r="E92"/>
  <c r="E96"/>
  <c r="E100"/>
  <c r="E104"/>
  <c r="R109"/>
  <c r="Q105"/>
  <c r="E108"/>
  <c r="Q109"/>
  <c r="E112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R162"/>
  <c r="R111"/>
  <c r="I113"/>
  <c r="P114"/>
  <c r="E116"/>
  <c r="I117"/>
  <c r="P118"/>
  <c r="E120"/>
  <c r="I121"/>
  <c r="P122"/>
  <c r="E124"/>
  <c r="I125"/>
  <c r="P126"/>
  <c r="E128"/>
  <c r="I129"/>
  <c r="P130"/>
  <c r="E132"/>
  <c r="I133"/>
  <c r="P134"/>
  <c r="E136"/>
  <c r="I137"/>
  <c r="P138"/>
  <c r="E140"/>
  <c r="I141"/>
  <c r="P142"/>
  <c r="E144"/>
  <c r="I145"/>
  <c r="P146"/>
  <c r="E148"/>
  <c r="I149"/>
  <c r="P150"/>
  <c r="G134"/>
  <c r="M142" s="1"/>
  <c r="M21"/>
  <c r="K14"/>
  <c r="BM14" s="1"/>
  <c r="L16"/>
  <c r="BN16" s="1"/>
  <c r="J18"/>
  <c r="BL18" s="1"/>
  <c r="K19"/>
  <c r="BM19" s="1"/>
  <c r="L20"/>
  <c r="BN20" s="1"/>
  <c r="J22"/>
  <c r="BL22" s="1"/>
  <c r="G15"/>
  <c r="G16"/>
  <c r="G17"/>
  <c r="BK17" s="1"/>
  <c r="G18"/>
  <c r="G19"/>
  <c r="G20"/>
  <c r="G21"/>
  <c r="G22"/>
  <c r="L31"/>
  <c r="BN31" s="1"/>
  <c r="L32"/>
  <c r="BN32" s="1"/>
  <c r="L33"/>
  <c r="BN33" s="1"/>
  <c r="L34"/>
  <c r="BN34" s="1"/>
  <c r="L35"/>
  <c r="BN35" s="1"/>
  <c r="L36"/>
  <c r="BN36" s="1"/>
  <c r="L37"/>
  <c r="BN37" s="1"/>
  <c r="L38"/>
  <c r="BN38" s="1"/>
  <c r="K39"/>
  <c r="BM39" s="1"/>
  <c r="K40"/>
  <c r="BM40" s="1"/>
  <c r="K41"/>
  <c r="BM41" s="1"/>
  <c r="K42"/>
  <c r="BM42" s="1"/>
  <c r="K43"/>
  <c r="BM43" s="1"/>
  <c r="K44"/>
  <c r="BM44" s="1"/>
  <c r="K45"/>
  <c r="BM45" s="1"/>
  <c r="K46"/>
  <c r="BM46" s="1"/>
  <c r="J47"/>
  <c r="BL47" s="1"/>
  <c r="J48"/>
  <c r="BL48" s="1"/>
  <c r="J49"/>
  <c r="BL49" s="1"/>
  <c r="J50"/>
  <c r="BL50" s="1"/>
  <c r="J51"/>
  <c r="BL51" s="1"/>
  <c r="J52"/>
  <c r="BL52" s="1"/>
  <c r="J53"/>
  <c r="BL53" s="1"/>
  <c r="J54"/>
  <c r="BL54" s="1"/>
  <c r="G47"/>
  <c r="G48"/>
  <c r="G49"/>
  <c r="G50"/>
  <c r="G51"/>
  <c r="G52"/>
  <c r="G53"/>
  <c r="G54"/>
  <c r="L63"/>
  <c r="BN63" s="1"/>
  <c r="L64"/>
  <c r="BN64" s="1"/>
  <c r="L65"/>
  <c r="BN65" s="1"/>
  <c r="L66"/>
  <c r="BN66" s="1"/>
  <c r="L67"/>
  <c r="BN67" s="1"/>
  <c r="L68"/>
  <c r="BN68" s="1"/>
  <c r="L69"/>
  <c r="BN69" s="1"/>
  <c r="L70"/>
  <c r="BN70" s="1"/>
  <c r="K71"/>
  <c r="BM71" s="1"/>
  <c r="K72"/>
  <c r="BM72" s="1"/>
  <c r="K73"/>
  <c r="BM73" s="1"/>
  <c r="K74"/>
  <c r="BM74" s="1"/>
  <c r="K75"/>
  <c r="BM75" s="1"/>
  <c r="K76"/>
  <c r="BM76" s="1"/>
  <c r="K77"/>
  <c r="BM77" s="1"/>
  <c r="K78"/>
  <c r="BM78" s="1"/>
  <c r="J79"/>
  <c r="BL79" s="1"/>
  <c r="J80"/>
  <c r="BL80" s="1"/>
  <c r="J81"/>
  <c r="BL81" s="1"/>
  <c r="J82"/>
  <c r="BL82" s="1"/>
  <c r="J83"/>
  <c r="BL83" s="1"/>
  <c r="J84"/>
  <c r="BL84" s="1"/>
  <c r="J85"/>
  <c r="BL85" s="1"/>
  <c r="J86"/>
  <c r="BL86" s="1"/>
  <c r="G79"/>
  <c r="G80"/>
  <c r="G81"/>
  <c r="G82"/>
  <c r="G83"/>
  <c r="G84"/>
  <c r="G85"/>
  <c r="G86"/>
  <c r="L95"/>
  <c r="BN95" s="1"/>
  <c r="L96"/>
  <c r="BN96" s="1"/>
  <c r="L97"/>
  <c r="BN97" s="1"/>
  <c r="L98"/>
  <c r="BN98" s="1"/>
  <c r="L99"/>
  <c r="BN99" s="1"/>
  <c r="L100"/>
  <c r="BN100" s="1"/>
  <c r="L101"/>
  <c r="BN101" s="1"/>
  <c r="L102"/>
  <c r="BN102" s="1"/>
  <c r="K103"/>
  <c r="BM103" s="1"/>
  <c r="K104"/>
  <c r="BM104" s="1"/>
  <c r="K105"/>
  <c r="BM105" s="1"/>
  <c r="K106"/>
  <c r="BM106" s="1"/>
  <c r="K107"/>
  <c r="BM107" s="1"/>
  <c r="K108"/>
  <c r="BM108" s="1"/>
  <c r="K109"/>
  <c r="BM109" s="1"/>
  <c r="K110"/>
  <c r="BM110" s="1"/>
  <c r="J111"/>
  <c r="BL111" s="1"/>
  <c r="J112"/>
  <c r="BL112" s="1"/>
  <c r="J113"/>
  <c r="BL113" s="1"/>
  <c r="J114"/>
  <c r="BL114" s="1"/>
  <c r="J115"/>
  <c r="BL115" s="1"/>
  <c r="J116"/>
  <c r="BL116" s="1"/>
  <c r="J117"/>
  <c r="BL117" s="1"/>
  <c r="J118"/>
  <c r="BL118" s="1"/>
  <c r="G111"/>
  <c r="G112"/>
  <c r="G113"/>
  <c r="G114"/>
  <c r="G115"/>
  <c r="G116"/>
  <c r="G117"/>
  <c r="G118"/>
  <c r="L127"/>
  <c r="BN127" s="1"/>
  <c r="L128"/>
  <c r="BN128" s="1"/>
  <c r="L129"/>
  <c r="BN129" s="1"/>
  <c r="L130"/>
  <c r="BN130" s="1"/>
  <c r="L131"/>
  <c r="BN131" s="1"/>
  <c r="L132"/>
  <c r="BN132" s="1"/>
  <c r="L133"/>
  <c r="BN133" s="1"/>
  <c r="L134"/>
  <c r="BN134" s="1"/>
  <c r="K135"/>
  <c r="BM135" s="1"/>
  <c r="K136"/>
  <c r="BM136" s="1"/>
  <c r="K137"/>
  <c r="BM137" s="1"/>
  <c r="K138"/>
  <c r="BM138" s="1"/>
  <c r="K139"/>
  <c r="BM139" s="1"/>
  <c r="K140"/>
  <c r="BM140" s="1"/>
  <c r="K141"/>
  <c r="BM141" s="1"/>
  <c r="K142"/>
  <c r="BM142" s="1"/>
  <c r="J143"/>
  <c r="BL143" s="1"/>
  <c r="J144"/>
  <c r="J145"/>
  <c r="BL145" s="1"/>
  <c r="J146"/>
  <c r="K16"/>
  <c r="BM16" s="1"/>
  <c r="L17"/>
  <c r="BN17" s="1"/>
  <c r="J19"/>
  <c r="BL19" s="1"/>
  <c r="K20"/>
  <c r="BM20" s="1"/>
  <c r="L21"/>
  <c r="BN21" s="1"/>
  <c r="G14"/>
  <c r="L23"/>
  <c r="BN23" s="1"/>
  <c r="L24"/>
  <c r="BN24" s="1"/>
  <c r="L25"/>
  <c r="BN25" s="1"/>
  <c r="L26"/>
  <c r="BN26" s="1"/>
  <c r="L27"/>
  <c r="BN27" s="1"/>
  <c r="L28"/>
  <c r="BN28" s="1"/>
  <c r="L29"/>
  <c r="BN29" s="1"/>
  <c r="L30"/>
  <c r="BN30" s="1"/>
  <c r="K31"/>
  <c r="BM31" s="1"/>
  <c r="K32"/>
  <c r="BM32" s="1"/>
  <c r="K33"/>
  <c r="BM33" s="1"/>
  <c r="K34"/>
  <c r="BM34" s="1"/>
  <c r="K35"/>
  <c r="BM35" s="1"/>
  <c r="K36"/>
  <c r="BM36" s="1"/>
  <c r="K37"/>
  <c r="BM37" s="1"/>
  <c r="K38"/>
  <c r="BM38" s="1"/>
  <c r="J39"/>
  <c r="BL39" s="1"/>
  <c r="J40"/>
  <c r="BL40" s="1"/>
  <c r="J41"/>
  <c r="BL41" s="1"/>
  <c r="J42"/>
  <c r="BL42" s="1"/>
  <c r="J43"/>
  <c r="BL43" s="1"/>
  <c r="J44"/>
  <c r="BL44" s="1"/>
  <c r="J45"/>
  <c r="BL45" s="1"/>
  <c r="J46"/>
  <c r="BL46" s="1"/>
  <c r="G39"/>
  <c r="G40"/>
  <c r="G41"/>
  <c r="G42"/>
  <c r="G43"/>
  <c r="G44"/>
  <c r="G45"/>
  <c r="G46"/>
  <c r="L55"/>
  <c r="BN55" s="1"/>
  <c r="L56"/>
  <c r="BN56" s="1"/>
  <c r="L57"/>
  <c r="BN57" s="1"/>
  <c r="L58"/>
  <c r="BN58" s="1"/>
  <c r="L59"/>
  <c r="BN59" s="1"/>
  <c r="L60"/>
  <c r="BN60" s="1"/>
  <c r="L61"/>
  <c r="BN61" s="1"/>
  <c r="L62"/>
  <c r="BN62" s="1"/>
  <c r="K63"/>
  <c r="BM63" s="1"/>
  <c r="K64"/>
  <c r="BM64" s="1"/>
  <c r="K65"/>
  <c r="BM65" s="1"/>
  <c r="K66"/>
  <c r="BM66" s="1"/>
  <c r="K67"/>
  <c r="BM67" s="1"/>
  <c r="K68"/>
  <c r="BM68" s="1"/>
  <c r="K69"/>
  <c r="BM69" s="1"/>
  <c r="K70"/>
  <c r="BM70" s="1"/>
  <c r="J71"/>
  <c r="BL71" s="1"/>
  <c r="J72"/>
  <c r="BL72" s="1"/>
  <c r="J73"/>
  <c r="BL73" s="1"/>
  <c r="J74"/>
  <c r="BL74" s="1"/>
  <c r="J75"/>
  <c r="BL75" s="1"/>
  <c r="J76"/>
  <c r="BL76" s="1"/>
  <c r="J77"/>
  <c r="BL77" s="1"/>
  <c r="J78"/>
  <c r="BL78" s="1"/>
  <c r="G71"/>
  <c r="G72"/>
  <c r="G73"/>
  <c r="G74"/>
  <c r="G75"/>
  <c r="G76"/>
  <c r="G77"/>
  <c r="G78"/>
  <c r="L87"/>
  <c r="BN87" s="1"/>
  <c r="L88"/>
  <c r="BN88" s="1"/>
  <c r="L89"/>
  <c r="BN89" s="1"/>
  <c r="L90"/>
  <c r="BN90" s="1"/>
  <c r="L91"/>
  <c r="BN91" s="1"/>
  <c r="L92"/>
  <c r="BN92" s="1"/>
  <c r="L93"/>
  <c r="BN93" s="1"/>
  <c r="L94"/>
  <c r="BN94" s="1"/>
  <c r="K95"/>
  <c r="BM95" s="1"/>
  <c r="K96"/>
  <c r="BM96" s="1"/>
  <c r="K97"/>
  <c r="BM97" s="1"/>
  <c r="K98"/>
  <c r="BM98" s="1"/>
  <c r="K99"/>
  <c r="BM99" s="1"/>
  <c r="K100"/>
  <c r="BM100" s="1"/>
  <c r="K101"/>
  <c r="BM101" s="1"/>
  <c r="K102"/>
  <c r="BM102" s="1"/>
  <c r="J103"/>
  <c r="BL103" s="1"/>
  <c r="J104"/>
  <c r="BL104" s="1"/>
  <c r="J105"/>
  <c r="BL105" s="1"/>
  <c r="J106"/>
  <c r="BL106" s="1"/>
  <c r="J107"/>
  <c r="BL107" s="1"/>
  <c r="J108"/>
  <c r="BL108" s="1"/>
  <c r="J109"/>
  <c r="BL109" s="1"/>
  <c r="J110"/>
  <c r="BL110" s="1"/>
  <c r="G103"/>
  <c r="G104"/>
  <c r="G105"/>
  <c r="G106"/>
  <c r="G107"/>
  <c r="G108"/>
  <c r="G109"/>
  <c r="G110"/>
  <c r="L119"/>
  <c r="BN119" s="1"/>
  <c r="L120"/>
  <c r="BN120" s="1"/>
  <c r="L121"/>
  <c r="BN121" s="1"/>
  <c r="L122"/>
  <c r="BN122" s="1"/>
  <c r="L123"/>
  <c r="BN123" s="1"/>
  <c r="L124"/>
  <c r="BN124" s="1"/>
  <c r="L125"/>
  <c r="BN125" s="1"/>
  <c r="L126"/>
  <c r="BN126" s="1"/>
  <c r="K127"/>
  <c r="BM127" s="1"/>
  <c r="K128"/>
  <c r="BM128" s="1"/>
  <c r="K129"/>
  <c r="BM129" s="1"/>
  <c r="K130"/>
  <c r="BM130" s="1"/>
  <c r="K131"/>
  <c r="BM131" s="1"/>
  <c r="K132"/>
  <c r="BM132" s="1"/>
  <c r="K133"/>
  <c r="BM133" s="1"/>
  <c r="K134"/>
  <c r="BM134" s="1"/>
  <c r="J135"/>
  <c r="BL135" s="1"/>
  <c r="J136"/>
  <c r="BL136" s="1"/>
  <c r="J137"/>
  <c r="BL137" s="1"/>
  <c r="J138"/>
  <c r="BL138" s="1"/>
  <c r="J139"/>
  <c r="BL139" s="1"/>
  <c r="J140"/>
  <c r="BL140" s="1"/>
  <c r="J141"/>
  <c r="BL141" s="1"/>
  <c r="J142"/>
  <c r="G135"/>
  <c r="G136"/>
  <c r="G137"/>
  <c r="G138"/>
  <c r="G139"/>
  <c r="M147" s="1"/>
  <c r="G140"/>
  <c r="G141"/>
  <c r="M149" s="1"/>
  <c r="G142"/>
  <c r="L151"/>
  <c r="BN151" s="1"/>
  <c r="L152"/>
  <c r="BN152" s="1"/>
  <c r="L153"/>
  <c r="BN153" s="1"/>
  <c r="L154"/>
  <c r="BN154" s="1"/>
  <c r="L155"/>
  <c r="BN155" s="1"/>
  <c r="L156"/>
  <c r="BN156" s="1"/>
  <c r="L157"/>
  <c r="BN157" s="1"/>
  <c r="L158"/>
  <c r="BN158" s="1"/>
  <c r="K159"/>
  <c r="BM159" s="1"/>
  <c r="K160"/>
  <c r="BM160" s="1"/>
  <c r="K161"/>
  <c r="BM161" s="1"/>
  <c r="K162"/>
  <c r="BM162" s="1"/>
  <c r="K163"/>
  <c r="BM163" s="1"/>
  <c r="K164"/>
  <c r="BM164" s="1"/>
  <c r="J16"/>
  <c r="BL16" s="1"/>
  <c r="K17"/>
  <c r="BM17" s="1"/>
  <c r="L18"/>
  <c r="BN18" s="1"/>
  <c r="J20"/>
  <c r="BL20" s="1"/>
  <c r="K21"/>
  <c r="BM21" s="1"/>
  <c r="L22"/>
  <c r="BN22" s="1"/>
  <c r="K23"/>
  <c r="BM23" s="1"/>
  <c r="K24"/>
  <c r="BM24" s="1"/>
  <c r="K25"/>
  <c r="BM25" s="1"/>
  <c r="K26"/>
  <c r="BM26" s="1"/>
  <c r="K27"/>
  <c r="BM27" s="1"/>
  <c r="K28"/>
  <c r="BM28" s="1"/>
  <c r="K29"/>
  <c r="BM29" s="1"/>
  <c r="K30"/>
  <c r="BM30" s="1"/>
  <c r="J31"/>
  <c r="BL31" s="1"/>
  <c r="J32"/>
  <c r="BL32" s="1"/>
  <c r="J33"/>
  <c r="BL33" s="1"/>
  <c r="J34"/>
  <c r="BL34" s="1"/>
  <c r="J35"/>
  <c r="BL35" s="1"/>
  <c r="J36"/>
  <c r="BL36" s="1"/>
  <c r="J37"/>
  <c r="BL37" s="1"/>
  <c r="J38"/>
  <c r="BL38" s="1"/>
  <c r="G31"/>
  <c r="G32"/>
  <c r="G33"/>
  <c r="G34"/>
  <c r="G35"/>
  <c r="G36"/>
  <c r="G37"/>
  <c r="G38"/>
  <c r="L47"/>
  <c r="BN47" s="1"/>
  <c r="L48"/>
  <c r="BN48" s="1"/>
  <c r="L49"/>
  <c r="BN49" s="1"/>
  <c r="L50"/>
  <c r="BN50" s="1"/>
  <c r="L51"/>
  <c r="BN51" s="1"/>
  <c r="L52"/>
  <c r="BN52" s="1"/>
  <c r="L53"/>
  <c r="BN53" s="1"/>
  <c r="L54"/>
  <c r="BN54" s="1"/>
  <c r="K55"/>
  <c r="BM55" s="1"/>
  <c r="K56"/>
  <c r="BM56" s="1"/>
  <c r="K57"/>
  <c r="BM57" s="1"/>
  <c r="K58"/>
  <c r="BM58" s="1"/>
  <c r="K59"/>
  <c r="BM59" s="1"/>
  <c r="K60"/>
  <c r="BM60" s="1"/>
  <c r="K61"/>
  <c r="BM61" s="1"/>
  <c r="K62"/>
  <c r="BM62" s="1"/>
  <c r="J63"/>
  <c r="BL63" s="1"/>
  <c r="J64"/>
  <c r="BL64" s="1"/>
  <c r="J65"/>
  <c r="BL65" s="1"/>
  <c r="J66"/>
  <c r="BL66" s="1"/>
  <c r="J67"/>
  <c r="BL67" s="1"/>
  <c r="J68"/>
  <c r="BL68" s="1"/>
  <c r="J69"/>
  <c r="BL69" s="1"/>
  <c r="J70"/>
  <c r="BL70" s="1"/>
  <c r="G63"/>
  <c r="G64"/>
  <c r="G65"/>
  <c r="G66"/>
  <c r="G67"/>
  <c r="G68"/>
  <c r="G69"/>
  <c r="G70"/>
  <c r="L79"/>
  <c r="BN79" s="1"/>
  <c r="L80"/>
  <c r="BN80" s="1"/>
  <c r="L81"/>
  <c r="BN81" s="1"/>
  <c r="L82"/>
  <c r="BN82" s="1"/>
  <c r="L83"/>
  <c r="BN83" s="1"/>
  <c r="L84"/>
  <c r="BN84" s="1"/>
  <c r="L85"/>
  <c r="BN85" s="1"/>
  <c r="L86"/>
  <c r="BN86" s="1"/>
  <c r="K87"/>
  <c r="BM87" s="1"/>
  <c r="K88"/>
  <c r="BM88" s="1"/>
  <c r="K89"/>
  <c r="BM89" s="1"/>
  <c r="K90"/>
  <c r="BM90" s="1"/>
  <c r="K91"/>
  <c r="BM91" s="1"/>
  <c r="K92"/>
  <c r="BM92" s="1"/>
  <c r="K93"/>
  <c r="BM93" s="1"/>
  <c r="K94"/>
  <c r="BM94" s="1"/>
  <c r="J95"/>
  <c r="BL95" s="1"/>
  <c r="J96"/>
  <c r="BL96" s="1"/>
  <c r="J97"/>
  <c r="BL97" s="1"/>
  <c r="J98"/>
  <c r="BL98" s="1"/>
  <c r="J99"/>
  <c r="BL99" s="1"/>
  <c r="J100"/>
  <c r="BL100" s="1"/>
  <c r="J101"/>
  <c r="BL101" s="1"/>
  <c r="J102"/>
  <c r="BL102" s="1"/>
  <c r="G95"/>
  <c r="G96"/>
  <c r="G97"/>
  <c r="G98"/>
  <c r="G99"/>
  <c r="G100"/>
  <c r="G101"/>
  <c r="G102"/>
  <c r="L111"/>
  <c r="BN111" s="1"/>
  <c r="L112"/>
  <c r="BN112" s="1"/>
  <c r="L113"/>
  <c r="BN113" s="1"/>
  <c r="L114"/>
  <c r="BN114" s="1"/>
  <c r="L115"/>
  <c r="BN115" s="1"/>
  <c r="L116"/>
  <c r="BN116" s="1"/>
  <c r="L117"/>
  <c r="BN117" s="1"/>
  <c r="L118"/>
  <c r="BN118" s="1"/>
  <c r="K119"/>
  <c r="BM119" s="1"/>
  <c r="K120"/>
  <c r="BM120" s="1"/>
  <c r="K121"/>
  <c r="BM121" s="1"/>
  <c r="K122"/>
  <c r="BM122" s="1"/>
  <c r="K123"/>
  <c r="BM123" s="1"/>
  <c r="K124"/>
  <c r="BM124" s="1"/>
  <c r="K125"/>
  <c r="BM125" s="1"/>
  <c r="K126"/>
  <c r="BM126" s="1"/>
  <c r="J127"/>
  <c r="BL127" s="1"/>
  <c r="J128"/>
  <c r="BL128" s="1"/>
  <c r="J129"/>
  <c r="BL129" s="1"/>
  <c r="J130"/>
  <c r="BL130" s="1"/>
  <c r="J131"/>
  <c r="BL131" s="1"/>
  <c r="J132"/>
  <c r="BL132" s="1"/>
  <c r="J133"/>
  <c r="BL133" s="1"/>
  <c r="J134"/>
  <c r="BL134" s="1"/>
  <c r="G127"/>
  <c r="G128"/>
  <c r="G129"/>
  <c r="G130"/>
  <c r="M14"/>
  <c r="J17"/>
  <c r="BL17" s="1"/>
  <c r="K18"/>
  <c r="BM18" s="1"/>
  <c r="L19"/>
  <c r="BN19" s="1"/>
  <c r="J21"/>
  <c r="BL21" s="1"/>
  <c r="K22"/>
  <c r="BM22" s="1"/>
  <c r="J23"/>
  <c r="BL23" s="1"/>
  <c r="J24"/>
  <c r="BL24" s="1"/>
  <c r="J25"/>
  <c r="BL25" s="1"/>
  <c r="J26"/>
  <c r="BL26" s="1"/>
  <c r="J27"/>
  <c r="BL27" s="1"/>
  <c r="J28"/>
  <c r="BL28" s="1"/>
  <c r="J29"/>
  <c r="BL29" s="1"/>
  <c r="J30"/>
  <c r="BL30" s="1"/>
  <c r="G23"/>
  <c r="G24"/>
  <c r="G25"/>
  <c r="G26"/>
  <c r="G27"/>
  <c r="G28"/>
  <c r="G29"/>
  <c r="G30"/>
  <c r="L39"/>
  <c r="BN39" s="1"/>
  <c r="L40"/>
  <c r="BN40" s="1"/>
  <c r="L41"/>
  <c r="BN41" s="1"/>
  <c r="L42"/>
  <c r="BN42" s="1"/>
  <c r="L43"/>
  <c r="BN43" s="1"/>
  <c r="L44"/>
  <c r="BN44" s="1"/>
  <c r="L45"/>
  <c r="BN45" s="1"/>
  <c r="L46"/>
  <c r="BN46" s="1"/>
  <c r="K47"/>
  <c r="BM47" s="1"/>
  <c r="K48"/>
  <c r="BM48" s="1"/>
  <c r="K49"/>
  <c r="BM49" s="1"/>
  <c r="K50"/>
  <c r="BM50" s="1"/>
  <c r="K51"/>
  <c r="BM51" s="1"/>
  <c r="K52"/>
  <c r="BM52" s="1"/>
  <c r="K53"/>
  <c r="BM53" s="1"/>
  <c r="K54"/>
  <c r="BM54" s="1"/>
  <c r="J55"/>
  <c r="BL55" s="1"/>
  <c r="J56"/>
  <c r="BL56" s="1"/>
  <c r="J57"/>
  <c r="BL57" s="1"/>
  <c r="J58"/>
  <c r="BL58" s="1"/>
  <c r="J59"/>
  <c r="BL59" s="1"/>
  <c r="J60"/>
  <c r="BL60" s="1"/>
  <c r="J61"/>
  <c r="BL61" s="1"/>
  <c r="J62"/>
  <c r="BL62" s="1"/>
  <c r="G55"/>
  <c r="G56"/>
  <c r="G57"/>
  <c r="G58"/>
  <c r="G59"/>
  <c r="G60"/>
  <c r="G61"/>
  <c r="G62"/>
  <c r="L71"/>
  <c r="BN71" s="1"/>
  <c r="L72"/>
  <c r="BN72" s="1"/>
  <c r="L73"/>
  <c r="BN73" s="1"/>
  <c r="L74"/>
  <c r="BN74" s="1"/>
  <c r="L75"/>
  <c r="BN75" s="1"/>
  <c r="L76"/>
  <c r="BN76" s="1"/>
  <c r="L77"/>
  <c r="BN77" s="1"/>
  <c r="L78"/>
  <c r="BN78" s="1"/>
  <c r="K79"/>
  <c r="BM79" s="1"/>
  <c r="K80"/>
  <c r="BM80" s="1"/>
  <c r="K81"/>
  <c r="BM81" s="1"/>
  <c r="K82"/>
  <c r="BM82" s="1"/>
  <c r="K83"/>
  <c r="BM83" s="1"/>
  <c r="K84"/>
  <c r="BM84" s="1"/>
  <c r="K85"/>
  <c r="BM85" s="1"/>
  <c r="K86"/>
  <c r="BM86" s="1"/>
  <c r="J87"/>
  <c r="BL87" s="1"/>
  <c r="J88"/>
  <c r="BL88" s="1"/>
  <c r="J89"/>
  <c r="BL89" s="1"/>
  <c r="J90"/>
  <c r="BL90" s="1"/>
  <c r="J91"/>
  <c r="BL91" s="1"/>
  <c r="J92"/>
  <c r="BL92" s="1"/>
  <c r="J93"/>
  <c r="BL93" s="1"/>
  <c r="J94"/>
  <c r="BL94" s="1"/>
  <c r="G87"/>
  <c r="G88"/>
  <c r="G89"/>
  <c r="G90"/>
  <c r="G91"/>
  <c r="G92"/>
  <c r="G93"/>
  <c r="G94"/>
  <c r="L103"/>
  <c r="BN103" s="1"/>
  <c r="L104"/>
  <c r="BN104" s="1"/>
  <c r="L105"/>
  <c r="BN105" s="1"/>
  <c r="L106"/>
  <c r="BN106" s="1"/>
  <c r="L107"/>
  <c r="BN107" s="1"/>
  <c r="L108"/>
  <c r="BN108" s="1"/>
  <c r="L109"/>
  <c r="BN109" s="1"/>
  <c r="L110"/>
  <c r="BN110" s="1"/>
  <c r="K111"/>
  <c r="BM111" s="1"/>
  <c r="K112"/>
  <c r="BM112" s="1"/>
  <c r="K113"/>
  <c r="BM113" s="1"/>
  <c r="K114"/>
  <c r="BM114" s="1"/>
  <c r="K115"/>
  <c r="BM115" s="1"/>
  <c r="K116"/>
  <c r="BM116" s="1"/>
  <c r="K117"/>
  <c r="BM117" s="1"/>
  <c r="K118"/>
  <c r="BM118" s="1"/>
  <c r="J119"/>
  <c r="BL119" s="1"/>
  <c r="J120"/>
  <c r="BL120" s="1"/>
  <c r="J121"/>
  <c r="BL121" s="1"/>
  <c r="J122"/>
  <c r="BL122" s="1"/>
  <c r="J123"/>
  <c r="BL123" s="1"/>
  <c r="J124"/>
  <c r="BL124" s="1"/>
  <c r="J125"/>
  <c r="BL125" s="1"/>
  <c r="J126"/>
  <c r="BL126" s="1"/>
  <c r="G119"/>
  <c r="G120"/>
  <c r="G121"/>
  <c r="G122"/>
  <c r="G123"/>
  <c r="G124"/>
  <c r="G125"/>
  <c r="G126"/>
  <c r="L135"/>
  <c r="BN135" s="1"/>
  <c r="L136"/>
  <c r="BN136" s="1"/>
  <c r="L137"/>
  <c r="BN137" s="1"/>
  <c r="L138"/>
  <c r="BN138" s="1"/>
  <c r="L139"/>
  <c r="BN139" s="1"/>
  <c r="L140"/>
  <c r="BN140" s="1"/>
  <c r="L141"/>
  <c r="BN141" s="1"/>
  <c r="L142"/>
  <c r="BN142" s="1"/>
  <c r="K143"/>
  <c r="BM143" s="1"/>
  <c r="K144"/>
  <c r="BM144" s="1"/>
  <c r="K145"/>
  <c r="BM145" s="1"/>
  <c r="K146"/>
  <c r="BM146" s="1"/>
  <c r="K147"/>
  <c r="BM147" s="1"/>
  <c r="K148"/>
  <c r="BM148" s="1"/>
  <c r="K149"/>
  <c r="BM149" s="1"/>
  <c r="K150"/>
  <c r="BM150" s="1"/>
  <c r="J151"/>
  <c r="BL151" s="1"/>
  <c r="J152"/>
  <c r="BL152" s="1"/>
  <c r="J153"/>
  <c r="BL153" s="1"/>
  <c r="J154"/>
  <c r="BL154" s="1"/>
  <c r="J155"/>
  <c r="BL155" s="1"/>
  <c r="J156"/>
  <c r="BL156" s="1"/>
  <c r="J157"/>
  <c r="BL157" s="1"/>
  <c r="J158"/>
  <c r="G151"/>
  <c r="M159" s="1"/>
  <c r="G152"/>
  <c r="M160" s="1"/>
  <c r="N160" s="1"/>
  <c r="O160" s="1"/>
  <c r="G153"/>
  <c r="M161" s="1"/>
  <c r="G154"/>
  <c r="M162" s="1"/>
  <c r="G155"/>
  <c r="M163" s="1"/>
  <c r="G156"/>
  <c r="M164" s="1"/>
  <c r="N164" s="1"/>
  <c r="O164" s="1"/>
  <c r="L15"/>
  <c r="BN15" s="1"/>
  <c r="L14"/>
  <c r="BN14" s="1"/>
  <c r="BO17"/>
  <c r="BP17" s="1"/>
  <c r="T17" s="1"/>
  <c r="M20"/>
  <c r="N20" s="1"/>
  <c r="O20" s="1"/>
  <c r="K15"/>
  <c r="BM15" s="1"/>
  <c r="J14"/>
  <c r="BL14" s="1"/>
  <c r="M19"/>
  <c r="M17"/>
  <c r="M18"/>
  <c r="M15"/>
  <c r="M16"/>
  <c r="N16" s="1"/>
  <c r="O16" s="1"/>
  <c r="BK143"/>
  <c r="BO143" s="1"/>
  <c r="BP143" s="1"/>
  <c r="T143" s="1"/>
  <c r="M25"/>
  <c r="BK148"/>
  <c r="BO148" s="1"/>
  <c r="BP148" s="1"/>
  <c r="T148" s="1"/>
  <c r="J15"/>
  <c r="BK139"/>
  <c r="BO139" s="1"/>
  <c r="BP139" s="1"/>
  <c r="T139" s="1"/>
  <c r="BL142"/>
  <c r="BK141"/>
  <c r="BO141" s="1"/>
  <c r="BP141" s="1"/>
  <c r="T141" s="1"/>
  <c r="BL146"/>
  <c r="BK145"/>
  <c r="BO145" s="1"/>
  <c r="BP145" s="1"/>
  <c r="T145" s="1"/>
  <c r="M157"/>
  <c r="BL144"/>
  <c r="BK147"/>
  <c r="BO147" s="1"/>
  <c r="BP147" s="1"/>
  <c r="T147" s="1"/>
  <c r="BL164"/>
  <c r="BL160"/>
  <c r="BL148"/>
  <c r="N17" l="1"/>
  <c r="O17" s="1"/>
  <c r="N161"/>
  <c r="O161" s="1"/>
  <c r="N156"/>
  <c r="O156" s="1"/>
  <c r="N19"/>
  <c r="O19" s="1"/>
  <c r="N162"/>
  <c r="O162" s="1"/>
  <c r="BK156"/>
  <c r="BO156" s="1"/>
  <c r="BP156" s="1"/>
  <c r="T156" s="1"/>
  <c r="BK152"/>
  <c r="BO152" s="1"/>
  <c r="BP152" s="1"/>
  <c r="T152" s="1"/>
  <c r="N14"/>
  <c r="O14" s="1"/>
  <c r="N151"/>
  <c r="O151" s="1"/>
  <c r="N147"/>
  <c r="O147" s="1"/>
  <c r="BK151"/>
  <c r="BO151" s="1"/>
  <c r="BP151" s="1"/>
  <c r="T151" s="1"/>
  <c r="N149"/>
  <c r="O149" s="1"/>
  <c r="N153"/>
  <c r="O153" s="1"/>
  <c r="N163"/>
  <c r="O163" s="1"/>
  <c r="N159"/>
  <c r="O159" s="1"/>
  <c r="BK134"/>
  <c r="BO134" s="1"/>
  <c r="BP134" s="1"/>
  <c r="T134" s="1"/>
  <c r="N157"/>
  <c r="O157" s="1"/>
  <c r="N18"/>
  <c r="O18" s="1"/>
  <c r="N155"/>
  <c r="O155" s="1"/>
  <c r="BK153"/>
  <c r="BO153" s="1"/>
  <c r="BP153" s="1"/>
  <c r="T153" s="1"/>
  <c r="N25"/>
  <c r="O25" s="1"/>
  <c r="N21"/>
  <c r="O21" s="1"/>
  <c r="N142"/>
  <c r="O142" s="1"/>
  <c r="M139"/>
  <c r="N139" s="1"/>
  <c r="O139" s="1"/>
  <c r="BK131"/>
  <c r="BO131" s="1"/>
  <c r="BP131" s="1"/>
  <c r="T131" s="1"/>
  <c r="M154"/>
  <c r="N154" s="1"/>
  <c r="O154" s="1"/>
  <c r="BK146"/>
  <c r="BO146" s="1"/>
  <c r="BP146" s="1"/>
  <c r="T146" s="1"/>
  <c r="M158"/>
  <c r="N158" s="1"/>
  <c r="O158" s="1"/>
  <c r="BK150"/>
  <c r="BO150" s="1"/>
  <c r="BP150" s="1"/>
  <c r="T150" s="1"/>
  <c r="BK155"/>
  <c r="BO155" s="1"/>
  <c r="BP155" s="1"/>
  <c r="T155" s="1"/>
  <c r="M140"/>
  <c r="N140" s="1"/>
  <c r="O140" s="1"/>
  <c r="BK132"/>
  <c r="BO132" s="1"/>
  <c r="BP132" s="1"/>
  <c r="T132" s="1"/>
  <c r="M152"/>
  <c r="N152" s="1"/>
  <c r="O152" s="1"/>
  <c r="BK144"/>
  <c r="BO144" s="1"/>
  <c r="BP144" s="1"/>
  <c r="T144" s="1"/>
  <c r="M141"/>
  <c r="N141" s="1"/>
  <c r="O141" s="1"/>
  <c r="BK133"/>
  <c r="BO133" s="1"/>
  <c r="BP133" s="1"/>
  <c r="T133" s="1"/>
  <c r="M134"/>
  <c r="N134" s="1"/>
  <c r="O134" s="1"/>
  <c r="BK126"/>
  <c r="BO126" s="1"/>
  <c r="BP126" s="1"/>
  <c r="T126" s="1"/>
  <c r="M130"/>
  <c r="N130" s="1"/>
  <c r="O130" s="1"/>
  <c r="BK122"/>
  <c r="BO122" s="1"/>
  <c r="BP122" s="1"/>
  <c r="T122" s="1"/>
  <c r="M102"/>
  <c r="N102" s="1"/>
  <c r="O102" s="1"/>
  <c r="BK94"/>
  <c r="BO94" s="1"/>
  <c r="BP94" s="1"/>
  <c r="T94" s="1"/>
  <c r="M98"/>
  <c r="N98" s="1"/>
  <c r="O98" s="1"/>
  <c r="BK90"/>
  <c r="BO90" s="1"/>
  <c r="BP90" s="1"/>
  <c r="T90" s="1"/>
  <c r="M70"/>
  <c r="N70" s="1"/>
  <c r="O70" s="1"/>
  <c r="BK62"/>
  <c r="BO62" s="1"/>
  <c r="BP62" s="1"/>
  <c r="T62" s="1"/>
  <c r="M66"/>
  <c r="N66" s="1"/>
  <c r="O66" s="1"/>
  <c r="BK58"/>
  <c r="BO58" s="1"/>
  <c r="BP58" s="1"/>
  <c r="T58" s="1"/>
  <c r="M38"/>
  <c r="N38" s="1"/>
  <c r="O38" s="1"/>
  <c r="BK30"/>
  <c r="BO30" s="1"/>
  <c r="BP30" s="1"/>
  <c r="T30" s="1"/>
  <c r="M34"/>
  <c r="N34" s="1"/>
  <c r="O34" s="1"/>
  <c r="BK26"/>
  <c r="BO26" s="1"/>
  <c r="BP26" s="1"/>
  <c r="T26" s="1"/>
  <c r="M136"/>
  <c r="N136" s="1"/>
  <c r="O136" s="1"/>
  <c r="BK128"/>
  <c r="BO128" s="1"/>
  <c r="BP128" s="1"/>
  <c r="T128" s="1"/>
  <c r="M108"/>
  <c r="N108" s="1"/>
  <c r="O108" s="1"/>
  <c r="BK100"/>
  <c r="BO100" s="1"/>
  <c r="BP100" s="1"/>
  <c r="T100" s="1"/>
  <c r="M104"/>
  <c r="N104" s="1"/>
  <c r="O104" s="1"/>
  <c r="BK96"/>
  <c r="BO96" s="1"/>
  <c r="BP96" s="1"/>
  <c r="T96" s="1"/>
  <c r="M76"/>
  <c r="N76" s="1"/>
  <c r="O76" s="1"/>
  <c r="BK68"/>
  <c r="BO68" s="1"/>
  <c r="BP68" s="1"/>
  <c r="T68" s="1"/>
  <c r="M72"/>
  <c r="N72" s="1"/>
  <c r="O72" s="1"/>
  <c r="BK64"/>
  <c r="BO64" s="1"/>
  <c r="BP64" s="1"/>
  <c r="T64" s="1"/>
  <c r="M44"/>
  <c r="N44" s="1"/>
  <c r="O44" s="1"/>
  <c r="BK36"/>
  <c r="BO36" s="1"/>
  <c r="BP36" s="1"/>
  <c r="T36" s="1"/>
  <c r="M40"/>
  <c r="N40" s="1"/>
  <c r="O40" s="1"/>
  <c r="BK32"/>
  <c r="BO32" s="1"/>
  <c r="BP32" s="1"/>
  <c r="T32" s="1"/>
  <c r="M148"/>
  <c r="N148" s="1"/>
  <c r="O148" s="1"/>
  <c r="BK140"/>
  <c r="BO140" s="1"/>
  <c r="BP140" s="1"/>
  <c r="T140" s="1"/>
  <c r="M144"/>
  <c r="N144" s="1"/>
  <c r="O144" s="1"/>
  <c r="BK136"/>
  <c r="BO136" s="1"/>
  <c r="BP136" s="1"/>
  <c r="T136" s="1"/>
  <c r="M116"/>
  <c r="N116" s="1"/>
  <c r="O116" s="1"/>
  <c r="BK108"/>
  <c r="BO108" s="1"/>
  <c r="BP108" s="1"/>
  <c r="T108" s="1"/>
  <c r="M112"/>
  <c r="N112" s="1"/>
  <c r="O112" s="1"/>
  <c r="BK104"/>
  <c r="BO104" s="1"/>
  <c r="BP104" s="1"/>
  <c r="T104" s="1"/>
  <c r="M84"/>
  <c r="N84" s="1"/>
  <c r="O84" s="1"/>
  <c r="BK76"/>
  <c r="BO76" s="1"/>
  <c r="BP76" s="1"/>
  <c r="T76" s="1"/>
  <c r="M80"/>
  <c r="N80" s="1"/>
  <c r="O80" s="1"/>
  <c r="BK72"/>
  <c r="BO72" s="1"/>
  <c r="BP72" s="1"/>
  <c r="T72" s="1"/>
  <c r="M52"/>
  <c r="N52" s="1"/>
  <c r="O52" s="1"/>
  <c r="BK44"/>
  <c r="BO44" s="1"/>
  <c r="BP44" s="1"/>
  <c r="T44" s="1"/>
  <c r="M48"/>
  <c r="N48" s="1"/>
  <c r="O48" s="1"/>
  <c r="BK40"/>
  <c r="BO40" s="1"/>
  <c r="BP40" s="1"/>
  <c r="T40" s="1"/>
  <c r="M126"/>
  <c r="N126" s="1"/>
  <c r="O126" s="1"/>
  <c r="BK118"/>
  <c r="BO118" s="1"/>
  <c r="BP118" s="1"/>
  <c r="T118" s="1"/>
  <c r="M122"/>
  <c r="N122" s="1"/>
  <c r="O122" s="1"/>
  <c r="BK114"/>
  <c r="BO114" s="1"/>
  <c r="BP114" s="1"/>
  <c r="T114" s="1"/>
  <c r="M94"/>
  <c r="N94" s="1"/>
  <c r="O94" s="1"/>
  <c r="BK86"/>
  <c r="BO86" s="1"/>
  <c r="BP86" s="1"/>
  <c r="T86" s="1"/>
  <c r="M90"/>
  <c r="N90" s="1"/>
  <c r="O90" s="1"/>
  <c r="BK82"/>
  <c r="BO82" s="1"/>
  <c r="BP82" s="1"/>
  <c r="T82" s="1"/>
  <c r="M62"/>
  <c r="N62" s="1"/>
  <c r="O62" s="1"/>
  <c r="BK54"/>
  <c r="BO54" s="1"/>
  <c r="BP54" s="1"/>
  <c r="T54" s="1"/>
  <c r="M58"/>
  <c r="N58" s="1"/>
  <c r="O58" s="1"/>
  <c r="BK50"/>
  <c r="BO50" s="1"/>
  <c r="BP50" s="1"/>
  <c r="T50" s="1"/>
  <c r="M30"/>
  <c r="N30" s="1"/>
  <c r="O30" s="1"/>
  <c r="BK22"/>
  <c r="BO22" s="1"/>
  <c r="BP22" s="1"/>
  <c r="T22" s="1"/>
  <c r="M26"/>
  <c r="N26" s="1"/>
  <c r="O26" s="1"/>
  <c r="BK18"/>
  <c r="BO18" s="1"/>
  <c r="BP18" s="1"/>
  <c r="T18" s="1"/>
  <c r="M131"/>
  <c r="N131" s="1"/>
  <c r="O131" s="1"/>
  <c r="BK123"/>
  <c r="BO123" s="1"/>
  <c r="BP123" s="1"/>
  <c r="T123" s="1"/>
  <c r="M127"/>
  <c r="N127" s="1"/>
  <c r="O127" s="1"/>
  <c r="BK119"/>
  <c r="BO119" s="1"/>
  <c r="BP119" s="1"/>
  <c r="T119" s="1"/>
  <c r="M99"/>
  <c r="N99" s="1"/>
  <c r="O99" s="1"/>
  <c r="BK91"/>
  <c r="BO91" s="1"/>
  <c r="BP91" s="1"/>
  <c r="T91" s="1"/>
  <c r="M95"/>
  <c r="N95" s="1"/>
  <c r="O95" s="1"/>
  <c r="BK87"/>
  <c r="BO87" s="1"/>
  <c r="BP87" s="1"/>
  <c r="T87" s="1"/>
  <c r="M67"/>
  <c r="N67" s="1"/>
  <c r="O67" s="1"/>
  <c r="BK59"/>
  <c r="BO59" s="1"/>
  <c r="BP59" s="1"/>
  <c r="T59" s="1"/>
  <c r="M63"/>
  <c r="N63" s="1"/>
  <c r="O63" s="1"/>
  <c r="BK55"/>
  <c r="BO55" s="1"/>
  <c r="BP55" s="1"/>
  <c r="T55" s="1"/>
  <c r="M35"/>
  <c r="N35" s="1"/>
  <c r="O35" s="1"/>
  <c r="BK27"/>
  <c r="BO27" s="1"/>
  <c r="BP27" s="1"/>
  <c r="T27" s="1"/>
  <c r="M31"/>
  <c r="N31" s="1"/>
  <c r="O31" s="1"/>
  <c r="BK23"/>
  <c r="BO23" s="1"/>
  <c r="BP23" s="1"/>
  <c r="T23" s="1"/>
  <c r="M137"/>
  <c r="N137" s="1"/>
  <c r="O137" s="1"/>
  <c r="BK129"/>
  <c r="BO129" s="1"/>
  <c r="BP129" s="1"/>
  <c r="T129" s="1"/>
  <c r="M109"/>
  <c r="N109" s="1"/>
  <c r="O109" s="1"/>
  <c r="BK101"/>
  <c r="BO101" s="1"/>
  <c r="BP101" s="1"/>
  <c r="T101" s="1"/>
  <c r="M105"/>
  <c r="N105" s="1"/>
  <c r="O105" s="1"/>
  <c r="BK97"/>
  <c r="BO97" s="1"/>
  <c r="BP97" s="1"/>
  <c r="T97" s="1"/>
  <c r="M77"/>
  <c r="N77" s="1"/>
  <c r="O77" s="1"/>
  <c r="BK69"/>
  <c r="BO69" s="1"/>
  <c r="BP69" s="1"/>
  <c r="T69" s="1"/>
  <c r="M73"/>
  <c r="N73" s="1"/>
  <c r="O73" s="1"/>
  <c r="BK65"/>
  <c r="BO65" s="1"/>
  <c r="BP65" s="1"/>
  <c r="T65" s="1"/>
  <c r="M45"/>
  <c r="N45" s="1"/>
  <c r="O45" s="1"/>
  <c r="BK37"/>
  <c r="BO37" s="1"/>
  <c r="BP37" s="1"/>
  <c r="T37" s="1"/>
  <c r="M41"/>
  <c r="N41" s="1"/>
  <c r="O41" s="1"/>
  <c r="BK33"/>
  <c r="BO33" s="1"/>
  <c r="BP33" s="1"/>
  <c r="T33" s="1"/>
  <c r="M145"/>
  <c r="N145" s="1"/>
  <c r="O145" s="1"/>
  <c r="BK137"/>
  <c r="BO137" s="1"/>
  <c r="BP137" s="1"/>
  <c r="T137" s="1"/>
  <c r="M117"/>
  <c r="N117" s="1"/>
  <c r="O117" s="1"/>
  <c r="BK109"/>
  <c r="BO109" s="1"/>
  <c r="BP109" s="1"/>
  <c r="T109" s="1"/>
  <c r="M113"/>
  <c r="N113" s="1"/>
  <c r="O113" s="1"/>
  <c r="BK105"/>
  <c r="BO105" s="1"/>
  <c r="BP105" s="1"/>
  <c r="T105" s="1"/>
  <c r="M85"/>
  <c r="N85" s="1"/>
  <c r="O85" s="1"/>
  <c r="BK77"/>
  <c r="BO77" s="1"/>
  <c r="BP77" s="1"/>
  <c r="T77" s="1"/>
  <c r="M81"/>
  <c r="N81" s="1"/>
  <c r="O81" s="1"/>
  <c r="BK73"/>
  <c r="BO73" s="1"/>
  <c r="BP73" s="1"/>
  <c r="T73" s="1"/>
  <c r="M53"/>
  <c r="N53" s="1"/>
  <c r="O53" s="1"/>
  <c r="BK45"/>
  <c r="BO45" s="1"/>
  <c r="BP45" s="1"/>
  <c r="T45" s="1"/>
  <c r="M49"/>
  <c r="N49" s="1"/>
  <c r="O49" s="1"/>
  <c r="BK41"/>
  <c r="BO41" s="1"/>
  <c r="BP41" s="1"/>
  <c r="T41" s="1"/>
  <c r="M123"/>
  <c r="N123" s="1"/>
  <c r="O123" s="1"/>
  <c r="BK115"/>
  <c r="BO115" s="1"/>
  <c r="BP115" s="1"/>
  <c r="T115" s="1"/>
  <c r="M119"/>
  <c r="N119" s="1"/>
  <c r="O119" s="1"/>
  <c r="BK111"/>
  <c r="BO111" s="1"/>
  <c r="BP111" s="1"/>
  <c r="T111" s="1"/>
  <c r="M91"/>
  <c r="N91" s="1"/>
  <c r="O91" s="1"/>
  <c r="BK83"/>
  <c r="BO83" s="1"/>
  <c r="BP83" s="1"/>
  <c r="T83" s="1"/>
  <c r="M87"/>
  <c r="N87" s="1"/>
  <c r="O87" s="1"/>
  <c r="BK79"/>
  <c r="BO79" s="1"/>
  <c r="BP79" s="1"/>
  <c r="T79" s="1"/>
  <c r="M59"/>
  <c r="N59" s="1"/>
  <c r="O59" s="1"/>
  <c r="BK51"/>
  <c r="BO51" s="1"/>
  <c r="BP51" s="1"/>
  <c r="T51" s="1"/>
  <c r="M55"/>
  <c r="N55" s="1"/>
  <c r="O55" s="1"/>
  <c r="BK47"/>
  <c r="BO47" s="1"/>
  <c r="BP47" s="1"/>
  <c r="T47" s="1"/>
  <c r="M27"/>
  <c r="N27" s="1"/>
  <c r="O27" s="1"/>
  <c r="BK19"/>
  <c r="BO19" s="1"/>
  <c r="BP19" s="1"/>
  <c r="T19" s="1"/>
  <c r="M23"/>
  <c r="N23" s="1"/>
  <c r="O23" s="1"/>
  <c r="BK15"/>
  <c r="BL158"/>
  <c r="M132"/>
  <c r="N132" s="1"/>
  <c r="O132" s="1"/>
  <c r="BK124"/>
  <c r="BO124" s="1"/>
  <c r="BP124" s="1"/>
  <c r="T124" s="1"/>
  <c r="M128"/>
  <c r="N128" s="1"/>
  <c r="O128" s="1"/>
  <c r="BK120"/>
  <c r="BO120" s="1"/>
  <c r="BP120" s="1"/>
  <c r="T120" s="1"/>
  <c r="M100"/>
  <c r="N100" s="1"/>
  <c r="O100" s="1"/>
  <c r="BK92"/>
  <c r="BO92" s="1"/>
  <c r="BP92" s="1"/>
  <c r="T92" s="1"/>
  <c r="M96"/>
  <c r="N96" s="1"/>
  <c r="O96" s="1"/>
  <c r="BK88"/>
  <c r="BO88" s="1"/>
  <c r="BP88" s="1"/>
  <c r="T88" s="1"/>
  <c r="M68"/>
  <c r="N68" s="1"/>
  <c r="O68" s="1"/>
  <c r="BK60"/>
  <c r="BO60" s="1"/>
  <c r="BP60" s="1"/>
  <c r="T60" s="1"/>
  <c r="M64"/>
  <c r="N64" s="1"/>
  <c r="O64" s="1"/>
  <c r="BK56"/>
  <c r="BO56" s="1"/>
  <c r="BP56" s="1"/>
  <c r="T56" s="1"/>
  <c r="M36"/>
  <c r="N36" s="1"/>
  <c r="O36" s="1"/>
  <c r="BK28"/>
  <c r="BO28" s="1"/>
  <c r="BP28" s="1"/>
  <c r="T28" s="1"/>
  <c r="M32"/>
  <c r="N32" s="1"/>
  <c r="O32" s="1"/>
  <c r="BK24"/>
  <c r="BO24" s="1"/>
  <c r="BP24" s="1"/>
  <c r="T24" s="1"/>
  <c r="M138"/>
  <c r="N138" s="1"/>
  <c r="O138" s="1"/>
  <c r="BK130"/>
  <c r="BO130" s="1"/>
  <c r="BP130" s="1"/>
  <c r="T130" s="1"/>
  <c r="M110"/>
  <c r="N110" s="1"/>
  <c r="O110" s="1"/>
  <c r="BK102"/>
  <c r="BO102" s="1"/>
  <c r="BP102" s="1"/>
  <c r="T102" s="1"/>
  <c r="M106"/>
  <c r="N106" s="1"/>
  <c r="O106" s="1"/>
  <c r="BK98"/>
  <c r="BO98" s="1"/>
  <c r="BP98" s="1"/>
  <c r="T98" s="1"/>
  <c r="M78"/>
  <c r="N78" s="1"/>
  <c r="O78" s="1"/>
  <c r="BK70"/>
  <c r="BO70" s="1"/>
  <c r="BP70" s="1"/>
  <c r="T70" s="1"/>
  <c r="M74"/>
  <c r="N74" s="1"/>
  <c r="O74" s="1"/>
  <c r="BK66"/>
  <c r="BO66" s="1"/>
  <c r="BP66" s="1"/>
  <c r="T66" s="1"/>
  <c r="M46"/>
  <c r="N46" s="1"/>
  <c r="O46" s="1"/>
  <c r="BK38"/>
  <c r="BO38" s="1"/>
  <c r="BP38" s="1"/>
  <c r="T38" s="1"/>
  <c r="M42"/>
  <c r="N42" s="1"/>
  <c r="O42" s="1"/>
  <c r="BK34"/>
  <c r="BO34" s="1"/>
  <c r="BP34" s="1"/>
  <c r="T34" s="1"/>
  <c r="BK142"/>
  <c r="BO142" s="1"/>
  <c r="BP142" s="1"/>
  <c r="T142" s="1"/>
  <c r="M150"/>
  <c r="N150" s="1"/>
  <c r="O150" s="1"/>
  <c r="M146"/>
  <c r="N146" s="1"/>
  <c r="O146" s="1"/>
  <c r="BK138"/>
  <c r="BO138" s="1"/>
  <c r="BP138" s="1"/>
  <c r="T138" s="1"/>
  <c r="M118"/>
  <c r="N118" s="1"/>
  <c r="O118" s="1"/>
  <c r="BK110"/>
  <c r="BO110" s="1"/>
  <c r="BP110" s="1"/>
  <c r="T110" s="1"/>
  <c r="M114"/>
  <c r="N114" s="1"/>
  <c r="O114" s="1"/>
  <c r="BK106"/>
  <c r="BO106" s="1"/>
  <c r="BP106" s="1"/>
  <c r="T106" s="1"/>
  <c r="M86"/>
  <c r="N86" s="1"/>
  <c r="O86" s="1"/>
  <c r="BK78"/>
  <c r="BO78" s="1"/>
  <c r="BP78" s="1"/>
  <c r="T78" s="1"/>
  <c r="M82"/>
  <c r="N82" s="1"/>
  <c r="O82" s="1"/>
  <c r="BK74"/>
  <c r="BO74" s="1"/>
  <c r="BP74" s="1"/>
  <c r="T74" s="1"/>
  <c r="M54"/>
  <c r="N54" s="1"/>
  <c r="O54" s="1"/>
  <c r="BK46"/>
  <c r="BO46" s="1"/>
  <c r="BP46" s="1"/>
  <c r="T46" s="1"/>
  <c r="M50"/>
  <c r="N50" s="1"/>
  <c r="O50" s="1"/>
  <c r="BK42"/>
  <c r="BO42" s="1"/>
  <c r="BP42" s="1"/>
  <c r="T42" s="1"/>
  <c r="M22"/>
  <c r="N22" s="1"/>
  <c r="O22" s="1"/>
  <c r="BK14"/>
  <c r="BO14" s="1"/>
  <c r="BP14" s="1"/>
  <c r="T14" s="1"/>
  <c r="M124"/>
  <c r="N124" s="1"/>
  <c r="O124" s="1"/>
  <c r="BK116"/>
  <c r="BO116" s="1"/>
  <c r="BP116" s="1"/>
  <c r="T116" s="1"/>
  <c r="M120"/>
  <c r="N120" s="1"/>
  <c r="O120" s="1"/>
  <c r="BK112"/>
  <c r="BO112" s="1"/>
  <c r="BP112" s="1"/>
  <c r="T112" s="1"/>
  <c r="M92"/>
  <c r="N92" s="1"/>
  <c r="O92" s="1"/>
  <c r="BK84"/>
  <c r="BO84" s="1"/>
  <c r="BP84" s="1"/>
  <c r="T84" s="1"/>
  <c r="M88"/>
  <c r="N88" s="1"/>
  <c r="O88" s="1"/>
  <c r="BK80"/>
  <c r="BO80" s="1"/>
  <c r="BP80" s="1"/>
  <c r="T80" s="1"/>
  <c r="M60"/>
  <c r="N60" s="1"/>
  <c r="O60" s="1"/>
  <c r="BK52"/>
  <c r="BO52" s="1"/>
  <c r="BP52" s="1"/>
  <c r="T52" s="1"/>
  <c r="M56"/>
  <c r="N56" s="1"/>
  <c r="O56" s="1"/>
  <c r="BK48"/>
  <c r="BO48" s="1"/>
  <c r="BP48" s="1"/>
  <c r="T48" s="1"/>
  <c r="M28"/>
  <c r="N28" s="1"/>
  <c r="O28" s="1"/>
  <c r="BK20"/>
  <c r="BO20" s="1"/>
  <c r="BP20" s="1"/>
  <c r="T20" s="1"/>
  <c r="M24"/>
  <c r="N24" s="1"/>
  <c r="O24" s="1"/>
  <c r="BK16"/>
  <c r="BO16" s="1"/>
  <c r="BP16" s="1"/>
  <c r="T16" s="1"/>
  <c r="M133"/>
  <c r="N133" s="1"/>
  <c r="O133" s="1"/>
  <c r="BK125"/>
  <c r="BO125" s="1"/>
  <c r="BP125" s="1"/>
  <c r="T125" s="1"/>
  <c r="M129"/>
  <c r="N129" s="1"/>
  <c r="O129" s="1"/>
  <c r="BK121"/>
  <c r="BO121" s="1"/>
  <c r="BP121" s="1"/>
  <c r="T121" s="1"/>
  <c r="M101"/>
  <c r="N101" s="1"/>
  <c r="O101" s="1"/>
  <c r="BK93"/>
  <c r="BO93" s="1"/>
  <c r="BP93" s="1"/>
  <c r="T93" s="1"/>
  <c r="M97"/>
  <c r="N97" s="1"/>
  <c r="O97" s="1"/>
  <c r="BK89"/>
  <c r="BO89" s="1"/>
  <c r="BP89" s="1"/>
  <c r="T89" s="1"/>
  <c r="M69"/>
  <c r="N69" s="1"/>
  <c r="O69" s="1"/>
  <c r="BK61"/>
  <c r="BO61" s="1"/>
  <c r="BP61" s="1"/>
  <c r="T61" s="1"/>
  <c r="M65"/>
  <c r="N65" s="1"/>
  <c r="O65" s="1"/>
  <c r="BK57"/>
  <c r="BO57" s="1"/>
  <c r="BP57" s="1"/>
  <c r="T57" s="1"/>
  <c r="M37"/>
  <c r="N37" s="1"/>
  <c r="O37" s="1"/>
  <c r="BK29"/>
  <c r="BO29" s="1"/>
  <c r="BP29" s="1"/>
  <c r="T29" s="1"/>
  <c r="M33"/>
  <c r="N33" s="1"/>
  <c r="O33" s="1"/>
  <c r="BK25"/>
  <c r="BO25" s="1"/>
  <c r="BP25" s="1"/>
  <c r="T25" s="1"/>
  <c r="M135"/>
  <c r="N135" s="1"/>
  <c r="O135" s="1"/>
  <c r="BK127"/>
  <c r="BO127" s="1"/>
  <c r="BP127" s="1"/>
  <c r="T127" s="1"/>
  <c r="M107"/>
  <c r="N107" s="1"/>
  <c r="O107" s="1"/>
  <c r="BK99"/>
  <c r="BO99" s="1"/>
  <c r="BP99" s="1"/>
  <c r="T99" s="1"/>
  <c r="M103"/>
  <c r="N103" s="1"/>
  <c r="O103" s="1"/>
  <c r="BK95"/>
  <c r="BO95" s="1"/>
  <c r="BP95" s="1"/>
  <c r="T95" s="1"/>
  <c r="M75"/>
  <c r="N75" s="1"/>
  <c r="O75" s="1"/>
  <c r="BK67"/>
  <c r="BO67" s="1"/>
  <c r="BP67" s="1"/>
  <c r="T67" s="1"/>
  <c r="M71"/>
  <c r="N71" s="1"/>
  <c r="O71" s="1"/>
  <c r="BK63"/>
  <c r="BO63" s="1"/>
  <c r="BP63" s="1"/>
  <c r="T63" s="1"/>
  <c r="M43"/>
  <c r="N43" s="1"/>
  <c r="O43" s="1"/>
  <c r="BK35"/>
  <c r="BO35" s="1"/>
  <c r="BP35" s="1"/>
  <c r="T35" s="1"/>
  <c r="M39"/>
  <c r="N39" s="1"/>
  <c r="O39" s="1"/>
  <c r="BK31"/>
  <c r="BO31" s="1"/>
  <c r="BP31" s="1"/>
  <c r="T31" s="1"/>
  <c r="M143"/>
  <c r="N143" s="1"/>
  <c r="O143" s="1"/>
  <c r="BK135"/>
  <c r="BO135" s="1"/>
  <c r="BP135" s="1"/>
  <c r="T135" s="1"/>
  <c r="M115"/>
  <c r="N115" s="1"/>
  <c r="O115" s="1"/>
  <c r="BK107"/>
  <c r="BO107" s="1"/>
  <c r="BP107" s="1"/>
  <c r="T107" s="1"/>
  <c r="M111"/>
  <c r="N111" s="1"/>
  <c r="O111" s="1"/>
  <c r="BK103"/>
  <c r="BO103" s="1"/>
  <c r="BP103" s="1"/>
  <c r="T103" s="1"/>
  <c r="M83"/>
  <c r="N83" s="1"/>
  <c r="O83" s="1"/>
  <c r="BK75"/>
  <c r="BO75" s="1"/>
  <c r="BP75" s="1"/>
  <c r="T75" s="1"/>
  <c r="M79"/>
  <c r="N79" s="1"/>
  <c r="O79" s="1"/>
  <c r="BK71"/>
  <c r="BO71" s="1"/>
  <c r="BP71" s="1"/>
  <c r="T71" s="1"/>
  <c r="M51"/>
  <c r="N51" s="1"/>
  <c r="O51" s="1"/>
  <c r="BK43"/>
  <c r="BO43" s="1"/>
  <c r="BP43" s="1"/>
  <c r="T43" s="1"/>
  <c r="M47"/>
  <c r="N47" s="1"/>
  <c r="O47" s="1"/>
  <c r="BK39"/>
  <c r="BO39" s="1"/>
  <c r="BP39" s="1"/>
  <c r="T39" s="1"/>
  <c r="M125"/>
  <c r="N125" s="1"/>
  <c r="O125" s="1"/>
  <c r="BK117"/>
  <c r="BO117" s="1"/>
  <c r="BP117" s="1"/>
  <c r="T117" s="1"/>
  <c r="M121"/>
  <c r="N121" s="1"/>
  <c r="O121" s="1"/>
  <c r="BK113"/>
  <c r="BO113" s="1"/>
  <c r="BP113" s="1"/>
  <c r="T113" s="1"/>
  <c r="M93"/>
  <c r="N93" s="1"/>
  <c r="O93" s="1"/>
  <c r="BK85"/>
  <c r="BO85" s="1"/>
  <c r="BP85" s="1"/>
  <c r="T85" s="1"/>
  <c r="M89"/>
  <c r="N89" s="1"/>
  <c r="O89" s="1"/>
  <c r="BK81"/>
  <c r="BO81" s="1"/>
  <c r="BP81" s="1"/>
  <c r="T81" s="1"/>
  <c r="M61"/>
  <c r="N61" s="1"/>
  <c r="O61" s="1"/>
  <c r="BK53"/>
  <c r="BO53" s="1"/>
  <c r="BP53" s="1"/>
  <c r="T53" s="1"/>
  <c r="M57"/>
  <c r="N57" s="1"/>
  <c r="O57" s="1"/>
  <c r="BK49"/>
  <c r="BO49" s="1"/>
  <c r="BP49" s="1"/>
  <c r="T49" s="1"/>
  <c r="M29"/>
  <c r="N29" s="1"/>
  <c r="O29" s="1"/>
  <c r="BK21"/>
  <c r="BO21" s="1"/>
  <c r="BP21" s="1"/>
  <c r="T21" s="1"/>
  <c r="BK154"/>
  <c r="BO154" s="1"/>
  <c r="BP154" s="1"/>
  <c r="T154" s="1"/>
  <c r="BL15"/>
  <c r="BO15" s="1"/>
  <c r="BP15" s="1"/>
  <c r="T15" s="1"/>
  <c r="N15"/>
  <c r="O15" s="1"/>
  <c r="M3" l="1"/>
  <c r="M4"/>
  <c r="M6"/>
  <c r="M5"/>
  <c r="N3" l="1"/>
  <c r="N4"/>
  <c r="N6"/>
  <c r="N5"/>
  <c r="M7"/>
  <c r="N7" s="1"/>
  <c r="M8" l="1"/>
</calcChain>
</file>

<file path=xl/sharedStrings.xml><?xml version="1.0" encoding="utf-8"?>
<sst xmlns="http://schemas.openxmlformats.org/spreadsheetml/2006/main" count="2584" uniqueCount="487">
  <si>
    <t>Project ID</t>
  </si>
  <si>
    <t>Client Name</t>
  </si>
  <si>
    <t>Billable HC</t>
  </si>
  <si>
    <t>RPA</t>
  </si>
  <si>
    <t>RP-BI Integration</t>
  </si>
  <si>
    <t>Telecom</t>
  </si>
  <si>
    <t>AT &amp; T</t>
  </si>
  <si>
    <t>AT&amp;T Mobiliy DMDR Consumer</t>
  </si>
  <si>
    <t>Lineesh KS</t>
  </si>
  <si>
    <t>Yes</t>
  </si>
  <si>
    <t>Retail</t>
  </si>
  <si>
    <t>Amazon</t>
  </si>
  <si>
    <t>Amazon NA</t>
  </si>
  <si>
    <t>Narayanasamy  C</t>
  </si>
  <si>
    <t>Amazon UK</t>
  </si>
  <si>
    <t>Amazon Seller Support (IND)</t>
  </si>
  <si>
    <t>Parthasarathi  E</t>
  </si>
  <si>
    <t>Amazon India</t>
  </si>
  <si>
    <t>Amazon Kindle</t>
  </si>
  <si>
    <t>Amazon Mumbai</t>
  </si>
  <si>
    <t>BFIMG</t>
  </si>
  <si>
    <t>Equifax</t>
  </si>
  <si>
    <t>Muhammed Aslam</t>
  </si>
  <si>
    <t>Technology</t>
  </si>
  <si>
    <t>Dell</t>
  </si>
  <si>
    <t>Dell DOC - PPM</t>
  </si>
  <si>
    <t>Riyaz Basha  M</t>
  </si>
  <si>
    <t>No</t>
  </si>
  <si>
    <t>Dell India Technical Support</t>
  </si>
  <si>
    <t>Dell SMB Voice India</t>
  </si>
  <si>
    <t>Dell Order Processing -Bill Ba</t>
  </si>
  <si>
    <t>Santhosh  M</t>
  </si>
  <si>
    <t>Dell ITS OOW</t>
  </si>
  <si>
    <t>Intuit</t>
  </si>
  <si>
    <t>Intuit - FSG</t>
  </si>
  <si>
    <t>Vinoth Kumar  S</t>
  </si>
  <si>
    <t>Microsoft</t>
  </si>
  <si>
    <t>Microsoft CSS - Answer Desk</t>
  </si>
  <si>
    <t>Leda Tan-Datuin</t>
  </si>
  <si>
    <t>Intel Security</t>
  </si>
  <si>
    <t>Mcafee TS Non Voice – NA</t>
  </si>
  <si>
    <t>Sai Prasad</t>
  </si>
  <si>
    <t>Mcafee CS Non Voice – NA</t>
  </si>
  <si>
    <t>Mcafee TS Voice – NA</t>
  </si>
  <si>
    <t>Ramakrishnan  K</t>
  </si>
  <si>
    <t>India McAfee CS Voice NA</t>
  </si>
  <si>
    <t>McAfee TS EMEA</t>
  </si>
  <si>
    <t>McAfee - ToPS SMB</t>
  </si>
  <si>
    <t>India Mcafee Verizon</t>
  </si>
  <si>
    <t>India McAfee PFS</t>
  </si>
  <si>
    <t>India McAfee APAC</t>
  </si>
  <si>
    <t>Symantec</t>
  </si>
  <si>
    <t>Symantec TS Chat</t>
  </si>
  <si>
    <t>Santosh R</t>
  </si>
  <si>
    <t>Symantec EH</t>
  </si>
  <si>
    <t>Symantec India 4 IndiaHindiSup</t>
  </si>
  <si>
    <t>Symantec-UHD(Ultimate Helpdesk</t>
  </si>
  <si>
    <t>Symantec VSS Delivery</t>
  </si>
  <si>
    <t>Swiftpage</t>
  </si>
  <si>
    <t>Act! Software</t>
  </si>
  <si>
    <t>Mcafee Sales &amp; Retention - Chn</t>
  </si>
  <si>
    <t>Bell Canada</t>
  </si>
  <si>
    <t>Bell SMB ISP</t>
  </si>
  <si>
    <t>Jaiyendharan  Muralidharan</t>
  </si>
  <si>
    <t>Acer Services Corporation</t>
  </si>
  <si>
    <t>India Acer UK Technical Suppor</t>
  </si>
  <si>
    <t>Usha Nandhini</t>
  </si>
  <si>
    <t>India Private Label</t>
  </si>
  <si>
    <t>Lokeshwar Reddy</t>
  </si>
  <si>
    <t>Cisco Systems</t>
  </si>
  <si>
    <t>Cisco Center of Excellence</t>
  </si>
  <si>
    <t>KUMARESHAN G</t>
  </si>
  <si>
    <t>Cisco India for India Support</t>
  </si>
  <si>
    <t>Cisco SBSC NA Chat Support-Ind</t>
  </si>
  <si>
    <t>Protective Life</t>
  </si>
  <si>
    <t>Suresh G</t>
  </si>
  <si>
    <t>Allianz</t>
  </si>
  <si>
    <t>Allianz IT Helpdesk</t>
  </si>
  <si>
    <t>Thirukumar S</t>
  </si>
  <si>
    <t>Travel</t>
  </si>
  <si>
    <t>Uber Technologies</t>
  </si>
  <si>
    <t>Uber Technologies CS-Email Sup</t>
  </si>
  <si>
    <t>Tarun kumar Gupta</t>
  </si>
  <si>
    <t>Uber -US-Rider/Driver/Reviewer</t>
  </si>
  <si>
    <t>India - Rider/Driver/Reviewer</t>
  </si>
  <si>
    <t>Spl. Proj (BGV)</t>
  </si>
  <si>
    <t>Du Telecom</t>
  </si>
  <si>
    <t>Du Collections_Malad</t>
  </si>
  <si>
    <t>Prasanta Deb</t>
  </si>
  <si>
    <t>Du Customer Care_Malad</t>
  </si>
  <si>
    <t>Du Customer Care_Cochin</t>
  </si>
  <si>
    <t>Dell Mobility</t>
  </si>
  <si>
    <t>AT&amp;T UFO voice</t>
  </si>
  <si>
    <t>Milton Nas</t>
  </si>
  <si>
    <t>Interactions Corporation</t>
  </si>
  <si>
    <t>Interactions - India</t>
  </si>
  <si>
    <t>DHL</t>
  </si>
  <si>
    <t>India DHL UK AR</t>
  </si>
  <si>
    <t>Sanjay Khemani</t>
  </si>
  <si>
    <t>McAfee Smartleap TS</t>
  </si>
  <si>
    <t>MCS</t>
  </si>
  <si>
    <t>MCS BO&amp;CS(IB/OB Voice)</t>
  </si>
  <si>
    <t>Jobish Mathew</t>
  </si>
  <si>
    <t>Argo</t>
  </si>
  <si>
    <t>ARGO Cat Modeling</t>
  </si>
  <si>
    <t>Acer India for India Support</t>
  </si>
  <si>
    <t>Arch Re</t>
  </si>
  <si>
    <t>Arch Re - BO/TP/Underwriting S</t>
  </si>
  <si>
    <t>DELL PLE</t>
  </si>
  <si>
    <t>Standard Insurance</t>
  </si>
  <si>
    <t>Schlumberger Limited</t>
  </si>
  <si>
    <t>Schlumberger_NA</t>
  </si>
  <si>
    <t>AT&amp;T Hom Sol. Chat IND</t>
  </si>
  <si>
    <t>Narasimha B</t>
  </si>
  <si>
    <t>AT &amp; T Connec Tech</t>
  </si>
  <si>
    <t>AT&amp;T Uverse C2C India</t>
  </si>
  <si>
    <t>AT&amp;T Uverse Airoli</t>
  </si>
  <si>
    <t>AT&amp;T UCSDC - India</t>
  </si>
  <si>
    <t>Sanjay Cyril</t>
  </si>
  <si>
    <t>AT&amp;T Uverse UFO Chat IND</t>
  </si>
  <si>
    <t>AT&amp;T Home Solutions Chennai</t>
  </si>
  <si>
    <t>Reverie Capili</t>
  </si>
  <si>
    <t>Dell OP Online-India</t>
  </si>
  <si>
    <t>AT&amp;T Uverse T1 WDR</t>
  </si>
  <si>
    <t>AT&amp;T TCC</t>
  </si>
  <si>
    <t>BlackBerry</t>
  </si>
  <si>
    <t>RIM Enterprise Tech Sppt</t>
  </si>
  <si>
    <t>Nikhil  Vernekar</t>
  </si>
  <si>
    <t>AT&amp;T Uverse UFO WDR</t>
  </si>
  <si>
    <t>AT&amp;T Mobility IRU WDR</t>
  </si>
  <si>
    <t>AT&amp;T Uverse Gigapower WDR</t>
  </si>
  <si>
    <t>AT&amp;T Uverse-UARC WDR</t>
  </si>
  <si>
    <t>Intuit Small Business Canada</t>
  </si>
  <si>
    <t>Raja  R</t>
  </si>
  <si>
    <t>AT&amp;T U-VERSE EMPWR</t>
  </si>
  <si>
    <t>Freedom Mortgage</t>
  </si>
  <si>
    <t>Freedom Mortgage_BackOffice_In</t>
  </si>
  <si>
    <t>Cox Communications</t>
  </si>
  <si>
    <t>Santosh KumarP</t>
  </si>
  <si>
    <t>Hiscox</t>
  </si>
  <si>
    <t>Hiscox USA</t>
  </si>
  <si>
    <t>Dipankar Das</t>
  </si>
  <si>
    <t>MS-Store</t>
  </si>
  <si>
    <t>AT&amp;T eComm Wirleline ROC</t>
  </si>
  <si>
    <t>Tamnoy Das</t>
  </si>
  <si>
    <t>AT&amp;T Mobility MSS ROC</t>
  </si>
  <si>
    <t>Hanover Insurance</t>
  </si>
  <si>
    <t>Intuit APD - Combined Systems</t>
  </si>
  <si>
    <t>Digital Insight Corporation</t>
  </si>
  <si>
    <t>Intuit IFS</t>
  </si>
  <si>
    <t>AT&amp;T Mobility CSE ROC</t>
  </si>
  <si>
    <t>Bright House Networks</t>
  </si>
  <si>
    <t>Nishanth kumar B</t>
  </si>
  <si>
    <t>AOL</t>
  </si>
  <si>
    <t>AOL Technical Sales</t>
  </si>
  <si>
    <t>DELL Order Processing</t>
  </si>
  <si>
    <t>Santosh Raghupatruni</t>
  </si>
  <si>
    <t>MS Store Chat</t>
  </si>
  <si>
    <t>AT&amp;T PCM ROC</t>
  </si>
  <si>
    <t>Xbox WAH</t>
  </si>
  <si>
    <t>Judd Paul Blanco</t>
  </si>
  <si>
    <t>Quicken</t>
  </si>
  <si>
    <t>Quicken WAH</t>
  </si>
  <si>
    <t>Intuit Quicken - Houston</t>
  </si>
  <si>
    <t>Triwest</t>
  </si>
  <si>
    <t>Veterans Choice - Houston</t>
  </si>
  <si>
    <t>CableVision</t>
  </si>
  <si>
    <t>Cablevision CloudSource</t>
  </si>
  <si>
    <t>Christian Litan</t>
  </si>
  <si>
    <t>AT&amp;T Project Star</t>
  </si>
  <si>
    <t>AT&amp;T Project Star SYR</t>
  </si>
  <si>
    <t>Metlife</t>
  </si>
  <si>
    <t>Metlife Customer Care</t>
  </si>
  <si>
    <t>MS Store Brick and Mortor</t>
  </si>
  <si>
    <t>AT&amp;T Digital Life C.S. HOU</t>
  </si>
  <si>
    <t>Schlumberger Egypt</t>
  </si>
  <si>
    <t>Du Customer Care_Egypt</t>
  </si>
  <si>
    <t>Netspend Corp</t>
  </si>
  <si>
    <t>Netspend</t>
  </si>
  <si>
    <t>Josielle Gonzales Atanacio</t>
  </si>
  <si>
    <t>United Online</t>
  </si>
  <si>
    <t>UOL - Retention</t>
  </si>
  <si>
    <t>Jenina Dones Gripal</t>
  </si>
  <si>
    <t>UOL - Customer Service</t>
  </si>
  <si>
    <t>Hughes</t>
  </si>
  <si>
    <t>Hughes Network Systems  LLC</t>
  </si>
  <si>
    <t>CheckFree_Fiserv Inc</t>
  </si>
  <si>
    <t>PHL Fiserv</t>
  </si>
  <si>
    <t>Armin Barry</t>
  </si>
  <si>
    <t>Amazon.Com  Voice</t>
  </si>
  <si>
    <t>Rajesh Kumar Raju P</t>
  </si>
  <si>
    <t>Sage</t>
  </si>
  <si>
    <t>Sage Customer Service</t>
  </si>
  <si>
    <t>netSpend Correspondence Manage</t>
  </si>
  <si>
    <t>AT&amp;T Uverse Davao</t>
  </si>
  <si>
    <t>Ebay</t>
  </si>
  <si>
    <t>eBay NA BSR</t>
  </si>
  <si>
    <t>Joewin Ortega</t>
  </si>
  <si>
    <t>PETCO</t>
  </si>
  <si>
    <t>Petco CR</t>
  </si>
  <si>
    <t>Rengaraj  M</t>
  </si>
  <si>
    <t>Petco Help Desk</t>
  </si>
  <si>
    <t>Lenovo</t>
  </si>
  <si>
    <t>Mary Grace Buraga Avillano</t>
  </si>
  <si>
    <t>Skylight Financials New Call T</t>
  </si>
  <si>
    <t>Intuit Techbooks TS</t>
  </si>
  <si>
    <t>FTD</t>
  </si>
  <si>
    <t>FTD - CS</t>
  </si>
  <si>
    <t>Devaraj D</t>
  </si>
  <si>
    <t>FTD - MTAC</t>
  </si>
  <si>
    <t>Petco Data Entry</t>
  </si>
  <si>
    <t>FTD - Interflora</t>
  </si>
  <si>
    <t>Lenovo PFS</t>
  </si>
  <si>
    <t>AT&amp;T eComm Wireline PHI</t>
  </si>
  <si>
    <t>Petco - Phone Sales / Scheduli</t>
  </si>
  <si>
    <t>PETCO CS Chat</t>
  </si>
  <si>
    <t>McAfee RBay</t>
  </si>
  <si>
    <t>Intuit QuickBooks CS</t>
  </si>
  <si>
    <t>AT&amp;T Home Sol. Carmona</t>
  </si>
  <si>
    <t>Iron Mountain</t>
  </si>
  <si>
    <t>Iron Mountain Tech Service Sup</t>
  </si>
  <si>
    <t>HomeAway</t>
  </si>
  <si>
    <t>Amazon.com/Kindle Chat</t>
  </si>
  <si>
    <t>Mediacom</t>
  </si>
  <si>
    <t>Mediacom Sales &amp; TS Support</t>
  </si>
  <si>
    <t>UOL - Technical Support</t>
  </si>
  <si>
    <t>Royal Caribbean</t>
  </si>
  <si>
    <t>Royal Caribbean(Royal-Air /Sea</t>
  </si>
  <si>
    <t>AT&amp;T ConnecTech - Davao</t>
  </si>
  <si>
    <t>AT&amp;T ConnecTech - Davao_13 Sta</t>
  </si>
  <si>
    <t>Account Now</t>
  </si>
  <si>
    <t>Account Now TLC</t>
  </si>
  <si>
    <t>Symantec EH Voice - Carmona</t>
  </si>
  <si>
    <t>Symantec EH Chat - Davao</t>
  </si>
  <si>
    <t>Mediacom Chat &amp; Voice Services</t>
  </si>
  <si>
    <t>MS Store NA Clark</t>
  </si>
  <si>
    <t>BEBE Stores</t>
  </si>
  <si>
    <t>Bebe&amp;2bstores Support/CS&amp;Inbou</t>
  </si>
  <si>
    <t>MS Windows Chat</t>
  </si>
  <si>
    <t>Amazon Community Moderation</t>
  </si>
  <si>
    <t>UOL - MOB Sales CLK</t>
  </si>
  <si>
    <t>Symantec NortonLive FE</t>
  </si>
  <si>
    <t>Activision</t>
  </si>
  <si>
    <t>Activision Tech Support - Chat</t>
  </si>
  <si>
    <t>Ebay NA TnS</t>
  </si>
  <si>
    <t>Ebay UK BSR</t>
  </si>
  <si>
    <t>Blackberry</t>
  </si>
  <si>
    <t>Hughes Legazpi</t>
  </si>
  <si>
    <t>Alibaba dot Com</t>
  </si>
  <si>
    <t>Alibaba CS</t>
  </si>
  <si>
    <t>Amazon Audible</t>
  </si>
  <si>
    <t>Answer Desk MS Office</t>
  </si>
  <si>
    <t>Answer Desk Windows</t>
  </si>
  <si>
    <t>Intuit GBD PH</t>
  </si>
  <si>
    <t>FTD - OE Legazpi</t>
  </si>
  <si>
    <t>FTD - FAH Legazpi</t>
  </si>
  <si>
    <t>Check Free Pay</t>
  </si>
  <si>
    <t>Microsoft Up and Running</t>
  </si>
  <si>
    <t>AT&amp;T UCSDC - Philippines</t>
  </si>
  <si>
    <t>AT&amp;T Uverse UFO Chat PHL</t>
  </si>
  <si>
    <t>IntuitQuicken Chat&amp;Voice(CS/TS</t>
  </si>
  <si>
    <t>Genesis Financial Solutions</t>
  </si>
  <si>
    <t>Genesis Inbound Voice - CS</t>
  </si>
  <si>
    <t>MS Customer Service</t>
  </si>
  <si>
    <t>Kaspersky</t>
  </si>
  <si>
    <t>Kaspersky-Voice/Chat/Email TS</t>
  </si>
  <si>
    <t>PayPal</t>
  </si>
  <si>
    <t>PPAU DNC CS</t>
  </si>
  <si>
    <t>Rodolfo Manalang Mendoza Jr</t>
  </si>
  <si>
    <t>PPAU SSP1 CS</t>
  </si>
  <si>
    <t>PPAU SSP2 CS</t>
  </si>
  <si>
    <t>PPAU SSP email CS</t>
  </si>
  <si>
    <t>PPNA DNC CS</t>
  </si>
  <si>
    <t>John Michael Deguit Escorpiso</t>
  </si>
  <si>
    <t>PPNA PSS CS</t>
  </si>
  <si>
    <t>PPNA ROW CS</t>
  </si>
  <si>
    <t>PPNA SSP1 CS</t>
  </si>
  <si>
    <t>PPNA SSP2 CS</t>
  </si>
  <si>
    <t>PPUK SSP1 CS</t>
  </si>
  <si>
    <t>PPUK SSP2 CS</t>
  </si>
  <si>
    <t>PPUK SSP email CS</t>
  </si>
  <si>
    <t>ebay UK E2M</t>
  </si>
  <si>
    <t>ebay UK M2M Appeals</t>
  </si>
  <si>
    <t>HomeAway Email</t>
  </si>
  <si>
    <t>HomeAway Blended</t>
  </si>
  <si>
    <t>Petco CR-CCS Email</t>
  </si>
  <si>
    <t>Petco CR- Special Project</t>
  </si>
  <si>
    <t>Petco Help desk-Tech backoffic</t>
  </si>
  <si>
    <t>McAfee NA CORP CS</t>
  </si>
  <si>
    <t>Broadview</t>
  </si>
  <si>
    <t>BVN Customer Onboarding</t>
  </si>
  <si>
    <t>BVN CS Maintenance</t>
  </si>
  <si>
    <t>AT&amp;T Amdocs - Project HALO</t>
  </si>
  <si>
    <t>Norton VSS Frontline</t>
  </si>
  <si>
    <t>Norton VSS Delivery</t>
  </si>
  <si>
    <t>AT&amp;T Home Solutions - Chat</t>
  </si>
  <si>
    <t>Medion Aldi Mobile Support-CS</t>
  </si>
  <si>
    <t>Sandeep Kasbe</t>
  </si>
  <si>
    <t>Simulmedia</t>
  </si>
  <si>
    <t>Simulmedia_Back Office</t>
  </si>
  <si>
    <t>Spotify</t>
  </si>
  <si>
    <t>Spotify PHL Eng Email Support</t>
  </si>
  <si>
    <t>Anand B R</t>
  </si>
  <si>
    <t>Ebay NA M2M Escalation</t>
  </si>
  <si>
    <t>Sony Corp</t>
  </si>
  <si>
    <t>Sony Premium Support</t>
  </si>
  <si>
    <t>AT&amp;T AMDOCS Project Star - BO</t>
  </si>
  <si>
    <t>Beachbody LLC</t>
  </si>
  <si>
    <t>Beachbody- eService RFP</t>
  </si>
  <si>
    <t>Gopal Murugan A</t>
  </si>
  <si>
    <t>B to B Collections/Skip Tracin</t>
  </si>
  <si>
    <t>Lazada</t>
  </si>
  <si>
    <t>Lazada IB/CS</t>
  </si>
  <si>
    <t>INTUIT PSG Telesales Checks</t>
  </si>
  <si>
    <t>Hughes Billing &amp; Tech Support</t>
  </si>
  <si>
    <t>Jenna Dones Gripal</t>
  </si>
  <si>
    <t>Credit One Financial</t>
  </si>
  <si>
    <t>1st Party Collections 5 Day Bu</t>
  </si>
  <si>
    <t>Nikhil Verneker</t>
  </si>
  <si>
    <t>AOL Premium Support Services</t>
  </si>
  <si>
    <t>Go Daddy Group</t>
  </si>
  <si>
    <t>Go Daddy - Web Hosting Chat</t>
  </si>
  <si>
    <t>Beachbody - C&amp;G PHL</t>
  </si>
  <si>
    <t>Interactions - PHL</t>
  </si>
  <si>
    <t>Amazon.Com voice</t>
  </si>
  <si>
    <t>AT&amp;T Home Sol. Kingston</t>
  </si>
  <si>
    <t>BHN eCare Jamaica</t>
  </si>
  <si>
    <t>Seller Support Jamaica</t>
  </si>
  <si>
    <t>AGFA Graphics</t>
  </si>
  <si>
    <t>Stubhub</t>
  </si>
  <si>
    <t>StubHub</t>
  </si>
  <si>
    <t>Amazon Mayday Jamaica</t>
  </si>
  <si>
    <t>Shutterfly</t>
  </si>
  <si>
    <t>MS Jamaica</t>
  </si>
  <si>
    <t>MS Jamaica Accounts &amp; Billing</t>
  </si>
  <si>
    <t>Speedy Servicing</t>
  </si>
  <si>
    <t>1800Flowers dot com</t>
  </si>
  <si>
    <t>1800Flowers</t>
  </si>
  <si>
    <t>KingCesar Napoli Saquido</t>
  </si>
  <si>
    <t>AT&amp;T ISM Mandeville</t>
  </si>
  <si>
    <t>AT&amp;T Uverse Sp BAQ</t>
  </si>
  <si>
    <t>AT&amp;T Home Sol. Language</t>
  </si>
  <si>
    <t>Lenovo BAQ</t>
  </si>
  <si>
    <t>Spotify Colombia</t>
  </si>
  <si>
    <t>AT&amp;T Mobility MSS BAQ</t>
  </si>
  <si>
    <t>Schlumberger - OFS</t>
  </si>
  <si>
    <t>McAfee Technical Support</t>
  </si>
  <si>
    <t>Dell OP Online - Colombia</t>
  </si>
  <si>
    <t>Dell OP Offline - Colombia</t>
  </si>
  <si>
    <t>Account Now - Colombia</t>
  </si>
  <si>
    <t>AT&amp;T Mobility MSS Retention</t>
  </si>
  <si>
    <t>NetSpend - Colombia</t>
  </si>
  <si>
    <t>Dell OP Offline - Brazil</t>
  </si>
  <si>
    <t>Dell OP Online-Brazil</t>
  </si>
  <si>
    <t>Brighthouse Networks Tampa</t>
  </si>
  <si>
    <t>AT&amp;T Mx Support Plus Tech</t>
  </si>
  <si>
    <t>Cisco STAC</t>
  </si>
  <si>
    <t>Srinivassan J</t>
  </si>
  <si>
    <t>Cisco WebEx TS EMEA</t>
  </si>
  <si>
    <t>Google</t>
  </si>
  <si>
    <t>Google Enterprise Products Mul</t>
  </si>
  <si>
    <t>HomeAway CS/TTL</t>
  </si>
  <si>
    <t>Amazon.de Sofia</t>
  </si>
  <si>
    <t>Google Chat Support</t>
  </si>
  <si>
    <t>Google Trail Guardian</t>
  </si>
  <si>
    <t>SLB Russia</t>
  </si>
  <si>
    <t>Amazon.de Burgas</t>
  </si>
  <si>
    <t>Spotify Email and Social Media</t>
  </si>
  <si>
    <t>Amazon ATO BG</t>
  </si>
  <si>
    <t>Finnair Oyj</t>
  </si>
  <si>
    <t>Finnair</t>
  </si>
  <si>
    <t>Mullaiarasan R</t>
  </si>
  <si>
    <t>ICICI Bank</t>
  </si>
  <si>
    <t>iCollect Cards - Chennai</t>
  </si>
  <si>
    <t>iCollect Cards - Mumbai</t>
  </si>
  <si>
    <t>iCollect TOP 92</t>
  </si>
  <si>
    <t>iCollect EMCT</t>
  </si>
  <si>
    <t>SBI</t>
  </si>
  <si>
    <t>SBI Life_Coll</t>
  </si>
  <si>
    <t>Future Capital</t>
  </si>
  <si>
    <t>FutureCap_TP</t>
  </si>
  <si>
    <t>ICICI Pru</t>
  </si>
  <si>
    <t>IPru_Mum</t>
  </si>
  <si>
    <t>SCB</t>
  </si>
  <si>
    <t>Scb_Loan</t>
  </si>
  <si>
    <t>SBI_LifeColl_Chn</t>
  </si>
  <si>
    <t>Yes Bank</t>
  </si>
  <si>
    <t>Yes_Bank_CASA</t>
  </si>
  <si>
    <t>Schlumberger_JMS</t>
  </si>
  <si>
    <t>Air India</t>
  </si>
  <si>
    <t>Air India CS</t>
  </si>
  <si>
    <t>Etihad Airways</t>
  </si>
  <si>
    <t>Etihad Airways Voice (IB/OB)</t>
  </si>
  <si>
    <t>SBI - GE Cards ARM</t>
  </si>
  <si>
    <t>DHL_KYC_INT</t>
  </si>
  <si>
    <t>Dell Offline Order Processing</t>
  </si>
  <si>
    <t>Dell OP Online-China</t>
  </si>
  <si>
    <t>Air Asia</t>
  </si>
  <si>
    <t>Travel Inbound CS-Air Asia</t>
  </si>
  <si>
    <t>Uber Travel - China</t>
  </si>
  <si>
    <t>Neelakantan V</t>
  </si>
  <si>
    <t>Uber - China Driver</t>
  </si>
  <si>
    <t>Uber - China IRT</t>
  </si>
  <si>
    <t>Uber Travel - Inbound</t>
  </si>
  <si>
    <t>Dell OP Online-Morocco</t>
  </si>
  <si>
    <t>Dell Order Processing-Malaysia</t>
  </si>
  <si>
    <t>Courts</t>
  </si>
  <si>
    <t>Courts SGP/Mys Retail/IB CS</t>
  </si>
  <si>
    <t>Uber Malaysia IB/Chat CS</t>
  </si>
  <si>
    <t>SGS-Private Label TS</t>
  </si>
  <si>
    <t>SGS - Private Label Common</t>
  </si>
  <si>
    <t xml:space="preserve"># Location </t>
  </si>
  <si>
    <t># Location -PAT%</t>
  </si>
  <si>
    <t>PAT % (Sum)</t>
  </si>
  <si>
    <t>Billable FTE Available</t>
  </si>
  <si>
    <t>BI</t>
  </si>
  <si>
    <t>RP</t>
  </si>
  <si>
    <t>Variation-RP to BI</t>
  </si>
  <si>
    <t>Sep</t>
  </si>
  <si>
    <t>Oct</t>
  </si>
  <si>
    <t>Nov</t>
  </si>
  <si>
    <t>Dec</t>
  </si>
  <si>
    <t>NA</t>
  </si>
  <si>
    <t># Location -BI (Ava FTE)%</t>
  </si>
  <si>
    <t>AVG-FTE</t>
  </si>
  <si>
    <t>Vertical Name</t>
  </si>
  <si>
    <t>Project Name</t>
  </si>
  <si>
    <t>Billable FTE Required</t>
  </si>
  <si>
    <t>AP %</t>
  </si>
  <si>
    <t>Forecast</t>
  </si>
  <si>
    <t>PAT %</t>
  </si>
  <si>
    <t>Group</t>
  </si>
  <si>
    <t>%</t>
  </si>
  <si>
    <t>Critical</t>
  </si>
  <si>
    <t>&lt; 0%</t>
  </si>
  <si>
    <t>0% to 10%</t>
  </si>
  <si>
    <t>Medium</t>
  </si>
  <si>
    <t>&gt;10%</t>
  </si>
  <si>
    <t>Low</t>
  </si>
  <si>
    <t>Project_ID</t>
  </si>
  <si>
    <t>Group-PAT %</t>
  </si>
  <si>
    <t>FTE Available</t>
  </si>
  <si>
    <t>FTE Required</t>
  </si>
  <si>
    <t>Variation on LE over LE</t>
  </si>
  <si>
    <t>Variation on Budget vs LE over LE</t>
  </si>
  <si>
    <t>Priority</t>
  </si>
  <si>
    <t>AVG</t>
  </si>
  <si>
    <t>Very High</t>
  </si>
  <si>
    <t>High</t>
  </si>
  <si>
    <t># Projects</t>
  </si>
  <si>
    <t>Total</t>
  </si>
  <si>
    <t>&gt;100% or &lt; 0%</t>
  </si>
  <si>
    <t>61% to 99%</t>
  </si>
  <si>
    <t>31% to 60%</t>
  </si>
  <si>
    <t>0% to 30%</t>
  </si>
  <si>
    <t>Data Not Available</t>
  </si>
  <si>
    <t>HC Variation</t>
  </si>
  <si>
    <t>Billing _Basis</t>
  </si>
  <si>
    <t>Volume</t>
  </si>
  <si>
    <t>Minutes</t>
  </si>
  <si>
    <t>HeadCount</t>
  </si>
  <si>
    <t>Hours</t>
  </si>
  <si>
    <t>Billability_basis</t>
  </si>
  <si>
    <t>Vertical</t>
  </si>
  <si>
    <t xml:space="preserve"> </t>
  </si>
  <si>
    <t>J</t>
  </si>
  <si>
    <t>K</t>
  </si>
  <si>
    <t>L</t>
  </si>
  <si>
    <t>Available HC</t>
  </si>
  <si>
    <t>Required HC</t>
  </si>
  <si>
    <t>Impact on CM %</t>
  </si>
  <si>
    <t>Negative</t>
  </si>
  <si>
    <t>Can't Say</t>
  </si>
  <si>
    <t>Positive</t>
  </si>
  <si>
    <t>Actual HC</t>
  </si>
  <si>
    <t>HC lesser and FC higher in RP</t>
  </si>
  <si>
    <t>Actual HC lesser and Required HC higher in RP</t>
  </si>
  <si>
    <t>Rp showing lesser HC</t>
  </si>
  <si>
    <t>Volume/Minutes</t>
  </si>
  <si>
    <t>Metric-1</t>
  </si>
  <si>
    <t>Metric-2</t>
  </si>
  <si>
    <t>CM % increase when</t>
  </si>
  <si>
    <t>Do not Insert any row and column in both Summary and Raw Sheet</t>
  </si>
  <si>
    <t>Note:</t>
  </si>
  <si>
    <t>Telecom-AT&amp;T</t>
  </si>
  <si>
    <t>Telecom-Non AT&amp;T</t>
  </si>
  <si>
    <t xml:space="preserve">                                        Variation-RP to BI</t>
  </si>
</sst>
</file>

<file path=xl/styles.xml><?xml version="1.0" encoding="utf-8"?>
<styleSheet xmlns="http://schemas.openxmlformats.org/spreadsheetml/2006/main">
  <numFmts count="1">
    <numFmt numFmtId="164" formatCode="d/mmm/yy;;"/>
  </numFmts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5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7" borderId="1" xfId="0" applyNumberFormat="1" applyFont="1" applyFill="1" applyBorder="1" applyAlignment="1">
      <alignment horizontal="center"/>
    </xf>
    <xf numFmtId="9" fontId="0" fillId="8" borderId="1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" fontId="2" fillId="5" borderId="5" xfId="0" applyNumberFormat="1" applyFont="1" applyFill="1" applyBorder="1" applyAlignment="1">
      <alignment horizontal="center"/>
    </xf>
    <xf numFmtId="1" fontId="2" fillId="5" borderId="6" xfId="0" applyNumberFormat="1" applyFont="1" applyFill="1" applyBorder="1" applyAlignment="1">
      <alignment horizontal="center"/>
    </xf>
    <xf numFmtId="1" fontId="0" fillId="0" borderId="0" xfId="0" applyNumberFormat="1"/>
    <xf numFmtId="1" fontId="2" fillId="4" borderId="5" xfId="0" applyNumberFormat="1" applyFont="1" applyFill="1" applyBorder="1" applyAlignment="1">
      <alignment horizontal="center"/>
    </xf>
    <xf numFmtId="9" fontId="2" fillId="4" borderId="5" xfId="0" applyNumberFormat="1" applyFont="1" applyFill="1" applyBorder="1" applyAlignment="1">
      <alignment horizontal="center"/>
    </xf>
    <xf numFmtId="9" fontId="0" fillId="7" borderId="1" xfId="0" applyNumberFormat="1" applyFill="1" applyBorder="1" applyAlignment="1">
      <alignment horizontal="center"/>
    </xf>
    <xf numFmtId="9" fontId="2" fillId="7" borderId="1" xfId="0" applyNumberFormat="1" applyFont="1" applyFill="1" applyBorder="1" applyAlignment="1">
      <alignment horizontal="center"/>
    </xf>
    <xf numFmtId="9" fontId="0" fillId="0" borderId="0" xfId="0" applyNumberFormat="1"/>
    <xf numFmtId="0" fontId="3" fillId="0" borderId="0" xfId="0" applyFont="1"/>
    <xf numFmtId="0" fontId="0" fillId="0" borderId="0" xfId="0" applyAlignment="1">
      <alignment horizontal="left"/>
    </xf>
    <xf numFmtId="1" fontId="4" fillId="11" borderId="0" xfId="0" applyNumberFormat="1" applyFont="1" applyFill="1" applyBorder="1" applyAlignment="1">
      <alignment horizontal="center"/>
    </xf>
    <xf numFmtId="164" fontId="1" fillId="12" borderId="0" xfId="0" applyNumberFormat="1" applyFont="1" applyFill="1" applyBorder="1" applyAlignment="1">
      <alignment horizontal="left"/>
    </xf>
    <xf numFmtId="9" fontId="4" fillId="4" borderId="0" xfId="0" applyNumberFormat="1" applyFont="1" applyFill="1" applyBorder="1" applyAlignment="1">
      <alignment horizontal="center"/>
    </xf>
    <xf numFmtId="1" fontId="0" fillId="8" borderId="1" xfId="0" applyNumberFormat="1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 vertical="center"/>
    </xf>
    <xf numFmtId="9" fontId="1" fillId="12" borderId="0" xfId="0" applyNumberFormat="1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 vertical="center"/>
    </xf>
    <xf numFmtId="0" fontId="1" fillId="9" borderId="16" xfId="0" applyFont="1" applyFill="1" applyBorder="1" applyAlignment="1"/>
    <xf numFmtId="0" fontId="1" fillId="9" borderId="17" xfId="0" applyFont="1" applyFill="1" applyBorder="1" applyAlignment="1"/>
    <xf numFmtId="0" fontId="0" fillId="0" borderId="0" xfId="0" applyAlignment="1"/>
    <xf numFmtId="164" fontId="4" fillId="11" borderId="0" xfId="0" applyNumberFormat="1" applyFont="1" applyFill="1" applyBorder="1" applyAlignment="1"/>
    <xf numFmtId="1" fontId="4" fillId="11" borderId="0" xfId="0" applyNumberFormat="1" applyFont="1" applyFill="1" applyBorder="1" applyAlignment="1">
      <alignment horizontal="left"/>
    </xf>
    <xf numFmtId="9" fontId="5" fillId="16" borderId="0" xfId="0" applyNumberFormat="1" applyFont="1" applyFill="1" applyAlignment="1">
      <alignment horizontal="center" vertical="center"/>
    </xf>
    <xf numFmtId="9" fontId="6" fillId="16" borderId="0" xfId="0" applyNumberFormat="1" applyFont="1" applyFill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9" fontId="7" fillId="7" borderId="0" xfId="0" applyNumberFormat="1" applyFont="1" applyFill="1" applyBorder="1" applyAlignment="1">
      <alignment horizontal="center"/>
    </xf>
    <xf numFmtId="164" fontId="1" fillId="17" borderId="0" xfId="0" applyNumberFormat="1" applyFont="1" applyFill="1" applyBorder="1" applyAlignment="1">
      <alignment horizontal="left"/>
    </xf>
    <xf numFmtId="9" fontId="8" fillId="7" borderId="0" xfId="0" applyNumberFormat="1" applyFont="1" applyFill="1" applyBorder="1" applyAlignment="1">
      <alignment horizontal="center"/>
    </xf>
    <xf numFmtId="9" fontId="1" fillId="18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4" fillId="11" borderId="0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4" borderId="20" xfId="0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0" fillId="0" borderId="0" xfId="0" applyFont="1"/>
    <xf numFmtId="0" fontId="1" fillId="13" borderId="0" xfId="0" applyFont="1" applyFill="1" applyAlignment="1">
      <alignment horizontal="center"/>
    </xf>
    <xf numFmtId="0" fontId="0" fillId="16" borderId="0" xfId="0" applyFont="1" applyFill="1"/>
    <xf numFmtId="0" fontId="0" fillId="19" borderId="0" xfId="0" applyFill="1"/>
    <xf numFmtId="0" fontId="3" fillId="0" borderId="0" xfId="0" applyFont="1" applyAlignment="1">
      <alignment horizontal="center"/>
    </xf>
    <xf numFmtId="1" fontId="4" fillId="4" borderId="0" xfId="0" applyNumberFormat="1" applyFont="1" applyFill="1" applyBorder="1" applyAlignment="1">
      <alignment horizontal="center"/>
    </xf>
    <xf numFmtId="0" fontId="3" fillId="0" borderId="0" xfId="0" applyFont="1" applyAlignment="1"/>
    <xf numFmtId="0" fontId="4" fillId="19" borderId="0" xfId="0" applyFont="1" applyFill="1"/>
    <xf numFmtId="0" fontId="3" fillId="9" borderId="0" xfId="0" applyFont="1" applyFill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164" fontId="0" fillId="0" borderId="0" xfId="0" applyNumberFormat="1"/>
    <xf numFmtId="0" fontId="10" fillId="0" borderId="0" xfId="0" applyFont="1" applyBorder="1" applyAlignment="1">
      <alignment horizontal="center"/>
    </xf>
    <xf numFmtId="164" fontId="1" fillId="12" borderId="0" xfId="0" applyNumberFormat="1" applyFont="1" applyFill="1" applyBorder="1" applyAlignment="1">
      <alignment horizontal="center"/>
    </xf>
    <xf numFmtId="0" fontId="0" fillId="0" borderId="1" xfId="0" applyBorder="1"/>
    <xf numFmtId="0" fontId="1" fillId="20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center"/>
    </xf>
    <xf numFmtId="0" fontId="2" fillId="2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" fillId="0" borderId="0" xfId="0" applyFont="1"/>
    <xf numFmtId="0" fontId="7" fillId="16" borderId="0" xfId="0" applyFont="1" applyFill="1"/>
    <xf numFmtId="0" fontId="11" fillId="16" borderId="0" xfId="0" applyFont="1" applyFill="1" applyBorder="1" applyAlignment="1">
      <alignment horizontal="center"/>
    </xf>
    <xf numFmtId="0" fontId="11" fillId="0" borderId="0" xfId="0" applyFont="1"/>
    <xf numFmtId="0" fontId="11" fillId="16" borderId="0" xfId="0" applyFont="1" applyFill="1" applyBorder="1"/>
    <xf numFmtId="0" fontId="11" fillId="0" borderId="0" xfId="0" applyFont="1" applyAlignment="1"/>
    <xf numFmtId="0" fontId="3" fillId="16" borderId="0" xfId="0" applyFont="1" applyFill="1" applyBorder="1" applyAlignment="1">
      <alignment horizontal="left"/>
    </xf>
    <xf numFmtId="9" fontId="3" fillId="16" borderId="0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9" fontId="4" fillId="5" borderId="0" xfId="0" applyNumberFormat="1" applyFont="1" applyFill="1" applyBorder="1" applyAlignment="1">
      <alignment horizontal="center"/>
    </xf>
    <xf numFmtId="164" fontId="4" fillId="11" borderId="0" xfId="0" applyNumberFormat="1" applyFont="1" applyFill="1" applyBorder="1" applyAlignment="1">
      <alignment horizontal="left"/>
    </xf>
    <xf numFmtId="0" fontId="1" fillId="10" borderId="13" xfId="0" applyFont="1" applyFill="1" applyBorder="1" applyAlignment="1">
      <alignment horizontal="center" vertical="center" wrapText="1"/>
    </xf>
    <xf numFmtId="0" fontId="1" fillId="14" borderId="2" xfId="0" applyFont="1" applyFill="1" applyBorder="1" applyAlignment="1"/>
    <xf numFmtId="0" fontId="1" fillId="14" borderId="0" xfId="0" applyFont="1" applyFill="1" applyBorder="1" applyAlignment="1"/>
    <xf numFmtId="0" fontId="1" fillId="13" borderId="0" xfId="0" applyFont="1" applyFill="1" applyAlignment="1">
      <alignment horizontal="center"/>
    </xf>
    <xf numFmtId="0" fontId="1" fillId="10" borderId="13" xfId="0" applyFont="1" applyFill="1" applyBorder="1" applyAlignment="1">
      <alignment horizontal="center" vertical="center"/>
    </xf>
    <xf numFmtId="164" fontId="1" fillId="12" borderId="0" xfId="0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9" fontId="0" fillId="8" borderId="7" xfId="0" applyNumberFormat="1" applyFont="1" applyFill="1" applyBorder="1" applyAlignment="1">
      <alignment horizontal="center" vertical="center"/>
    </xf>
    <xf numFmtId="9" fontId="0" fillId="8" borderId="8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9" fontId="0" fillId="8" borderId="9" xfId="0" applyNumberFormat="1" applyFont="1" applyFill="1" applyBorder="1" applyAlignment="1">
      <alignment horizontal="center" vertical="center"/>
    </xf>
    <xf numFmtId="1" fontId="2" fillId="7" borderId="7" xfId="0" applyNumberFormat="1" applyFont="1" applyFill="1" applyBorder="1" applyAlignment="1">
      <alignment horizontal="center" vertical="center"/>
    </xf>
    <xf numFmtId="1" fontId="2" fillId="7" borderId="9" xfId="0" applyNumberFormat="1" applyFont="1" applyFill="1" applyBorder="1" applyAlignment="1">
      <alignment horizontal="center" vertical="center"/>
    </xf>
    <xf numFmtId="1" fontId="2" fillId="7" borderId="8" xfId="0" applyNumberFormat="1" applyFon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9" fontId="2" fillId="7" borderId="7" xfId="0" applyNumberFormat="1" applyFont="1" applyFill="1" applyBorder="1" applyAlignment="1">
      <alignment horizontal="center" vertical="center"/>
    </xf>
    <xf numFmtId="9" fontId="2" fillId="7" borderId="9" xfId="0" applyNumberFormat="1" applyFont="1" applyFill="1" applyBorder="1" applyAlignment="1">
      <alignment horizontal="center" vertical="center"/>
    </xf>
    <xf numFmtId="9" fontId="2" fillId="7" borderId="8" xfId="0" applyNumberFormat="1" applyFont="1" applyFill="1" applyBorder="1" applyAlignment="1">
      <alignment horizontal="center" vertical="center"/>
    </xf>
    <xf numFmtId="9" fontId="1" fillId="3" borderId="3" xfId="0" applyNumberFormat="1" applyFont="1" applyFill="1" applyBorder="1" applyAlignment="1">
      <alignment horizontal="center"/>
    </xf>
    <xf numFmtId="9" fontId="0" fillId="7" borderId="7" xfId="0" applyNumberFormat="1" applyFill="1" applyBorder="1" applyAlignment="1">
      <alignment horizontal="center" vertical="center"/>
    </xf>
    <xf numFmtId="9" fontId="0" fillId="7" borderId="8" xfId="0" applyNumberFormat="1" applyFill="1" applyBorder="1" applyAlignment="1">
      <alignment horizontal="center" vertical="center"/>
    </xf>
    <xf numFmtId="1" fontId="1" fillId="3" borderId="3" xfId="0" applyNumberFormat="1" applyFont="1" applyFill="1" applyBorder="1" applyAlignment="1">
      <alignment horizontal="center"/>
    </xf>
    <xf numFmtId="1" fontId="1" fillId="3" borderId="4" xfId="0" applyNumberFormat="1" applyFont="1" applyFill="1" applyBorder="1" applyAlignment="1">
      <alignment horizontal="center"/>
    </xf>
    <xf numFmtId="0" fontId="2" fillId="15" borderId="19" xfId="0" applyFont="1" applyFill="1" applyBorder="1" applyAlignment="1">
      <alignment horizontal="center"/>
    </xf>
    <xf numFmtId="0" fontId="2" fillId="15" borderId="18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left" indent="21"/>
    </xf>
    <xf numFmtId="0" fontId="1" fillId="14" borderId="0" xfId="0" applyFont="1" applyFill="1" applyBorder="1" applyAlignment="1">
      <alignment horizontal="left" indent="21"/>
    </xf>
  </cellXfs>
  <cellStyles count="1">
    <cellStyle name="Normal" xfId="0" builtinId="0"/>
  </cellStyles>
  <dxfs count="8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PAT %</a:t>
            </a:r>
          </a:p>
        </c:rich>
      </c:tx>
      <c:layout/>
    </c:title>
    <c:plotArea>
      <c:layout/>
      <c:pieChart>
        <c:varyColors val="1"/>
        <c:ser>
          <c:idx val="0"/>
          <c:order val="0"/>
          <c:dLbls>
            <c:dLbl>
              <c:idx val="0"/>
              <c:spPr/>
              <c:txPr>
                <a:bodyPr/>
                <a:lstStyle/>
                <a:p>
                  <a:pPr>
                    <a:defRPr b="1"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b="1"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</c:dLbl>
            <c:dLbl>
              <c:idx val="2"/>
              <c:spPr/>
              <c:txPr>
                <a:bodyPr/>
                <a:lstStyle/>
                <a:p>
                  <a:pPr>
                    <a:defRPr b="1">
                      <a:solidFill>
                        <a:schemeClr val="tx1"/>
                      </a:solidFill>
                    </a:defRPr>
                  </a:pPr>
                  <a:endParaRPr lang="en-U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CatName val="1"/>
            <c:showPercent val="1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Summary!$Q$3:$Q$5</c:f>
              <c:strCache>
                <c:ptCount val="3"/>
                <c:pt idx="0">
                  <c:v>Critical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Summary!$S$3:$S$5</c:f>
              <c:numCache>
                <c:formatCode>0%</c:formatCode>
                <c:ptCount val="3"/>
                <c:pt idx="0">
                  <c:v>0.18721461187214611</c:v>
                </c:pt>
                <c:pt idx="1">
                  <c:v>0.26484018264840181</c:v>
                </c:pt>
                <c:pt idx="2">
                  <c:v>0.54794520547945202</c:v>
                </c:pt>
              </c:numCache>
            </c:numRef>
          </c:val>
        </c:ser>
        <c:dLbls>
          <c:showCatName val="1"/>
          <c:showPercent val="1"/>
        </c:dLbls>
        <c:firstSliceAng val="0"/>
      </c:pieChart>
    </c:plotArea>
    <c:plotVisOnly val="1"/>
    <c:dispBlanksAs val="zero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Vertical wise Penetration</a:t>
            </a:r>
          </a:p>
        </c:rich>
      </c:tx>
      <c:layout>
        <c:manualLayout>
          <c:xMode val="edge"/>
          <c:yMode val="edge"/>
          <c:x val="0.16472705805497223"/>
          <c:y val="7.1583593807870403E-3"/>
        </c:manualLayout>
      </c:layout>
    </c:title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0.13250156310868996"/>
                  <c:y val="9.1417376154783403E-2"/>
                </c:manualLayout>
              </c:layout>
              <c:spPr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  <c:showCatName val="1"/>
              <c:showPercent val="1"/>
            </c:dLbl>
            <c:dLbl>
              <c:idx val="1"/>
              <c:spPr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dLbl>
            <c:dLbl>
              <c:idx val="2"/>
              <c:spPr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CatName val="1"/>
            <c:showPercent val="1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Summary!$I$3:$I$8</c:f>
              <c:strCache>
                <c:ptCount val="6"/>
                <c:pt idx="0">
                  <c:v>Telecom-AT&amp;T</c:v>
                </c:pt>
                <c:pt idx="1">
                  <c:v>Telecom-Non AT&amp;T</c:v>
                </c:pt>
                <c:pt idx="2">
                  <c:v>Retail</c:v>
                </c:pt>
                <c:pt idx="3">
                  <c:v>Technology</c:v>
                </c:pt>
                <c:pt idx="4">
                  <c:v>BFIMG</c:v>
                </c:pt>
                <c:pt idx="5">
                  <c:v>Travel</c:v>
                </c:pt>
              </c:strCache>
            </c:strRef>
          </c:cat>
          <c:val>
            <c:numRef>
              <c:f>Summary!$J$3:$J$8</c:f>
              <c:numCache>
                <c:formatCode>General</c:formatCode>
                <c:ptCount val="6"/>
                <c:pt idx="0">
                  <c:v>1</c:v>
                </c:pt>
                <c:pt idx="1">
                  <c:v>14</c:v>
                </c:pt>
                <c:pt idx="2">
                  <c:v>36</c:v>
                </c:pt>
                <c:pt idx="3">
                  <c:v>52</c:v>
                </c:pt>
                <c:pt idx="4">
                  <c:v>10</c:v>
                </c:pt>
                <c:pt idx="5">
                  <c:v>7</c:v>
                </c:pt>
              </c:numCache>
            </c:numRef>
          </c:val>
        </c:ser>
        <c:dLbls>
          <c:showCatName val="1"/>
          <c:showPercent val="1"/>
        </c:dLbls>
        <c:firstSliceAng val="0"/>
      </c:pieChart>
    </c:plotArea>
    <c:plotVisOnly val="1"/>
    <c:dispBlanksAs val="zero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Variation-RP to BI</a:t>
            </a:r>
          </a:p>
        </c:rich>
      </c:tx>
      <c:layout>
        <c:manualLayout>
          <c:xMode val="edge"/>
          <c:yMode val="edge"/>
          <c:x val="0.20751845773854691"/>
          <c:y val="2.9824800417399676E-2"/>
        </c:manualLayout>
      </c:layout>
    </c:title>
    <c:plotArea>
      <c:layout/>
      <c:pieChart>
        <c:varyColors val="1"/>
        <c:ser>
          <c:idx val="0"/>
          <c:order val="0"/>
          <c:dLbls>
            <c:dLbl>
              <c:idx val="0"/>
              <c:spPr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dLbl>
            <c:dLbl>
              <c:idx val="2"/>
              <c:spPr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CatName val="1"/>
            <c:showPercent val="1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Summary!$L$3:$L$6</c:f>
              <c:strCache>
                <c:ptCount val="4"/>
                <c:pt idx="0">
                  <c:v>Very 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Summary!$N$3:$N$6</c:f>
              <c:numCache>
                <c:formatCode>0%</c:formatCode>
                <c:ptCount val="4"/>
                <c:pt idx="0">
                  <c:v>0.45454545454545453</c:v>
                </c:pt>
                <c:pt idx="1">
                  <c:v>#N/A</c:v>
                </c:pt>
                <c:pt idx="2">
                  <c:v>#N/A</c:v>
                </c:pt>
                <c:pt idx="3">
                  <c:v>0.54545454545454541</c:v>
                </c:pt>
              </c:numCache>
            </c:numRef>
          </c:val>
        </c:ser>
        <c:dLbls>
          <c:showCatName val="1"/>
          <c:showPercent val="1"/>
        </c:dLbls>
        <c:firstSliceAng val="0"/>
      </c:pieChart>
    </c:plotArea>
    <c:plotVisOnly val="1"/>
    <c:dispBlanksAs val="zero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112059</xdr:colOff>
      <xdr:row>2</xdr:row>
      <xdr:rowOff>22412</xdr:rowOff>
    </xdr:from>
    <xdr:to>
      <xdr:col>4</xdr:col>
      <xdr:colOff>1075766</xdr:colOff>
      <xdr:row>4</xdr:row>
      <xdr:rowOff>123265</xdr:rowOff>
    </xdr:to>
    <xdr:sp macro="" textlink="">
      <xdr:nvSpPr>
        <xdr:cNvPr id="2" name="Right Arrow 1"/>
        <xdr:cNvSpPr/>
      </xdr:nvSpPr>
      <xdr:spPr>
        <a:xfrm>
          <a:off x="336177" y="403412"/>
          <a:ext cx="963707" cy="481853"/>
        </a:xfrm>
        <a:prstGeom prst="rightArrow">
          <a:avLst/>
        </a:prstGeom>
        <a:solidFill>
          <a:srgbClr val="00B05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Select</a:t>
          </a:r>
        </a:p>
      </xdr:txBody>
    </xdr:sp>
    <xdr:clientData/>
  </xdr:twoCellAnchor>
  <xdr:twoCellAnchor>
    <xdr:from>
      <xdr:col>7</xdr:col>
      <xdr:colOff>156882</xdr:colOff>
      <xdr:row>0</xdr:row>
      <xdr:rowOff>89648</xdr:rowOff>
    </xdr:from>
    <xdr:to>
      <xdr:col>10</xdr:col>
      <xdr:colOff>537881</xdr:colOff>
      <xdr:row>9</xdr:row>
      <xdr:rowOff>78442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683556</xdr:colOff>
      <xdr:row>0</xdr:row>
      <xdr:rowOff>112057</xdr:rowOff>
    </xdr:from>
    <xdr:to>
      <xdr:col>17</xdr:col>
      <xdr:colOff>0</xdr:colOff>
      <xdr:row>9</xdr:row>
      <xdr:rowOff>112056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134472</xdr:colOff>
      <xdr:row>0</xdr:row>
      <xdr:rowOff>112056</xdr:rowOff>
    </xdr:from>
    <xdr:to>
      <xdr:col>22</xdr:col>
      <xdr:colOff>369794</xdr:colOff>
      <xdr:row>9</xdr:row>
      <xdr:rowOff>134470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165"/>
  <sheetViews>
    <sheetView showGridLines="0" tabSelected="1" zoomScale="85" zoomScaleNormal="85" workbookViewId="0">
      <pane xSplit="4" ySplit="13" topLeftCell="E14" activePane="bottomRight" state="frozen"/>
      <selection pane="topRight" activeCell="B1" sqref="B1"/>
      <selection pane="bottomLeft" activeCell="A13" sqref="A13"/>
      <selection pane="bottomRight" activeCell="T12" sqref="T12:T13"/>
    </sheetView>
  </sheetViews>
  <sheetFormatPr defaultColWidth="8.7109375" defaultRowHeight="15" outlineLevelCol="1"/>
  <cols>
    <col min="1" max="3" width="0" hidden="1" customWidth="1"/>
    <col min="4" max="4" width="2.42578125" style="22" customWidth="1"/>
    <col min="5" max="5" width="18.28515625" customWidth="1"/>
    <col min="6" max="6" width="29.85546875" style="23" bestFit="1" customWidth="1"/>
    <col min="7" max="7" width="18.7109375" style="33" bestFit="1" customWidth="1"/>
    <col min="8" max="8" width="20.7109375" style="43" bestFit="1" customWidth="1"/>
    <col min="9" max="9" width="11.28515625" customWidth="1"/>
    <col min="10" max="10" width="12" customWidth="1"/>
    <col min="11" max="11" width="14.5703125" customWidth="1"/>
    <col min="12" max="12" width="9.7109375" bestFit="1" customWidth="1"/>
    <col min="13" max="13" width="9.5703125" hidden="1" customWidth="1"/>
    <col min="14" max="20" width="9.5703125" customWidth="1"/>
    <col min="21" max="21" width="5.85546875" customWidth="1"/>
    <col min="22" max="26" width="10" customWidth="1"/>
    <col min="50" max="69" width="8.7109375" outlineLevel="1"/>
  </cols>
  <sheetData>
    <row r="1" spans="1:68">
      <c r="H1" s="71"/>
      <c r="I1" s="73"/>
      <c r="J1" s="73"/>
      <c r="K1" s="73"/>
      <c r="L1" s="72"/>
      <c r="M1" s="72"/>
      <c r="N1" s="72"/>
      <c r="O1" s="72"/>
      <c r="P1" s="72"/>
      <c r="Q1" s="72"/>
      <c r="R1" s="72"/>
      <c r="S1" s="72"/>
      <c r="T1" s="72"/>
      <c r="AC1" s="37">
        <v>0</v>
      </c>
      <c r="AD1" s="37">
        <v>0.3</v>
      </c>
      <c r="AE1" s="37">
        <v>0.31</v>
      </c>
      <c r="AF1" s="37">
        <v>0.6</v>
      </c>
      <c r="AG1" s="37">
        <v>0.61</v>
      </c>
      <c r="AH1" s="37">
        <v>0.99</v>
      </c>
      <c r="AX1" t="s">
        <v>484</v>
      </c>
      <c r="BB1" s="58" t="s">
        <v>462</v>
      </c>
      <c r="BC1" s="58" t="s">
        <v>429</v>
      </c>
      <c r="BD1" s="58" t="s">
        <v>468</v>
      </c>
      <c r="BE1" s="58" t="s">
        <v>469</v>
      </c>
      <c r="BF1" s="58"/>
      <c r="BG1" s="58"/>
      <c r="BH1" s="58"/>
      <c r="BI1" s="58" t="s">
        <v>470</v>
      </c>
      <c r="BJ1" s="61"/>
    </row>
    <row r="2" spans="1:68">
      <c r="H2" s="71"/>
      <c r="I2" s="47" t="s">
        <v>463</v>
      </c>
      <c r="J2" s="48" t="s">
        <v>449</v>
      </c>
      <c r="K2" s="48" t="s">
        <v>456</v>
      </c>
      <c r="L2" s="48" t="s">
        <v>431</v>
      </c>
      <c r="M2" s="48" t="s">
        <v>449</v>
      </c>
      <c r="N2" s="48" t="s">
        <v>432</v>
      </c>
      <c r="O2" s="22"/>
      <c r="P2" s="48" t="s">
        <v>430</v>
      </c>
      <c r="Q2" s="48" t="s">
        <v>431</v>
      </c>
      <c r="R2" s="48" t="s">
        <v>449</v>
      </c>
      <c r="S2" s="48" t="s">
        <v>432</v>
      </c>
      <c r="T2" s="72"/>
      <c r="AD2" s="36"/>
      <c r="AE2" s="36"/>
      <c r="AF2" s="36"/>
      <c r="AG2" s="36"/>
      <c r="AH2" s="36"/>
      <c r="AI2" s="36"/>
      <c r="AX2" t="s">
        <v>485</v>
      </c>
      <c r="BA2" s="61">
        <v>1</v>
      </c>
      <c r="BB2" s="59" t="s">
        <v>458</v>
      </c>
      <c r="BC2" s="59" t="s">
        <v>471</v>
      </c>
      <c r="BD2" s="59" t="s">
        <v>471</v>
      </c>
      <c r="BE2" s="59"/>
      <c r="BF2" s="59" t="str">
        <f>BB2&amp;BC2&amp;BD2</f>
        <v>VolumeNegativeNegative</v>
      </c>
      <c r="BG2" s="59" t="str">
        <f>$BC$1&amp;$BD$1</f>
        <v>ForecastAvailable HC</v>
      </c>
      <c r="BH2" s="59" t="str">
        <f>BF2&amp;BG2</f>
        <v>VolumeNegativeNegativeForecastAvailable HC</v>
      </c>
      <c r="BI2" s="59" t="s">
        <v>472</v>
      </c>
      <c r="BJ2" s="61"/>
    </row>
    <row r="3" spans="1:68">
      <c r="F3" s="31" t="s">
        <v>430</v>
      </c>
      <c r="G3" s="46" t="s">
        <v>438</v>
      </c>
      <c r="H3" s="71"/>
      <c r="I3" s="75" t="s">
        <v>484</v>
      </c>
      <c r="J3" s="48">
        <f>IFERROR(IF(COUNTIFS('Raw Data'!$N:$N,Summary!$G$3,'Raw Data'!$J:$J,Summary!$G$4,'Raw Data'!$E:$E,Summary!I3)=0,NA(),COUNTIFS('Raw Data'!$N:$N,Summary!$G$3,'Raw Data'!$J:$J,Summary!$G$4,'Raw Data'!$E:$E,Summary!I3)),NA())</f>
        <v>1</v>
      </c>
      <c r="K3" s="48" t="s">
        <v>451</v>
      </c>
      <c r="L3" s="48" t="s">
        <v>447</v>
      </c>
      <c r="M3" s="48">
        <f>COUNTIF($O$14:$O$164,L3)</f>
        <v>5</v>
      </c>
      <c r="N3" s="76">
        <f>IFERROR(IF(M3/SUM($M$3:$M$6)=0,NA(),M3/SUM($M$3:$M$6)),NA())</f>
        <v>0.45454545454545453</v>
      </c>
      <c r="O3" s="22"/>
      <c r="P3" s="48" t="s">
        <v>434</v>
      </c>
      <c r="Q3" s="48" t="s">
        <v>433</v>
      </c>
      <c r="R3" s="48">
        <f>COUNTIFS('Raw Data'!$J$7:$J$290,Summary!$G$4,'Raw Data'!$N$7:$N$290,Summary!Q3)</f>
        <v>41</v>
      </c>
      <c r="S3" s="76">
        <f>IFERROR(IF(R3/SUM($R$3:$R$5)=0,NA(),R3/SUM($R$3:$R$5)),NA())</f>
        <v>0.18721461187214611</v>
      </c>
      <c r="T3" s="72"/>
      <c r="AX3" t="s">
        <v>10</v>
      </c>
      <c r="BA3" s="61">
        <f>BA2+1</f>
        <v>2</v>
      </c>
      <c r="BB3" s="59" t="s">
        <v>458</v>
      </c>
      <c r="BC3" s="59" t="s">
        <v>471</v>
      </c>
      <c r="BD3" s="59" t="s">
        <v>473</v>
      </c>
      <c r="BE3" s="59"/>
      <c r="BF3" s="59" t="str">
        <f t="shared" ref="BF3:BF15" si="0">BB3&amp;BC3&amp;BD3</f>
        <v>VolumeNegativePositive</v>
      </c>
      <c r="BG3" s="59" t="str">
        <f t="shared" ref="BG3:BG9" si="1">$BC$1&amp;$BD$1</f>
        <v>ForecastAvailable HC</v>
      </c>
      <c r="BH3" s="59" t="str">
        <f t="shared" ref="BH3:BH15" si="2">BF3&amp;BG3</f>
        <v>VolumeNegativePositiveForecastAvailable HC</v>
      </c>
      <c r="BI3" s="59" t="s">
        <v>473</v>
      </c>
      <c r="BJ3" s="61"/>
    </row>
    <row r="4" spans="1:68">
      <c r="F4" s="32" t="s">
        <v>4</v>
      </c>
      <c r="G4" s="46" t="s">
        <v>27</v>
      </c>
      <c r="H4" s="71"/>
      <c r="I4" s="75" t="s">
        <v>485</v>
      </c>
      <c r="J4" s="48">
        <f>IFERROR(IF(COUNTIFS('Raw Data'!$N:$N,Summary!$G$3,'Raw Data'!$J:$J,Summary!$G$4,'Raw Data'!$E:$E,Summary!I4)=0,NA(),COUNTIFS('Raw Data'!$N:$N,Summary!$G$3,'Raw Data'!$J:$J,Summary!$G$4,'Raw Data'!$E:$E,Summary!I4)),NA())</f>
        <v>14</v>
      </c>
      <c r="K4" s="48" t="s">
        <v>452</v>
      </c>
      <c r="L4" s="48" t="s">
        <v>448</v>
      </c>
      <c r="M4" s="48">
        <f>COUNTIF($O$14:$O$164,L4)</f>
        <v>0</v>
      </c>
      <c r="N4" s="76" t="e">
        <f t="shared" ref="N4:N7" si="3">IFERROR(IF(M4/SUM($M$3:$M$6)=0,NA(),M4/SUM($M$3:$M$6)),NA())</f>
        <v>#N/A</v>
      </c>
      <c r="O4" s="22"/>
      <c r="P4" s="48" t="s">
        <v>435</v>
      </c>
      <c r="Q4" s="48" t="s">
        <v>436</v>
      </c>
      <c r="R4" s="48">
        <f>COUNTIFS('Raw Data'!$J$7:$J$290,Summary!$G$4,'Raw Data'!$N$7:$N$290,Summary!Q4)</f>
        <v>58</v>
      </c>
      <c r="S4" s="76">
        <f t="shared" ref="S4:S5" si="4">IFERROR(IF(R4/SUM($R$3:$R$5)=0,NA(),R4/SUM($R$3:$R$5)),NA())</f>
        <v>0.26484018264840181</v>
      </c>
      <c r="T4" s="72"/>
      <c r="AX4" t="s">
        <v>23</v>
      </c>
      <c r="BA4" s="61">
        <f t="shared" ref="BA4:BA15" si="5">BA3+1</f>
        <v>3</v>
      </c>
      <c r="BB4" s="59" t="s">
        <v>458</v>
      </c>
      <c r="BC4" s="59" t="s">
        <v>473</v>
      </c>
      <c r="BD4" s="59" t="s">
        <v>473</v>
      </c>
      <c r="BE4" s="59"/>
      <c r="BF4" s="59" t="str">
        <f t="shared" si="0"/>
        <v>VolumePositivePositive</v>
      </c>
      <c r="BG4" s="59" t="str">
        <f t="shared" si="1"/>
        <v>ForecastAvailable HC</v>
      </c>
      <c r="BH4" s="59" t="str">
        <f t="shared" si="2"/>
        <v>VolumePositivePositiveForecastAvailable HC</v>
      </c>
      <c r="BI4" s="59" t="s">
        <v>472</v>
      </c>
      <c r="BJ4" s="61"/>
    </row>
    <row r="5" spans="1:68">
      <c r="F5" s="32" t="s">
        <v>463</v>
      </c>
      <c r="G5" s="46" t="s">
        <v>485</v>
      </c>
      <c r="H5" s="71"/>
      <c r="I5" s="75" t="s">
        <v>10</v>
      </c>
      <c r="J5" s="48">
        <f>IFERROR(IF(COUNTIFS('Raw Data'!$N:$N,Summary!$G$3,'Raw Data'!$J:$J,Summary!$G$4,'Raw Data'!$E:$E,Summary!I5)=0,NA(),COUNTIFS('Raw Data'!$N:$N,Summary!$G$3,'Raw Data'!$J:$J,Summary!$G$4,'Raw Data'!$E:$E,Summary!I5)),NA())</f>
        <v>36</v>
      </c>
      <c r="K5" s="48" t="s">
        <v>453</v>
      </c>
      <c r="L5" s="48" t="s">
        <v>436</v>
      </c>
      <c r="M5" s="48">
        <f>COUNTIF($O$14:$O$164,L5)</f>
        <v>0</v>
      </c>
      <c r="N5" s="76" t="e">
        <f t="shared" si="3"/>
        <v>#N/A</v>
      </c>
      <c r="O5" s="22"/>
      <c r="P5" s="48" t="s">
        <v>437</v>
      </c>
      <c r="Q5" s="48" t="s">
        <v>438</v>
      </c>
      <c r="R5" s="48">
        <f>COUNTIFS('Raw Data'!$J$7:$J$290,Summary!$G$4,'Raw Data'!$N$7:$N$290,Summary!Q5)</f>
        <v>120</v>
      </c>
      <c r="S5" s="76">
        <f t="shared" si="4"/>
        <v>0.54794520547945202</v>
      </c>
      <c r="T5" s="72"/>
      <c r="AX5" t="s">
        <v>20</v>
      </c>
      <c r="BA5" s="61">
        <f t="shared" si="5"/>
        <v>4</v>
      </c>
      <c r="BB5" s="59" t="s">
        <v>458</v>
      </c>
      <c r="BC5" s="59" t="s">
        <v>473</v>
      </c>
      <c r="BD5" s="59" t="s">
        <v>471</v>
      </c>
      <c r="BE5" s="59"/>
      <c r="BF5" s="59" t="str">
        <f t="shared" si="0"/>
        <v>VolumePositiveNegative</v>
      </c>
      <c r="BG5" s="59" t="str">
        <f t="shared" si="1"/>
        <v>ForecastAvailable HC</v>
      </c>
      <c r="BH5" s="59" t="str">
        <f t="shared" si="2"/>
        <v>VolumePositiveNegativeForecastAvailable HC</v>
      </c>
      <c r="BI5" s="59" t="s">
        <v>471</v>
      </c>
      <c r="BJ5" s="61"/>
    </row>
    <row r="6" spans="1:68">
      <c r="H6" s="71"/>
      <c r="I6" s="75" t="s">
        <v>23</v>
      </c>
      <c r="J6" s="48">
        <f>IFERROR(IF(COUNTIFS('Raw Data'!$N:$N,Summary!$G$3,'Raw Data'!$J:$J,Summary!$G$4,'Raw Data'!$E:$E,Summary!I6)=0,NA(),COUNTIFS('Raw Data'!$N:$N,Summary!$G$3,'Raw Data'!$J:$J,Summary!$G$4,'Raw Data'!$E:$E,Summary!I6)),NA())</f>
        <v>52</v>
      </c>
      <c r="K6" s="48" t="s">
        <v>454</v>
      </c>
      <c r="L6" s="48" t="s">
        <v>438</v>
      </c>
      <c r="M6" s="48">
        <f>COUNTIF($O$14:$O$164,L6)</f>
        <v>6</v>
      </c>
      <c r="N6" s="76">
        <f t="shared" si="3"/>
        <v>0.54545454545454541</v>
      </c>
      <c r="O6" s="22"/>
      <c r="P6" s="22"/>
      <c r="Q6" s="22"/>
      <c r="R6" s="22"/>
      <c r="S6" s="22"/>
      <c r="T6" s="72"/>
      <c r="AX6" t="s">
        <v>79</v>
      </c>
      <c r="BA6" s="61">
        <f t="shared" si="5"/>
        <v>5</v>
      </c>
      <c r="BB6" s="59" t="s">
        <v>459</v>
      </c>
      <c r="BC6" s="59" t="s">
        <v>471</v>
      </c>
      <c r="BD6" s="59" t="s">
        <v>471</v>
      </c>
      <c r="BE6" s="59"/>
      <c r="BF6" s="59" t="str">
        <f t="shared" si="0"/>
        <v>MinutesNegativeNegative</v>
      </c>
      <c r="BG6" s="59" t="str">
        <f t="shared" si="1"/>
        <v>ForecastAvailable HC</v>
      </c>
      <c r="BH6" s="59" t="str">
        <f t="shared" si="2"/>
        <v>MinutesNegativeNegativeForecastAvailable HC</v>
      </c>
      <c r="BI6" s="59" t="s">
        <v>472</v>
      </c>
      <c r="BJ6" s="61"/>
    </row>
    <row r="7" spans="1:68">
      <c r="H7" s="71"/>
      <c r="I7" s="75" t="s">
        <v>20</v>
      </c>
      <c r="J7" s="48">
        <f>IFERROR(IF(COUNTIFS('Raw Data'!$N:$N,Summary!$G$3,'Raw Data'!$J:$J,Summary!$G$4,'Raw Data'!$E:$E,Summary!I7)=0,NA(),COUNTIFS('Raw Data'!$N:$N,Summary!$G$3,'Raw Data'!$J:$J,Summary!$G$4,'Raw Data'!$E:$E,Summary!I7)),NA())</f>
        <v>10</v>
      </c>
      <c r="K7" s="48" t="s">
        <v>455</v>
      </c>
      <c r="L7" s="48"/>
      <c r="M7" s="48">
        <f>VLOOKUP($G$3,$Q$2:$R$5,2,0)-SUM($M$3:$M$6)</f>
        <v>109</v>
      </c>
      <c r="N7" s="76">
        <f t="shared" si="3"/>
        <v>9.9090909090909083</v>
      </c>
      <c r="O7" s="22"/>
      <c r="P7" s="22"/>
      <c r="Q7" s="22"/>
      <c r="R7" s="22"/>
      <c r="S7" s="22"/>
      <c r="T7" s="72"/>
      <c r="AX7" t="s">
        <v>465</v>
      </c>
      <c r="AY7">
        <v>14</v>
      </c>
      <c r="AZ7" t="str">
        <f t="array" ref="AZ7:AZ9">TRANSPOSE(J13:L13)</f>
        <v>FTE Available</v>
      </c>
      <c r="BA7" s="61">
        <f t="shared" si="5"/>
        <v>6</v>
      </c>
      <c r="BB7" s="59" t="s">
        <v>459</v>
      </c>
      <c r="BC7" s="59" t="s">
        <v>471</v>
      </c>
      <c r="BD7" s="59" t="s">
        <v>473</v>
      </c>
      <c r="BE7" s="59"/>
      <c r="BF7" s="59" t="str">
        <f t="shared" si="0"/>
        <v>MinutesNegativePositive</v>
      </c>
      <c r="BG7" s="59" t="str">
        <f t="shared" si="1"/>
        <v>ForecastAvailable HC</v>
      </c>
      <c r="BH7" s="59" t="str">
        <f t="shared" si="2"/>
        <v>MinutesNegativePositiveForecastAvailable HC</v>
      </c>
      <c r="BI7" s="59" t="s">
        <v>473</v>
      </c>
      <c r="BJ7" s="61"/>
    </row>
    <row r="8" spans="1:68">
      <c r="H8" s="71"/>
      <c r="I8" s="75" t="s">
        <v>79</v>
      </c>
      <c r="J8" s="48">
        <f>IFERROR(IF(COUNTIFS('Raw Data'!$N:$N,Summary!$G$3,'Raw Data'!$J:$J,Summary!$G$4,'Raw Data'!$E:$E,Summary!I8)=0,NA(),COUNTIFS('Raw Data'!$N:$N,Summary!$G$3,'Raw Data'!$J:$J,Summary!$G$4,'Raw Data'!$E:$E,Summary!I8)),NA())</f>
        <v>7</v>
      </c>
      <c r="K8" s="48" t="s">
        <v>450</v>
      </c>
      <c r="L8" s="48"/>
      <c r="M8" s="48">
        <f>SUM(M3:M7)</f>
        <v>120</v>
      </c>
      <c r="N8" s="48"/>
      <c r="O8" s="22"/>
      <c r="P8" s="22"/>
      <c r="Q8" s="22"/>
      <c r="R8" s="22"/>
      <c r="S8" s="22"/>
      <c r="T8" s="72"/>
      <c r="AX8" t="s">
        <v>466</v>
      </c>
      <c r="AY8">
        <v>27</v>
      </c>
      <c r="AZ8" t="str">
        <v>FTE Required</v>
      </c>
      <c r="BA8" s="61">
        <f t="shared" si="5"/>
        <v>7</v>
      </c>
      <c r="BB8" s="59" t="s">
        <v>459</v>
      </c>
      <c r="BC8" s="59" t="s">
        <v>473</v>
      </c>
      <c r="BD8" s="59" t="s">
        <v>473</v>
      </c>
      <c r="BE8" s="59"/>
      <c r="BF8" s="59" t="str">
        <f t="shared" si="0"/>
        <v>MinutesPositivePositive</v>
      </c>
      <c r="BG8" s="59" t="str">
        <f t="shared" si="1"/>
        <v>ForecastAvailable HC</v>
      </c>
      <c r="BH8" s="59" t="str">
        <f t="shared" si="2"/>
        <v>MinutesPositivePositiveForecastAvailable HC</v>
      </c>
      <c r="BI8" s="59" t="s">
        <v>472</v>
      </c>
      <c r="BJ8" s="61"/>
    </row>
    <row r="9" spans="1:68">
      <c r="H9" s="77"/>
      <c r="I9" s="55"/>
      <c r="J9" s="55"/>
      <c r="K9" s="55"/>
      <c r="L9" s="55"/>
      <c r="M9" s="55"/>
      <c r="N9" s="22"/>
      <c r="O9" s="22"/>
      <c r="P9" s="22"/>
      <c r="Q9" s="22"/>
      <c r="R9" s="22"/>
      <c r="S9" s="22"/>
      <c r="T9" s="72"/>
      <c r="AX9" t="s">
        <v>467</v>
      </c>
      <c r="AY9">
        <v>53</v>
      </c>
      <c r="AZ9" t="str">
        <v>Forecast</v>
      </c>
      <c r="BA9" s="61">
        <f t="shared" si="5"/>
        <v>8</v>
      </c>
      <c r="BB9" s="59" t="s">
        <v>459</v>
      </c>
      <c r="BC9" s="59" t="s">
        <v>473</v>
      </c>
      <c r="BD9" s="59" t="s">
        <v>471</v>
      </c>
      <c r="BE9" s="59"/>
      <c r="BF9" s="59" t="str">
        <f t="shared" si="0"/>
        <v>MinutesPositiveNegative</v>
      </c>
      <c r="BG9" s="59" t="str">
        <f t="shared" si="1"/>
        <v>ForecastAvailable HC</v>
      </c>
      <c r="BH9" s="59" t="str">
        <f t="shared" si="2"/>
        <v>MinutesPositiveNegativeForecastAvailable HC</v>
      </c>
      <c r="BI9" s="59" t="s">
        <v>471</v>
      </c>
      <c r="BJ9" s="61"/>
    </row>
    <row r="10" spans="1:68">
      <c r="H10" s="77"/>
      <c r="I10" s="74"/>
      <c r="J10" s="74"/>
      <c r="K10" s="74"/>
      <c r="L10" s="74"/>
      <c r="M10" s="74"/>
      <c r="N10" s="72"/>
      <c r="O10" s="72"/>
      <c r="P10" s="72"/>
      <c r="Q10" s="72"/>
      <c r="R10" s="72"/>
      <c r="S10" s="72"/>
      <c r="T10" s="72"/>
      <c r="W10" t="s">
        <v>464</v>
      </c>
      <c r="AX10" s="52" t="str">
        <f>LEFT(AX12,LEN(AX12)-1)</f>
        <v/>
      </c>
      <c r="BA10" s="61">
        <f t="shared" si="5"/>
        <v>9</v>
      </c>
      <c r="BB10" s="59" t="s">
        <v>460</v>
      </c>
      <c r="BC10" s="59"/>
      <c r="BD10" s="59" t="s">
        <v>471</v>
      </c>
      <c r="BE10" s="59" t="s">
        <v>471</v>
      </c>
      <c r="BF10" s="59" t="str">
        <f t="shared" si="0"/>
        <v>HeadCountNegative</v>
      </c>
      <c r="BG10" s="59" t="str">
        <f>$BD$1&amp;$BE$1</f>
        <v>Available HCRequired HC</v>
      </c>
      <c r="BH10" s="59" t="str">
        <f t="shared" si="2"/>
        <v>HeadCountNegativeAvailable HCRequired HC</v>
      </c>
      <c r="BI10" s="59" t="s">
        <v>472</v>
      </c>
      <c r="BJ10" s="61"/>
    </row>
    <row r="11" spans="1:68">
      <c r="V11" s="51"/>
      <c r="W11" t="s">
        <v>464</v>
      </c>
      <c r="AX11" s="56" t="str">
        <f>RIGHT(AX12,1)</f>
        <v xml:space="preserve"> </v>
      </c>
      <c r="BA11" s="61">
        <f t="shared" si="5"/>
        <v>10</v>
      </c>
      <c r="BB11" s="59" t="s">
        <v>460</v>
      </c>
      <c r="BC11" s="59"/>
      <c r="BD11" s="59" t="s">
        <v>471</v>
      </c>
      <c r="BE11" s="59" t="s">
        <v>473</v>
      </c>
      <c r="BF11" s="59" t="str">
        <f t="shared" si="0"/>
        <v>HeadCountNegative</v>
      </c>
      <c r="BG11" s="59" t="str">
        <f>$BD$1&amp;$BE$1</f>
        <v>Available HCRequired HC</v>
      </c>
      <c r="BH11" s="59" t="str">
        <f t="shared" si="2"/>
        <v>HeadCountNegativeAvailable HCRequired HC</v>
      </c>
      <c r="BI11" s="59" t="s">
        <v>471</v>
      </c>
      <c r="BJ11" s="61"/>
    </row>
    <row r="12" spans="1:68" ht="15" customHeight="1">
      <c r="E12" s="84" t="s">
        <v>439</v>
      </c>
      <c r="F12" s="84" t="s">
        <v>426</v>
      </c>
      <c r="G12" s="84" t="s">
        <v>462</v>
      </c>
      <c r="H12" s="84" t="s">
        <v>3</v>
      </c>
      <c r="I12" s="84" t="s">
        <v>430</v>
      </c>
      <c r="J12" s="81" t="s">
        <v>486</v>
      </c>
      <c r="K12" s="82"/>
      <c r="L12" s="82"/>
      <c r="M12" s="82"/>
      <c r="N12" s="82"/>
      <c r="O12" s="82"/>
      <c r="P12" s="83" t="s">
        <v>444</v>
      </c>
      <c r="Q12" s="83"/>
      <c r="R12" s="83"/>
      <c r="S12" s="83"/>
      <c r="T12" s="80" t="s">
        <v>470</v>
      </c>
      <c r="V12" t="s">
        <v>464</v>
      </c>
      <c r="W12" s="55" t="str">
        <f>IFERROR(VLOOKUP(#REF!,#REF!,2,0),"")</f>
        <v/>
      </c>
      <c r="X12" s="55"/>
      <c r="Y12" s="55"/>
      <c r="Z12" s="53">
        <f>IFERROR(Y12+1,"")</f>
        <v>1</v>
      </c>
      <c r="AT12" t="s">
        <v>464</v>
      </c>
      <c r="AX12" s="56" t="s">
        <v>464</v>
      </c>
      <c r="AY12" t="s">
        <v>464</v>
      </c>
      <c r="BA12" s="61">
        <f t="shared" si="5"/>
        <v>11</v>
      </c>
      <c r="BB12" s="59" t="s">
        <v>460</v>
      </c>
      <c r="BC12" s="59"/>
      <c r="BD12" s="59" t="s">
        <v>473</v>
      </c>
      <c r="BE12" s="59" t="s">
        <v>473</v>
      </c>
      <c r="BF12" s="59" t="str">
        <f t="shared" si="0"/>
        <v>HeadCountPositive</v>
      </c>
      <c r="BG12" s="59" t="str">
        <f>$BD$1&amp;$BE$1</f>
        <v>Available HCRequired HC</v>
      </c>
      <c r="BH12" s="59" t="str">
        <f t="shared" si="2"/>
        <v>HeadCountPositiveAvailable HCRequired HC</v>
      </c>
      <c r="BI12" s="59" t="s">
        <v>472</v>
      </c>
      <c r="BJ12" s="61"/>
    </row>
    <row r="13" spans="1:68">
      <c r="E13" s="84"/>
      <c r="F13" s="84"/>
      <c r="G13" s="84"/>
      <c r="H13" s="84"/>
      <c r="I13" s="84"/>
      <c r="J13" s="28" t="s">
        <v>441</v>
      </c>
      <c r="K13" s="28" t="s">
        <v>442</v>
      </c>
      <c r="L13" s="28" t="s">
        <v>429</v>
      </c>
      <c r="M13" s="28" t="s">
        <v>428</v>
      </c>
      <c r="N13" s="30" t="s">
        <v>446</v>
      </c>
      <c r="O13" s="30" t="s">
        <v>445</v>
      </c>
      <c r="P13" s="28" t="s">
        <v>418</v>
      </c>
      <c r="Q13" s="28" t="s">
        <v>419</v>
      </c>
      <c r="R13" s="28" t="s">
        <v>420</v>
      </c>
      <c r="S13" s="28" t="s">
        <v>421</v>
      </c>
      <c r="T13" s="80"/>
      <c r="V13" s="85" t="str">
        <f>IFERROR(VLOOKUP(AX11,$AX$7:$AZ$9,3,0),"NA")</f>
        <v>NA</v>
      </c>
      <c r="W13" s="85"/>
      <c r="X13" s="85"/>
      <c r="Y13" s="85"/>
      <c r="Z13" s="85"/>
      <c r="BA13" s="61">
        <f t="shared" si="5"/>
        <v>12</v>
      </c>
      <c r="BB13" s="59" t="s">
        <v>460</v>
      </c>
      <c r="BC13" s="59"/>
      <c r="BD13" s="59" t="s">
        <v>473</v>
      </c>
      <c r="BE13" s="59" t="s">
        <v>471</v>
      </c>
      <c r="BF13" s="59" t="str">
        <f t="shared" si="0"/>
        <v>HeadCountPositive</v>
      </c>
      <c r="BG13" s="59" t="str">
        <f>$BD$1&amp;$BE$1</f>
        <v>Available HCRequired HC</v>
      </c>
      <c r="BH13" s="59" t="str">
        <f t="shared" si="2"/>
        <v>HeadCountPositiveAvailable HCRequired HC</v>
      </c>
      <c r="BI13" s="59" t="s">
        <v>473</v>
      </c>
      <c r="BJ13" s="61"/>
      <c r="BL13" t="s">
        <v>441</v>
      </c>
      <c r="BM13" t="s">
        <v>442</v>
      </c>
      <c r="BN13" t="s">
        <v>429</v>
      </c>
    </row>
    <row r="14" spans="1:68">
      <c r="A14" t="str">
        <f ca="1">$D14&amp;$G$3&amp;$G$4&amp;$G$5&amp;MID(CELL("address",J14),2,FIND("$",CELL("address",J14),2)-2)</f>
        <v>1LowNoTelecom-Non AT&amp;TJ</v>
      </c>
      <c r="B14" t="str">
        <f ca="1">$D14&amp;$G$3&amp;$G$4&amp;$G$5&amp;MID(CELL("address",K14),2,FIND("$",CELL("address",K14),2)-2)</f>
        <v>1LowNoTelecom-Non AT&amp;TK</v>
      </c>
      <c r="C14" t="str">
        <f ca="1">$D14&amp;$G$3&amp;$G$4&amp;$G$5&amp;MID(CELL("address",L14),2,FIND("$",CELL("address",L14),2)-2)</f>
        <v>1LowNoTelecom-Non AT&amp;TL</v>
      </c>
      <c r="D14" s="22">
        <v>1</v>
      </c>
      <c r="E14" s="24">
        <f>IFERROR(VLOOKUP(D14&amp;$G$3&amp;$G$4&amp;$G$5,'Raw Data'!$C:$BO,2,0),"NA")</f>
        <v>10889</v>
      </c>
      <c r="F14" s="79" t="str">
        <f>IFERROR(VLOOKUP(D14&amp;$G$3&amp;$G$4&amp;$G$5,'Raw Data'!$C:$BO,5,0),"NA")</f>
        <v>Du Customer Care_Cochin</v>
      </c>
      <c r="G14" s="44" t="str">
        <f>IFERROR(VLOOKUP(D14&amp;$G$3&amp;$G$4&amp;$G$5,'Raw Data'!$C:$BT,70,0),"NA")</f>
        <v>Minutes</v>
      </c>
      <c r="H14" s="62" t="str">
        <f>IFERROR(VLOOKUP(D14&amp;$G$3&amp;$G$4&amp;$G$5,'Raw Data'!$C:$BO,7,0),"NA")</f>
        <v>Prasanta Deb</v>
      </c>
      <c r="I14" s="29">
        <f>IFERROR(VLOOKUP(D14&amp;$G$3&amp;$G$4&amp;$G$5,'Raw Data'!$C:$BO,11,0),"NA")</f>
        <v>0.12249806518660952</v>
      </c>
      <c r="J14" s="26">
        <f>IFERROR(VLOOKUP(D14&amp;$G$3&amp;$G$4&amp;$G$5,'Raw Data'!$C:$BO,26,0),"NA")</f>
        <v>0.39707781963727079</v>
      </c>
      <c r="K14" s="26">
        <f>IFERROR(VLOOKUP(D14&amp;$G$3&amp;$G$4&amp;$G$5,'Raw Data'!$C:$BO,39,0),"NA")</f>
        <v>0.1983510217654805</v>
      </c>
      <c r="L14" s="26">
        <f>IFERROR(VLOOKUP(D14&amp;$G$3&amp;$G$4&amp;$G$5,'Raw Data'!$C:$BO,65,0),"NA")</f>
        <v>9.3637065839046088E-2</v>
      </c>
      <c r="M14" s="26" t="str">
        <f>IFERROR(VLOOKUP(D14&amp;$G$3&amp;$G$4&amp;G5,'Raw Data'!$C:$BO,52,0),"NA")</f>
        <v>NA</v>
      </c>
      <c r="N14" s="26">
        <f>IFERROR(AVERAGEIF(J14:M14,"&lt;&gt;0%",J14:M14),0)</f>
        <v>0.22968863574726581</v>
      </c>
      <c r="O14" s="78" t="str">
        <f>IF(AND(N14&gt;$AC$1,N14&lt;=$AD$1),"Low",IF(AND(N14&gt;=$AE$1,N14&lt;=$AF$1),"Medium",IF(AND(N14&gt;=$AG$1,N14&lt;=$AH$1),"High",IF(OR(N14&gt;100%,N14&lt;0%),"Very High","NA"))))</f>
        <v>Low</v>
      </c>
      <c r="P14" s="26">
        <f>IFERROR(VLOOKUP(D14&amp;$G$3&amp;$G$4&amp;$G$5,'Raw Data'!$C:$BS,66,0),"NA")</f>
        <v>0.12209617911256829</v>
      </c>
      <c r="Q14" s="26">
        <f>IFERROR(VLOOKUP(D14&amp;$G$3&amp;$G$4&amp;$G$5,'Raw Data'!$C:$BS,67,0),"NA")</f>
        <v>1.4228029302632894E-2</v>
      </c>
      <c r="R14" s="26">
        <f>IFERROR(VLOOKUP(D14&amp;$G$3&amp;$G$4&amp;$G$5,'Raw Data'!$C:$BS,68,0),"NA")</f>
        <v>0</v>
      </c>
      <c r="S14" s="26">
        <f>IFERROR(VLOOKUP(D14&amp;$G$3&amp;$G$4&amp;$G$5,'Raw Data'!$C:$BS,69,0),"NA")</f>
        <v>0</v>
      </c>
      <c r="T14" s="44" t="str">
        <f>BP14</f>
        <v>Can't Say</v>
      </c>
      <c r="V14" s="57" t="str">
        <f>IF(V25&lt;&gt;"NA","Month","NA")</f>
        <v>NA</v>
      </c>
      <c r="W14" s="57" t="str">
        <f>IF(W25&lt;&gt;"NA",P13,"NA")</f>
        <v>NA</v>
      </c>
      <c r="X14" s="57" t="str">
        <f>IF(X25&lt;&gt;"NA",Q13,"NA")</f>
        <v>NA</v>
      </c>
      <c r="Y14" s="57" t="str">
        <f>IF(Y25&lt;&gt;"NA",R13,"NA")</f>
        <v>NA</v>
      </c>
      <c r="Z14" s="57" t="str">
        <f>IF(Z25&lt;&gt;"NA",S13,"NA")</f>
        <v>NA</v>
      </c>
      <c r="BA14" s="61">
        <f t="shared" si="5"/>
        <v>13</v>
      </c>
      <c r="BB14" s="59" t="s">
        <v>461</v>
      </c>
      <c r="BC14" s="59"/>
      <c r="BD14" s="59" t="s">
        <v>471</v>
      </c>
      <c r="BE14" s="59"/>
      <c r="BF14" s="59" t="str">
        <f t="shared" si="0"/>
        <v>HoursNegative</v>
      </c>
      <c r="BG14" s="59" t="str">
        <f>BD1</f>
        <v>Available HC</v>
      </c>
      <c r="BH14" s="59" t="str">
        <f t="shared" si="2"/>
        <v>HoursNegativeAvailable HC</v>
      </c>
      <c r="BI14" s="59" t="s">
        <v>471</v>
      </c>
      <c r="BJ14" s="61"/>
      <c r="BK14" s="60" t="str">
        <f>G14</f>
        <v>Minutes</v>
      </c>
      <c r="BL14" t="str">
        <f>IFERROR(IF(SIGN(J14)=1,"Positive","Negative"),"NA")</f>
        <v>Positive</v>
      </c>
      <c r="BM14" t="str">
        <f>IFERROR(IF(SIGN(K14)=1,"Positive","Negative"),"NA")</f>
        <v>Positive</v>
      </c>
      <c r="BN14" t="str">
        <f>IFERROR(IF(SIGN(L14)=1,"Positive","Negative"),"NA")</f>
        <v>Positive</v>
      </c>
      <c r="BO14">
        <f t="shared" ref="BO14:BO45" si="6">IF(OR($BK14="Minutes",$BK14="Volume"),SUMPRODUCT(($BK14=$BB$2:$BB$15)*($BL14=$BD$2:$BD$15)*($BN14=$BC$2:$BC$15)*($BA$2:$BA$15)),IF($BK14="HeadCount",SUMPRODUCT(($BK14=$BB$2:$BB$15)*($BL14=$BD$2:$BD$15)*($BM14=$BE$2:$BE$15)*($BA$2:$BA$15)),IF($BK14="Hours",SUMPRODUCT(($BK14=$BB$2:$BB$15)*($BL14=$BD$2:$BD$15)*($BA$2:$BA$15)),"")))</f>
        <v>7</v>
      </c>
      <c r="BP14" t="str">
        <f>IFERROR(VLOOKUP($BO14,$BA$2:$BI$15,9,0),"NA")</f>
        <v>Can't Say</v>
      </c>
    </row>
    <row r="15" spans="1:68">
      <c r="A15" t="str">
        <f t="shared" ref="A15:A78" ca="1" si="7">$D15&amp;$G$3&amp;$G$4&amp;$G$5&amp;MID(CELL("address",J15),2,FIND("$",CELL("address",J15),2)-2)</f>
        <v>2LowNoTelecom-Non AT&amp;TJ</v>
      </c>
      <c r="B15" t="str">
        <f t="shared" ref="B15:B78" ca="1" si="8">$D15&amp;$G$3&amp;$G$4&amp;$G$5&amp;MID(CELL("address",K15),2,FIND("$",CELL("address",K15),2)-2)</f>
        <v>2LowNoTelecom-Non AT&amp;TK</v>
      </c>
      <c r="C15" t="str">
        <f t="shared" ref="C15:C78" ca="1" si="9">$D15&amp;$G$3&amp;$G$4&amp;$G$5&amp;MID(CELL("address",L15),2,FIND("$",CELL("address",L15),2)-2)</f>
        <v>2LowNoTelecom-Non AT&amp;TL</v>
      </c>
      <c r="D15" s="22">
        <v>2</v>
      </c>
      <c r="E15" s="24">
        <f>IFERROR(VLOOKUP(D15&amp;$G$3&amp;$G$4&amp;$G$5,'Raw Data'!$C:$BO,2,0),"NA")</f>
        <v>10899</v>
      </c>
      <c r="F15" s="79" t="str">
        <f>IFERROR(VLOOKUP(D15&amp;$G$3&amp;$G$4&amp;$G$5,'Raw Data'!$C:$BO,5,0),"NA")</f>
        <v>Interactions - India</v>
      </c>
      <c r="G15" s="44" t="str">
        <f>IFERROR(VLOOKUP(D15&amp;$G$3&amp;$G$4&amp;$G$5,'Raw Data'!$C:$BT,70,0),"NA")</f>
        <v>Hours</v>
      </c>
      <c r="H15" s="62" t="str">
        <f>IFERROR(VLOOKUP(D15&amp;$G$3&amp;$G$4&amp;$G$5,'Raw Data'!$C:$BO,7,0),"NA")</f>
        <v>Prasanta Deb</v>
      </c>
      <c r="I15" s="29">
        <f>IFERROR(VLOOKUP(D15&amp;$G$3&amp;$G$4&amp;$G$5,'Raw Data'!$C:$BO,11,0),"NA")</f>
        <v>0.17349107742740011</v>
      </c>
      <c r="J15" s="26" t="str">
        <f>IFERROR(VLOOKUP(D15&amp;$G$3&amp;$G$4&amp;$G$5,'Raw Data'!$C:$BO,26,0),"NA")</f>
        <v>NA</v>
      </c>
      <c r="K15" s="26" t="str">
        <f>IFERROR(VLOOKUP(D15&amp;$G$3&amp;$G$4&amp;$G$5,'Raw Data'!$C:$BO,39,0),"NA")</f>
        <v>NA</v>
      </c>
      <c r="L15" s="26" t="str">
        <f>IFERROR(VLOOKUP(D15&amp;$G$3&amp;$G$4&amp;$G$5,'Raw Data'!$C:$BO,65,0),"NA")</f>
        <v>NA</v>
      </c>
      <c r="M15" s="26" t="str">
        <f>IFERROR(VLOOKUP(D15&amp;$G$3&amp;$G$4&amp;G6,'Raw Data'!$C:$BO,52,0),"NA")</f>
        <v>NA</v>
      </c>
      <c r="N15" s="26">
        <f t="shared" ref="N15:N78" si="10">IFERROR(AVERAGEIF(J15:M15,"&lt;&gt;0%",J15:M15),0)</f>
        <v>0</v>
      </c>
      <c r="O15" s="78" t="str">
        <f t="shared" ref="O15:O78" si="11">IF(AND(N15&gt;$AC$1,N15&lt;=$AD$1),"Low",IF(AND(N15&gt;=$AE$1,N15&lt;=$AF$1),"Medium",IF(AND(N15&gt;=$AG$1,N15&lt;=$AH$1),"High",IF(OR(N15&gt;100%,N15&lt;0%),"Very High","NA"))))</f>
        <v>NA</v>
      </c>
      <c r="P15" s="26">
        <f>IFERROR(VLOOKUP(D15&amp;$G$3&amp;$G$4&amp;$G$5,'Raw Data'!$C:$BS,66,0),"NA")</f>
        <v>-2.2227397167070506E-2</v>
      </c>
      <c r="Q15" s="26">
        <f>IFERROR(VLOOKUP(D15&amp;$G$3&amp;$G$4&amp;$G$5,'Raw Data'!$C:$BS,67,0),"NA")</f>
        <v>-2.5226256239490985E-2</v>
      </c>
      <c r="R15" s="26">
        <f>IFERROR(VLOOKUP(D15&amp;$G$3&amp;$G$4&amp;$G$5,'Raw Data'!$C:$BS,68,0),"NA")</f>
        <v>-1.0230782727647214E-2</v>
      </c>
      <c r="S15" s="26">
        <f>IFERROR(VLOOKUP(D15&amp;$G$3&amp;$G$4&amp;$G$5,'Raw Data'!$C:$BS,69,0),"NA")</f>
        <v>-2.2982326409051734E-3</v>
      </c>
      <c r="T15" s="44" t="str">
        <f t="shared" ref="T15:T78" si="12">BP15</f>
        <v>NA</v>
      </c>
      <c r="V15" s="50" t="str">
        <f>IF(V25&lt;&gt;"NA","BI","NA")</f>
        <v>NA</v>
      </c>
      <c r="W15" s="54" t="str">
        <f>IFERROR(VLOOKUP($AX$10,'Raw Data'!$C:$BT,(VLOOKUP(Summary!$AX$11,Summary!$AX$7:$AY$9,2,0)),0),"NA")</f>
        <v>NA</v>
      </c>
      <c r="X15" s="54" t="str">
        <f>IFERROR(VLOOKUP($AX$10,'Raw Data'!$C:$BT,(VLOOKUP(Summary!$AX$11,Summary!$AX$7:$AY$9,2,0))+1,0),"NA")</f>
        <v>NA</v>
      </c>
      <c r="Y15" s="54" t="str">
        <f>IFERROR(VLOOKUP($AX$10,'Raw Data'!$C:$BT,(VLOOKUP(Summary!$AX$11,Summary!$AX$7:$AY$9,2,0))+2,0),"NA")</f>
        <v>NA</v>
      </c>
      <c r="Z15" s="54" t="str">
        <f>IFERROR(VLOOKUP($AX$10,'Raw Data'!$C:$BT,(VLOOKUP(Summary!$AX$11,Summary!$AX$7:$AY$9,2,0))+3,0),"NA")</f>
        <v>NA</v>
      </c>
      <c r="BA15" s="61">
        <f t="shared" si="5"/>
        <v>14</v>
      </c>
      <c r="BB15" s="59" t="s">
        <v>461</v>
      </c>
      <c r="BC15" s="59"/>
      <c r="BD15" s="59" t="s">
        <v>473</v>
      </c>
      <c r="BE15" s="59"/>
      <c r="BF15" s="59" t="str">
        <f t="shared" si="0"/>
        <v>HoursPositive</v>
      </c>
      <c r="BG15" s="59" t="str">
        <f>BD2</f>
        <v>Negative</v>
      </c>
      <c r="BH15" s="59" t="str">
        <f t="shared" si="2"/>
        <v>HoursPositiveNegative</v>
      </c>
      <c r="BI15" s="59" t="s">
        <v>473</v>
      </c>
      <c r="BJ15" s="61"/>
      <c r="BK15" s="60" t="str">
        <f t="shared" ref="BK15:BK78" si="13">G15</f>
        <v>Hours</v>
      </c>
      <c r="BL15" t="str">
        <f t="shared" ref="BL15:BL78" si="14">IFERROR(IF(SIGN(J15)=1,"Positive","Negative"),"NA")</f>
        <v>NA</v>
      </c>
      <c r="BM15" t="str">
        <f t="shared" ref="BM15:BM78" si="15">IFERROR(IF(SIGN(K15)=1,"Positive","Negative"),"NA")</f>
        <v>NA</v>
      </c>
      <c r="BN15" t="str">
        <f t="shared" ref="BN15:BN78" si="16">IFERROR(IF(SIGN(L15)=1,"Positive","Negative"),"NA")</f>
        <v>NA</v>
      </c>
      <c r="BO15">
        <f t="shared" si="6"/>
        <v>0</v>
      </c>
      <c r="BP15" t="str">
        <f t="shared" ref="BP15:BP78" si="17">IFERROR(VLOOKUP($BO15,$BA$2:$BI$15,9,0),"NA")</f>
        <v>NA</v>
      </c>
    </row>
    <row r="16" spans="1:68">
      <c r="A16" t="str">
        <f t="shared" ca="1" si="7"/>
        <v>3LowNoTelecom-Non AT&amp;TJ</v>
      </c>
      <c r="B16" t="str">
        <f t="shared" ca="1" si="8"/>
        <v>3LowNoTelecom-Non AT&amp;TK</v>
      </c>
      <c r="C16" t="str">
        <f t="shared" ca="1" si="9"/>
        <v>3LowNoTelecom-Non AT&amp;TL</v>
      </c>
      <c r="D16" s="22">
        <v>3</v>
      </c>
      <c r="E16" s="24">
        <f>IFERROR(VLOOKUP(D16&amp;$G$3&amp;$G$4&amp;$G$5,'Raw Data'!$C:$BO,2,0),"NA")</f>
        <v>15048</v>
      </c>
      <c r="F16" s="79" t="str">
        <f>IFERROR(VLOOKUP(D16&amp;$G$3&amp;$G$4&amp;$G$5,'Raw Data'!$C:$BO,5,0),"NA")</f>
        <v>RIM Enterprise Tech Sppt</v>
      </c>
      <c r="G16" s="44" t="str">
        <f>IFERROR(VLOOKUP(D16&amp;$G$3&amp;$G$4&amp;$G$5,'Raw Data'!$C:$BT,70,0),"NA")</f>
        <v>Hours</v>
      </c>
      <c r="H16" s="62" t="str">
        <f>IFERROR(VLOOKUP(D16&amp;$G$3&amp;$G$4&amp;$G$5,'Raw Data'!$C:$BO,7,0),"NA")</f>
        <v>Nikhil  Vernekar</v>
      </c>
      <c r="I16" s="29">
        <f>IFERROR(VLOOKUP(D16&amp;$G$3&amp;$G$4&amp;$G$5,'Raw Data'!$C:$BO,11,0),"NA")</f>
        <v>0.12502851098729537</v>
      </c>
      <c r="J16" s="26">
        <f>IFERROR(VLOOKUP(D16&amp;$G$3&amp;$G$4&amp;$G$5,'Raw Data'!$C:$BO,26,0),"NA")</f>
        <v>0.1075282733797798</v>
      </c>
      <c r="K16" s="26">
        <f>IFERROR(VLOOKUP(D16&amp;$G$3&amp;$G$4&amp;$G$5,'Raw Data'!$C:$BO,39,0),"NA")</f>
        <v>0.23212006343557806</v>
      </c>
      <c r="L16" s="26" t="str">
        <f>IFERROR(VLOOKUP(D16&amp;$G$3&amp;$G$4&amp;$G$5,'Raw Data'!$C:$BO,65,0),"NA")</f>
        <v>NA</v>
      </c>
      <c r="M16" s="26" t="str">
        <f>IFERROR(VLOOKUP(D16&amp;$G$3&amp;$G$4&amp;G7,'Raw Data'!$C:$BO,52,0),"NA")</f>
        <v>NA</v>
      </c>
      <c r="N16" s="26">
        <f t="shared" si="10"/>
        <v>0.16982416840767894</v>
      </c>
      <c r="O16" s="78" t="str">
        <f t="shared" si="11"/>
        <v>Low</v>
      </c>
      <c r="P16" s="26">
        <f>IFERROR(VLOOKUP(D16&amp;$G$3&amp;$G$4&amp;$G$5,'Raw Data'!$C:$BS,66,0),"NA")</f>
        <v>0</v>
      </c>
      <c r="Q16" s="26">
        <f>IFERROR(VLOOKUP(D16&amp;$G$3&amp;$G$4&amp;$G$5,'Raw Data'!$C:$BS,67,0),"NA")</f>
        <v>0</v>
      </c>
      <c r="R16" s="26">
        <f>IFERROR(VLOOKUP(D16&amp;$G$3&amp;$G$4&amp;$G$5,'Raw Data'!$C:$BS,68,0),"NA")</f>
        <v>0</v>
      </c>
      <c r="S16" s="26">
        <f>IFERROR(VLOOKUP(D16&amp;$G$3&amp;$G$4&amp;$G$5,'Raw Data'!$C:$BS,69,0),"NA")</f>
        <v>0</v>
      </c>
      <c r="T16" s="44" t="str">
        <f t="shared" si="12"/>
        <v>Positive</v>
      </c>
      <c r="V16" s="50" t="str">
        <f>IF(V25&lt;&gt;"NA","RP","NA")</f>
        <v>NA</v>
      </c>
      <c r="W16" s="54" t="str">
        <f>IFERROR(VLOOKUP($AX$10,'Raw Data'!$C:$BT,(VLOOKUP(Summary!$AX$11,Summary!$AX$7:$AY$9,2,0))+4,0),"NA")</f>
        <v>NA</v>
      </c>
      <c r="X16" s="54" t="str">
        <f>IFERROR(VLOOKUP($AX$10,'Raw Data'!$C:$BT,(VLOOKUP(Summary!$AX$11,Summary!$AX$7:$AY$9,2,0))+5,0),"NA")</f>
        <v>NA</v>
      </c>
      <c r="Y16" s="54" t="str">
        <f>IFERROR(VLOOKUP($AX$10,'Raw Data'!$C:$BT,(VLOOKUP(Summary!$AX$11,Summary!$AX$7:$AY$9,2,0))+6,0),"NA")</f>
        <v>NA</v>
      </c>
      <c r="Z16" s="54" t="str">
        <f>IFERROR(VLOOKUP($AX$10,'Raw Data'!$C:$BT,(VLOOKUP(Summary!$AX$11,Summary!$AX$7:$AY$9,2,0))+7,0),"NA")</f>
        <v>NA</v>
      </c>
      <c r="BK16" s="60" t="str">
        <f t="shared" si="13"/>
        <v>Hours</v>
      </c>
      <c r="BL16" t="str">
        <f t="shared" si="14"/>
        <v>Positive</v>
      </c>
      <c r="BM16" t="str">
        <f t="shared" si="15"/>
        <v>Positive</v>
      </c>
      <c r="BN16" t="str">
        <f t="shared" si="16"/>
        <v>NA</v>
      </c>
      <c r="BO16">
        <f t="shared" si="6"/>
        <v>14</v>
      </c>
      <c r="BP16" t="str">
        <f t="shared" si="17"/>
        <v>Positive</v>
      </c>
    </row>
    <row r="17" spans="1:68">
      <c r="A17" t="str">
        <f t="shared" ca="1" si="7"/>
        <v>4LowNoTelecom-Non AT&amp;TJ</v>
      </c>
      <c r="B17" t="str">
        <f t="shared" ca="1" si="8"/>
        <v>4LowNoTelecom-Non AT&amp;TK</v>
      </c>
      <c r="C17" t="str">
        <f t="shared" ca="1" si="9"/>
        <v>4LowNoTelecom-Non AT&amp;TL</v>
      </c>
      <c r="D17" s="22">
        <v>4</v>
      </c>
      <c r="E17" s="24">
        <f>IFERROR(VLOOKUP(D17&amp;$G$3&amp;$G$4&amp;$G$5,'Raw Data'!$C:$BO,2,0),"NA")</f>
        <v>20089</v>
      </c>
      <c r="F17" s="79" t="str">
        <f>IFERROR(VLOOKUP(D17&amp;$G$3&amp;$G$4&amp;$G$5,'Raw Data'!$C:$BO,5,0),"NA")</f>
        <v>Cox Communications</v>
      </c>
      <c r="G17" s="44" t="str">
        <f>IFERROR(VLOOKUP(D17&amp;$G$3&amp;$G$4&amp;$G$5,'Raw Data'!$C:$BT,70,0),"NA")</f>
        <v>Minutes</v>
      </c>
      <c r="H17" s="62" t="str">
        <f>IFERROR(VLOOKUP(D17&amp;$G$3&amp;$G$4&amp;$G$5,'Raw Data'!$C:$BO,7,0),"NA")</f>
        <v>Santosh KumarP</v>
      </c>
      <c r="I17" s="29">
        <f>IFERROR(VLOOKUP(D17&amp;$G$3&amp;$G$4&amp;$G$5,'Raw Data'!$C:$BO,11,0),"NA")</f>
        <v>0.13675977642855913</v>
      </c>
      <c r="J17" s="26">
        <f>IFERROR(VLOOKUP(D17&amp;$G$3&amp;$G$4&amp;$G$5,'Raw Data'!$C:$BO,26,0),"NA")</f>
        <v>-0.12403285668409095</v>
      </c>
      <c r="K17" s="26">
        <f>IFERROR(VLOOKUP(D17&amp;$G$3&amp;$G$4&amp;$G$5,'Raw Data'!$C:$BO,39,0),"NA")</f>
        <v>-0.20725541493421662</v>
      </c>
      <c r="L17" s="26">
        <f>IFERROR(VLOOKUP(D17&amp;$G$3&amp;$G$4&amp;$G$5,'Raw Data'!$C:$BO,65,0),"NA")</f>
        <v>-9.5450000000000007E-2</v>
      </c>
      <c r="M17" s="26" t="str">
        <f>IFERROR(VLOOKUP(D17&amp;$G$3&amp;$G$4&amp;G8,'Raw Data'!$C:$BO,52,0),"NA")</f>
        <v>NA</v>
      </c>
      <c r="N17" s="26">
        <f t="shared" si="10"/>
        <v>-0.14224609053943585</v>
      </c>
      <c r="O17" s="78" t="str">
        <f t="shared" si="11"/>
        <v>Very High</v>
      </c>
      <c r="P17" s="26">
        <f>IFERROR(VLOOKUP(D17&amp;$G$3&amp;$G$4&amp;$G$5,'Raw Data'!$C:$BS,66,0),"NA")</f>
        <v>-1.9899153749399906E-2</v>
      </c>
      <c r="Q17" s="26">
        <f>IFERROR(VLOOKUP(D17&amp;$G$3&amp;$G$4&amp;$G$5,'Raw Data'!$C:$BS,67,0),"NA")</f>
        <v>-2.1141986085240871E-2</v>
      </c>
      <c r="R17" s="26">
        <f>IFERROR(VLOOKUP(D17&amp;$G$3&amp;$G$4&amp;$G$5,'Raw Data'!$C:$BS,68,0),"NA")</f>
        <v>-2.0447153775372345E-2</v>
      </c>
      <c r="S17" s="26">
        <f>IFERROR(VLOOKUP(D17&amp;$G$3&amp;$G$4&amp;$G$5,'Raw Data'!$C:$BS,69,0),"NA")</f>
        <v>-2.6563689242174476E-2</v>
      </c>
      <c r="T17" s="44" t="str">
        <f t="shared" si="12"/>
        <v>Can't Say</v>
      </c>
      <c r="BK17" s="60" t="str">
        <f t="shared" si="13"/>
        <v>Minutes</v>
      </c>
      <c r="BL17" t="str">
        <f t="shared" si="14"/>
        <v>Negative</v>
      </c>
      <c r="BM17" t="str">
        <f t="shared" si="15"/>
        <v>Negative</v>
      </c>
      <c r="BN17" t="str">
        <f t="shared" si="16"/>
        <v>Negative</v>
      </c>
      <c r="BO17">
        <f t="shared" si="6"/>
        <v>5</v>
      </c>
      <c r="BP17" t="str">
        <f t="shared" si="17"/>
        <v>Can't Say</v>
      </c>
    </row>
    <row r="18" spans="1:68">
      <c r="A18" t="str">
        <f t="shared" ca="1" si="7"/>
        <v>5LowNoTelecom-Non AT&amp;TJ</v>
      </c>
      <c r="B18" t="str">
        <f t="shared" ca="1" si="8"/>
        <v>5LowNoTelecom-Non AT&amp;TK</v>
      </c>
      <c r="C18" t="str">
        <f t="shared" ca="1" si="9"/>
        <v>5LowNoTelecom-Non AT&amp;TL</v>
      </c>
      <c r="D18" s="22">
        <v>5</v>
      </c>
      <c r="E18" s="24">
        <f>IFERROR(VLOOKUP(D18&amp;$G$3&amp;$G$4&amp;$G$5,'Raw Data'!$C:$BO,2,0),"NA")</f>
        <v>20237</v>
      </c>
      <c r="F18" s="79" t="str">
        <f>IFERROR(VLOOKUP(D18&amp;$G$3&amp;$G$4&amp;$G$5,'Raw Data'!$C:$BO,5,0),"NA")</f>
        <v>Bright House Networks</v>
      </c>
      <c r="G18" s="44" t="str">
        <f>IFERROR(VLOOKUP(D18&amp;$G$3&amp;$G$4&amp;$G$5,'Raw Data'!$C:$BT,70,0),"NA")</f>
        <v>Volume</v>
      </c>
      <c r="H18" s="62" t="str">
        <f>IFERROR(VLOOKUP(D18&amp;$G$3&amp;$G$4&amp;$G$5,'Raw Data'!$C:$BO,7,0),"NA")</f>
        <v>Nishanth kumar B</v>
      </c>
      <c r="I18" s="29">
        <f>IFERROR(VLOOKUP(D18&amp;$G$3&amp;$G$4&amp;$G$5,'Raw Data'!$C:$BO,11,0),"NA")</f>
        <v>0.21122979522576066</v>
      </c>
      <c r="J18" s="26">
        <f>IFERROR(VLOOKUP(D18&amp;$G$3&amp;$G$4&amp;$G$5,'Raw Data'!$C:$BO,26,0),"NA")</f>
        <v>3.7381359268182146E-2</v>
      </c>
      <c r="K18" s="26">
        <f>IFERROR(VLOOKUP(D18&amp;$G$3&amp;$G$4&amp;$G$5,'Raw Data'!$C:$BO,39,0),"NA")</f>
        <v>-1.1425981873111772E-2</v>
      </c>
      <c r="L18" s="26">
        <f>IFERROR(VLOOKUP(D18&amp;$G$3&amp;$G$4&amp;$G$5,'Raw Data'!$C:$BO,65,0),"NA")</f>
        <v>-4.4848942598187315E-2</v>
      </c>
      <c r="M18" s="26" t="str">
        <f>IFERROR(VLOOKUP(D18&amp;$G$3&amp;$G$4&amp;G9,'Raw Data'!$C:$BO,52,0),"NA")</f>
        <v>NA</v>
      </c>
      <c r="N18" s="26">
        <f t="shared" si="10"/>
        <v>-6.2978550677056473E-3</v>
      </c>
      <c r="O18" s="78" t="str">
        <f t="shared" si="11"/>
        <v>Very High</v>
      </c>
      <c r="P18" s="26">
        <f>IFERROR(VLOOKUP(D18&amp;$G$3&amp;$G$4&amp;$G$5,'Raw Data'!$C:$BS,66,0),"NA")</f>
        <v>0</v>
      </c>
      <c r="Q18" s="26">
        <f>IFERROR(VLOOKUP(D18&amp;$G$3&amp;$G$4&amp;$G$5,'Raw Data'!$C:$BS,67,0),"NA")</f>
        <v>0</v>
      </c>
      <c r="R18" s="26">
        <f>IFERROR(VLOOKUP(D18&amp;$G$3&amp;$G$4&amp;$G$5,'Raw Data'!$C:$BS,68,0),"NA")</f>
        <v>0</v>
      </c>
      <c r="S18" s="26">
        <f>IFERROR(VLOOKUP(D18&amp;$G$3&amp;$G$4&amp;$G$5,'Raw Data'!$C:$BS,69,0),"NA")</f>
        <v>0</v>
      </c>
      <c r="T18" s="44" t="str">
        <f t="shared" si="12"/>
        <v>Positive</v>
      </c>
      <c r="AA18" s="49"/>
      <c r="BK18" s="60" t="str">
        <f t="shared" si="13"/>
        <v>Volume</v>
      </c>
      <c r="BL18" t="str">
        <f t="shared" si="14"/>
        <v>Positive</v>
      </c>
      <c r="BM18" t="str">
        <f t="shared" si="15"/>
        <v>Negative</v>
      </c>
      <c r="BN18" t="str">
        <f t="shared" si="16"/>
        <v>Negative</v>
      </c>
      <c r="BO18">
        <f t="shared" si="6"/>
        <v>2</v>
      </c>
      <c r="BP18" t="str">
        <f t="shared" si="17"/>
        <v>Positive</v>
      </c>
    </row>
    <row r="19" spans="1:68">
      <c r="A19" t="str">
        <f t="shared" ca="1" si="7"/>
        <v>6LowNoTelecom-Non AT&amp;TJ</v>
      </c>
      <c r="B19" t="str">
        <f t="shared" ca="1" si="8"/>
        <v>6LowNoTelecom-Non AT&amp;TK</v>
      </c>
      <c r="C19" t="str">
        <f t="shared" ca="1" si="9"/>
        <v>6LowNoTelecom-Non AT&amp;TL</v>
      </c>
      <c r="D19" s="22">
        <v>6</v>
      </c>
      <c r="E19" s="24">
        <f>IFERROR(VLOOKUP(D19&amp;$G$3&amp;$G$4&amp;$G$5,'Raw Data'!$C:$BO,2,0),"NA")</f>
        <v>20317</v>
      </c>
      <c r="F19" s="79" t="str">
        <f>IFERROR(VLOOKUP(D19&amp;$G$3&amp;$G$4&amp;$G$5,'Raw Data'!$C:$BO,5,0),"NA")</f>
        <v>Cablevision CloudSource</v>
      </c>
      <c r="G19" s="44">
        <f>IFERROR(VLOOKUP(D19&amp;$G$3&amp;$G$4&amp;$G$5,'Raw Data'!$C:$BT,70,0),"NA")</f>
        <v>0</v>
      </c>
      <c r="H19" s="62" t="str">
        <f>IFERROR(VLOOKUP(D19&amp;$G$3&amp;$G$4&amp;$G$5,'Raw Data'!$C:$BO,7,0),"NA")</f>
        <v>Christian Litan</v>
      </c>
      <c r="I19" s="29">
        <f>IFERROR(VLOOKUP(D19&amp;$G$3&amp;$G$4&amp;$G$5,'Raw Data'!$C:$BO,11,0),"NA")</f>
        <v>0.1737332563751636</v>
      </c>
      <c r="J19" s="26" t="str">
        <f>IFERROR(VLOOKUP(D19&amp;$G$3&amp;$G$4&amp;$G$5,'Raw Data'!$C:$BO,26,0),"NA")</f>
        <v>NA</v>
      </c>
      <c r="K19" s="26" t="str">
        <f>IFERROR(VLOOKUP(D19&amp;$G$3&amp;$G$4&amp;$G$5,'Raw Data'!$C:$BO,39,0),"NA")</f>
        <v>NA</v>
      </c>
      <c r="L19" s="26" t="str">
        <f>IFERROR(VLOOKUP(D19&amp;$G$3&amp;$G$4&amp;$G$5,'Raw Data'!$C:$BO,65,0),"NA")</f>
        <v>NA</v>
      </c>
      <c r="M19" s="26" t="str">
        <f>IFERROR(VLOOKUP(D19&amp;$G$3&amp;$G$4&amp;G11,'Raw Data'!$C:$BO,52,0),"NA")</f>
        <v>NA</v>
      </c>
      <c r="N19" s="26">
        <f t="shared" si="10"/>
        <v>0</v>
      </c>
      <c r="O19" s="78" t="str">
        <f t="shared" si="11"/>
        <v>NA</v>
      </c>
      <c r="P19" s="26">
        <f>IFERROR(VLOOKUP(D19&amp;$G$3&amp;$G$4&amp;$G$5,'Raw Data'!$C:$BS,66,0),"NA")</f>
        <v>-0.28570597134394093</v>
      </c>
      <c r="Q19" s="26">
        <f>IFERROR(VLOOKUP(D19&amp;$G$3&amp;$G$4&amp;$G$5,'Raw Data'!$C:$BS,67,0),"NA")</f>
        <v>-0.15974889308134219</v>
      </c>
      <c r="R19" s="26">
        <f>IFERROR(VLOOKUP(D19&amp;$G$3&amp;$G$4&amp;$G$5,'Raw Data'!$C:$BS,68,0),"NA")</f>
        <v>-0.13427279921607008</v>
      </c>
      <c r="S19" s="26">
        <f>IFERROR(VLOOKUP(D19&amp;$G$3&amp;$G$4&amp;$G$5,'Raw Data'!$C:$BS,69,0),"NA")</f>
        <v>-3.0345301493936744E-2</v>
      </c>
      <c r="T19" s="44" t="str">
        <f t="shared" si="12"/>
        <v>NA</v>
      </c>
      <c r="AA19" s="49"/>
      <c r="BK19" s="60">
        <f t="shared" si="13"/>
        <v>0</v>
      </c>
      <c r="BL19" t="str">
        <f t="shared" si="14"/>
        <v>NA</v>
      </c>
      <c r="BM19" t="str">
        <f t="shared" si="15"/>
        <v>NA</v>
      </c>
      <c r="BN19" t="str">
        <f t="shared" si="16"/>
        <v>NA</v>
      </c>
      <c r="BO19" t="str">
        <f t="shared" si="6"/>
        <v/>
      </c>
      <c r="BP19" t="str">
        <f t="shared" si="17"/>
        <v>NA</v>
      </c>
    </row>
    <row r="20" spans="1:68">
      <c r="A20" t="str">
        <f t="shared" ca="1" si="7"/>
        <v>7LowNoTelecom-Non AT&amp;TJ</v>
      </c>
      <c r="B20" t="str">
        <f t="shared" ca="1" si="8"/>
        <v>7LowNoTelecom-Non AT&amp;TK</v>
      </c>
      <c r="C20" t="str">
        <f t="shared" ca="1" si="9"/>
        <v>7LowNoTelecom-Non AT&amp;TL</v>
      </c>
      <c r="D20" s="22">
        <v>7</v>
      </c>
      <c r="E20" s="24">
        <f>IFERROR(VLOOKUP(D20&amp;$G$3&amp;$G$4&amp;$G$5,'Raw Data'!$C:$BO,2,0),"NA")</f>
        <v>25014</v>
      </c>
      <c r="F20" s="79" t="str">
        <f>IFERROR(VLOOKUP(D20&amp;$G$3&amp;$G$4&amp;$G$5,'Raw Data'!$C:$BO,5,0),"NA")</f>
        <v>UOL - Retention</v>
      </c>
      <c r="G20" s="44" t="str">
        <f>IFERROR(VLOOKUP(D20&amp;$G$3&amp;$G$4&amp;$G$5,'Raw Data'!$C:$BT,70,0),"NA")</f>
        <v>Minutes</v>
      </c>
      <c r="H20" s="62" t="str">
        <f>IFERROR(VLOOKUP(D20&amp;$G$3&amp;$G$4&amp;$G$5,'Raw Data'!$C:$BO,7,0),"NA")</f>
        <v>Jenina Dones Gripal</v>
      </c>
      <c r="I20" s="29">
        <f>IFERROR(VLOOKUP(D20&amp;$G$3&amp;$G$4&amp;$G$5,'Raw Data'!$C:$BO,11,0),"NA")</f>
        <v>0.39584381331868296</v>
      </c>
      <c r="J20" s="26">
        <f>IFERROR(VLOOKUP(D20&amp;$G$3&amp;$G$4&amp;$G$5,'Raw Data'!$C:$BO,26,0),"NA")</f>
        <v>-0.25615530303030304</v>
      </c>
      <c r="K20" s="26">
        <f>IFERROR(VLOOKUP(D20&amp;$G$3&amp;$G$4&amp;$G$5,'Raw Data'!$C:$BO,39,0),"NA")</f>
        <v>-0.19294531574569768</v>
      </c>
      <c r="L20" s="26">
        <f>IFERROR(VLOOKUP(D20&amp;$G$3&amp;$G$4&amp;$G$5,'Raw Data'!$C:$BO,65,0),"NA")</f>
        <v>7.2725090826538066E-2</v>
      </c>
      <c r="M20" s="26" t="str">
        <f>IFERROR(VLOOKUP(D20&amp;$G$3&amp;$G$4&amp;G12,'Raw Data'!$C:$BO,52,0),"NA")</f>
        <v>NA</v>
      </c>
      <c r="N20" s="26">
        <f t="shared" si="10"/>
        <v>-0.12545850931648755</v>
      </c>
      <c r="O20" s="78" t="str">
        <f t="shared" si="11"/>
        <v>Very High</v>
      </c>
      <c r="P20" s="26">
        <f>IFERROR(VLOOKUP(D20&amp;$G$3&amp;$G$4&amp;$G$5,'Raw Data'!$C:$BS,66,0),"NA")</f>
        <v>0</v>
      </c>
      <c r="Q20" s="26">
        <f>IFERROR(VLOOKUP(D20&amp;$G$3&amp;$G$4&amp;$G$5,'Raw Data'!$C:$BS,67,0),"NA")</f>
        <v>0</v>
      </c>
      <c r="R20" s="26">
        <f>IFERROR(VLOOKUP(D20&amp;$G$3&amp;$G$4&amp;$G$5,'Raw Data'!$C:$BS,68,0),"NA")</f>
        <v>0</v>
      </c>
      <c r="S20" s="26">
        <f>IFERROR(VLOOKUP(D20&amp;$G$3&amp;$G$4&amp;$G$5,'Raw Data'!$C:$BS,69,0),"NA")</f>
        <v>0</v>
      </c>
      <c r="T20" s="44" t="str">
        <f t="shared" si="12"/>
        <v>Negative</v>
      </c>
      <c r="AA20" s="49"/>
      <c r="BK20" s="60" t="str">
        <f t="shared" si="13"/>
        <v>Minutes</v>
      </c>
      <c r="BL20" t="str">
        <f t="shared" si="14"/>
        <v>Negative</v>
      </c>
      <c r="BM20" t="str">
        <f t="shared" si="15"/>
        <v>Negative</v>
      </c>
      <c r="BN20" t="str">
        <f t="shared" si="16"/>
        <v>Positive</v>
      </c>
      <c r="BO20">
        <f t="shared" si="6"/>
        <v>8</v>
      </c>
      <c r="BP20" t="str">
        <f t="shared" si="17"/>
        <v>Negative</v>
      </c>
    </row>
    <row r="21" spans="1:68">
      <c r="A21" t="str">
        <f t="shared" ca="1" si="7"/>
        <v>8LowNoTelecom-Non AT&amp;TJ</v>
      </c>
      <c r="B21" t="str">
        <f t="shared" ca="1" si="8"/>
        <v>8LowNoTelecom-Non AT&amp;TK</v>
      </c>
      <c r="C21" t="str">
        <f t="shared" ca="1" si="9"/>
        <v>8LowNoTelecom-Non AT&amp;TL</v>
      </c>
      <c r="D21" s="22">
        <v>8</v>
      </c>
      <c r="E21" s="24">
        <f>IFERROR(VLOOKUP(D21&amp;$G$3&amp;$G$4&amp;$G$5,'Raw Data'!$C:$BO,2,0),"NA")</f>
        <v>25016</v>
      </c>
      <c r="F21" s="79" t="str">
        <f>IFERROR(VLOOKUP(D21&amp;$G$3&amp;$G$4&amp;$G$5,'Raw Data'!$C:$BO,5,0),"NA")</f>
        <v>UOL - Customer Service</v>
      </c>
      <c r="G21" s="44" t="str">
        <f>IFERROR(VLOOKUP(D21&amp;$G$3&amp;$G$4&amp;$G$5,'Raw Data'!$C:$BT,70,0),"NA")</f>
        <v>Minutes</v>
      </c>
      <c r="H21" s="62" t="str">
        <f>IFERROR(VLOOKUP(D21&amp;$G$3&amp;$G$4&amp;$G$5,'Raw Data'!$C:$BO,7,0),"NA")</f>
        <v>Jenina Dones Gripal</v>
      </c>
      <c r="I21" s="29">
        <f>IFERROR(VLOOKUP(D21&amp;$G$3&amp;$G$4&amp;$G$5,'Raw Data'!$C:$BO,11,0),"NA")</f>
        <v>0.38880234228709593</v>
      </c>
      <c r="J21" s="26">
        <f>IFERROR(VLOOKUP(D21&amp;$G$3&amp;$G$4&amp;$G$5,'Raw Data'!$C:$BO,26,0),"NA")</f>
        <v>-0.25525585637480797</v>
      </c>
      <c r="K21" s="26">
        <f>IFERROR(VLOOKUP(D21&amp;$G$3&amp;$G$4&amp;$G$5,'Raw Data'!$C:$BO,39,0),"NA")</f>
        <v>-6.6423278232024471E-2</v>
      </c>
      <c r="L21" s="26">
        <f>IFERROR(VLOOKUP(D21&amp;$G$3&amp;$G$4&amp;$G$5,'Raw Data'!$C:$BO,65,0),"NA")</f>
        <v>-2.5228043094857336E-2</v>
      </c>
      <c r="M21" s="26" t="str">
        <f>IFERROR(VLOOKUP(D21&amp;$G$3&amp;$G$4&amp;G13,'Raw Data'!$C:$BO,52,0),"NA")</f>
        <v>NA</v>
      </c>
      <c r="N21" s="26">
        <f t="shared" si="10"/>
        <v>-0.11563572590056326</v>
      </c>
      <c r="O21" s="78" t="str">
        <f t="shared" si="11"/>
        <v>Very High</v>
      </c>
      <c r="P21" s="26">
        <f>IFERROR(VLOOKUP(D21&amp;$G$3&amp;$G$4&amp;$G$5,'Raw Data'!$C:$BS,66,0),"NA")</f>
        <v>0</v>
      </c>
      <c r="Q21" s="26">
        <f>IFERROR(VLOOKUP(D21&amp;$G$3&amp;$G$4&amp;$G$5,'Raw Data'!$C:$BS,67,0),"NA")</f>
        <v>0</v>
      </c>
      <c r="R21" s="26">
        <f>IFERROR(VLOOKUP(D21&amp;$G$3&amp;$G$4&amp;$G$5,'Raw Data'!$C:$BS,68,0),"NA")</f>
        <v>0</v>
      </c>
      <c r="S21" s="26">
        <f>IFERROR(VLOOKUP(D21&amp;$G$3&amp;$G$4&amp;$G$5,'Raw Data'!$C:$BS,69,0),"NA")</f>
        <v>0</v>
      </c>
      <c r="T21" s="44" t="str">
        <f t="shared" si="12"/>
        <v>Can't Say</v>
      </c>
      <c r="AA21" s="49"/>
      <c r="BK21" s="60" t="str">
        <f t="shared" si="13"/>
        <v>Minutes</v>
      </c>
      <c r="BL21" t="str">
        <f t="shared" si="14"/>
        <v>Negative</v>
      </c>
      <c r="BM21" t="str">
        <f t="shared" si="15"/>
        <v>Negative</v>
      </c>
      <c r="BN21" t="str">
        <f t="shared" si="16"/>
        <v>Negative</v>
      </c>
      <c r="BO21">
        <f t="shared" si="6"/>
        <v>5</v>
      </c>
      <c r="BP21" t="str">
        <f t="shared" si="17"/>
        <v>Can't Say</v>
      </c>
    </row>
    <row r="22" spans="1:68">
      <c r="A22" t="str">
        <f t="shared" ca="1" si="7"/>
        <v>9LowNoTelecom-Non AT&amp;TJ</v>
      </c>
      <c r="B22" t="str">
        <f t="shared" ca="1" si="8"/>
        <v>9LowNoTelecom-Non AT&amp;TK</v>
      </c>
      <c r="C22" t="str">
        <f t="shared" ca="1" si="9"/>
        <v>9LowNoTelecom-Non AT&amp;TL</v>
      </c>
      <c r="D22" s="22">
        <v>9</v>
      </c>
      <c r="E22" s="24">
        <f>IFERROR(VLOOKUP(D22&amp;$G$3&amp;$G$4&amp;$G$5,'Raw Data'!$C:$BO,2,0),"NA")</f>
        <v>25172</v>
      </c>
      <c r="F22" s="79" t="str">
        <f>IFERROR(VLOOKUP(D22&amp;$G$3&amp;$G$4&amp;$G$5,'Raw Data'!$C:$BO,5,0),"NA")</f>
        <v>UOL - Technical Support</v>
      </c>
      <c r="G22" s="44" t="str">
        <f>IFERROR(VLOOKUP(D22&amp;$G$3&amp;$G$4&amp;$G$5,'Raw Data'!$C:$BT,70,0),"NA")</f>
        <v>Minutes</v>
      </c>
      <c r="H22" s="62" t="str">
        <f>IFERROR(VLOOKUP(D22&amp;$G$3&amp;$G$4&amp;$G$5,'Raw Data'!$C:$BO,7,0),"NA")</f>
        <v>Jenina Dones Gripal</v>
      </c>
      <c r="I22" s="29">
        <f>IFERROR(VLOOKUP(D22&amp;$G$3&amp;$G$4&amp;$G$5,'Raw Data'!$C:$BO,11,0),"NA")</f>
        <v>0.30652630482697063</v>
      </c>
      <c r="J22" s="26">
        <f>IFERROR(VLOOKUP(D22&amp;$G$3&amp;$G$4&amp;$G$5,'Raw Data'!$C:$BO,26,0),"NA")</f>
        <v>-0.21044719827586206</v>
      </c>
      <c r="K22" s="26">
        <f>IFERROR(VLOOKUP(D22&amp;$G$3&amp;$G$4&amp;$G$5,'Raw Data'!$C:$BO,39,0),"NA")</f>
        <v>-0.15937923334670479</v>
      </c>
      <c r="L22" s="26">
        <f>IFERROR(VLOOKUP(D22&amp;$G$3&amp;$G$4&amp;$G$5,'Raw Data'!$C:$BO,65,0),"NA")</f>
        <v>-0.23868665498265712</v>
      </c>
      <c r="M22" s="26" t="str">
        <f>IFERROR(VLOOKUP(D22&amp;$G$3&amp;$G$4&amp;G14,'Raw Data'!$C:$BO,52,0),"NA")</f>
        <v>NA</v>
      </c>
      <c r="N22" s="26">
        <f t="shared" si="10"/>
        <v>-0.20283769553507466</v>
      </c>
      <c r="O22" s="78" t="str">
        <f t="shared" si="11"/>
        <v>Very High</v>
      </c>
      <c r="P22" s="26">
        <f>IFERROR(VLOOKUP(D22&amp;$G$3&amp;$G$4&amp;$G$5,'Raw Data'!$C:$BS,66,0),"NA")</f>
        <v>0</v>
      </c>
      <c r="Q22" s="26">
        <f>IFERROR(VLOOKUP(D22&amp;$G$3&amp;$G$4&amp;$G$5,'Raw Data'!$C:$BS,67,0),"NA")</f>
        <v>0</v>
      </c>
      <c r="R22" s="26">
        <f>IFERROR(VLOOKUP(D22&amp;$G$3&amp;$G$4&amp;$G$5,'Raw Data'!$C:$BS,68,0),"NA")</f>
        <v>0</v>
      </c>
      <c r="S22" s="26">
        <f>IFERROR(VLOOKUP(D22&amp;$G$3&amp;$G$4&amp;$G$5,'Raw Data'!$C:$BS,69,0),"NA")</f>
        <v>0</v>
      </c>
      <c r="T22" s="44" t="str">
        <f t="shared" si="12"/>
        <v>Can't Say</v>
      </c>
      <c r="BK22" s="60" t="str">
        <f t="shared" si="13"/>
        <v>Minutes</v>
      </c>
      <c r="BL22" t="str">
        <f t="shared" si="14"/>
        <v>Negative</v>
      </c>
      <c r="BM22" t="str">
        <f t="shared" si="15"/>
        <v>Negative</v>
      </c>
      <c r="BN22" t="str">
        <f t="shared" si="16"/>
        <v>Negative</v>
      </c>
      <c r="BO22">
        <f t="shared" si="6"/>
        <v>5</v>
      </c>
      <c r="BP22" t="str">
        <f t="shared" si="17"/>
        <v>Can't Say</v>
      </c>
    </row>
    <row r="23" spans="1:68">
      <c r="A23" t="str">
        <f t="shared" ca="1" si="7"/>
        <v>10LowNoTelecom-Non AT&amp;TJ</v>
      </c>
      <c r="B23" t="str">
        <f t="shared" ca="1" si="8"/>
        <v>10LowNoTelecom-Non AT&amp;TK</v>
      </c>
      <c r="C23" t="str">
        <f t="shared" ca="1" si="9"/>
        <v>10LowNoTelecom-Non AT&amp;TL</v>
      </c>
      <c r="D23" s="22">
        <v>10</v>
      </c>
      <c r="E23" s="24">
        <f>IFERROR(VLOOKUP(D23&amp;$G$3&amp;$G$4&amp;$G$5,'Raw Data'!$C:$BO,2,0),"NA")</f>
        <v>25190</v>
      </c>
      <c r="F23" s="79" t="str">
        <f>IFERROR(VLOOKUP(D23&amp;$G$3&amp;$G$4&amp;$G$5,'Raw Data'!$C:$BO,5,0),"NA")</f>
        <v>Mediacom Chat &amp; Voice Services</v>
      </c>
      <c r="G23" s="44" t="str">
        <f>IFERROR(VLOOKUP(D23&amp;$G$3&amp;$G$4&amp;$G$5,'Raw Data'!$C:$BT,70,0),"NA")</f>
        <v>HeadCount</v>
      </c>
      <c r="H23" s="62" t="str">
        <f>IFERROR(VLOOKUP(D23&amp;$G$3&amp;$G$4&amp;$G$5,'Raw Data'!$C:$BO,7,0),"NA")</f>
        <v>Santosh KumarP</v>
      </c>
      <c r="I23" s="29">
        <f>IFERROR(VLOOKUP(D23&amp;$G$3&amp;$G$4&amp;$G$5,'Raw Data'!$C:$BO,11,0),"NA")</f>
        <v>0.41830678441471275</v>
      </c>
      <c r="J23" s="26">
        <f>IFERROR(VLOOKUP(D23&amp;$G$3&amp;$G$4&amp;$G$5,'Raw Data'!$C:$BO,26,0),"NA")</f>
        <v>3.9785276474204032E-2</v>
      </c>
      <c r="K23" s="26">
        <f>IFERROR(VLOOKUP(D23&amp;$G$3&amp;$G$4&amp;$G$5,'Raw Data'!$C:$BO,39,0),"NA")</f>
        <v>8.3333333333333329E-2</v>
      </c>
      <c r="L23" s="26" t="str">
        <f>IFERROR(VLOOKUP(D23&amp;$G$3&amp;$G$4&amp;$G$5,'Raw Data'!$C:$BO,65,0),"NA")</f>
        <v>NA</v>
      </c>
      <c r="M23" s="26" t="str">
        <f>IFERROR(VLOOKUP(D23&amp;$G$3&amp;$G$4&amp;G15,'Raw Data'!$C:$BO,52,0),"NA")</f>
        <v>NA</v>
      </c>
      <c r="N23" s="26">
        <f t="shared" si="10"/>
        <v>6.155930490376868E-2</v>
      </c>
      <c r="O23" s="78" t="str">
        <f t="shared" si="11"/>
        <v>Low</v>
      </c>
      <c r="P23" s="26">
        <f>IFERROR(VLOOKUP(D23&amp;$G$3&amp;$G$4&amp;$G$5,'Raw Data'!$C:$BS,66,0),"NA")</f>
        <v>9.2003770376980487E-4</v>
      </c>
      <c r="Q23" s="26">
        <f>IFERROR(VLOOKUP(D23&amp;$G$3&amp;$G$4&amp;$G$5,'Raw Data'!$C:$BS,67,0),"NA")</f>
        <v>5.0770570280578298E-4</v>
      </c>
      <c r="R23" s="26">
        <f>IFERROR(VLOOKUP(D23&amp;$G$3&amp;$G$4&amp;$G$5,'Raw Data'!$C:$BS,68,0),"NA")</f>
        <v>2.1083441851266205E-4</v>
      </c>
      <c r="S23" s="26">
        <f>IFERROR(VLOOKUP(D23&amp;$G$3&amp;$G$4&amp;$G$5,'Raw Data'!$C:$BS,69,0),"NA")</f>
        <v>2.0692472039696153E-4</v>
      </c>
      <c r="T23" s="44" t="str">
        <f t="shared" si="12"/>
        <v>Can't Say</v>
      </c>
      <c r="BK23" s="60" t="str">
        <f t="shared" si="13"/>
        <v>HeadCount</v>
      </c>
      <c r="BL23" t="str">
        <f t="shared" si="14"/>
        <v>Positive</v>
      </c>
      <c r="BM23" t="str">
        <f t="shared" si="15"/>
        <v>Positive</v>
      </c>
      <c r="BN23" t="str">
        <f t="shared" si="16"/>
        <v>NA</v>
      </c>
      <c r="BO23">
        <f t="shared" si="6"/>
        <v>11</v>
      </c>
      <c r="BP23" t="str">
        <f t="shared" si="17"/>
        <v>Can't Say</v>
      </c>
    </row>
    <row r="24" spans="1:68">
      <c r="A24" t="str">
        <f t="shared" ca="1" si="7"/>
        <v>11LowNoTelecom-Non AT&amp;TJ</v>
      </c>
      <c r="B24" t="str">
        <f t="shared" ca="1" si="8"/>
        <v>11LowNoTelecom-Non AT&amp;TK</v>
      </c>
      <c r="C24" t="str">
        <f t="shared" ca="1" si="9"/>
        <v>11LowNoTelecom-Non AT&amp;TL</v>
      </c>
      <c r="D24" s="22">
        <v>11</v>
      </c>
      <c r="E24" s="24">
        <f>IFERROR(VLOOKUP(D24&amp;$G$3&amp;$G$4&amp;$G$5,'Raw Data'!$C:$BO,2,0),"NA")</f>
        <v>25210</v>
      </c>
      <c r="F24" s="79" t="str">
        <f>IFERROR(VLOOKUP(D24&amp;$G$3&amp;$G$4&amp;$G$5,'Raw Data'!$C:$BO,5,0),"NA")</f>
        <v>Blackberry</v>
      </c>
      <c r="G24" s="44">
        <f>IFERROR(VLOOKUP(D24&amp;$G$3&amp;$G$4&amp;$G$5,'Raw Data'!$C:$BT,70,0),"NA")</f>
        <v>0</v>
      </c>
      <c r="H24" s="62" t="str">
        <f>IFERROR(VLOOKUP(D24&amp;$G$3&amp;$G$4&amp;$G$5,'Raw Data'!$C:$BO,7,0),"NA")</f>
        <v>Nikhil  Vernekar</v>
      </c>
      <c r="I24" s="29">
        <f>IFERROR(VLOOKUP(D24&amp;$G$3&amp;$G$4&amp;$G$5,'Raw Data'!$C:$BO,11,0),"NA")</f>
        <v>0.3739629752583154</v>
      </c>
      <c r="J24" s="26">
        <f>IFERROR(VLOOKUP(D24&amp;$G$3&amp;$G$4&amp;$G$5,'Raw Data'!$C:$BO,26,0),"NA")</f>
        <v>0.12080674972607117</v>
      </c>
      <c r="K24" s="26">
        <f>IFERROR(VLOOKUP(D24&amp;$G$3&amp;$G$4&amp;$G$5,'Raw Data'!$C:$BO,39,0),"NA")</f>
        <v>-6.9124423963133647E-2</v>
      </c>
      <c r="L24" s="26" t="str">
        <f>IFERROR(VLOOKUP(D24&amp;$G$3&amp;$G$4&amp;$G$5,'Raw Data'!$C:$BO,65,0),"NA")</f>
        <v>NA</v>
      </c>
      <c r="M24" s="26" t="str">
        <f>IFERROR(VLOOKUP(D24&amp;$G$3&amp;$G$4&amp;G16,'Raw Data'!$C:$BO,52,0),"NA")</f>
        <v>NA</v>
      </c>
      <c r="N24" s="26">
        <f t="shared" si="10"/>
        <v>2.584116288146876E-2</v>
      </c>
      <c r="O24" s="78" t="str">
        <f t="shared" si="11"/>
        <v>Low</v>
      </c>
      <c r="P24" s="26">
        <f>IFERROR(VLOOKUP(D24&amp;$G$3&amp;$G$4&amp;$G$5,'Raw Data'!$C:$BS,66,0),"NA")</f>
        <v>2.6974664709468077E-2</v>
      </c>
      <c r="Q24" s="26">
        <f>IFERROR(VLOOKUP(D24&amp;$G$3&amp;$G$4&amp;$G$5,'Raw Data'!$C:$BS,67,0),"NA")</f>
        <v>4.0278201910583844E-2</v>
      </c>
      <c r="R24" s="26">
        <f>IFERROR(VLOOKUP(D24&amp;$G$3&amp;$G$4&amp;$G$5,'Raw Data'!$C:$BS,68,0),"NA")</f>
        <v>1.7630467843355313E-2</v>
      </c>
      <c r="S24" s="26">
        <f>IFERROR(VLOOKUP(D24&amp;$G$3&amp;$G$4&amp;$G$5,'Raw Data'!$C:$BS,69,0),"NA")</f>
        <v>2.4757300199078514E-2</v>
      </c>
      <c r="T24" s="44" t="str">
        <f t="shared" si="12"/>
        <v>NA</v>
      </c>
      <c r="BK24" s="60">
        <f t="shared" si="13"/>
        <v>0</v>
      </c>
      <c r="BL24" t="str">
        <f t="shared" si="14"/>
        <v>Positive</v>
      </c>
      <c r="BM24" t="str">
        <f t="shared" si="15"/>
        <v>Negative</v>
      </c>
      <c r="BN24" t="str">
        <f t="shared" si="16"/>
        <v>NA</v>
      </c>
      <c r="BO24" t="str">
        <f t="shared" si="6"/>
        <v/>
      </c>
      <c r="BP24" t="str">
        <f t="shared" si="17"/>
        <v>NA</v>
      </c>
    </row>
    <row r="25" spans="1:68">
      <c r="A25" t="str">
        <f t="shared" ca="1" si="7"/>
        <v>12LowNoTelecom-Non AT&amp;TJ</v>
      </c>
      <c r="B25" t="str">
        <f t="shared" ca="1" si="8"/>
        <v>12LowNoTelecom-Non AT&amp;TK</v>
      </c>
      <c r="C25" t="str">
        <f t="shared" ca="1" si="9"/>
        <v>12LowNoTelecom-Non AT&amp;TL</v>
      </c>
      <c r="D25" s="22">
        <v>12</v>
      </c>
      <c r="E25" s="24">
        <f>IFERROR(VLOOKUP(D25&amp;$G$3&amp;$G$4&amp;$G$5,'Raw Data'!$C:$BO,2,0),"NA")</f>
        <v>25213</v>
      </c>
      <c r="F25" s="79" t="str">
        <f>IFERROR(VLOOKUP(D25&amp;$G$3&amp;$G$4&amp;$G$5,'Raw Data'!$C:$BO,5,0),"NA")</f>
        <v>Hughes Legazpi</v>
      </c>
      <c r="G25" s="44" t="str">
        <f>IFERROR(VLOOKUP(D25&amp;$G$3&amp;$G$4&amp;$G$5,'Raw Data'!$C:$BT,70,0),"NA")</f>
        <v>Minutes</v>
      </c>
      <c r="H25" s="62" t="str">
        <f>IFERROR(VLOOKUP(D25&amp;$G$3&amp;$G$4&amp;$G$5,'Raw Data'!$C:$BO,7,0),"NA")</f>
        <v>Jenina Dones Gripal</v>
      </c>
      <c r="I25" s="29">
        <f>IFERROR(VLOOKUP(D25&amp;$G$3&amp;$G$4&amp;$G$5,'Raw Data'!$C:$BO,11,0),"NA")</f>
        <v>0.37130045232096304</v>
      </c>
      <c r="J25" s="26">
        <f>IFERROR(VLOOKUP(D25&amp;$G$3&amp;$G$4&amp;$G$5,'Raw Data'!$C:$BO,26,0),"NA")</f>
        <v>9.4229391651106373E-2</v>
      </c>
      <c r="K25" s="26">
        <f>IFERROR(VLOOKUP(D25&amp;$G$3&amp;$G$4&amp;$G$5,'Raw Data'!$C:$BO,39,0),"NA")</f>
        <v>8.8446376358836037E-2</v>
      </c>
      <c r="L25" s="26">
        <f>IFERROR(VLOOKUP(D25&amp;$G$3&amp;$G$4&amp;$G$5,'Raw Data'!$C:$BO,65,0),"NA")</f>
        <v>0.26026867757618155</v>
      </c>
      <c r="M25" s="26" t="str">
        <f>IFERROR(VLOOKUP(D25&amp;$G$3&amp;$G$4&amp;G17,'Raw Data'!$C:$BO,52,0),"NA")</f>
        <v>NA</v>
      </c>
      <c r="N25" s="26">
        <f t="shared" si="10"/>
        <v>0.14764814852870797</v>
      </c>
      <c r="O25" s="78" t="str">
        <f t="shared" si="11"/>
        <v>Low</v>
      </c>
      <c r="P25" s="26">
        <f>IFERROR(VLOOKUP(D25&amp;$G$3&amp;$G$4&amp;$G$5,'Raw Data'!$C:$BS,66,0),"NA")</f>
        <v>-8.2078635132387667E-4</v>
      </c>
      <c r="Q25" s="26">
        <f>IFERROR(VLOOKUP(D25&amp;$G$3&amp;$G$4&amp;$G$5,'Raw Data'!$C:$BS,67,0),"NA")</f>
        <v>-3.8087802186783759E-2</v>
      </c>
      <c r="R25" s="26">
        <f>IFERROR(VLOOKUP(D25&amp;$G$3&amp;$G$4&amp;$G$5,'Raw Data'!$C:$BS,68,0),"NA")</f>
        <v>-1.8355654188165427E-2</v>
      </c>
      <c r="S25" s="26">
        <f>IFERROR(VLOOKUP(D25&amp;$G$3&amp;$G$4&amp;$G$5,'Raw Data'!$C:$BS,69,0),"NA")</f>
        <v>4.1680281663749597E-3</v>
      </c>
      <c r="T25" s="44" t="str">
        <f t="shared" si="12"/>
        <v>Can't Say</v>
      </c>
      <c r="V25" s="22" t="str">
        <f>IFERROR(VLOOKUP(AX11,$AX$7:$AZ$9,3,0),"NA")</f>
        <v>NA</v>
      </c>
      <c r="W25" s="22" t="str">
        <f>IFERROR(VLOOKUP(AX11,$AX$7:$AZ$9,3,0),"NA")</f>
        <v>NA</v>
      </c>
      <c r="X25" s="22" t="str">
        <f>IFERROR(VLOOKUP(AX11,$AX$7:$AZ$9,3,0),"NA")</f>
        <v>NA</v>
      </c>
      <c r="Y25" s="22" t="str">
        <f>IFERROR(VLOOKUP(AX11,$AX$7:$AZ$9,3,0),"NA")</f>
        <v>NA</v>
      </c>
      <c r="Z25" s="22" t="str">
        <f>IFERROR(VLOOKUP(AX11,$AX$7:$AZ$9,3,0),"NA")</f>
        <v>NA</v>
      </c>
      <c r="BK25" s="60" t="str">
        <f t="shared" si="13"/>
        <v>Minutes</v>
      </c>
      <c r="BL25" t="str">
        <f t="shared" si="14"/>
        <v>Positive</v>
      </c>
      <c r="BM25" t="str">
        <f t="shared" si="15"/>
        <v>Positive</v>
      </c>
      <c r="BN25" t="str">
        <f t="shared" si="16"/>
        <v>Positive</v>
      </c>
      <c r="BO25">
        <f t="shared" si="6"/>
        <v>7</v>
      </c>
      <c r="BP25" t="str">
        <f t="shared" si="17"/>
        <v>Can't Say</v>
      </c>
    </row>
    <row r="26" spans="1:68">
      <c r="A26" t="str">
        <f t="shared" ca="1" si="7"/>
        <v>13LowNoTelecom-Non AT&amp;TJ</v>
      </c>
      <c r="B26" t="str">
        <f t="shared" ca="1" si="8"/>
        <v>13LowNoTelecom-Non AT&amp;TK</v>
      </c>
      <c r="C26" t="str">
        <f t="shared" ca="1" si="9"/>
        <v>13LowNoTelecom-Non AT&amp;TL</v>
      </c>
      <c r="D26" s="22">
        <v>13</v>
      </c>
      <c r="E26" s="24">
        <f>IFERROR(VLOOKUP(D26&amp;$G$3&amp;$G$4&amp;$G$5,'Raw Data'!$C:$BO,2,0),"NA")</f>
        <v>25334</v>
      </c>
      <c r="F26" s="79" t="str">
        <f>IFERROR(VLOOKUP(D26&amp;$G$3&amp;$G$4&amp;$G$5,'Raw Data'!$C:$BO,5,0),"NA")</f>
        <v>Interactions - PHL</v>
      </c>
      <c r="G26" s="44" t="str">
        <f>IFERROR(VLOOKUP(D26&amp;$G$3&amp;$G$4&amp;$G$5,'Raw Data'!$C:$BT,70,0),"NA")</f>
        <v>Hours</v>
      </c>
      <c r="H26" s="62" t="str">
        <f>IFERROR(VLOOKUP(D26&amp;$G$3&amp;$G$4&amp;$G$5,'Raw Data'!$C:$BO,7,0),"NA")</f>
        <v>Prasanta Deb</v>
      </c>
      <c r="I26" s="29">
        <f>IFERROR(VLOOKUP(D26&amp;$G$3&amp;$G$4&amp;$G$5,'Raw Data'!$C:$BO,11,0),"NA")</f>
        <v>0.27496066316651679</v>
      </c>
      <c r="J26" s="26" t="str">
        <f>IFERROR(VLOOKUP(D26&amp;$G$3&amp;$G$4&amp;$G$5,'Raw Data'!$C:$BO,26,0),"NA")</f>
        <v>NA</v>
      </c>
      <c r="K26" s="26" t="str">
        <f>IFERROR(VLOOKUP(D26&amp;$G$3&amp;$G$4&amp;$G$5,'Raw Data'!$C:$BO,39,0),"NA")</f>
        <v>NA</v>
      </c>
      <c r="L26" s="26" t="str">
        <f>IFERROR(VLOOKUP(D26&amp;$G$3&amp;$G$4&amp;$G$5,'Raw Data'!$C:$BO,65,0),"NA")</f>
        <v>NA</v>
      </c>
      <c r="M26" s="26" t="str">
        <f>IFERROR(VLOOKUP(D26&amp;$G$3&amp;$G$4&amp;G18,'Raw Data'!$C:$BO,52,0),"NA")</f>
        <v>NA</v>
      </c>
      <c r="N26" s="26">
        <f t="shared" si="10"/>
        <v>0</v>
      </c>
      <c r="O26" s="78" t="str">
        <f t="shared" si="11"/>
        <v>NA</v>
      </c>
      <c r="P26" s="26">
        <f>IFERROR(VLOOKUP(D26&amp;$G$3&amp;$G$4&amp;$G$5,'Raw Data'!$C:$BS,66,0),"NA")</f>
        <v>-1.8795901993473585E-3</v>
      </c>
      <c r="Q26" s="26">
        <f>IFERROR(VLOOKUP(D26&amp;$G$3&amp;$G$4&amp;$G$5,'Raw Data'!$C:$BS,67,0),"NA")</f>
        <v>-8.3091284033797175E-3</v>
      </c>
      <c r="R26" s="26">
        <f>IFERROR(VLOOKUP(D26&amp;$G$3&amp;$G$4&amp;$G$5,'Raw Data'!$C:$BS,68,0),"NA")</f>
        <v>-4.9886138113479639E-3</v>
      </c>
      <c r="S26" s="26">
        <f>IFERROR(VLOOKUP(D26&amp;$G$3&amp;$G$4&amp;$G$5,'Raw Data'!$C:$BS,69,0),"NA")</f>
        <v>9.3284500417606386E-3</v>
      </c>
      <c r="T26" s="44" t="str">
        <f t="shared" si="12"/>
        <v>NA</v>
      </c>
      <c r="BK26" s="60" t="str">
        <f t="shared" si="13"/>
        <v>Hours</v>
      </c>
      <c r="BL26" t="str">
        <f t="shared" si="14"/>
        <v>NA</v>
      </c>
      <c r="BM26" t="str">
        <f t="shared" si="15"/>
        <v>NA</v>
      </c>
      <c r="BN26" t="str">
        <f t="shared" si="16"/>
        <v>NA</v>
      </c>
      <c r="BO26">
        <f t="shared" si="6"/>
        <v>0</v>
      </c>
      <c r="BP26" t="str">
        <f t="shared" si="17"/>
        <v>NA</v>
      </c>
    </row>
    <row r="27" spans="1:68">
      <c r="A27" t="str">
        <f t="shared" ca="1" si="7"/>
        <v>14LowNoTelecom-Non AT&amp;TJ</v>
      </c>
      <c r="B27" t="str">
        <f t="shared" ca="1" si="8"/>
        <v>14LowNoTelecom-Non AT&amp;TK</v>
      </c>
      <c r="C27" t="str">
        <f t="shared" ca="1" si="9"/>
        <v>14LowNoTelecom-Non AT&amp;TL</v>
      </c>
      <c r="D27" s="22">
        <v>14</v>
      </c>
      <c r="E27" s="24">
        <f>IFERROR(VLOOKUP(D27&amp;$G$3&amp;$G$4&amp;$G$5,'Raw Data'!$C:$BO,2,0),"NA")</f>
        <v>27006</v>
      </c>
      <c r="F27" s="79" t="str">
        <f>IFERROR(VLOOKUP(D27&amp;$G$3&amp;$G$4&amp;$G$5,'Raw Data'!$C:$BO,5,0),"NA")</f>
        <v>BHN eCare Jamaica</v>
      </c>
      <c r="G27" s="44" t="str">
        <f>IFERROR(VLOOKUP(D27&amp;$G$3&amp;$G$4&amp;$G$5,'Raw Data'!$C:$BT,70,0),"NA")</f>
        <v>Volume</v>
      </c>
      <c r="H27" s="62" t="str">
        <f>IFERROR(VLOOKUP(D27&amp;$G$3&amp;$G$4&amp;$G$5,'Raw Data'!$C:$BO,7,0),"NA")</f>
        <v>Nishanth kumar B</v>
      </c>
      <c r="I27" s="29">
        <f>IFERROR(VLOOKUP(D27&amp;$G$3&amp;$G$4&amp;$G$5,'Raw Data'!$C:$BO,11,0),"NA")</f>
        <v>0.10195688986025088</v>
      </c>
      <c r="J27" s="26">
        <f>IFERROR(VLOOKUP(D27&amp;$G$3&amp;$G$4&amp;$G$5,'Raw Data'!$C:$BO,26,0),"NA")</f>
        <v>0.22651353867351076</v>
      </c>
      <c r="K27" s="26">
        <f>IFERROR(VLOOKUP(D27&amp;$G$3&amp;$G$4&amp;$G$5,'Raw Data'!$C:$BO,39,0),"NA")</f>
        <v>-1.4973185555333064E-2</v>
      </c>
      <c r="L27" s="26">
        <f>IFERROR(VLOOKUP(D27&amp;$G$3&amp;$G$4&amp;$G$5,'Raw Data'!$C:$BO,65,0),"NA")</f>
        <v>2.1565271204257504E-2</v>
      </c>
      <c r="M27" s="26" t="str">
        <f>IFERROR(VLOOKUP(D27&amp;$G$3&amp;$G$4&amp;G19,'Raw Data'!$C:$BO,52,0),"NA")</f>
        <v>NA</v>
      </c>
      <c r="N27" s="26">
        <f t="shared" si="10"/>
        <v>7.7701874774145072E-2</v>
      </c>
      <c r="O27" s="78" t="str">
        <f t="shared" si="11"/>
        <v>Low</v>
      </c>
      <c r="P27" s="26">
        <f>IFERROR(VLOOKUP(D27&amp;$G$3&amp;$G$4&amp;$G$5,'Raw Data'!$C:$BS,66,0),"NA")</f>
        <v>-0.10230927611497276</v>
      </c>
      <c r="Q27" s="26">
        <f>IFERROR(VLOOKUP(D27&amp;$G$3&amp;$G$4&amp;$G$5,'Raw Data'!$C:$BS,67,0),"NA")</f>
        <v>-0.11096874656892158</v>
      </c>
      <c r="R27" s="26">
        <f>IFERROR(VLOOKUP(D27&amp;$G$3&amp;$G$4&amp;$G$5,'Raw Data'!$C:$BS,68,0),"NA")</f>
        <v>-0.14033699042828379</v>
      </c>
      <c r="S27" s="26">
        <f>IFERROR(VLOOKUP(D27&amp;$G$3&amp;$G$4&amp;$G$5,'Raw Data'!$C:$BS,69,0),"NA")</f>
        <v>-9.2505929194327041E-2</v>
      </c>
      <c r="T27" s="44" t="str">
        <f t="shared" si="12"/>
        <v>Can't Say</v>
      </c>
      <c r="BK27" s="60" t="str">
        <f t="shared" si="13"/>
        <v>Volume</v>
      </c>
      <c r="BL27" t="str">
        <f t="shared" si="14"/>
        <v>Positive</v>
      </c>
      <c r="BM27" t="str">
        <f t="shared" si="15"/>
        <v>Negative</v>
      </c>
      <c r="BN27" t="str">
        <f t="shared" si="16"/>
        <v>Positive</v>
      </c>
      <c r="BO27">
        <f t="shared" si="6"/>
        <v>3</v>
      </c>
      <c r="BP27" t="str">
        <f t="shared" si="17"/>
        <v>Can't Say</v>
      </c>
    </row>
    <row r="28" spans="1:68">
      <c r="A28" t="str">
        <f t="shared" ca="1" si="7"/>
        <v>15LowNoTelecom-Non AT&amp;TJ</v>
      </c>
      <c r="B28" t="str">
        <f t="shared" ca="1" si="8"/>
        <v>15LowNoTelecom-Non AT&amp;TK</v>
      </c>
      <c r="C28" t="str">
        <f t="shared" ca="1" si="9"/>
        <v>15LowNoTelecom-Non AT&amp;TL</v>
      </c>
      <c r="D28" s="22">
        <v>15</v>
      </c>
      <c r="E28" s="24" t="str">
        <f>IFERROR(VLOOKUP(D28&amp;$G$3&amp;$G$4&amp;$G$5,'Raw Data'!$C:$BO,2,0),"NA")</f>
        <v>NA</v>
      </c>
      <c r="F28" s="79" t="str">
        <f>IFERROR(VLOOKUP(D28&amp;$G$3&amp;$G$4&amp;$G$5,'Raw Data'!$C:$BO,5,0),"NA")</f>
        <v>NA</v>
      </c>
      <c r="G28" s="44" t="str">
        <f>IFERROR(VLOOKUP(D28&amp;$G$3&amp;$G$4&amp;$G$5,'Raw Data'!$C:$BT,70,0),"NA")</f>
        <v>NA</v>
      </c>
      <c r="H28" s="62" t="str">
        <f>IFERROR(VLOOKUP(D28&amp;$G$3&amp;$G$4&amp;$G$5,'Raw Data'!$C:$BO,7,0),"NA")</f>
        <v>NA</v>
      </c>
      <c r="I28" s="29" t="str">
        <f>IFERROR(VLOOKUP(D28&amp;$G$3&amp;$G$4&amp;$G$5,'Raw Data'!$C:$BO,11,0),"NA")</f>
        <v>NA</v>
      </c>
      <c r="J28" s="26" t="str">
        <f>IFERROR(VLOOKUP(D28&amp;$G$3&amp;$G$4&amp;$G$5,'Raw Data'!$C:$BO,26,0),"NA")</f>
        <v>NA</v>
      </c>
      <c r="K28" s="26" t="str">
        <f>IFERROR(VLOOKUP(D28&amp;$G$3&amp;$G$4&amp;$G$5,'Raw Data'!$C:$BO,39,0),"NA")</f>
        <v>NA</v>
      </c>
      <c r="L28" s="26" t="str">
        <f>IFERROR(VLOOKUP(D28&amp;$G$3&amp;$G$4&amp;$G$5,'Raw Data'!$C:$BO,65,0),"NA")</f>
        <v>NA</v>
      </c>
      <c r="M28" s="26" t="str">
        <f>IFERROR(VLOOKUP(D28&amp;$G$3&amp;$G$4&amp;G20,'Raw Data'!$C:$BO,52,0),"NA")</f>
        <v>NA</v>
      </c>
      <c r="N28" s="26">
        <f t="shared" si="10"/>
        <v>0</v>
      </c>
      <c r="O28" s="78" t="str">
        <f t="shared" si="11"/>
        <v>NA</v>
      </c>
      <c r="P28" s="26" t="str">
        <f>IFERROR(VLOOKUP(D28&amp;$G$3&amp;$G$4&amp;$G$5,'Raw Data'!$C:$BS,66,0),"NA")</f>
        <v>NA</v>
      </c>
      <c r="Q28" s="26" t="str">
        <f>IFERROR(VLOOKUP(D28&amp;$G$3&amp;$G$4&amp;$G$5,'Raw Data'!$C:$BS,67,0),"NA")</f>
        <v>NA</v>
      </c>
      <c r="R28" s="26" t="str">
        <f>IFERROR(VLOOKUP(D28&amp;$G$3&amp;$G$4&amp;$G$5,'Raw Data'!$C:$BS,68,0),"NA")</f>
        <v>NA</v>
      </c>
      <c r="S28" s="26" t="str">
        <f>IFERROR(VLOOKUP(D28&amp;$G$3&amp;$G$4&amp;$G$5,'Raw Data'!$C:$BS,69,0),"NA")</f>
        <v>NA</v>
      </c>
      <c r="T28" s="44" t="str">
        <f t="shared" si="12"/>
        <v>NA</v>
      </c>
      <c r="BK28" s="60" t="str">
        <f t="shared" si="13"/>
        <v>NA</v>
      </c>
      <c r="BL28" t="str">
        <f t="shared" si="14"/>
        <v>NA</v>
      </c>
      <c r="BM28" t="str">
        <f t="shared" si="15"/>
        <v>NA</v>
      </c>
      <c r="BN28" t="str">
        <f t="shared" si="16"/>
        <v>NA</v>
      </c>
      <c r="BO28" t="str">
        <f t="shared" si="6"/>
        <v/>
      </c>
      <c r="BP28" t="str">
        <f t="shared" si="17"/>
        <v>NA</v>
      </c>
    </row>
    <row r="29" spans="1:68">
      <c r="A29" t="str">
        <f t="shared" ca="1" si="7"/>
        <v>16LowNoTelecom-Non AT&amp;TJ</v>
      </c>
      <c r="B29" t="str">
        <f t="shared" ca="1" si="8"/>
        <v>16LowNoTelecom-Non AT&amp;TK</v>
      </c>
      <c r="C29" t="str">
        <f t="shared" ca="1" si="9"/>
        <v>16LowNoTelecom-Non AT&amp;TL</v>
      </c>
      <c r="D29" s="22">
        <v>16</v>
      </c>
      <c r="E29" s="24" t="str">
        <f>IFERROR(VLOOKUP(D29&amp;$G$3&amp;$G$4&amp;$G$5,'Raw Data'!$C:$BO,2,0),"NA")</f>
        <v>NA</v>
      </c>
      <c r="F29" s="79" t="str">
        <f>IFERROR(VLOOKUP(D29&amp;$G$3&amp;$G$4&amp;$G$5,'Raw Data'!$C:$BO,5,0),"NA")</f>
        <v>NA</v>
      </c>
      <c r="G29" s="44" t="str">
        <f>IFERROR(VLOOKUP(D29&amp;$G$3&amp;$G$4&amp;$G$5,'Raw Data'!$C:$BT,70,0),"NA")</f>
        <v>NA</v>
      </c>
      <c r="H29" s="62" t="str">
        <f>IFERROR(VLOOKUP(D29&amp;$G$3&amp;$G$4&amp;$G$5,'Raw Data'!$C:$BO,7,0),"NA")</f>
        <v>NA</v>
      </c>
      <c r="I29" s="29" t="str">
        <f>IFERROR(VLOOKUP(D29&amp;$G$3&amp;$G$4&amp;$G$5,'Raw Data'!$C:$BO,11,0),"NA")</f>
        <v>NA</v>
      </c>
      <c r="J29" s="26" t="str">
        <f>IFERROR(VLOOKUP(D29&amp;$G$3&amp;$G$4&amp;$G$5,'Raw Data'!$C:$BO,26,0),"NA")</f>
        <v>NA</v>
      </c>
      <c r="K29" s="26" t="str">
        <f>IFERROR(VLOOKUP(D29&amp;$G$3&amp;$G$4&amp;$G$5,'Raw Data'!$C:$BO,39,0),"NA")</f>
        <v>NA</v>
      </c>
      <c r="L29" s="26" t="str">
        <f>IFERROR(VLOOKUP(D29&amp;$G$3&amp;$G$4&amp;$G$5,'Raw Data'!$C:$BO,65,0),"NA")</f>
        <v>NA</v>
      </c>
      <c r="M29" s="26" t="str">
        <f>IFERROR(VLOOKUP(D29&amp;$G$3&amp;$G$4&amp;G21,'Raw Data'!$C:$BO,52,0),"NA")</f>
        <v>NA</v>
      </c>
      <c r="N29" s="26">
        <f t="shared" si="10"/>
        <v>0</v>
      </c>
      <c r="O29" s="78" t="str">
        <f t="shared" si="11"/>
        <v>NA</v>
      </c>
      <c r="P29" s="26" t="str">
        <f>IFERROR(VLOOKUP(D29&amp;$G$3&amp;$G$4&amp;$G$5,'Raw Data'!$C:$BS,66,0),"NA")</f>
        <v>NA</v>
      </c>
      <c r="Q29" s="26" t="str">
        <f>IFERROR(VLOOKUP(D29&amp;$G$3&amp;$G$4&amp;$G$5,'Raw Data'!$C:$BS,67,0),"NA")</f>
        <v>NA</v>
      </c>
      <c r="R29" s="26" t="str">
        <f>IFERROR(VLOOKUP(D29&amp;$G$3&amp;$G$4&amp;$G$5,'Raw Data'!$C:$BS,68,0),"NA")</f>
        <v>NA</v>
      </c>
      <c r="S29" s="26" t="str">
        <f>IFERROR(VLOOKUP(D29&amp;$G$3&amp;$G$4&amp;$G$5,'Raw Data'!$C:$BS,69,0),"NA")</f>
        <v>NA</v>
      </c>
      <c r="T29" s="44" t="str">
        <f t="shared" si="12"/>
        <v>NA</v>
      </c>
      <c r="BK29" s="60" t="str">
        <f t="shared" si="13"/>
        <v>NA</v>
      </c>
      <c r="BL29" t="str">
        <f t="shared" si="14"/>
        <v>NA</v>
      </c>
      <c r="BM29" t="str">
        <f t="shared" si="15"/>
        <v>NA</v>
      </c>
      <c r="BN29" t="str">
        <f t="shared" si="16"/>
        <v>NA</v>
      </c>
      <c r="BO29" t="str">
        <f t="shared" si="6"/>
        <v/>
      </c>
      <c r="BP29" t="str">
        <f t="shared" si="17"/>
        <v>NA</v>
      </c>
    </row>
    <row r="30" spans="1:68">
      <c r="A30" t="str">
        <f t="shared" ca="1" si="7"/>
        <v>17LowNoTelecom-Non AT&amp;TJ</v>
      </c>
      <c r="B30" t="str">
        <f t="shared" ca="1" si="8"/>
        <v>17LowNoTelecom-Non AT&amp;TK</v>
      </c>
      <c r="C30" t="str">
        <f t="shared" ca="1" si="9"/>
        <v>17LowNoTelecom-Non AT&amp;TL</v>
      </c>
      <c r="D30" s="22">
        <v>17</v>
      </c>
      <c r="E30" s="24" t="str">
        <f>IFERROR(VLOOKUP(D30&amp;$G$3&amp;$G$4&amp;$G$5,'Raw Data'!$C:$BO,2,0),"NA")</f>
        <v>NA</v>
      </c>
      <c r="F30" s="79" t="str">
        <f>IFERROR(VLOOKUP(D30&amp;$G$3&amp;$G$4&amp;$G$5,'Raw Data'!$C:$BO,5,0),"NA")</f>
        <v>NA</v>
      </c>
      <c r="G30" s="44" t="str">
        <f>IFERROR(VLOOKUP(D30&amp;$G$3&amp;$G$4&amp;$G$5,'Raw Data'!$C:$BT,70,0),"NA")</f>
        <v>NA</v>
      </c>
      <c r="H30" s="62" t="str">
        <f>IFERROR(VLOOKUP(D30&amp;$G$3&amp;$G$4&amp;$G$5,'Raw Data'!$C:$BO,7,0),"NA")</f>
        <v>NA</v>
      </c>
      <c r="I30" s="29" t="str">
        <f>IFERROR(VLOOKUP(D30&amp;$G$3&amp;$G$4&amp;$G$5,'Raw Data'!$C:$BO,11,0),"NA")</f>
        <v>NA</v>
      </c>
      <c r="J30" s="26" t="str">
        <f>IFERROR(VLOOKUP(D30&amp;$G$3&amp;$G$4&amp;$G$5,'Raw Data'!$C:$BO,26,0),"NA")</f>
        <v>NA</v>
      </c>
      <c r="K30" s="26" t="str">
        <f>IFERROR(VLOOKUP(D30&amp;$G$3&amp;$G$4&amp;$G$5,'Raw Data'!$C:$BO,39,0),"NA")</f>
        <v>NA</v>
      </c>
      <c r="L30" s="26" t="str">
        <f>IFERROR(VLOOKUP(D30&amp;$G$3&amp;$G$4&amp;$G$5,'Raw Data'!$C:$BO,65,0),"NA")</f>
        <v>NA</v>
      </c>
      <c r="M30" s="26" t="str">
        <f>IFERROR(VLOOKUP(D30&amp;$G$3&amp;$G$4&amp;G22,'Raw Data'!$C:$BO,52,0),"NA")</f>
        <v>NA</v>
      </c>
      <c r="N30" s="26">
        <f t="shared" si="10"/>
        <v>0</v>
      </c>
      <c r="O30" s="78" t="str">
        <f t="shared" si="11"/>
        <v>NA</v>
      </c>
      <c r="P30" s="26" t="str">
        <f>IFERROR(VLOOKUP(D30&amp;$G$3&amp;$G$4&amp;$G$5,'Raw Data'!$C:$BS,66,0),"NA")</f>
        <v>NA</v>
      </c>
      <c r="Q30" s="26" t="str">
        <f>IFERROR(VLOOKUP(D30&amp;$G$3&amp;$G$4&amp;$G$5,'Raw Data'!$C:$BS,67,0),"NA")</f>
        <v>NA</v>
      </c>
      <c r="R30" s="26" t="str">
        <f>IFERROR(VLOOKUP(D30&amp;$G$3&amp;$G$4&amp;$G$5,'Raw Data'!$C:$BS,68,0),"NA")</f>
        <v>NA</v>
      </c>
      <c r="S30" s="26" t="str">
        <f>IFERROR(VLOOKUP(D30&amp;$G$3&amp;$G$4&amp;$G$5,'Raw Data'!$C:$BS,69,0),"NA")</f>
        <v>NA</v>
      </c>
      <c r="T30" s="44" t="str">
        <f t="shared" si="12"/>
        <v>NA</v>
      </c>
      <c r="BK30" s="60" t="str">
        <f t="shared" si="13"/>
        <v>NA</v>
      </c>
      <c r="BL30" t="str">
        <f t="shared" si="14"/>
        <v>NA</v>
      </c>
      <c r="BM30" t="str">
        <f t="shared" si="15"/>
        <v>NA</v>
      </c>
      <c r="BN30" t="str">
        <f t="shared" si="16"/>
        <v>NA</v>
      </c>
      <c r="BO30" t="str">
        <f t="shared" si="6"/>
        <v/>
      </c>
      <c r="BP30" t="str">
        <f t="shared" si="17"/>
        <v>NA</v>
      </c>
    </row>
    <row r="31" spans="1:68">
      <c r="A31" t="str">
        <f t="shared" ca="1" si="7"/>
        <v>18LowNoTelecom-Non AT&amp;TJ</v>
      </c>
      <c r="B31" t="str">
        <f t="shared" ca="1" si="8"/>
        <v>18LowNoTelecom-Non AT&amp;TK</v>
      </c>
      <c r="C31" t="str">
        <f t="shared" ca="1" si="9"/>
        <v>18LowNoTelecom-Non AT&amp;TL</v>
      </c>
      <c r="D31" s="22">
        <v>18</v>
      </c>
      <c r="E31" s="24" t="str">
        <f>IFERROR(VLOOKUP(D31&amp;$G$3&amp;$G$4&amp;$G$5,'Raw Data'!$C:$BO,2,0),"NA")</f>
        <v>NA</v>
      </c>
      <c r="F31" s="79" t="str">
        <f>IFERROR(VLOOKUP(D31&amp;$G$3&amp;$G$4&amp;$G$5,'Raw Data'!$C:$BO,5,0),"NA")</f>
        <v>NA</v>
      </c>
      <c r="G31" s="44" t="str">
        <f>IFERROR(VLOOKUP(D31&amp;$G$3&amp;$G$4&amp;$G$5,'Raw Data'!$C:$BT,70,0),"NA")</f>
        <v>NA</v>
      </c>
      <c r="H31" s="62" t="str">
        <f>IFERROR(VLOOKUP(D31&amp;$G$3&amp;$G$4&amp;$G$5,'Raw Data'!$C:$BO,7,0),"NA")</f>
        <v>NA</v>
      </c>
      <c r="I31" s="29" t="str">
        <f>IFERROR(VLOOKUP(D31&amp;$G$3&amp;$G$4&amp;$G$5,'Raw Data'!$C:$BO,11,0),"NA")</f>
        <v>NA</v>
      </c>
      <c r="J31" s="26" t="str">
        <f>IFERROR(VLOOKUP(D31&amp;$G$3&amp;$G$4&amp;$G$5,'Raw Data'!$C:$BO,26,0),"NA")</f>
        <v>NA</v>
      </c>
      <c r="K31" s="26" t="str">
        <f>IFERROR(VLOOKUP(D31&amp;$G$3&amp;$G$4&amp;$G$5,'Raw Data'!$C:$BO,39,0),"NA")</f>
        <v>NA</v>
      </c>
      <c r="L31" s="26" t="str">
        <f>IFERROR(VLOOKUP(D31&amp;$G$3&amp;$G$4&amp;$G$5,'Raw Data'!$C:$BO,65,0),"NA")</f>
        <v>NA</v>
      </c>
      <c r="M31" s="26" t="str">
        <f>IFERROR(VLOOKUP(D31&amp;$G$3&amp;$G$4&amp;G23,'Raw Data'!$C:$BO,52,0),"NA")</f>
        <v>NA</v>
      </c>
      <c r="N31" s="26">
        <f t="shared" si="10"/>
        <v>0</v>
      </c>
      <c r="O31" s="78" t="str">
        <f t="shared" si="11"/>
        <v>NA</v>
      </c>
      <c r="P31" s="26" t="str">
        <f>IFERROR(VLOOKUP(D31&amp;$G$3&amp;$G$4&amp;$G$5,'Raw Data'!$C:$BS,66,0),"NA")</f>
        <v>NA</v>
      </c>
      <c r="Q31" s="26" t="str">
        <f>IFERROR(VLOOKUP(D31&amp;$G$3&amp;$G$4&amp;$G$5,'Raw Data'!$C:$BS,67,0),"NA")</f>
        <v>NA</v>
      </c>
      <c r="R31" s="26" t="str">
        <f>IFERROR(VLOOKUP(D31&amp;$G$3&amp;$G$4&amp;$G$5,'Raw Data'!$C:$BS,68,0),"NA")</f>
        <v>NA</v>
      </c>
      <c r="S31" s="26" t="str">
        <f>IFERROR(VLOOKUP(D31&amp;$G$3&amp;$G$4&amp;$G$5,'Raw Data'!$C:$BS,69,0),"NA")</f>
        <v>NA</v>
      </c>
      <c r="T31" s="44" t="str">
        <f t="shared" si="12"/>
        <v>NA</v>
      </c>
      <c r="BK31" s="60" t="str">
        <f t="shared" si="13"/>
        <v>NA</v>
      </c>
      <c r="BL31" t="str">
        <f t="shared" si="14"/>
        <v>NA</v>
      </c>
      <c r="BM31" t="str">
        <f t="shared" si="15"/>
        <v>NA</v>
      </c>
      <c r="BN31" t="str">
        <f t="shared" si="16"/>
        <v>NA</v>
      </c>
      <c r="BO31" t="str">
        <f t="shared" si="6"/>
        <v/>
      </c>
      <c r="BP31" t="str">
        <f t="shared" si="17"/>
        <v>NA</v>
      </c>
    </row>
    <row r="32" spans="1:68">
      <c r="A32" t="str">
        <f t="shared" ca="1" si="7"/>
        <v>19LowNoTelecom-Non AT&amp;TJ</v>
      </c>
      <c r="B32" t="str">
        <f t="shared" ca="1" si="8"/>
        <v>19LowNoTelecom-Non AT&amp;TK</v>
      </c>
      <c r="C32" t="str">
        <f t="shared" ca="1" si="9"/>
        <v>19LowNoTelecom-Non AT&amp;TL</v>
      </c>
      <c r="D32" s="22">
        <v>19</v>
      </c>
      <c r="E32" s="24" t="str">
        <f>IFERROR(VLOOKUP(D32&amp;$G$3&amp;$G$4&amp;$G$5,'Raw Data'!$C:$BO,2,0),"NA")</f>
        <v>NA</v>
      </c>
      <c r="F32" s="79" t="str">
        <f>IFERROR(VLOOKUP(D32&amp;$G$3&amp;$G$4&amp;$G$5,'Raw Data'!$C:$BO,5,0),"NA")</f>
        <v>NA</v>
      </c>
      <c r="G32" s="44" t="str">
        <f>IFERROR(VLOOKUP(D32&amp;$G$3&amp;$G$4&amp;$G$5,'Raw Data'!$C:$BT,70,0),"NA")</f>
        <v>NA</v>
      </c>
      <c r="H32" s="62" t="str">
        <f>IFERROR(VLOOKUP(D32&amp;$G$3&amp;$G$4&amp;$G$5,'Raw Data'!$C:$BO,7,0),"NA")</f>
        <v>NA</v>
      </c>
      <c r="I32" s="29" t="str">
        <f>IFERROR(VLOOKUP(D32&amp;$G$3&amp;$G$4&amp;$G$5,'Raw Data'!$C:$BO,11,0),"NA")</f>
        <v>NA</v>
      </c>
      <c r="J32" s="26" t="str">
        <f>IFERROR(VLOOKUP(D32&amp;$G$3&amp;$G$4&amp;$G$5,'Raw Data'!$C:$BO,26,0),"NA")</f>
        <v>NA</v>
      </c>
      <c r="K32" s="26" t="str">
        <f>IFERROR(VLOOKUP(D32&amp;$G$3&amp;$G$4&amp;$G$5,'Raw Data'!$C:$BO,39,0),"NA")</f>
        <v>NA</v>
      </c>
      <c r="L32" s="26" t="str">
        <f>IFERROR(VLOOKUP(D32&amp;$G$3&amp;$G$4&amp;$G$5,'Raw Data'!$C:$BO,65,0),"NA")</f>
        <v>NA</v>
      </c>
      <c r="M32" s="26" t="str">
        <f>IFERROR(VLOOKUP(D32&amp;$G$3&amp;$G$4&amp;G24,'Raw Data'!$C:$BO,52,0),"NA")</f>
        <v>NA</v>
      </c>
      <c r="N32" s="26">
        <f t="shared" si="10"/>
        <v>0</v>
      </c>
      <c r="O32" s="78" t="str">
        <f t="shared" si="11"/>
        <v>NA</v>
      </c>
      <c r="P32" s="26" t="str">
        <f>IFERROR(VLOOKUP(D32&amp;$G$3&amp;$G$4&amp;$G$5,'Raw Data'!$C:$BS,66,0),"NA")</f>
        <v>NA</v>
      </c>
      <c r="Q32" s="26" t="str">
        <f>IFERROR(VLOOKUP(D32&amp;$G$3&amp;$G$4&amp;$G$5,'Raw Data'!$C:$BS,67,0),"NA")</f>
        <v>NA</v>
      </c>
      <c r="R32" s="26" t="str">
        <f>IFERROR(VLOOKUP(D32&amp;$G$3&amp;$G$4&amp;$G$5,'Raw Data'!$C:$BS,68,0),"NA")</f>
        <v>NA</v>
      </c>
      <c r="S32" s="26" t="str">
        <f>IFERROR(VLOOKUP(D32&amp;$G$3&amp;$G$4&amp;$G$5,'Raw Data'!$C:$BS,69,0),"NA")</f>
        <v>NA</v>
      </c>
      <c r="T32" s="44" t="str">
        <f t="shared" si="12"/>
        <v>NA</v>
      </c>
      <c r="BK32" s="60" t="str">
        <f t="shared" si="13"/>
        <v>NA</v>
      </c>
      <c r="BL32" t="str">
        <f t="shared" si="14"/>
        <v>NA</v>
      </c>
      <c r="BM32" t="str">
        <f t="shared" si="15"/>
        <v>NA</v>
      </c>
      <c r="BN32" t="str">
        <f t="shared" si="16"/>
        <v>NA</v>
      </c>
      <c r="BO32" t="str">
        <f t="shared" si="6"/>
        <v/>
      </c>
      <c r="BP32" t="str">
        <f t="shared" si="17"/>
        <v>NA</v>
      </c>
    </row>
    <row r="33" spans="1:68">
      <c r="A33" t="str">
        <f t="shared" ca="1" si="7"/>
        <v>20LowNoTelecom-Non AT&amp;TJ</v>
      </c>
      <c r="B33" t="str">
        <f t="shared" ca="1" si="8"/>
        <v>20LowNoTelecom-Non AT&amp;TK</v>
      </c>
      <c r="C33" t="str">
        <f t="shared" ca="1" si="9"/>
        <v>20LowNoTelecom-Non AT&amp;TL</v>
      </c>
      <c r="D33" s="22">
        <v>20</v>
      </c>
      <c r="E33" s="24" t="str">
        <f>IFERROR(VLOOKUP(D33&amp;$G$3&amp;$G$4&amp;$G$5,'Raw Data'!$C:$BO,2,0),"NA")</f>
        <v>NA</v>
      </c>
      <c r="F33" s="79" t="str">
        <f>IFERROR(VLOOKUP(D33&amp;$G$3&amp;$G$4&amp;$G$5,'Raw Data'!$C:$BO,5,0),"NA")</f>
        <v>NA</v>
      </c>
      <c r="G33" s="44" t="str">
        <f>IFERROR(VLOOKUP(D33&amp;$G$3&amp;$G$4&amp;$G$5,'Raw Data'!$C:$BT,70,0),"NA")</f>
        <v>NA</v>
      </c>
      <c r="H33" s="62" t="str">
        <f>IFERROR(VLOOKUP(D33&amp;$G$3&amp;$G$4&amp;$G$5,'Raw Data'!$C:$BO,7,0),"NA")</f>
        <v>NA</v>
      </c>
      <c r="I33" s="29" t="str">
        <f>IFERROR(VLOOKUP(D33&amp;$G$3&amp;$G$4&amp;$G$5,'Raw Data'!$C:$BO,11,0),"NA")</f>
        <v>NA</v>
      </c>
      <c r="J33" s="26" t="str">
        <f>IFERROR(VLOOKUP(D33&amp;$G$3&amp;$G$4&amp;$G$5,'Raw Data'!$C:$BO,26,0),"NA")</f>
        <v>NA</v>
      </c>
      <c r="K33" s="26" t="str">
        <f>IFERROR(VLOOKUP(D33&amp;$G$3&amp;$G$4&amp;$G$5,'Raw Data'!$C:$BO,39,0),"NA")</f>
        <v>NA</v>
      </c>
      <c r="L33" s="26" t="str">
        <f>IFERROR(VLOOKUP(D33&amp;$G$3&amp;$G$4&amp;$G$5,'Raw Data'!$C:$BO,65,0),"NA")</f>
        <v>NA</v>
      </c>
      <c r="M33" s="26" t="str">
        <f>IFERROR(VLOOKUP(D33&amp;$G$3&amp;$G$4&amp;G25,'Raw Data'!$C:$BO,52,0),"NA")</f>
        <v>NA</v>
      </c>
      <c r="N33" s="26">
        <f t="shared" si="10"/>
        <v>0</v>
      </c>
      <c r="O33" s="78" t="str">
        <f t="shared" si="11"/>
        <v>NA</v>
      </c>
      <c r="P33" s="26" t="str">
        <f>IFERROR(VLOOKUP(D33&amp;$G$3&amp;$G$4&amp;$G$5,'Raw Data'!$C:$BS,66,0),"NA")</f>
        <v>NA</v>
      </c>
      <c r="Q33" s="26" t="str">
        <f>IFERROR(VLOOKUP(D33&amp;$G$3&amp;$G$4&amp;$G$5,'Raw Data'!$C:$BS,67,0),"NA")</f>
        <v>NA</v>
      </c>
      <c r="R33" s="26" t="str">
        <f>IFERROR(VLOOKUP(D33&amp;$G$3&amp;$G$4&amp;$G$5,'Raw Data'!$C:$BS,68,0),"NA")</f>
        <v>NA</v>
      </c>
      <c r="S33" s="26" t="str">
        <f>IFERROR(VLOOKUP(D33&amp;$G$3&amp;$G$4&amp;$G$5,'Raw Data'!$C:$BS,69,0),"NA")</f>
        <v>NA</v>
      </c>
      <c r="T33" s="44" t="str">
        <f t="shared" si="12"/>
        <v>NA</v>
      </c>
      <c r="BK33" s="60" t="str">
        <f t="shared" si="13"/>
        <v>NA</v>
      </c>
      <c r="BL33" t="str">
        <f t="shared" si="14"/>
        <v>NA</v>
      </c>
      <c r="BM33" t="str">
        <f t="shared" si="15"/>
        <v>NA</v>
      </c>
      <c r="BN33" t="str">
        <f t="shared" si="16"/>
        <v>NA</v>
      </c>
      <c r="BO33" t="str">
        <f t="shared" si="6"/>
        <v/>
      </c>
      <c r="BP33" t="str">
        <f t="shared" si="17"/>
        <v>NA</v>
      </c>
    </row>
    <row r="34" spans="1:68">
      <c r="A34" t="str">
        <f t="shared" ca="1" si="7"/>
        <v>21LowNoTelecom-Non AT&amp;TJ</v>
      </c>
      <c r="B34" t="str">
        <f t="shared" ca="1" si="8"/>
        <v>21LowNoTelecom-Non AT&amp;TK</v>
      </c>
      <c r="C34" t="str">
        <f t="shared" ca="1" si="9"/>
        <v>21LowNoTelecom-Non AT&amp;TL</v>
      </c>
      <c r="D34" s="22">
        <v>21</v>
      </c>
      <c r="E34" s="24" t="str">
        <f>IFERROR(VLOOKUP(D34&amp;$G$3&amp;$G$4&amp;$G$5,'Raw Data'!$C:$BO,2,0),"NA")</f>
        <v>NA</v>
      </c>
      <c r="F34" s="79" t="str">
        <f>IFERROR(VLOOKUP(D34&amp;$G$3&amp;$G$4&amp;$G$5,'Raw Data'!$C:$BO,5,0),"NA")</f>
        <v>NA</v>
      </c>
      <c r="G34" s="44" t="str">
        <f>IFERROR(VLOOKUP(D34&amp;$G$3&amp;$G$4&amp;$G$5,'Raw Data'!$C:$BT,70,0),"NA")</f>
        <v>NA</v>
      </c>
      <c r="H34" s="62" t="str">
        <f>IFERROR(VLOOKUP(D34&amp;$G$3&amp;$G$4&amp;$G$5,'Raw Data'!$C:$BO,7,0),"NA")</f>
        <v>NA</v>
      </c>
      <c r="I34" s="29" t="str">
        <f>IFERROR(VLOOKUP(D34&amp;$G$3&amp;$G$4&amp;$G$5,'Raw Data'!$C:$BO,11,0),"NA")</f>
        <v>NA</v>
      </c>
      <c r="J34" s="26" t="str">
        <f>IFERROR(VLOOKUP(D34&amp;$G$3&amp;$G$4&amp;$G$5,'Raw Data'!$C:$BO,26,0),"NA")</f>
        <v>NA</v>
      </c>
      <c r="K34" s="26" t="str">
        <f>IFERROR(VLOOKUP(D34&amp;$G$3&amp;$G$4&amp;$G$5,'Raw Data'!$C:$BO,39,0),"NA")</f>
        <v>NA</v>
      </c>
      <c r="L34" s="26" t="str">
        <f>IFERROR(VLOOKUP(D34&amp;$G$3&amp;$G$4&amp;$G$5,'Raw Data'!$C:$BO,65,0),"NA")</f>
        <v>NA</v>
      </c>
      <c r="M34" s="26" t="str">
        <f>IFERROR(VLOOKUP(D34&amp;$G$3&amp;$G$4&amp;G26,'Raw Data'!$C:$BO,52,0),"NA")</f>
        <v>NA</v>
      </c>
      <c r="N34" s="26">
        <f t="shared" si="10"/>
        <v>0</v>
      </c>
      <c r="O34" s="78" t="str">
        <f t="shared" si="11"/>
        <v>NA</v>
      </c>
      <c r="P34" s="26" t="str">
        <f>IFERROR(VLOOKUP(D34&amp;$G$3&amp;$G$4&amp;$G$5,'Raw Data'!$C:$BS,66,0),"NA")</f>
        <v>NA</v>
      </c>
      <c r="Q34" s="26" t="str">
        <f>IFERROR(VLOOKUP(D34&amp;$G$3&amp;$G$4&amp;$G$5,'Raw Data'!$C:$BS,67,0),"NA")</f>
        <v>NA</v>
      </c>
      <c r="R34" s="26" t="str">
        <f>IFERROR(VLOOKUP(D34&amp;$G$3&amp;$G$4&amp;$G$5,'Raw Data'!$C:$BS,68,0),"NA")</f>
        <v>NA</v>
      </c>
      <c r="S34" s="26" t="str">
        <f>IFERROR(VLOOKUP(D34&amp;$G$3&amp;$G$4&amp;$G$5,'Raw Data'!$C:$BS,69,0),"NA")</f>
        <v>NA</v>
      </c>
      <c r="T34" s="44" t="str">
        <f t="shared" si="12"/>
        <v>NA</v>
      </c>
      <c r="BK34" s="60" t="str">
        <f t="shared" si="13"/>
        <v>NA</v>
      </c>
      <c r="BL34" t="str">
        <f t="shared" si="14"/>
        <v>NA</v>
      </c>
      <c r="BM34" t="str">
        <f t="shared" si="15"/>
        <v>NA</v>
      </c>
      <c r="BN34" t="str">
        <f t="shared" si="16"/>
        <v>NA</v>
      </c>
      <c r="BO34" t="str">
        <f t="shared" si="6"/>
        <v/>
      </c>
      <c r="BP34" t="str">
        <f t="shared" si="17"/>
        <v>NA</v>
      </c>
    </row>
    <row r="35" spans="1:68">
      <c r="A35" t="str">
        <f t="shared" ca="1" si="7"/>
        <v>22LowNoTelecom-Non AT&amp;TJ</v>
      </c>
      <c r="B35" t="str">
        <f t="shared" ca="1" si="8"/>
        <v>22LowNoTelecom-Non AT&amp;TK</v>
      </c>
      <c r="C35" t="str">
        <f t="shared" ca="1" si="9"/>
        <v>22LowNoTelecom-Non AT&amp;TL</v>
      </c>
      <c r="D35" s="22">
        <v>22</v>
      </c>
      <c r="E35" s="24" t="str">
        <f>IFERROR(VLOOKUP(D35&amp;$G$3&amp;$G$4&amp;$G$5,'Raw Data'!$C:$BO,2,0),"NA")</f>
        <v>NA</v>
      </c>
      <c r="F35" s="79" t="str">
        <f>IFERROR(VLOOKUP(D35&amp;$G$3&amp;$G$4&amp;$G$5,'Raw Data'!$C:$BO,5,0),"NA")</f>
        <v>NA</v>
      </c>
      <c r="G35" s="44" t="str">
        <f>IFERROR(VLOOKUP(D35&amp;$G$3&amp;$G$4&amp;$G$5,'Raw Data'!$C:$BT,70,0),"NA")</f>
        <v>NA</v>
      </c>
      <c r="H35" s="62" t="str">
        <f>IFERROR(VLOOKUP(D35&amp;$G$3&amp;$G$4&amp;$G$5,'Raw Data'!$C:$BO,7,0),"NA")</f>
        <v>NA</v>
      </c>
      <c r="I35" s="29" t="str">
        <f>IFERROR(VLOOKUP(D35&amp;$G$3&amp;$G$4&amp;$G$5,'Raw Data'!$C:$BO,11,0),"NA")</f>
        <v>NA</v>
      </c>
      <c r="J35" s="26" t="str">
        <f>IFERROR(VLOOKUP(D35&amp;$G$3&amp;$G$4&amp;$G$5,'Raw Data'!$C:$BO,26,0),"NA")</f>
        <v>NA</v>
      </c>
      <c r="K35" s="26" t="str">
        <f>IFERROR(VLOOKUP(D35&amp;$G$3&amp;$G$4&amp;$G$5,'Raw Data'!$C:$BO,39,0),"NA")</f>
        <v>NA</v>
      </c>
      <c r="L35" s="26" t="str">
        <f>IFERROR(VLOOKUP(D35&amp;$G$3&amp;$G$4&amp;$G$5,'Raw Data'!$C:$BO,65,0),"NA")</f>
        <v>NA</v>
      </c>
      <c r="M35" s="26" t="str">
        <f>IFERROR(VLOOKUP(D35&amp;$G$3&amp;$G$4&amp;G27,'Raw Data'!$C:$BO,52,0),"NA")</f>
        <v>NA</v>
      </c>
      <c r="N35" s="26">
        <f t="shared" si="10"/>
        <v>0</v>
      </c>
      <c r="O35" s="78" t="str">
        <f t="shared" si="11"/>
        <v>NA</v>
      </c>
      <c r="P35" s="26" t="str">
        <f>IFERROR(VLOOKUP(D35&amp;$G$3&amp;$G$4&amp;$G$5,'Raw Data'!$C:$BS,66,0),"NA")</f>
        <v>NA</v>
      </c>
      <c r="Q35" s="26" t="str">
        <f>IFERROR(VLOOKUP(D35&amp;$G$3&amp;$G$4&amp;$G$5,'Raw Data'!$C:$BS,67,0),"NA")</f>
        <v>NA</v>
      </c>
      <c r="R35" s="26" t="str">
        <f>IFERROR(VLOOKUP(D35&amp;$G$3&amp;$G$4&amp;$G$5,'Raw Data'!$C:$BS,68,0),"NA")</f>
        <v>NA</v>
      </c>
      <c r="S35" s="26" t="str">
        <f>IFERROR(VLOOKUP(D35&amp;$G$3&amp;$G$4&amp;$G$5,'Raw Data'!$C:$BS,69,0),"NA")</f>
        <v>NA</v>
      </c>
      <c r="T35" s="44" t="str">
        <f t="shared" si="12"/>
        <v>NA</v>
      </c>
      <c r="BK35" s="60" t="str">
        <f t="shared" si="13"/>
        <v>NA</v>
      </c>
      <c r="BL35" t="str">
        <f t="shared" si="14"/>
        <v>NA</v>
      </c>
      <c r="BM35" t="str">
        <f t="shared" si="15"/>
        <v>NA</v>
      </c>
      <c r="BN35" t="str">
        <f t="shared" si="16"/>
        <v>NA</v>
      </c>
      <c r="BO35" t="str">
        <f t="shared" si="6"/>
        <v/>
      </c>
      <c r="BP35" t="str">
        <f t="shared" si="17"/>
        <v>NA</v>
      </c>
    </row>
    <row r="36" spans="1:68">
      <c r="A36" t="str">
        <f t="shared" ca="1" si="7"/>
        <v>23LowNoTelecom-Non AT&amp;TJ</v>
      </c>
      <c r="B36" t="str">
        <f t="shared" ca="1" si="8"/>
        <v>23LowNoTelecom-Non AT&amp;TK</v>
      </c>
      <c r="C36" t="str">
        <f t="shared" ca="1" si="9"/>
        <v>23LowNoTelecom-Non AT&amp;TL</v>
      </c>
      <c r="D36" s="22">
        <v>23</v>
      </c>
      <c r="E36" s="24" t="str">
        <f>IFERROR(VLOOKUP(D36&amp;$G$3&amp;$G$4&amp;$G$5,'Raw Data'!$C:$BO,2,0),"NA")</f>
        <v>NA</v>
      </c>
      <c r="F36" s="79" t="str">
        <f>IFERROR(VLOOKUP(D36&amp;$G$3&amp;$G$4&amp;$G$5,'Raw Data'!$C:$BO,5,0),"NA")</f>
        <v>NA</v>
      </c>
      <c r="G36" s="44" t="str">
        <f>IFERROR(VLOOKUP(D36&amp;$G$3&amp;$G$4&amp;$G$5,'Raw Data'!$C:$BT,70,0),"NA")</f>
        <v>NA</v>
      </c>
      <c r="H36" s="62" t="str">
        <f>IFERROR(VLOOKUP(D36&amp;$G$3&amp;$G$4&amp;$G$5,'Raw Data'!$C:$BO,7,0),"NA")</f>
        <v>NA</v>
      </c>
      <c r="I36" s="29" t="str">
        <f>IFERROR(VLOOKUP(D36&amp;$G$3&amp;$G$4&amp;$G$5,'Raw Data'!$C:$BO,11,0),"NA")</f>
        <v>NA</v>
      </c>
      <c r="J36" s="26" t="str">
        <f>IFERROR(VLOOKUP(D36&amp;$G$3&amp;$G$4&amp;$G$5,'Raw Data'!$C:$BO,26,0),"NA")</f>
        <v>NA</v>
      </c>
      <c r="K36" s="26" t="str">
        <f>IFERROR(VLOOKUP(D36&amp;$G$3&amp;$G$4&amp;$G$5,'Raw Data'!$C:$BO,39,0),"NA")</f>
        <v>NA</v>
      </c>
      <c r="L36" s="26" t="str">
        <f>IFERROR(VLOOKUP(D36&amp;$G$3&amp;$G$4&amp;$G$5,'Raw Data'!$C:$BO,65,0),"NA")</f>
        <v>NA</v>
      </c>
      <c r="M36" s="26" t="str">
        <f>IFERROR(VLOOKUP(D36&amp;$G$3&amp;$G$4&amp;G28,'Raw Data'!$C:$BO,52,0),"NA")</f>
        <v>NA</v>
      </c>
      <c r="N36" s="26">
        <f t="shared" si="10"/>
        <v>0</v>
      </c>
      <c r="O36" s="78" t="str">
        <f t="shared" si="11"/>
        <v>NA</v>
      </c>
      <c r="P36" s="26" t="str">
        <f>IFERROR(VLOOKUP(D36&amp;$G$3&amp;$G$4&amp;$G$5,'Raw Data'!$C:$BS,66,0),"NA")</f>
        <v>NA</v>
      </c>
      <c r="Q36" s="26" t="str">
        <f>IFERROR(VLOOKUP(D36&amp;$G$3&amp;$G$4&amp;$G$5,'Raw Data'!$C:$BS,67,0),"NA")</f>
        <v>NA</v>
      </c>
      <c r="R36" s="26" t="str">
        <f>IFERROR(VLOOKUP(D36&amp;$G$3&amp;$G$4&amp;$G$5,'Raw Data'!$C:$BS,68,0),"NA")</f>
        <v>NA</v>
      </c>
      <c r="S36" s="26" t="str">
        <f>IFERROR(VLOOKUP(D36&amp;$G$3&amp;$G$4&amp;$G$5,'Raw Data'!$C:$BS,69,0),"NA")</f>
        <v>NA</v>
      </c>
      <c r="T36" s="44" t="str">
        <f t="shared" si="12"/>
        <v>NA</v>
      </c>
      <c r="BK36" s="60" t="str">
        <f t="shared" si="13"/>
        <v>NA</v>
      </c>
      <c r="BL36" t="str">
        <f t="shared" si="14"/>
        <v>NA</v>
      </c>
      <c r="BM36" t="str">
        <f t="shared" si="15"/>
        <v>NA</v>
      </c>
      <c r="BN36" t="str">
        <f t="shared" si="16"/>
        <v>NA</v>
      </c>
      <c r="BO36" t="str">
        <f t="shared" si="6"/>
        <v/>
      </c>
      <c r="BP36" t="str">
        <f t="shared" si="17"/>
        <v>NA</v>
      </c>
    </row>
    <row r="37" spans="1:68">
      <c r="A37" t="str">
        <f t="shared" ca="1" si="7"/>
        <v>24LowNoTelecom-Non AT&amp;TJ</v>
      </c>
      <c r="B37" t="str">
        <f t="shared" ca="1" si="8"/>
        <v>24LowNoTelecom-Non AT&amp;TK</v>
      </c>
      <c r="C37" t="str">
        <f t="shared" ca="1" si="9"/>
        <v>24LowNoTelecom-Non AT&amp;TL</v>
      </c>
      <c r="D37" s="22">
        <v>24</v>
      </c>
      <c r="E37" s="24" t="str">
        <f>IFERROR(VLOOKUP(D37&amp;$G$3&amp;$G$4&amp;$G$5,'Raw Data'!$C:$BO,2,0),"NA")</f>
        <v>NA</v>
      </c>
      <c r="F37" s="79" t="str">
        <f>IFERROR(VLOOKUP(D37&amp;$G$3&amp;$G$4&amp;$G$5,'Raw Data'!$C:$BO,5,0),"NA")</f>
        <v>NA</v>
      </c>
      <c r="G37" s="44" t="str">
        <f>IFERROR(VLOOKUP(D37&amp;$G$3&amp;$G$4&amp;$G$5,'Raw Data'!$C:$BT,70,0),"NA")</f>
        <v>NA</v>
      </c>
      <c r="H37" s="62" t="str">
        <f>IFERROR(VLOOKUP(D37&amp;$G$3&amp;$G$4&amp;$G$5,'Raw Data'!$C:$BO,7,0),"NA")</f>
        <v>NA</v>
      </c>
      <c r="I37" s="29" t="str">
        <f>IFERROR(VLOOKUP(D37&amp;$G$3&amp;$G$4&amp;$G$5,'Raw Data'!$C:$BO,11,0),"NA")</f>
        <v>NA</v>
      </c>
      <c r="J37" s="26" t="str">
        <f>IFERROR(VLOOKUP(D37&amp;$G$3&amp;$G$4&amp;$G$5,'Raw Data'!$C:$BO,26,0),"NA")</f>
        <v>NA</v>
      </c>
      <c r="K37" s="26" t="str">
        <f>IFERROR(VLOOKUP(D37&amp;$G$3&amp;$G$4&amp;$G$5,'Raw Data'!$C:$BO,39,0),"NA")</f>
        <v>NA</v>
      </c>
      <c r="L37" s="26" t="str">
        <f>IFERROR(VLOOKUP(D37&amp;$G$3&amp;$G$4&amp;$G$5,'Raw Data'!$C:$BO,65,0),"NA")</f>
        <v>NA</v>
      </c>
      <c r="M37" s="26" t="str">
        <f>IFERROR(VLOOKUP(D37&amp;$G$3&amp;$G$4&amp;G29,'Raw Data'!$C:$BO,52,0),"NA")</f>
        <v>NA</v>
      </c>
      <c r="N37" s="26">
        <f t="shared" si="10"/>
        <v>0</v>
      </c>
      <c r="O37" s="78" t="str">
        <f t="shared" si="11"/>
        <v>NA</v>
      </c>
      <c r="P37" s="26" t="str">
        <f>IFERROR(VLOOKUP(D37&amp;$G$3&amp;$G$4&amp;$G$5,'Raw Data'!$C:$BS,66,0),"NA")</f>
        <v>NA</v>
      </c>
      <c r="Q37" s="26" t="str">
        <f>IFERROR(VLOOKUP(D37&amp;$G$3&amp;$G$4&amp;$G$5,'Raw Data'!$C:$BS,67,0),"NA")</f>
        <v>NA</v>
      </c>
      <c r="R37" s="26" t="str">
        <f>IFERROR(VLOOKUP(D37&amp;$G$3&amp;$G$4&amp;$G$5,'Raw Data'!$C:$BS,68,0),"NA")</f>
        <v>NA</v>
      </c>
      <c r="S37" s="26" t="str">
        <f>IFERROR(VLOOKUP(D37&amp;$G$3&amp;$G$4&amp;$G$5,'Raw Data'!$C:$BS,69,0),"NA")</f>
        <v>NA</v>
      </c>
      <c r="T37" s="44" t="str">
        <f t="shared" si="12"/>
        <v>NA</v>
      </c>
      <c r="BK37" s="60" t="str">
        <f t="shared" si="13"/>
        <v>NA</v>
      </c>
      <c r="BL37" t="str">
        <f t="shared" si="14"/>
        <v>NA</v>
      </c>
      <c r="BM37" t="str">
        <f t="shared" si="15"/>
        <v>NA</v>
      </c>
      <c r="BN37" t="str">
        <f t="shared" si="16"/>
        <v>NA</v>
      </c>
      <c r="BO37" t="str">
        <f t="shared" si="6"/>
        <v/>
      </c>
      <c r="BP37" t="str">
        <f t="shared" si="17"/>
        <v>NA</v>
      </c>
    </row>
    <row r="38" spans="1:68">
      <c r="A38" t="str">
        <f t="shared" ca="1" si="7"/>
        <v>25LowNoTelecom-Non AT&amp;TJ</v>
      </c>
      <c r="B38" t="str">
        <f t="shared" ca="1" si="8"/>
        <v>25LowNoTelecom-Non AT&amp;TK</v>
      </c>
      <c r="C38" t="str">
        <f t="shared" ca="1" si="9"/>
        <v>25LowNoTelecom-Non AT&amp;TL</v>
      </c>
      <c r="D38" s="22">
        <v>25</v>
      </c>
      <c r="E38" s="24" t="str">
        <f>IFERROR(VLOOKUP(D38&amp;$G$3&amp;$G$4&amp;$G$5,'Raw Data'!$C:$BO,2,0),"NA")</f>
        <v>NA</v>
      </c>
      <c r="F38" s="79" t="str">
        <f>IFERROR(VLOOKUP(D38&amp;$G$3&amp;$G$4&amp;$G$5,'Raw Data'!$C:$BO,5,0),"NA")</f>
        <v>NA</v>
      </c>
      <c r="G38" s="44" t="str">
        <f>IFERROR(VLOOKUP(D38&amp;$G$3&amp;$G$4&amp;$G$5,'Raw Data'!$C:$BT,70,0),"NA")</f>
        <v>NA</v>
      </c>
      <c r="H38" s="62" t="str">
        <f>IFERROR(VLOOKUP(D38&amp;$G$3&amp;$G$4&amp;$G$5,'Raw Data'!$C:$BO,7,0),"NA")</f>
        <v>NA</v>
      </c>
      <c r="I38" s="29" t="str">
        <f>IFERROR(VLOOKUP(D38&amp;$G$3&amp;$G$4&amp;$G$5,'Raw Data'!$C:$BO,11,0),"NA")</f>
        <v>NA</v>
      </c>
      <c r="J38" s="26" t="str">
        <f>IFERROR(VLOOKUP(D38&amp;$G$3&amp;$G$4&amp;$G$5,'Raw Data'!$C:$BO,26,0),"NA")</f>
        <v>NA</v>
      </c>
      <c r="K38" s="26" t="str">
        <f>IFERROR(VLOOKUP(D38&amp;$G$3&amp;$G$4&amp;$G$5,'Raw Data'!$C:$BO,39,0),"NA")</f>
        <v>NA</v>
      </c>
      <c r="L38" s="26" t="str">
        <f>IFERROR(VLOOKUP(D38&amp;$G$3&amp;$G$4&amp;$G$5,'Raw Data'!$C:$BO,65,0),"NA")</f>
        <v>NA</v>
      </c>
      <c r="M38" s="26" t="str">
        <f>IFERROR(VLOOKUP(D38&amp;$G$3&amp;$G$4&amp;G30,'Raw Data'!$C:$BO,52,0),"NA")</f>
        <v>NA</v>
      </c>
      <c r="N38" s="26">
        <f t="shared" si="10"/>
        <v>0</v>
      </c>
      <c r="O38" s="78" t="str">
        <f t="shared" si="11"/>
        <v>NA</v>
      </c>
      <c r="P38" s="26" t="str">
        <f>IFERROR(VLOOKUP(D38&amp;$G$3&amp;$G$4&amp;$G$5,'Raw Data'!$C:$BS,66,0),"NA")</f>
        <v>NA</v>
      </c>
      <c r="Q38" s="26" t="str">
        <f>IFERROR(VLOOKUP(D38&amp;$G$3&amp;$G$4&amp;$G$5,'Raw Data'!$C:$BS,67,0),"NA")</f>
        <v>NA</v>
      </c>
      <c r="R38" s="26" t="str">
        <f>IFERROR(VLOOKUP(D38&amp;$G$3&amp;$G$4&amp;$G$5,'Raw Data'!$C:$BS,68,0),"NA")</f>
        <v>NA</v>
      </c>
      <c r="S38" s="26" t="str">
        <f>IFERROR(VLOOKUP(D38&amp;$G$3&amp;$G$4&amp;$G$5,'Raw Data'!$C:$BS,69,0),"NA")</f>
        <v>NA</v>
      </c>
      <c r="T38" s="44" t="str">
        <f t="shared" si="12"/>
        <v>NA</v>
      </c>
      <c r="BK38" s="60" t="str">
        <f t="shared" si="13"/>
        <v>NA</v>
      </c>
      <c r="BL38" t="str">
        <f t="shared" si="14"/>
        <v>NA</v>
      </c>
      <c r="BM38" t="str">
        <f t="shared" si="15"/>
        <v>NA</v>
      </c>
      <c r="BN38" t="str">
        <f t="shared" si="16"/>
        <v>NA</v>
      </c>
      <c r="BO38" t="str">
        <f t="shared" si="6"/>
        <v/>
      </c>
      <c r="BP38" t="str">
        <f t="shared" si="17"/>
        <v>NA</v>
      </c>
    </row>
    <row r="39" spans="1:68">
      <c r="A39" t="str">
        <f t="shared" ca="1" si="7"/>
        <v>26LowNoTelecom-Non AT&amp;TJ</v>
      </c>
      <c r="B39" t="str">
        <f t="shared" ca="1" si="8"/>
        <v>26LowNoTelecom-Non AT&amp;TK</v>
      </c>
      <c r="C39" t="str">
        <f t="shared" ca="1" si="9"/>
        <v>26LowNoTelecom-Non AT&amp;TL</v>
      </c>
      <c r="D39" s="22">
        <v>26</v>
      </c>
      <c r="E39" s="24" t="str">
        <f>IFERROR(VLOOKUP(D39&amp;$G$3&amp;$G$4&amp;$G$5,'Raw Data'!$C:$BO,2,0),"NA")</f>
        <v>NA</v>
      </c>
      <c r="F39" s="79" t="str">
        <f>IFERROR(VLOOKUP(D39&amp;$G$3&amp;$G$4&amp;$G$5,'Raw Data'!$C:$BO,5,0),"NA")</f>
        <v>NA</v>
      </c>
      <c r="G39" s="44" t="str">
        <f>IFERROR(VLOOKUP(D39&amp;$G$3&amp;$G$4&amp;$G$5,'Raw Data'!$C:$BT,70,0),"NA")</f>
        <v>NA</v>
      </c>
      <c r="H39" s="62" t="str">
        <f>IFERROR(VLOOKUP(D39&amp;$G$3&amp;$G$4&amp;$G$5,'Raw Data'!$C:$BO,7,0),"NA")</f>
        <v>NA</v>
      </c>
      <c r="I39" s="29" t="str">
        <f>IFERROR(VLOOKUP(D39&amp;$G$3&amp;$G$4&amp;$G$5,'Raw Data'!$C:$BO,11,0),"NA")</f>
        <v>NA</v>
      </c>
      <c r="J39" s="26" t="str">
        <f>IFERROR(VLOOKUP(D39&amp;$G$3&amp;$G$4&amp;$G$5,'Raw Data'!$C:$BO,26,0),"NA")</f>
        <v>NA</v>
      </c>
      <c r="K39" s="26" t="str">
        <f>IFERROR(VLOOKUP(D39&amp;$G$3&amp;$G$4&amp;$G$5,'Raw Data'!$C:$BO,39,0),"NA")</f>
        <v>NA</v>
      </c>
      <c r="L39" s="26" t="str">
        <f>IFERROR(VLOOKUP(D39&amp;$G$3&amp;$G$4&amp;$G$5,'Raw Data'!$C:$BO,65,0),"NA")</f>
        <v>NA</v>
      </c>
      <c r="M39" s="26" t="str">
        <f>IFERROR(VLOOKUP(D39&amp;$G$3&amp;$G$4&amp;G31,'Raw Data'!$C:$BO,52,0),"NA")</f>
        <v>NA</v>
      </c>
      <c r="N39" s="26">
        <f t="shared" si="10"/>
        <v>0</v>
      </c>
      <c r="O39" s="78" t="str">
        <f t="shared" si="11"/>
        <v>NA</v>
      </c>
      <c r="P39" s="26" t="str">
        <f>IFERROR(VLOOKUP(D39&amp;$G$3&amp;$G$4&amp;$G$5,'Raw Data'!$C:$BS,66,0),"NA")</f>
        <v>NA</v>
      </c>
      <c r="Q39" s="26" t="str">
        <f>IFERROR(VLOOKUP(D39&amp;$G$3&amp;$G$4&amp;$G$5,'Raw Data'!$C:$BS,67,0),"NA")</f>
        <v>NA</v>
      </c>
      <c r="R39" s="26" t="str">
        <f>IFERROR(VLOOKUP(D39&amp;$G$3&amp;$G$4&amp;$G$5,'Raw Data'!$C:$BS,68,0),"NA")</f>
        <v>NA</v>
      </c>
      <c r="S39" s="26" t="str">
        <f>IFERROR(VLOOKUP(D39&amp;$G$3&amp;$G$4&amp;$G$5,'Raw Data'!$C:$BS,69,0),"NA")</f>
        <v>NA</v>
      </c>
      <c r="T39" s="44" t="str">
        <f t="shared" si="12"/>
        <v>NA</v>
      </c>
      <c r="BK39" s="60" t="str">
        <f t="shared" si="13"/>
        <v>NA</v>
      </c>
      <c r="BL39" t="str">
        <f t="shared" si="14"/>
        <v>NA</v>
      </c>
      <c r="BM39" t="str">
        <f t="shared" si="15"/>
        <v>NA</v>
      </c>
      <c r="BN39" t="str">
        <f t="shared" si="16"/>
        <v>NA</v>
      </c>
      <c r="BO39" t="str">
        <f t="shared" si="6"/>
        <v/>
      </c>
      <c r="BP39" t="str">
        <f t="shared" si="17"/>
        <v>NA</v>
      </c>
    </row>
    <row r="40" spans="1:68">
      <c r="A40" t="str">
        <f t="shared" ca="1" si="7"/>
        <v>27LowNoTelecom-Non AT&amp;TJ</v>
      </c>
      <c r="B40" t="str">
        <f t="shared" ca="1" si="8"/>
        <v>27LowNoTelecom-Non AT&amp;TK</v>
      </c>
      <c r="C40" t="str">
        <f t="shared" ca="1" si="9"/>
        <v>27LowNoTelecom-Non AT&amp;TL</v>
      </c>
      <c r="D40" s="22">
        <v>27</v>
      </c>
      <c r="E40" s="24" t="str">
        <f>IFERROR(VLOOKUP(D40&amp;$G$3&amp;$G$4&amp;$G$5,'Raw Data'!$C:$BO,2,0),"NA")</f>
        <v>NA</v>
      </c>
      <c r="F40" s="79" t="str">
        <f>IFERROR(VLOOKUP(D40&amp;$G$3&amp;$G$4&amp;$G$5,'Raw Data'!$C:$BO,5,0),"NA")</f>
        <v>NA</v>
      </c>
      <c r="G40" s="44" t="str">
        <f>IFERROR(VLOOKUP(D40&amp;$G$3&amp;$G$4&amp;$G$5,'Raw Data'!$C:$BT,70,0),"NA")</f>
        <v>NA</v>
      </c>
      <c r="H40" s="62" t="str">
        <f>IFERROR(VLOOKUP(D40&amp;$G$3&amp;$G$4&amp;$G$5,'Raw Data'!$C:$BO,7,0),"NA")</f>
        <v>NA</v>
      </c>
      <c r="I40" s="29" t="str">
        <f>IFERROR(VLOOKUP(D40&amp;$G$3&amp;$G$4&amp;$G$5,'Raw Data'!$C:$BO,11,0),"NA")</f>
        <v>NA</v>
      </c>
      <c r="J40" s="26" t="str">
        <f>IFERROR(VLOOKUP(D40&amp;$G$3&amp;$G$4&amp;$G$5,'Raw Data'!$C:$BO,26,0),"NA")</f>
        <v>NA</v>
      </c>
      <c r="K40" s="26" t="str">
        <f>IFERROR(VLOOKUP(D40&amp;$G$3&amp;$G$4&amp;$G$5,'Raw Data'!$C:$BO,39,0),"NA")</f>
        <v>NA</v>
      </c>
      <c r="L40" s="26" t="str">
        <f>IFERROR(VLOOKUP(D40&amp;$G$3&amp;$G$4&amp;$G$5,'Raw Data'!$C:$BO,65,0),"NA")</f>
        <v>NA</v>
      </c>
      <c r="M40" s="26" t="str">
        <f>IFERROR(VLOOKUP(D40&amp;$G$3&amp;$G$4&amp;G32,'Raw Data'!$C:$BO,52,0),"NA")</f>
        <v>NA</v>
      </c>
      <c r="N40" s="26">
        <f t="shared" si="10"/>
        <v>0</v>
      </c>
      <c r="O40" s="78" t="str">
        <f t="shared" si="11"/>
        <v>NA</v>
      </c>
      <c r="P40" s="26" t="str">
        <f>IFERROR(VLOOKUP(D40&amp;$G$3&amp;$G$4&amp;$G$5,'Raw Data'!$C:$BS,66,0),"NA")</f>
        <v>NA</v>
      </c>
      <c r="Q40" s="26" t="str">
        <f>IFERROR(VLOOKUP(D40&amp;$G$3&amp;$G$4&amp;$G$5,'Raw Data'!$C:$BS,67,0),"NA")</f>
        <v>NA</v>
      </c>
      <c r="R40" s="26" t="str">
        <f>IFERROR(VLOOKUP(D40&amp;$G$3&amp;$G$4&amp;$G$5,'Raw Data'!$C:$BS,68,0),"NA")</f>
        <v>NA</v>
      </c>
      <c r="S40" s="26" t="str">
        <f>IFERROR(VLOOKUP(D40&amp;$G$3&amp;$G$4&amp;$G$5,'Raw Data'!$C:$BS,69,0),"NA")</f>
        <v>NA</v>
      </c>
      <c r="T40" s="44" t="str">
        <f t="shared" si="12"/>
        <v>NA</v>
      </c>
      <c r="BK40" s="60" t="str">
        <f t="shared" si="13"/>
        <v>NA</v>
      </c>
      <c r="BL40" t="str">
        <f t="shared" si="14"/>
        <v>NA</v>
      </c>
      <c r="BM40" t="str">
        <f t="shared" si="15"/>
        <v>NA</v>
      </c>
      <c r="BN40" t="str">
        <f t="shared" si="16"/>
        <v>NA</v>
      </c>
      <c r="BO40" t="str">
        <f t="shared" si="6"/>
        <v/>
      </c>
      <c r="BP40" t="str">
        <f t="shared" si="17"/>
        <v>NA</v>
      </c>
    </row>
    <row r="41" spans="1:68">
      <c r="A41" t="str">
        <f t="shared" ca="1" si="7"/>
        <v>28LowNoTelecom-Non AT&amp;TJ</v>
      </c>
      <c r="B41" t="str">
        <f t="shared" ca="1" si="8"/>
        <v>28LowNoTelecom-Non AT&amp;TK</v>
      </c>
      <c r="C41" t="str">
        <f t="shared" ca="1" si="9"/>
        <v>28LowNoTelecom-Non AT&amp;TL</v>
      </c>
      <c r="D41" s="22">
        <v>28</v>
      </c>
      <c r="E41" s="24" t="str">
        <f>IFERROR(VLOOKUP(D41&amp;$G$3&amp;$G$4&amp;$G$5,'Raw Data'!$C:$BO,2,0),"NA")</f>
        <v>NA</v>
      </c>
      <c r="F41" s="79" t="str">
        <f>IFERROR(VLOOKUP(D41&amp;$G$3&amp;$G$4&amp;$G$5,'Raw Data'!$C:$BO,5,0),"NA")</f>
        <v>NA</v>
      </c>
      <c r="G41" s="44" t="str">
        <f>IFERROR(VLOOKUP(D41&amp;$G$3&amp;$G$4&amp;$G$5,'Raw Data'!$C:$BT,70,0),"NA")</f>
        <v>NA</v>
      </c>
      <c r="H41" s="62" t="str">
        <f>IFERROR(VLOOKUP(D41&amp;$G$3&amp;$G$4&amp;$G$5,'Raw Data'!$C:$BO,7,0),"NA")</f>
        <v>NA</v>
      </c>
      <c r="I41" s="29" t="str">
        <f>IFERROR(VLOOKUP(D41&amp;$G$3&amp;$G$4&amp;$G$5,'Raw Data'!$C:$BO,11,0),"NA")</f>
        <v>NA</v>
      </c>
      <c r="J41" s="26" t="str">
        <f>IFERROR(VLOOKUP(D41&amp;$G$3&amp;$G$4&amp;$G$5,'Raw Data'!$C:$BO,26,0),"NA")</f>
        <v>NA</v>
      </c>
      <c r="K41" s="26" t="str">
        <f>IFERROR(VLOOKUP(D41&amp;$G$3&amp;$G$4&amp;$G$5,'Raw Data'!$C:$BO,39,0),"NA")</f>
        <v>NA</v>
      </c>
      <c r="L41" s="26" t="str">
        <f>IFERROR(VLOOKUP(D41&amp;$G$3&amp;$G$4&amp;$G$5,'Raw Data'!$C:$BO,65,0),"NA")</f>
        <v>NA</v>
      </c>
      <c r="M41" s="26" t="str">
        <f>IFERROR(VLOOKUP(D41&amp;$G$3&amp;$G$4&amp;G33,'Raw Data'!$C:$BO,52,0),"NA")</f>
        <v>NA</v>
      </c>
      <c r="N41" s="26">
        <f t="shared" si="10"/>
        <v>0</v>
      </c>
      <c r="O41" s="78" t="str">
        <f t="shared" si="11"/>
        <v>NA</v>
      </c>
      <c r="P41" s="26" t="str">
        <f>IFERROR(VLOOKUP(D41&amp;$G$3&amp;$G$4&amp;$G$5,'Raw Data'!$C:$BS,66,0),"NA")</f>
        <v>NA</v>
      </c>
      <c r="Q41" s="26" t="str">
        <f>IFERROR(VLOOKUP(D41&amp;$G$3&amp;$G$4&amp;$G$5,'Raw Data'!$C:$BS,67,0),"NA")</f>
        <v>NA</v>
      </c>
      <c r="R41" s="26" t="str">
        <f>IFERROR(VLOOKUP(D41&amp;$G$3&amp;$G$4&amp;$G$5,'Raw Data'!$C:$BS,68,0),"NA")</f>
        <v>NA</v>
      </c>
      <c r="S41" s="26" t="str">
        <f>IFERROR(VLOOKUP(D41&amp;$G$3&amp;$G$4&amp;$G$5,'Raw Data'!$C:$BS,69,0),"NA")</f>
        <v>NA</v>
      </c>
      <c r="T41" s="44" t="str">
        <f t="shared" si="12"/>
        <v>NA</v>
      </c>
      <c r="BK41" s="60" t="str">
        <f t="shared" si="13"/>
        <v>NA</v>
      </c>
      <c r="BL41" t="str">
        <f t="shared" si="14"/>
        <v>NA</v>
      </c>
      <c r="BM41" t="str">
        <f t="shared" si="15"/>
        <v>NA</v>
      </c>
      <c r="BN41" t="str">
        <f t="shared" si="16"/>
        <v>NA</v>
      </c>
      <c r="BO41" t="str">
        <f t="shared" si="6"/>
        <v/>
      </c>
      <c r="BP41" t="str">
        <f t="shared" si="17"/>
        <v>NA</v>
      </c>
    </row>
    <row r="42" spans="1:68">
      <c r="A42" t="str">
        <f t="shared" ca="1" si="7"/>
        <v>29LowNoTelecom-Non AT&amp;TJ</v>
      </c>
      <c r="B42" t="str">
        <f t="shared" ca="1" si="8"/>
        <v>29LowNoTelecom-Non AT&amp;TK</v>
      </c>
      <c r="C42" t="str">
        <f t="shared" ca="1" si="9"/>
        <v>29LowNoTelecom-Non AT&amp;TL</v>
      </c>
      <c r="D42" s="22">
        <v>29</v>
      </c>
      <c r="E42" s="24" t="str">
        <f>IFERROR(VLOOKUP(D42&amp;$G$3&amp;$G$4&amp;$G$5,'Raw Data'!$C:$BO,2,0),"NA")</f>
        <v>NA</v>
      </c>
      <c r="F42" s="79" t="str">
        <f>IFERROR(VLOOKUP(D42&amp;$G$3&amp;$G$4&amp;$G$5,'Raw Data'!$C:$BO,5,0),"NA")</f>
        <v>NA</v>
      </c>
      <c r="G42" s="44" t="str">
        <f>IFERROR(VLOOKUP(D42&amp;$G$3&amp;$G$4&amp;$G$5,'Raw Data'!$C:$BT,70,0),"NA")</f>
        <v>NA</v>
      </c>
      <c r="H42" s="62" t="str">
        <f>IFERROR(VLOOKUP(D42&amp;$G$3&amp;$G$4&amp;$G$5,'Raw Data'!$C:$BO,7,0),"NA")</f>
        <v>NA</v>
      </c>
      <c r="I42" s="29" t="str">
        <f>IFERROR(VLOOKUP(D42&amp;$G$3&amp;$G$4&amp;$G$5,'Raw Data'!$C:$BO,11,0),"NA")</f>
        <v>NA</v>
      </c>
      <c r="J42" s="26" t="str">
        <f>IFERROR(VLOOKUP(D42&amp;$G$3&amp;$G$4&amp;$G$5,'Raw Data'!$C:$BO,26,0),"NA")</f>
        <v>NA</v>
      </c>
      <c r="K42" s="26" t="str">
        <f>IFERROR(VLOOKUP(D42&amp;$G$3&amp;$G$4&amp;$G$5,'Raw Data'!$C:$BO,39,0),"NA")</f>
        <v>NA</v>
      </c>
      <c r="L42" s="26" t="str">
        <f>IFERROR(VLOOKUP(D42&amp;$G$3&amp;$G$4&amp;$G$5,'Raw Data'!$C:$BO,65,0),"NA")</f>
        <v>NA</v>
      </c>
      <c r="M42" s="26" t="str">
        <f>IFERROR(VLOOKUP(D42&amp;$G$3&amp;$G$4&amp;G34,'Raw Data'!$C:$BO,52,0),"NA")</f>
        <v>NA</v>
      </c>
      <c r="N42" s="26">
        <f t="shared" si="10"/>
        <v>0</v>
      </c>
      <c r="O42" s="78" t="str">
        <f t="shared" si="11"/>
        <v>NA</v>
      </c>
      <c r="P42" s="26" t="str">
        <f>IFERROR(VLOOKUP(D42&amp;$G$3&amp;$G$4&amp;$G$5,'Raw Data'!$C:$BS,66,0),"NA")</f>
        <v>NA</v>
      </c>
      <c r="Q42" s="26" t="str">
        <f>IFERROR(VLOOKUP(D42&amp;$G$3&amp;$G$4&amp;$G$5,'Raw Data'!$C:$BS,67,0),"NA")</f>
        <v>NA</v>
      </c>
      <c r="R42" s="26" t="str">
        <f>IFERROR(VLOOKUP(D42&amp;$G$3&amp;$G$4&amp;$G$5,'Raw Data'!$C:$BS,68,0),"NA")</f>
        <v>NA</v>
      </c>
      <c r="S42" s="26" t="str">
        <f>IFERROR(VLOOKUP(D42&amp;$G$3&amp;$G$4&amp;$G$5,'Raw Data'!$C:$BS,69,0),"NA")</f>
        <v>NA</v>
      </c>
      <c r="T42" s="44" t="str">
        <f t="shared" si="12"/>
        <v>NA</v>
      </c>
      <c r="BK42" s="60" t="str">
        <f t="shared" si="13"/>
        <v>NA</v>
      </c>
      <c r="BL42" t="str">
        <f t="shared" si="14"/>
        <v>NA</v>
      </c>
      <c r="BM42" t="str">
        <f t="shared" si="15"/>
        <v>NA</v>
      </c>
      <c r="BN42" t="str">
        <f t="shared" si="16"/>
        <v>NA</v>
      </c>
      <c r="BO42" t="str">
        <f t="shared" si="6"/>
        <v/>
      </c>
      <c r="BP42" t="str">
        <f t="shared" si="17"/>
        <v>NA</v>
      </c>
    </row>
    <row r="43" spans="1:68">
      <c r="A43" t="str">
        <f t="shared" ca="1" si="7"/>
        <v>30LowNoTelecom-Non AT&amp;TJ</v>
      </c>
      <c r="B43" t="str">
        <f t="shared" ca="1" si="8"/>
        <v>30LowNoTelecom-Non AT&amp;TK</v>
      </c>
      <c r="C43" t="str">
        <f t="shared" ca="1" si="9"/>
        <v>30LowNoTelecom-Non AT&amp;TL</v>
      </c>
      <c r="D43" s="22">
        <v>30</v>
      </c>
      <c r="E43" s="24" t="str">
        <f>IFERROR(VLOOKUP(D43&amp;$G$3&amp;$G$4&amp;$G$5,'Raw Data'!$C:$BO,2,0),"NA")</f>
        <v>NA</v>
      </c>
      <c r="F43" s="79" t="str">
        <f>IFERROR(VLOOKUP(D43&amp;$G$3&amp;$G$4&amp;$G$5,'Raw Data'!$C:$BO,5,0),"NA")</f>
        <v>NA</v>
      </c>
      <c r="G43" s="44" t="str">
        <f>IFERROR(VLOOKUP(D43&amp;$G$3&amp;$G$4&amp;$G$5,'Raw Data'!$C:$BT,70,0),"NA")</f>
        <v>NA</v>
      </c>
      <c r="H43" s="62" t="str">
        <f>IFERROR(VLOOKUP(D43&amp;$G$3&amp;$G$4&amp;$G$5,'Raw Data'!$C:$BO,7,0),"NA")</f>
        <v>NA</v>
      </c>
      <c r="I43" s="29" t="str">
        <f>IFERROR(VLOOKUP(D43&amp;$G$3&amp;$G$4&amp;$G$5,'Raw Data'!$C:$BO,11,0),"NA")</f>
        <v>NA</v>
      </c>
      <c r="J43" s="26" t="str">
        <f>IFERROR(VLOOKUP(D43&amp;$G$3&amp;$G$4&amp;$G$5,'Raw Data'!$C:$BO,26,0),"NA")</f>
        <v>NA</v>
      </c>
      <c r="K43" s="26" t="str">
        <f>IFERROR(VLOOKUP(D43&amp;$G$3&amp;$G$4&amp;$G$5,'Raw Data'!$C:$BO,39,0),"NA")</f>
        <v>NA</v>
      </c>
      <c r="L43" s="26" t="str">
        <f>IFERROR(VLOOKUP(D43&amp;$G$3&amp;$G$4&amp;$G$5,'Raw Data'!$C:$BO,65,0),"NA")</f>
        <v>NA</v>
      </c>
      <c r="M43" s="26" t="str">
        <f>IFERROR(VLOOKUP(D43&amp;$G$3&amp;$G$4&amp;G35,'Raw Data'!$C:$BO,52,0),"NA")</f>
        <v>NA</v>
      </c>
      <c r="N43" s="26">
        <f t="shared" si="10"/>
        <v>0</v>
      </c>
      <c r="O43" s="78" t="str">
        <f t="shared" si="11"/>
        <v>NA</v>
      </c>
      <c r="P43" s="26" t="str">
        <f>IFERROR(VLOOKUP(D43&amp;$G$3&amp;$G$4&amp;$G$5,'Raw Data'!$C:$BS,66,0),"NA")</f>
        <v>NA</v>
      </c>
      <c r="Q43" s="26" t="str">
        <f>IFERROR(VLOOKUP(D43&amp;$G$3&amp;$G$4&amp;$G$5,'Raw Data'!$C:$BS,67,0),"NA")</f>
        <v>NA</v>
      </c>
      <c r="R43" s="26" t="str">
        <f>IFERROR(VLOOKUP(D43&amp;$G$3&amp;$G$4&amp;$G$5,'Raw Data'!$C:$BS,68,0),"NA")</f>
        <v>NA</v>
      </c>
      <c r="S43" s="26" t="str">
        <f>IFERROR(VLOOKUP(D43&amp;$G$3&amp;$G$4&amp;$G$5,'Raw Data'!$C:$BS,69,0),"NA")</f>
        <v>NA</v>
      </c>
      <c r="T43" s="44" t="str">
        <f t="shared" si="12"/>
        <v>NA</v>
      </c>
      <c r="BK43" s="60" t="str">
        <f t="shared" si="13"/>
        <v>NA</v>
      </c>
      <c r="BL43" t="str">
        <f t="shared" si="14"/>
        <v>NA</v>
      </c>
      <c r="BM43" t="str">
        <f t="shared" si="15"/>
        <v>NA</v>
      </c>
      <c r="BN43" t="str">
        <f t="shared" si="16"/>
        <v>NA</v>
      </c>
      <c r="BO43" t="str">
        <f t="shared" si="6"/>
        <v/>
      </c>
      <c r="BP43" t="str">
        <f t="shared" si="17"/>
        <v>NA</v>
      </c>
    </row>
    <row r="44" spans="1:68">
      <c r="A44" t="str">
        <f t="shared" ca="1" si="7"/>
        <v>31LowNoTelecom-Non AT&amp;TJ</v>
      </c>
      <c r="B44" t="str">
        <f t="shared" ca="1" si="8"/>
        <v>31LowNoTelecom-Non AT&amp;TK</v>
      </c>
      <c r="C44" t="str">
        <f t="shared" ca="1" si="9"/>
        <v>31LowNoTelecom-Non AT&amp;TL</v>
      </c>
      <c r="D44" s="22">
        <v>31</v>
      </c>
      <c r="E44" s="24" t="str">
        <f>IFERROR(VLOOKUP(D44&amp;$G$3&amp;$G$4&amp;$G$5,'Raw Data'!$C:$BO,2,0),"NA")</f>
        <v>NA</v>
      </c>
      <c r="F44" s="79" t="str">
        <f>IFERROR(VLOOKUP(D44&amp;$G$3&amp;$G$4&amp;$G$5,'Raw Data'!$C:$BO,5,0),"NA")</f>
        <v>NA</v>
      </c>
      <c r="G44" s="44" t="str">
        <f>IFERROR(VLOOKUP(D44&amp;$G$3&amp;$G$4&amp;$G$5,'Raw Data'!$C:$BT,70,0),"NA")</f>
        <v>NA</v>
      </c>
      <c r="H44" s="62" t="str">
        <f>IFERROR(VLOOKUP(D44&amp;$G$3&amp;$G$4&amp;$G$5,'Raw Data'!$C:$BO,7,0),"NA")</f>
        <v>NA</v>
      </c>
      <c r="I44" s="29" t="str">
        <f>IFERROR(VLOOKUP(D44&amp;$G$3&amp;$G$4&amp;$G$5,'Raw Data'!$C:$BO,11,0),"NA")</f>
        <v>NA</v>
      </c>
      <c r="J44" s="26" t="str">
        <f>IFERROR(VLOOKUP(D44&amp;$G$3&amp;$G$4&amp;$G$5,'Raw Data'!$C:$BO,26,0),"NA")</f>
        <v>NA</v>
      </c>
      <c r="K44" s="26" t="str">
        <f>IFERROR(VLOOKUP(D44&amp;$G$3&amp;$G$4&amp;$G$5,'Raw Data'!$C:$BO,39,0),"NA")</f>
        <v>NA</v>
      </c>
      <c r="L44" s="26" t="str">
        <f>IFERROR(VLOOKUP(D44&amp;$G$3&amp;$G$4&amp;$G$5,'Raw Data'!$C:$BO,65,0),"NA")</f>
        <v>NA</v>
      </c>
      <c r="M44" s="26" t="str">
        <f>IFERROR(VLOOKUP(D44&amp;$G$3&amp;$G$4&amp;G36,'Raw Data'!$C:$BO,52,0),"NA")</f>
        <v>NA</v>
      </c>
      <c r="N44" s="26">
        <f t="shared" si="10"/>
        <v>0</v>
      </c>
      <c r="O44" s="78" t="str">
        <f t="shared" si="11"/>
        <v>NA</v>
      </c>
      <c r="P44" s="26" t="str">
        <f>IFERROR(VLOOKUP(D44&amp;$G$3&amp;$G$4&amp;$G$5,'Raw Data'!$C:$BS,66,0),"NA")</f>
        <v>NA</v>
      </c>
      <c r="Q44" s="26" t="str">
        <f>IFERROR(VLOOKUP(D44&amp;$G$3&amp;$G$4&amp;$G$5,'Raw Data'!$C:$BS,67,0),"NA")</f>
        <v>NA</v>
      </c>
      <c r="R44" s="26" t="str">
        <f>IFERROR(VLOOKUP(D44&amp;$G$3&amp;$G$4&amp;$G$5,'Raw Data'!$C:$BS,68,0),"NA")</f>
        <v>NA</v>
      </c>
      <c r="S44" s="26" t="str">
        <f>IFERROR(VLOOKUP(D44&amp;$G$3&amp;$G$4&amp;$G$5,'Raw Data'!$C:$BS,69,0),"NA")</f>
        <v>NA</v>
      </c>
      <c r="T44" s="44" t="str">
        <f t="shared" si="12"/>
        <v>NA</v>
      </c>
      <c r="BK44" s="60" t="str">
        <f t="shared" si="13"/>
        <v>NA</v>
      </c>
      <c r="BL44" t="str">
        <f t="shared" si="14"/>
        <v>NA</v>
      </c>
      <c r="BM44" t="str">
        <f t="shared" si="15"/>
        <v>NA</v>
      </c>
      <c r="BN44" t="str">
        <f t="shared" si="16"/>
        <v>NA</v>
      </c>
      <c r="BO44" t="str">
        <f t="shared" si="6"/>
        <v/>
      </c>
      <c r="BP44" t="str">
        <f t="shared" si="17"/>
        <v>NA</v>
      </c>
    </row>
    <row r="45" spans="1:68">
      <c r="A45" t="str">
        <f t="shared" ca="1" si="7"/>
        <v>32LowNoTelecom-Non AT&amp;TJ</v>
      </c>
      <c r="B45" t="str">
        <f t="shared" ca="1" si="8"/>
        <v>32LowNoTelecom-Non AT&amp;TK</v>
      </c>
      <c r="C45" t="str">
        <f t="shared" ca="1" si="9"/>
        <v>32LowNoTelecom-Non AT&amp;TL</v>
      </c>
      <c r="D45" s="22">
        <v>32</v>
      </c>
      <c r="E45" s="24" t="str">
        <f>IFERROR(VLOOKUP(D45&amp;$G$3&amp;$G$4&amp;$G$5,'Raw Data'!$C:$BO,2,0),"NA")</f>
        <v>NA</v>
      </c>
      <c r="F45" s="79" t="str">
        <f>IFERROR(VLOOKUP(D45&amp;$G$3&amp;$G$4&amp;$G$5,'Raw Data'!$C:$BO,5,0),"NA")</f>
        <v>NA</v>
      </c>
      <c r="G45" s="44" t="str">
        <f>IFERROR(VLOOKUP(D45&amp;$G$3&amp;$G$4&amp;$G$5,'Raw Data'!$C:$BT,70,0),"NA")</f>
        <v>NA</v>
      </c>
      <c r="H45" s="62" t="str">
        <f>IFERROR(VLOOKUP(D45&amp;$G$3&amp;$G$4&amp;$G$5,'Raw Data'!$C:$BO,7,0),"NA")</f>
        <v>NA</v>
      </c>
      <c r="I45" s="29" t="str">
        <f>IFERROR(VLOOKUP(D45&amp;$G$3&amp;$G$4&amp;$G$5,'Raw Data'!$C:$BO,11,0),"NA")</f>
        <v>NA</v>
      </c>
      <c r="J45" s="26" t="str">
        <f>IFERROR(VLOOKUP(D45&amp;$G$3&amp;$G$4&amp;$G$5,'Raw Data'!$C:$BO,26,0),"NA")</f>
        <v>NA</v>
      </c>
      <c r="K45" s="26" t="str">
        <f>IFERROR(VLOOKUP(D45&amp;$G$3&amp;$G$4&amp;$G$5,'Raw Data'!$C:$BO,39,0),"NA")</f>
        <v>NA</v>
      </c>
      <c r="L45" s="26" t="str">
        <f>IFERROR(VLOOKUP(D45&amp;$G$3&amp;$G$4&amp;$G$5,'Raw Data'!$C:$BO,65,0),"NA")</f>
        <v>NA</v>
      </c>
      <c r="M45" s="26" t="str">
        <f>IFERROR(VLOOKUP(D45&amp;$G$3&amp;$G$4&amp;G37,'Raw Data'!$C:$BO,52,0),"NA")</f>
        <v>NA</v>
      </c>
      <c r="N45" s="26">
        <f t="shared" si="10"/>
        <v>0</v>
      </c>
      <c r="O45" s="78" t="str">
        <f t="shared" si="11"/>
        <v>NA</v>
      </c>
      <c r="P45" s="26" t="str">
        <f>IFERROR(VLOOKUP(D45&amp;$G$3&amp;$G$4&amp;$G$5,'Raw Data'!$C:$BS,66,0),"NA")</f>
        <v>NA</v>
      </c>
      <c r="Q45" s="26" t="str">
        <f>IFERROR(VLOOKUP(D45&amp;$G$3&amp;$G$4&amp;$G$5,'Raw Data'!$C:$BS,67,0),"NA")</f>
        <v>NA</v>
      </c>
      <c r="R45" s="26" t="str">
        <f>IFERROR(VLOOKUP(D45&amp;$G$3&amp;$G$4&amp;$G$5,'Raw Data'!$C:$BS,68,0),"NA")</f>
        <v>NA</v>
      </c>
      <c r="S45" s="26" t="str">
        <f>IFERROR(VLOOKUP(D45&amp;$G$3&amp;$G$4&amp;$G$5,'Raw Data'!$C:$BS,69,0),"NA")</f>
        <v>NA</v>
      </c>
      <c r="T45" s="44" t="str">
        <f t="shared" si="12"/>
        <v>NA</v>
      </c>
      <c r="BK45" s="60" t="str">
        <f t="shared" si="13"/>
        <v>NA</v>
      </c>
      <c r="BL45" t="str">
        <f t="shared" si="14"/>
        <v>NA</v>
      </c>
      <c r="BM45" t="str">
        <f t="shared" si="15"/>
        <v>NA</v>
      </c>
      <c r="BN45" t="str">
        <f t="shared" si="16"/>
        <v>NA</v>
      </c>
      <c r="BO45" t="str">
        <f t="shared" si="6"/>
        <v/>
      </c>
      <c r="BP45" t="str">
        <f t="shared" si="17"/>
        <v>NA</v>
      </c>
    </row>
    <row r="46" spans="1:68">
      <c r="A46" t="str">
        <f t="shared" ca="1" si="7"/>
        <v>33LowNoTelecom-Non AT&amp;TJ</v>
      </c>
      <c r="B46" t="str">
        <f t="shared" ca="1" si="8"/>
        <v>33LowNoTelecom-Non AT&amp;TK</v>
      </c>
      <c r="C46" t="str">
        <f t="shared" ca="1" si="9"/>
        <v>33LowNoTelecom-Non AT&amp;TL</v>
      </c>
      <c r="D46" s="22">
        <v>33</v>
      </c>
      <c r="E46" s="24" t="str">
        <f>IFERROR(VLOOKUP(D46&amp;$G$3&amp;$G$4&amp;$G$5,'Raw Data'!$C:$BO,2,0),"NA")</f>
        <v>NA</v>
      </c>
      <c r="F46" s="79" t="str">
        <f>IFERROR(VLOOKUP(D46&amp;$G$3&amp;$G$4&amp;$G$5,'Raw Data'!$C:$BO,5,0),"NA")</f>
        <v>NA</v>
      </c>
      <c r="G46" s="44" t="str">
        <f>IFERROR(VLOOKUP(D46&amp;$G$3&amp;$G$4&amp;$G$5,'Raw Data'!$C:$BT,70,0),"NA")</f>
        <v>NA</v>
      </c>
      <c r="H46" s="62" t="str">
        <f>IFERROR(VLOOKUP(D46&amp;$G$3&amp;$G$4&amp;$G$5,'Raw Data'!$C:$BO,7,0),"NA")</f>
        <v>NA</v>
      </c>
      <c r="I46" s="29" t="str">
        <f>IFERROR(VLOOKUP(D46&amp;$G$3&amp;$G$4&amp;$G$5,'Raw Data'!$C:$BO,11,0),"NA")</f>
        <v>NA</v>
      </c>
      <c r="J46" s="26" t="str">
        <f>IFERROR(VLOOKUP(D46&amp;$G$3&amp;$G$4&amp;$G$5,'Raw Data'!$C:$BO,26,0),"NA")</f>
        <v>NA</v>
      </c>
      <c r="K46" s="26" t="str">
        <f>IFERROR(VLOOKUP(D46&amp;$G$3&amp;$G$4&amp;$G$5,'Raw Data'!$C:$BO,39,0),"NA")</f>
        <v>NA</v>
      </c>
      <c r="L46" s="26" t="str">
        <f>IFERROR(VLOOKUP(D46&amp;$G$3&amp;$G$4&amp;$G$5,'Raw Data'!$C:$BO,65,0),"NA")</f>
        <v>NA</v>
      </c>
      <c r="M46" s="26" t="str">
        <f>IFERROR(VLOOKUP(D46&amp;$G$3&amp;$G$4&amp;G38,'Raw Data'!$C:$BO,52,0),"NA")</f>
        <v>NA</v>
      </c>
      <c r="N46" s="26">
        <f t="shared" si="10"/>
        <v>0</v>
      </c>
      <c r="O46" s="78" t="str">
        <f t="shared" si="11"/>
        <v>NA</v>
      </c>
      <c r="P46" s="26" t="str">
        <f>IFERROR(VLOOKUP(D46&amp;$G$3&amp;$G$4&amp;$G$5,'Raw Data'!$C:$BS,66,0),"NA")</f>
        <v>NA</v>
      </c>
      <c r="Q46" s="26" t="str">
        <f>IFERROR(VLOOKUP(D46&amp;$G$3&amp;$G$4&amp;$G$5,'Raw Data'!$C:$BS,67,0),"NA")</f>
        <v>NA</v>
      </c>
      <c r="R46" s="26" t="str">
        <f>IFERROR(VLOOKUP(D46&amp;$G$3&amp;$G$4&amp;$G$5,'Raw Data'!$C:$BS,68,0),"NA")</f>
        <v>NA</v>
      </c>
      <c r="S46" s="26" t="str">
        <f>IFERROR(VLOOKUP(D46&amp;$G$3&amp;$G$4&amp;$G$5,'Raw Data'!$C:$BS,69,0),"NA")</f>
        <v>NA</v>
      </c>
      <c r="T46" s="44" t="str">
        <f t="shared" si="12"/>
        <v>NA</v>
      </c>
      <c r="BK46" s="60" t="str">
        <f t="shared" si="13"/>
        <v>NA</v>
      </c>
      <c r="BL46" t="str">
        <f t="shared" si="14"/>
        <v>NA</v>
      </c>
      <c r="BM46" t="str">
        <f t="shared" si="15"/>
        <v>NA</v>
      </c>
      <c r="BN46" t="str">
        <f t="shared" si="16"/>
        <v>NA</v>
      </c>
      <c r="BO46" t="str">
        <f t="shared" ref="BO46:BO77" si="18">IF(OR($BK46="Minutes",$BK46="Volume"),SUMPRODUCT(($BK46=$BB$2:$BB$15)*($BL46=$BD$2:$BD$15)*($BN46=$BC$2:$BC$15)*($BA$2:$BA$15)),IF($BK46="HeadCount",SUMPRODUCT(($BK46=$BB$2:$BB$15)*($BL46=$BD$2:$BD$15)*($BM46=$BE$2:$BE$15)*($BA$2:$BA$15)),IF($BK46="Hours",SUMPRODUCT(($BK46=$BB$2:$BB$15)*($BL46=$BD$2:$BD$15)*($BA$2:$BA$15)),"")))</f>
        <v/>
      </c>
      <c r="BP46" t="str">
        <f t="shared" si="17"/>
        <v>NA</v>
      </c>
    </row>
    <row r="47" spans="1:68">
      <c r="A47" t="str">
        <f t="shared" ca="1" si="7"/>
        <v>34LowNoTelecom-Non AT&amp;TJ</v>
      </c>
      <c r="B47" t="str">
        <f t="shared" ca="1" si="8"/>
        <v>34LowNoTelecom-Non AT&amp;TK</v>
      </c>
      <c r="C47" t="str">
        <f t="shared" ca="1" si="9"/>
        <v>34LowNoTelecom-Non AT&amp;TL</v>
      </c>
      <c r="D47" s="22">
        <v>34</v>
      </c>
      <c r="E47" s="24" t="str">
        <f>IFERROR(VLOOKUP(D47&amp;$G$3&amp;$G$4&amp;$G$5,'Raw Data'!$C:$BO,2,0),"NA")</f>
        <v>NA</v>
      </c>
      <c r="F47" s="79" t="str">
        <f>IFERROR(VLOOKUP(D47&amp;$G$3&amp;$G$4&amp;$G$5,'Raw Data'!$C:$BO,5,0),"NA")</f>
        <v>NA</v>
      </c>
      <c r="G47" s="44" t="str">
        <f>IFERROR(VLOOKUP(D47&amp;$G$3&amp;$G$4&amp;$G$5,'Raw Data'!$C:$BT,70,0),"NA")</f>
        <v>NA</v>
      </c>
      <c r="H47" s="62" t="str">
        <f>IFERROR(VLOOKUP(D47&amp;$G$3&amp;$G$4&amp;$G$5,'Raw Data'!$C:$BO,7,0),"NA")</f>
        <v>NA</v>
      </c>
      <c r="I47" s="29" t="str">
        <f>IFERROR(VLOOKUP(D47&amp;$G$3&amp;$G$4&amp;$G$5,'Raw Data'!$C:$BO,11,0),"NA")</f>
        <v>NA</v>
      </c>
      <c r="J47" s="26" t="str">
        <f>IFERROR(VLOOKUP(D47&amp;$G$3&amp;$G$4&amp;$G$5,'Raw Data'!$C:$BO,26,0),"NA")</f>
        <v>NA</v>
      </c>
      <c r="K47" s="26" t="str">
        <f>IFERROR(VLOOKUP(D47&amp;$G$3&amp;$G$4&amp;$G$5,'Raw Data'!$C:$BO,39,0),"NA")</f>
        <v>NA</v>
      </c>
      <c r="L47" s="26" t="str">
        <f>IFERROR(VLOOKUP(D47&amp;$G$3&amp;$G$4&amp;$G$5,'Raw Data'!$C:$BO,65,0),"NA")</f>
        <v>NA</v>
      </c>
      <c r="M47" s="26" t="str">
        <f>IFERROR(VLOOKUP(D47&amp;$G$3&amp;$G$4&amp;G39,'Raw Data'!$C:$BO,52,0),"NA")</f>
        <v>NA</v>
      </c>
      <c r="N47" s="26">
        <f t="shared" si="10"/>
        <v>0</v>
      </c>
      <c r="O47" s="78" t="str">
        <f t="shared" si="11"/>
        <v>NA</v>
      </c>
      <c r="P47" s="26" t="str">
        <f>IFERROR(VLOOKUP(D47&amp;$G$3&amp;$G$4&amp;$G$5,'Raw Data'!$C:$BS,66,0),"NA")</f>
        <v>NA</v>
      </c>
      <c r="Q47" s="26" t="str">
        <f>IFERROR(VLOOKUP(D47&amp;$G$3&amp;$G$4&amp;$G$5,'Raw Data'!$C:$BS,67,0),"NA")</f>
        <v>NA</v>
      </c>
      <c r="R47" s="26" t="str">
        <f>IFERROR(VLOOKUP(D47&amp;$G$3&amp;$G$4&amp;$G$5,'Raw Data'!$C:$BS,68,0),"NA")</f>
        <v>NA</v>
      </c>
      <c r="S47" s="26" t="str">
        <f>IFERROR(VLOOKUP(D47&amp;$G$3&amp;$G$4&amp;$G$5,'Raw Data'!$C:$BS,69,0),"NA")</f>
        <v>NA</v>
      </c>
      <c r="T47" s="44" t="str">
        <f t="shared" si="12"/>
        <v>NA</v>
      </c>
      <c r="BK47" s="60" t="str">
        <f t="shared" si="13"/>
        <v>NA</v>
      </c>
      <c r="BL47" t="str">
        <f t="shared" si="14"/>
        <v>NA</v>
      </c>
      <c r="BM47" t="str">
        <f t="shared" si="15"/>
        <v>NA</v>
      </c>
      <c r="BN47" t="str">
        <f t="shared" si="16"/>
        <v>NA</v>
      </c>
      <c r="BO47" t="str">
        <f t="shared" si="18"/>
        <v/>
      </c>
      <c r="BP47" t="str">
        <f t="shared" si="17"/>
        <v>NA</v>
      </c>
    </row>
    <row r="48" spans="1:68">
      <c r="A48" t="str">
        <f t="shared" ca="1" si="7"/>
        <v>35LowNoTelecom-Non AT&amp;TJ</v>
      </c>
      <c r="B48" t="str">
        <f t="shared" ca="1" si="8"/>
        <v>35LowNoTelecom-Non AT&amp;TK</v>
      </c>
      <c r="C48" t="str">
        <f t="shared" ca="1" si="9"/>
        <v>35LowNoTelecom-Non AT&amp;TL</v>
      </c>
      <c r="D48" s="22">
        <v>35</v>
      </c>
      <c r="E48" s="24" t="str">
        <f>IFERROR(VLOOKUP(D48&amp;$G$3&amp;$G$4&amp;$G$5,'Raw Data'!$C:$BO,2,0),"NA")</f>
        <v>NA</v>
      </c>
      <c r="F48" s="79" t="str">
        <f>IFERROR(VLOOKUP(D48&amp;$G$3&amp;$G$4&amp;$G$5,'Raw Data'!$C:$BO,5,0),"NA")</f>
        <v>NA</v>
      </c>
      <c r="G48" s="44" t="str">
        <f>IFERROR(VLOOKUP(D48&amp;$G$3&amp;$G$4&amp;$G$5,'Raw Data'!$C:$BT,70,0),"NA")</f>
        <v>NA</v>
      </c>
      <c r="H48" s="62" t="str">
        <f>IFERROR(VLOOKUP(D48&amp;$G$3&amp;$G$4&amp;$G$5,'Raw Data'!$C:$BO,7,0),"NA")</f>
        <v>NA</v>
      </c>
      <c r="I48" s="29" t="str">
        <f>IFERROR(VLOOKUP(D48&amp;$G$3&amp;$G$4&amp;$G$5,'Raw Data'!$C:$BO,11,0),"NA")</f>
        <v>NA</v>
      </c>
      <c r="J48" s="26" t="str">
        <f>IFERROR(VLOOKUP(D48&amp;$G$3&amp;$G$4&amp;$G$5,'Raw Data'!$C:$BO,26,0),"NA")</f>
        <v>NA</v>
      </c>
      <c r="K48" s="26" t="str">
        <f>IFERROR(VLOOKUP(D48&amp;$G$3&amp;$G$4&amp;$G$5,'Raw Data'!$C:$BO,39,0),"NA")</f>
        <v>NA</v>
      </c>
      <c r="L48" s="26" t="str">
        <f>IFERROR(VLOOKUP(D48&amp;$G$3&amp;$G$4&amp;$G$5,'Raw Data'!$C:$BO,65,0),"NA")</f>
        <v>NA</v>
      </c>
      <c r="M48" s="26" t="str">
        <f>IFERROR(VLOOKUP(D48&amp;$G$3&amp;$G$4&amp;G40,'Raw Data'!$C:$BO,52,0),"NA")</f>
        <v>NA</v>
      </c>
      <c r="N48" s="26">
        <f t="shared" si="10"/>
        <v>0</v>
      </c>
      <c r="O48" s="78" t="str">
        <f t="shared" si="11"/>
        <v>NA</v>
      </c>
      <c r="P48" s="26" t="str">
        <f>IFERROR(VLOOKUP(D48&amp;$G$3&amp;$G$4&amp;$G$5,'Raw Data'!$C:$BS,66,0),"NA")</f>
        <v>NA</v>
      </c>
      <c r="Q48" s="26" t="str">
        <f>IFERROR(VLOOKUP(D48&amp;$G$3&amp;$G$4&amp;$G$5,'Raw Data'!$C:$BS,67,0),"NA")</f>
        <v>NA</v>
      </c>
      <c r="R48" s="26" t="str">
        <f>IFERROR(VLOOKUP(D48&amp;$G$3&amp;$G$4&amp;$G$5,'Raw Data'!$C:$BS,68,0),"NA")</f>
        <v>NA</v>
      </c>
      <c r="S48" s="26" t="str">
        <f>IFERROR(VLOOKUP(D48&amp;$G$3&amp;$G$4&amp;$G$5,'Raw Data'!$C:$BS,69,0),"NA")</f>
        <v>NA</v>
      </c>
      <c r="T48" s="44" t="str">
        <f t="shared" si="12"/>
        <v>NA</v>
      </c>
      <c r="BK48" s="60" t="str">
        <f t="shared" si="13"/>
        <v>NA</v>
      </c>
      <c r="BL48" t="str">
        <f t="shared" si="14"/>
        <v>NA</v>
      </c>
      <c r="BM48" t="str">
        <f t="shared" si="15"/>
        <v>NA</v>
      </c>
      <c r="BN48" t="str">
        <f t="shared" si="16"/>
        <v>NA</v>
      </c>
      <c r="BO48" t="str">
        <f t="shared" si="18"/>
        <v/>
      </c>
      <c r="BP48" t="str">
        <f t="shared" si="17"/>
        <v>NA</v>
      </c>
    </row>
    <row r="49" spans="1:68">
      <c r="A49" t="str">
        <f t="shared" ca="1" si="7"/>
        <v>36LowNoTelecom-Non AT&amp;TJ</v>
      </c>
      <c r="B49" t="str">
        <f t="shared" ca="1" si="8"/>
        <v>36LowNoTelecom-Non AT&amp;TK</v>
      </c>
      <c r="C49" t="str">
        <f t="shared" ca="1" si="9"/>
        <v>36LowNoTelecom-Non AT&amp;TL</v>
      </c>
      <c r="D49" s="22">
        <v>36</v>
      </c>
      <c r="E49" s="24" t="str">
        <f>IFERROR(VLOOKUP(D49&amp;$G$3&amp;$G$4&amp;$G$5,'Raw Data'!$C:$BO,2,0),"NA")</f>
        <v>NA</v>
      </c>
      <c r="F49" s="79" t="str">
        <f>IFERROR(VLOOKUP(D49&amp;$G$3&amp;$G$4&amp;$G$5,'Raw Data'!$C:$BO,5,0),"NA")</f>
        <v>NA</v>
      </c>
      <c r="G49" s="44" t="str">
        <f>IFERROR(VLOOKUP(D49&amp;$G$3&amp;$G$4&amp;$G$5,'Raw Data'!$C:$BT,70,0),"NA")</f>
        <v>NA</v>
      </c>
      <c r="H49" s="62" t="str">
        <f>IFERROR(VLOOKUP(D49&amp;$G$3&amp;$G$4&amp;$G$5,'Raw Data'!$C:$BO,7,0),"NA")</f>
        <v>NA</v>
      </c>
      <c r="I49" s="29" t="str">
        <f>IFERROR(VLOOKUP(D49&amp;$G$3&amp;$G$4&amp;$G$5,'Raw Data'!$C:$BO,11,0),"NA")</f>
        <v>NA</v>
      </c>
      <c r="J49" s="26" t="str">
        <f>IFERROR(VLOOKUP(D49&amp;$G$3&amp;$G$4&amp;$G$5,'Raw Data'!$C:$BO,26,0),"NA")</f>
        <v>NA</v>
      </c>
      <c r="K49" s="26" t="str">
        <f>IFERROR(VLOOKUP(D49&amp;$G$3&amp;$G$4&amp;$G$5,'Raw Data'!$C:$BO,39,0),"NA")</f>
        <v>NA</v>
      </c>
      <c r="L49" s="26" t="str">
        <f>IFERROR(VLOOKUP(D49&amp;$G$3&amp;$G$4&amp;$G$5,'Raw Data'!$C:$BO,65,0),"NA")</f>
        <v>NA</v>
      </c>
      <c r="M49" s="26" t="str">
        <f>IFERROR(VLOOKUP(D49&amp;$G$3&amp;$G$4&amp;G41,'Raw Data'!$C:$BO,52,0),"NA")</f>
        <v>NA</v>
      </c>
      <c r="N49" s="26">
        <f t="shared" si="10"/>
        <v>0</v>
      </c>
      <c r="O49" s="78" t="str">
        <f t="shared" si="11"/>
        <v>NA</v>
      </c>
      <c r="P49" s="26" t="str">
        <f>IFERROR(VLOOKUP(D49&amp;$G$3&amp;$G$4&amp;$G$5,'Raw Data'!$C:$BS,66,0),"NA")</f>
        <v>NA</v>
      </c>
      <c r="Q49" s="26" t="str">
        <f>IFERROR(VLOOKUP(D49&amp;$G$3&amp;$G$4&amp;$G$5,'Raw Data'!$C:$BS,67,0),"NA")</f>
        <v>NA</v>
      </c>
      <c r="R49" s="26" t="str">
        <f>IFERROR(VLOOKUP(D49&amp;$G$3&amp;$G$4&amp;$G$5,'Raw Data'!$C:$BS,68,0),"NA")</f>
        <v>NA</v>
      </c>
      <c r="S49" s="26" t="str">
        <f>IFERROR(VLOOKUP(D49&amp;$G$3&amp;$G$4&amp;$G$5,'Raw Data'!$C:$BS,69,0),"NA")</f>
        <v>NA</v>
      </c>
      <c r="T49" s="44" t="str">
        <f t="shared" si="12"/>
        <v>NA</v>
      </c>
      <c r="BK49" s="60" t="str">
        <f t="shared" si="13"/>
        <v>NA</v>
      </c>
      <c r="BL49" t="str">
        <f t="shared" si="14"/>
        <v>NA</v>
      </c>
      <c r="BM49" t="str">
        <f t="shared" si="15"/>
        <v>NA</v>
      </c>
      <c r="BN49" t="str">
        <f t="shared" si="16"/>
        <v>NA</v>
      </c>
      <c r="BO49" t="str">
        <f t="shared" si="18"/>
        <v/>
      </c>
      <c r="BP49" t="str">
        <f t="shared" si="17"/>
        <v>NA</v>
      </c>
    </row>
    <row r="50" spans="1:68">
      <c r="A50" t="str">
        <f t="shared" ca="1" si="7"/>
        <v>37LowNoTelecom-Non AT&amp;TJ</v>
      </c>
      <c r="B50" t="str">
        <f t="shared" ca="1" si="8"/>
        <v>37LowNoTelecom-Non AT&amp;TK</v>
      </c>
      <c r="C50" t="str">
        <f t="shared" ca="1" si="9"/>
        <v>37LowNoTelecom-Non AT&amp;TL</v>
      </c>
      <c r="D50" s="22">
        <v>37</v>
      </c>
      <c r="E50" s="24" t="str">
        <f>IFERROR(VLOOKUP(D50&amp;$G$3&amp;$G$4&amp;$G$5,'Raw Data'!$C:$BO,2,0),"NA")</f>
        <v>NA</v>
      </c>
      <c r="F50" s="79" t="str">
        <f>IFERROR(VLOOKUP(D50&amp;$G$3&amp;$G$4&amp;$G$5,'Raw Data'!$C:$BO,5,0),"NA")</f>
        <v>NA</v>
      </c>
      <c r="G50" s="44" t="str">
        <f>IFERROR(VLOOKUP(D50&amp;$G$3&amp;$G$4&amp;$G$5,'Raw Data'!$C:$BT,70,0),"NA")</f>
        <v>NA</v>
      </c>
      <c r="H50" s="62" t="str">
        <f>IFERROR(VLOOKUP(D50&amp;$G$3&amp;$G$4&amp;$G$5,'Raw Data'!$C:$BO,7,0),"NA")</f>
        <v>NA</v>
      </c>
      <c r="I50" s="29" t="str">
        <f>IFERROR(VLOOKUP(D50&amp;$G$3&amp;$G$4&amp;$G$5,'Raw Data'!$C:$BO,11,0),"NA")</f>
        <v>NA</v>
      </c>
      <c r="J50" s="26" t="str">
        <f>IFERROR(VLOOKUP(D50&amp;$G$3&amp;$G$4&amp;$G$5,'Raw Data'!$C:$BO,26,0),"NA")</f>
        <v>NA</v>
      </c>
      <c r="K50" s="26" t="str">
        <f>IFERROR(VLOOKUP(D50&amp;$G$3&amp;$G$4&amp;$G$5,'Raw Data'!$C:$BO,39,0),"NA")</f>
        <v>NA</v>
      </c>
      <c r="L50" s="26" t="str">
        <f>IFERROR(VLOOKUP(D50&amp;$G$3&amp;$G$4&amp;$G$5,'Raw Data'!$C:$BO,65,0),"NA")</f>
        <v>NA</v>
      </c>
      <c r="M50" s="26" t="str">
        <f>IFERROR(VLOOKUP(D50&amp;$G$3&amp;$G$4&amp;G42,'Raw Data'!$C:$BO,52,0),"NA")</f>
        <v>NA</v>
      </c>
      <c r="N50" s="26">
        <f t="shared" si="10"/>
        <v>0</v>
      </c>
      <c r="O50" s="78" t="str">
        <f t="shared" si="11"/>
        <v>NA</v>
      </c>
      <c r="P50" s="26" t="str">
        <f>IFERROR(VLOOKUP(D50&amp;$G$3&amp;$G$4&amp;$G$5,'Raw Data'!$C:$BS,66,0),"NA")</f>
        <v>NA</v>
      </c>
      <c r="Q50" s="26" t="str">
        <f>IFERROR(VLOOKUP(D50&amp;$G$3&amp;$G$4&amp;$G$5,'Raw Data'!$C:$BS,67,0),"NA")</f>
        <v>NA</v>
      </c>
      <c r="R50" s="26" t="str">
        <f>IFERROR(VLOOKUP(D50&amp;$G$3&amp;$G$4&amp;$G$5,'Raw Data'!$C:$BS,68,0),"NA")</f>
        <v>NA</v>
      </c>
      <c r="S50" s="26" t="str">
        <f>IFERROR(VLOOKUP(D50&amp;$G$3&amp;$G$4&amp;$G$5,'Raw Data'!$C:$BS,69,0),"NA")</f>
        <v>NA</v>
      </c>
      <c r="T50" s="44" t="str">
        <f t="shared" si="12"/>
        <v>NA</v>
      </c>
      <c r="BK50" s="60" t="str">
        <f t="shared" si="13"/>
        <v>NA</v>
      </c>
      <c r="BL50" t="str">
        <f t="shared" si="14"/>
        <v>NA</v>
      </c>
      <c r="BM50" t="str">
        <f t="shared" si="15"/>
        <v>NA</v>
      </c>
      <c r="BN50" t="str">
        <f t="shared" si="16"/>
        <v>NA</v>
      </c>
      <c r="BO50" t="str">
        <f t="shared" si="18"/>
        <v/>
      </c>
      <c r="BP50" t="str">
        <f t="shared" si="17"/>
        <v>NA</v>
      </c>
    </row>
    <row r="51" spans="1:68">
      <c r="A51" t="str">
        <f t="shared" ca="1" si="7"/>
        <v>38LowNoTelecom-Non AT&amp;TJ</v>
      </c>
      <c r="B51" t="str">
        <f t="shared" ca="1" si="8"/>
        <v>38LowNoTelecom-Non AT&amp;TK</v>
      </c>
      <c r="C51" t="str">
        <f t="shared" ca="1" si="9"/>
        <v>38LowNoTelecom-Non AT&amp;TL</v>
      </c>
      <c r="D51" s="22">
        <v>38</v>
      </c>
      <c r="E51" s="24" t="str">
        <f>IFERROR(VLOOKUP(D51&amp;$G$3&amp;$G$4&amp;$G$5,'Raw Data'!$C:$BO,2,0),"NA")</f>
        <v>NA</v>
      </c>
      <c r="F51" s="79" t="str">
        <f>IFERROR(VLOOKUP(D51&amp;$G$3&amp;$G$4&amp;$G$5,'Raw Data'!$C:$BO,5,0),"NA")</f>
        <v>NA</v>
      </c>
      <c r="G51" s="44" t="str">
        <f>IFERROR(VLOOKUP(D51&amp;$G$3&amp;$G$4&amp;$G$5,'Raw Data'!$C:$BT,70,0),"NA")</f>
        <v>NA</v>
      </c>
      <c r="H51" s="62" t="str">
        <f>IFERROR(VLOOKUP(D51&amp;$G$3&amp;$G$4&amp;$G$5,'Raw Data'!$C:$BO,7,0),"NA")</f>
        <v>NA</v>
      </c>
      <c r="I51" s="29" t="str">
        <f>IFERROR(VLOOKUP(D51&amp;$G$3&amp;$G$4&amp;$G$5,'Raw Data'!$C:$BO,11,0),"NA")</f>
        <v>NA</v>
      </c>
      <c r="J51" s="26" t="str">
        <f>IFERROR(VLOOKUP(D51&amp;$G$3&amp;$G$4&amp;$G$5,'Raw Data'!$C:$BO,26,0),"NA")</f>
        <v>NA</v>
      </c>
      <c r="K51" s="26" t="str">
        <f>IFERROR(VLOOKUP(D51&amp;$G$3&amp;$G$4&amp;$G$5,'Raw Data'!$C:$BO,39,0),"NA")</f>
        <v>NA</v>
      </c>
      <c r="L51" s="26" t="str">
        <f>IFERROR(VLOOKUP(D51&amp;$G$3&amp;$G$4&amp;$G$5,'Raw Data'!$C:$BO,65,0),"NA")</f>
        <v>NA</v>
      </c>
      <c r="M51" s="26" t="str">
        <f>IFERROR(VLOOKUP(D51&amp;$G$3&amp;$G$4&amp;G43,'Raw Data'!$C:$BO,52,0),"NA")</f>
        <v>NA</v>
      </c>
      <c r="N51" s="26">
        <f t="shared" si="10"/>
        <v>0</v>
      </c>
      <c r="O51" s="78" t="str">
        <f t="shared" si="11"/>
        <v>NA</v>
      </c>
      <c r="P51" s="26" t="str">
        <f>IFERROR(VLOOKUP(D51&amp;$G$3&amp;$G$4&amp;$G$5,'Raw Data'!$C:$BS,66,0),"NA")</f>
        <v>NA</v>
      </c>
      <c r="Q51" s="26" t="str">
        <f>IFERROR(VLOOKUP(D51&amp;$G$3&amp;$G$4&amp;$G$5,'Raw Data'!$C:$BS,67,0),"NA")</f>
        <v>NA</v>
      </c>
      <c r="R51" s="26" t="str">
        <f>IFERROR(VLOOKUP(D51&amp;$G$3&amp;$G$4&amp;$G$5,'Raw Data'!$C:$BS,68,0),"NA")</f>
        <v>NA</v>
      </c>
      <c r="S51" s="26" t="str">
        <f>IFERROR(VLOOKUP(D51&amp;$G$3&amp;$G$4&amp;$G$5,'Raw Data'!$C:$BS,69,0),"NA")</f>
        <v>NA</v>
      </c>
      <c r="T51" s="44" t="str">
        <f t="shared" si="12"/>
        <v>NA</v>
      </c>
      <c r="BK51" s="60" t="str">
        <f t="shared" si="13"/>
        <v>NA</v>
      </c>
      <c r="BL51" t="str">
        <f t="shared" si="14"/>
        <v>NA</v>
      </c>
      <c r="BM51" t="str">
        <f t="shared" si="15"/>
        <v>NA</v>
      </c>
      <c r="BN51" t="str">
        <f t="shared" si="16"/>
        <v>NA</v>
      </c>
      <c r="BO51" t="str">
        <f t="shared" si="18"/>
        <v/>
      </c>
      <c r="BP51" t="str">
        <f t="shared" si="17"/>
        <v>NA</v>
      </c>
    </row>
    <row r="52" spans="1:68">
      <c r="A52" t="str">
        <f t="shared" ca="1" si="7"/>
        <v>39LowNoTelecom-Non AT&amp;TJ</v>
      </c>
      <c r="B52" t="str">
        <f t="shared" ca="1" si="8"/>
        <v>39LowNoTelecom-Non AT&amp;TK</v>
      </c>
      <c r="C52" t="str">
        <f t="shared" ca="1" si="9"/>
        <v>39LowNoTelecom-Non AT&amp;TL</v>
      </c>
      <c r="D52" s="22">
        <v>39</v>
      </c>
      <c r="E52" s="24" t="str">
        <f>IFERROR(VLOOKUP(D52&amp;$G$3&amp;$G$4&amp;$G$5,'Raw Data'!$C:$BO,2,0),"NA")</f>
        <v>NA</v>
      </c>
      <c r="F52" s="79" t="str">
        <f>IFERROR(VLOOKUP(D52&amp;$G$3&amp;$G$4&amp;$G$5,'Raw Data'!$C:$BO,5,0),"NA")</f>
        <v>NA</v>
      </c>
      <c r="G52" s="44" t="str">
        <f>IFERROR(VLOOKUP(D52&amp;$G$3&amp;$G$4&amp;$G$5,'Raw Data'!$C:$BT,70,0),"NA")</f>
        <v>NA</v>
      </c>
      <c r="H52" s="62" t="str">
        <f>IFERROR(VLOOKUP(D52&amp;$G$3&amp;$G$4&amp;$G$5,'Raw Data'!$C:$BO,7,0),"NA")</f>
        <v>NA</v>
      </c>
      <c r="I52" s="29" t="str">
        <f>IFERROR(VLOOKUP(D52&amp;$G$3&amp;$G$4&amp;$G$5,'Raw Data'!$C:$BO,11,0),"NA")</f>
        <v>NA</v>
      </c>
      <c r="J52" s="26" t="str">
        <f>IFERROR(VLOOKUP(D52&amp;$G$3&amp;$G$4&amp;$G$5,'Raw Data'!$C:$BO,26,0),"NA")</f>
        <v>NA</v>
      </c>
      <c r="K52" s="26" t="str">
        <f>IFERROR(VLOOKUP(D52&amp;$G$3&amp;$G$4&amp;$G$5,'Raw Data'!$C:$BO,39,0),"NA")</f>
        <v>NA</v>
      </c>
      <c r="L52" s="26" t="str">
        <f>IFERROR(VLOOKUP(D52&amp;$G$3&amp;$G$4&amp;$G$5,'Raw Data'!$C:$BO,65,0),"NA")</f>
        <v>NA</v>
      </c>
      <c r="M52" s="26" t="str">
        <f>IFERROR(VLOOKUP(D52&amp;$G$3&amp;$G$4&amp;G44,'Raw Data'!$C:$BO,52,0),"NA")</f>
        <v>NA</v>
      </c>
      <c r="N52" s="26">
        <f t="shared" si="10"/>
        <v>0</v>
      </c>
      <c r="O52" s="78" t="str">
        <f t="shared" si="11"/>
        <v>NA</v>
      </c>
      <c r="P52" s="26" t="str">
        <f>IFERROR(VLOOKUP(D52&amp;$G$3&amp;$G$4&amp;$G$5,'Raw Data'!$C:$BS,66,0),"NA")</f>
        <v>NA</v>
      </c>
      <c r="Q52" s="26" t="str">
        <f>IFERROR(VLOOKUP(D52&amp;$G$3&amp;$G$4&amp;$G$5,'Raw Data'!$C:$BS,67,0),"NA")</f>
        <v>NA</v>
      </c>
      <c r="R52" s="26" t="str">
        <f>IFERROR(VLOOKUP(D52&amp;$G$3&amp;$G$4&amp;$G$5,'Raw Data'!$C:$BS,68,0),"NA")</f>
        <v>NA</v>
      </c>
      <c r="S52" s="26" t="str">
        <f>IFERROR(VLOOKUP(D52&amp;$G$3&amp;$G$4&amp;$G$5,'Raw Data'!$C:$BS,69,0),"NA")</f>
        <v>NA</v>
      </c>
      <c r="T52" s="44" t="str">
        <f t="shared" si="12"/>
        <v>NA</v>
      </c>
      <c r="BK52" s="60" t="str">
        <f t="shared" si="13"/>
        <v>NA</v>
      </c>
      <c r="BL52" t="str">
        <f t="shared" si="14"/>
        <v>NA</v>
      </c>
      <c r="BM52" t="str">
        <f t="shared" si="15"/>
        <v>NA</v>
      </c>
      <c r="BN52" t="str">
        <f t="shared" si="16"/>
        <v>NA</v>
      </c>
      <c r="BO52" t="str">
        <f t="shared" si="18"/>
        <v/>
      </c>
      <c r="BP52" t="str">
        <f t="shared" si="17"/>
        <v>NA</v>
      </c>
    </row>
    <row r="53" spans="1:68">
      <c r="A53" t="str">
        <f t="shared" ca="1" si="7"/>
        <v>40LowNoTelecom-Non AT&amp;TJ</v>
      </c>
      <c r="B53" t="str">
        <f t="shared" ca="1" si="8"/>
        <v>40LowNoTelecom-Non AT&amp;TK</v>
      </c>
      <c r="C53" t="str">
        <f t="shared" ca="1" si="9"/>
        <v>40LowNoTelecom-Non AT&amp;TL</v>
      </c>
      <c r="D53" s="22">
        <v>40</v>
      </c>
      <c r="E53" s="24" t="str">
        <f>IFERROR(VLOOKUP(D53&amp;$G$3&amp;$G$4&amp;$G$5,'Raw Data'!$C:$BO,2,0),"NA")</f>
        <v>NA</v>
      </c>
      <c r="F53" s="79" t="str">
        <f>IFERROR(VLOOKUP(D53&amp;$G$3&amp;$G$4&amp;$G$5,'Raw Data'!$C:$BO,5,0),"NA")</f>
        <v>NA</v>
      </c>
      <c r="G53" s="44" t="str">
        <f>IFERROR(VLOOKUP(D53&amp;$G$3&amp;$G$4&amp;$G$5,'Raw Data'!$C:$BT,70,0),"NA")</f>
        <v>NA</v>
      </c>
      <c r="H53" s="62" t="str">
        <f>IFERROR(VLOOKUP(D53&amp;$G$3&amp;$G$4&amp;$G$5,'Raw Data'!$C:$BO,7,0),"NA")</f>
        <v>NA</v>
      </c>
      <c r="I53" s="29" t="str">
        <f>IFERROR(VLOOKUP(D53&amp;$G$3&amp;$G$4&amp;$G$5,'Raw Data'!$C:$BO,11,0),"NA")</f>
        <v>NA</v>
      </c>
      <c r="J53" s="26" t="str">
        <f>IFERROR(VLOOKUP(D53&amp;$G$3&amp;$G$4&amp;$G$5,'Raw Data'!$C:$BO,26,0),"NA")</f>
        <v>NA</v>
      </c>
      <c r="K53" s="26" t="str">
        <f>IFERROR(VLOOKUP(D53&amp;$G$3&amp;$G$4&amp;$G$5,'Raw Data'!$C:$BO,39,0),"NA")</f>
        <v>NA</v>
      </c>
      <c r="L53" s="26" t="str">
        <f>IFERROR(VLOOKUP(D53&amp;$G$3&amp;$G$4&amp;$G$5,'Raw Data'!$C:$BO,65,0),"NA")</f>
        <v>NA</v>
      </c>
      <c r="M53" s="26" t="str">
        <f>IFERROR(VLOOKUP(D53&amp;$G$3&amp;$G$4&amp;G45,'Raw Data'!$C:$BO,52,0),"NA")</f>
        <v>NA</v>
      </c>
      <c r="N53" s="26">
        <f t="shared" si="10"/>
        <v>0</v>
      </c>
      <c r="O53" s="78" t="str">
        <f t="shared" si="11"/>
        <v>NA</v>
      </c>
      <c r="P53" s="26" t="str">
        <f>IFERROR(VLOOKUP(D53&amp;$G$3&amp;$G$4&amp;$G$5,'Raw Data'!$C:$BS,66,0),"NA")</f>
        <v>NA</v>
      </c>
      <c r="Q53" s="26" t="str">
        <f>IFERROR(VLOOKUP(D53&amp;$G$3&amp;$G$4&amp;$G$5,'Raw Data'!$C:$BS,67,0),"NA")</f>
        <v>NA</v>
      </c>
      <c r="R53" s="26" t="str">
        <f>IFERROR(VLOOKUP(D53&amp;$G$3&amp;$G$4&amp;$G$5,'Raw Data'!$C:$BS,68,0),"NA")</f>
        <v>NA</v>
      </c>
      <c r="S53" s="26" t="str">
        <f>IFERROR(VLOOKUP(D53&amp;$G$3&amp;$G$4&amp;$G$5,'Raw Data'!$C:$BS,69,0),"NA")</f>
        <v>NA</v>
      </c>
      <c r="T53" s="44" t="str">
        <f t="shared" si="12"/>
        <v>NA</v>
      </c>
      <c r="BK53" s="60" t="str">
        <f t="shared" si="13"/>
        <v>NA</v>
      </c>
      <c r="BL53" t="str">
        <f t="shared" si="14"/>
        <v>NA</v>
      </c>
      <c r="BM53" t="str">
        <f t="shared" si="15"/>
        <v>NA</v>
      </c>
      <c r="BN53" t="str">
        <f t="shared" si="16"/>
        <v>NA</v>
      </c>
      <c r="BO53" t="str">
        <f t="shared" si="18"/>
        <v/>
      </c>
      <c r="BP53" t="str">
        <f t="shared" si="17"/>
        <v>NA</v>
      </c>
    </row>
    <row r="54" spans="1:68">
      <c r="A54" t="str">
        <f t="shared" ca="1" si="7"/>
        <v>41LowNoTelecom-Non AT&amp;TJ</v>
      </c>
      <c r="B54" t="str">
        <f t="shared" ca="1" si="8"/>
        <v>41LowNoTelecom-Non AT&amp;TK</v>
      </c>
      <c r="C54" t="str">
        <f t="shared" ca="1" si="9"/>
        <v>41LowNoTelecom-Non AT&amp;TL</v>
      </c>
      <c r="D54" s="22">
        <v>41</v>
      </c>
      <c r="E54" s="24" t="str">
        <f>IFERROR(VLOOKUP(D54&amp;$G$3&amp;$G$4&amp;$G$5,'Raw Data'!$C:$BO,2,0),"NA")</f>
        <v>NA</v>
      </c>
      <c r="F54" s="79" t="str">
        <f>IFERROR(VLOOKUP(D54&amp;$G$3&amp;$G$4&amp;$G$5,'Raw Data'!$C:$BO,5,0),"NA")</f>
        <v>NA</v>
      </c>
      <c r="G54" s="44" t="str">
        <f>IFERROR(VLOOKUP(D54&amp;$G$3&amp;$G$4&amp;$G$5,'Raw Data'!$C:$BT,70,0),"NA")</f>
        <v>NA</v>
      </c>
      <c r="H54" s="62" t="str">
        <f>IFERROR(VLOOKUP(D54&amp;$G$3&amp;$G$4&amp;$G$5,'Raw Data'!$C:$BO,7,0),"NA")</f>
        <v>NA</v>
      </c>
      <c r="I54" s="29" t="str">
        <f>IFERROR(VLOOKUP(D54&amp;$G$3&amp;$G$4&amp;$G$5,'Raw Data'!$C:$BO,11,0),"NA")</f>
        <v>NA</v>
      </c>
      <c r="J54" s="26" t="str">
        <f>IFERROR(VLOOKUP(D54&amp;$G$3&amp;$G$4&amp;$G$5,'Raw Data'!$C:$BO,26,0),"NA")</f>
        <v>NA</v>
      </c>
      <c r="K54" s="26" t="str">
        <f>IFERROR(VLOOKUP(D54&amp;$G$3&amp;$G$4&amp;$G$5,'Raw Data'!$C:$BO,39,0),"NA")</f>
        <v>NA</v>
      </c>
      <c r="L54" s="26" t="str">
        <f>IFERROR(VLOOKUP(D54&amp;$G$3&amp;$G$4&amp;$G$5,'Raw Data'!$C:$BO,65,0),"NA")</f>
        <v>NA</v>
      </c>
      <c r="M54" s="26" t="str">
        <f>IFERROR(VLOOKUP(D54&amp;$G$3&amp;$G$4&amp;G46,'Raw Data'!$C:$BO,52,0),"NA")</f>
        <v>NA</v>
      </c>
      <c r="N54" s="26">
        <f t="shared" si="10"/>
        <v>0</v>
      </c>
      <c r="O54" s="78" t="str">
        <f t="shared" si="11"/>
        <v>NA</v>
      </c>
      <c r="P54" s="26" t="str">
        <f>IFERROR(VLOOKUP(D54&amp;$G$3&amp;$G$4&amp;$G$5,'Raw Data'!$C:$BS,66,0),"NA")</f>
        <v>NA</v>
      </c>
      <c r="Q54" s="26" t="str">
        <f>IFERROR(VLOOKUP(D54&amp;$G$3&amp;$G$4&amp;$G$5,'Raw Data'!$C:$BS,67,0),"NA")</f>
        <v>NA</v>
      </c>
      <c r="R54" s="26" t="str">
        <f>IFERROR(VLOOKUP(D54&amp;$G$3&amp;$G$4&amp;$G$5,'Raw Data'!$C:$BS,68,0),"NA")</f>
        <v>NA</v>
      </c>
      <c r="S54" s="26" t="str">
        <f>IFERROR(VLOOKUP(D54&amp;$G$3&amp;$G$4&amp;$G$5,'Raw Data'!$C:$BS,69,0),"NA")</f>
        <v>NA</v>
      </c>
      <c r="T54" s="44" t="str">
        <f t="shared" si="12"/>
        <v>NA</v>
      </c>
      <c r="BK54" s="60" t="str">
        <f t="shared" si="13"/>
        <v>NA</v>
      </c>
      <c r="BL54" t="str">
        <f t="shared" si="14"/>
        <v>NA</v>
      </c>
      <c r="BM54" t="str">
        <f t="shared" si="15"/>
        <v>NA</v>
      </c>
      <c r="BN54" t="str">
        <f t="shared" si="16"/>
        <v>NA</v>
      </c>
      <c r="BO54" t="str">
        <f t="shared" si="18"/>
        <v/>
      </c>
      <c r="BP54" t="str">
        <f t="shared" si="17"/>
        <v>NA</v>
      </c>
    </row>
    <row r="55" spans="1:68">
      <c r="A55" t="str">
        <f t="shared" ca="1" si="7"/>
        <v>42LowNoTelecom-Non AT&amp;TJ</v>
      </c>
      <c r="B55" t="str">
        <f t="shared" ca="1" si="8"/>
        <v>42LowNoTelecom-Non AT&amp;TK</v>
      </c>
      <c r="C55" t="str">
        <f t="shared" ca="1" si="9"/>
        <v>42LowNoTelecom-Non AT&amp;TL</v>
      </c>
      <c r="D55" s="22">
        <v>42</v>
      </c>
      <c r="E55" s="24" t="str">
        <f>IFERROR(VLOOKUP(D55&amp;$G$3&amp;$G$4&amp;$G$5,'Raw Data'!$C:$BO,2,0),"NA")</f>
        <v>NA</v>
      </c>
      <c r="F55" s="79" t="str">
        <f>IFERROR(VLOOKUP(D55&amp;$G$3&amp;$G$4&amp;$G$5,'Raw Data'!$C:$BO,5,0),"NA")</f>
        <v>NA</v>
      </c>
      <c r="G55" s="44" t="str">
        <f>IFERROR(VLOOKUP(D55&amp;$G$3&amp;$G$4&amp;$G$5,'Raw Data'!$C:$BT,70,0),"NA")</f>
        <v>NA</v>
      </c>
      <c r="H55" s="62" t="str">
        <f>IFERROR(VLOOKUP(D55&amp;$G$3&amp;$G$4&amp;$G$5,'Raw Data'!$C:$BO,7,0),"NA")</f>
        <v>NA</v>
      </c>
      <c r="I55" s="29" t="str">
        <f>IFERROR(VLOOKUP(D55&amp;$G$3&amp;$G$4&amp;$G$5,'Raw Data'!$C:$BO,11,0),"NA")</f>
        <v>NA</v>
      </c>
      <c r="J55" s="26" t="str">
        <f>IFERROR(VLOOKUP(D55&amp;$G$3&amp;$G$4&amp;$G$5,'Raw Data'!$C:$BO,26,0),"NA")</f>
        <v>NA</v>
      </c>
      <c r="K55" s="26" t="str">
        <f>IFERROR(VLOOKUP(D55&amp;$G$3&amp;$G$4&amp;$G$5,'Raw Data'!$C:$BO,39,0),"NA")</f>
        <v>NA</v>
      </c>
      <c r="L55" s="26" t="str">
        <f>IFERROR(VLOOKUP(D55&amp;$G$3&amp;$G$4&amp;$G$5,'Raw Data'!$C:$BO,65,0),"NA")</f>
        <v>NA</v>
      </c>
      <c r="M55" s="26" t="str">
        <f>IFERROR(VLOOKUP(D55&amp;$G$3&amp;$G$4&amp;G47,'Raw Data'!$C:$BO,52,0),"NA")</f>
        <v>NA</v>
      </c>
      <c r="N55" s="26">
        <f t="shared" si="10"/>
        <v>0</v>
      </c>
      <c r="O55" s="78" t="str">
        <f t="shared" si="11"/>
        <v>NA</v>
      </c>
      <c r="P55" s="26" t="str">
        <f>IFERROR(VLOOKUP(D55&amp;$G$3&amp;$G$4&amp;$G$5,'Raw Data'!$C:$BS,66,0),"NA")</f>
        <v>NA</v>
      </c>
      <c r="Q55" s="26" t="str">
        <f>IFERROR(VLOOKUP(D55&amp;$G$3&amp;$G$4&amp;$G$5,'Raw Data'!$C:$BS,67,0),"NA")</f>
        <v>NA</v>
      </c>
      <c r="R55" s="26" t="str">
        <f>IFERROR(VLOOKUP(D55&amp;$G$3&amp;$G$4&amp;$G$5,'Raw Data'!$C:$BS,68,0),"NA")</f>
        <v>NA</v>
      </c>
      <c r="S55" s="26" t="str">
        <f>IFERROR(VLOOKUP(D55&amp;$G$3&amp;$G$4&amp;$G$5,'Raw Data'!$C:$BS,69,0),"NA")</f>
        <v>NA</v>
      </c>
      <c r="T55" s="44" t="str">
        <f t="shared" si="12"/>
        <v>NA</v>
      </c>
      <c r="BK55" s="60" t="str">
        <f t="shared" si="13"/>
        <v>NA</v>
      </c>
      <c r="BL55" t="str">
        <f t="shared" si="14"/>
        <v>NA</v>
      </c>
      <c r="BM55" t="str">
        <f t="shared" si="15"/>
        <v>NA</v>
      </c>
      <c r="BN55" t="str">
        <f t="shared" si="16"/>
        <v>NA</v>
      </c>
      <c r="BO55" t="str">
        <f t="shared" si="18"/>
        <v/>
      </c>
      <c r="BP55" t="str">
        <f t="shared" si="17"/>
        <v>NA</v>
      </c>
    </row>
    <row r="56" spans="1:68">
      <c r="A56" t="str">
        <f t="shared" ca="1" si="7"/>
        <v>43LowNoTelecom-Non AT&amp;TJ</v>
      </c>
      <c r="B56" t="str">
        <f t="shared" ca="1" si="8"/>
        <v>43LowNoTelecom-Non AT&amp;TK</v>
      </c>
      <c r="C56" t="str">
        <f t="shared" ca="1" si="9"/>
        <v>43LowNoTelecom-Non AT&amp;TL</v>
      </c>
      <c r="D56" s="22">
        <v>43</v>
      </c>
      <c r="E56" s="24" t="str">
        <f>IFERROR(VLOOKUP(D56&amp;$G$3&amp;$G$4&amp;$G$5,'Raw Data'!$C:$BO,2,0),"NA")</f>
        <v>NA</v>
      </c>
      <c r="F56" s="79" t="str">
        <f>IFERROR(VLOOKUP(D56&amp;$G$3&amp;$G$4&amp;$G$5,'Raw Data'!$C:$BO,5,0),"NA")</f>
        <v>NA</v>
      </c>
      <c r="G56" s="44" t="str">
        <f>IFERROR(VLOOKUP(D56&amp;$G$3&amp;$G$4&amp;$G$5,'Raw Data'!$C:$BT,70,0),"NA")</f>
        <v>NA</v>
      </c>
      <c r="H56" s="62" t="str">
        <f>IFERROR(VLOOKUP(D56&amp;$G$3&amp;$G$4&amp;$G$5,'Raw Data'!$C:$BO,7,0),"NA")</f>
        <v>NA</v>
      </c>
      <c r="I56" s="29" t="str">
        <f>IFERROR(VLOOKUP(D56&amp;$G$3&amp;$G$4&amp;$G$5,'Raw Data'!$C:$BO,11,0),"NA")</f>
        <v>NA</v>
      </c>
      <c r="J56" s="26" t="str">
        <f>IFERROR(VLOOKUP(D56&amp;$G$3&amp;$G$4&amp;$G$5,'Raw Data'!$C:$BO,26,0),"NA")</f>
        <v>NA</v>
      </c>
      <c r="K56" s="26" t="str">
        <f>IFERROR(VLOOKUP(D56&amp;$G$3&amp;$G$4&amp;$G$5,'Raw Data'!$C:$BO,39,0),"NA")</f>
        <v>NA</v>
      </c>
      <c r="L56" s="26" t="str">
        <f>IFERROR(VLOOKUP(D56&amp;$G$3&amp;$G$4&amp;$G$5,'Raw Data'!$C:$BO,65,0),"NA")</f>
        <v>NA</v>
      </c>
      <c r="M56" s="26" t="str">
        <f>IFERROR(VLOOKUP(D56&amp;$G$3&amp;$G$4&amp;G48,'Raw Data'!$C:$BO,52,0),"NA")</f>
        <v>NA</v>
      </c>
      <c r="N56" s="26">
        <f t="shared" si="10"/>
        <v>0</v>
      </c>
      <c r="O56" s="78" t="str">
        <f t="shared" si="11"/>
        <v>NA</v>
      </c>
      <c r="P56" s="26" t="str">
        <f>IFERROR(VLOOKUP(D56&amp;$G$3&amp;$G$4&amp;$G$5,'Raw Data'!$C:$BS,66,0),"NA")</f>
        <v>NA</v>
      </c>
      <c r="Q56" s="26" t="str">
        <f>IFERROR(VLOOKUP(D56&amp;$G$3&amp;$G$4&amp;$G$5,'Raw Data'!$C:$BS,67,0),"NA")</f>
        <v>NA</v>
      </c>
      <c r="R56" s="26" t="str">
        <f>IFERROR(VLOOKUP(D56&amp;$G$3&amp;$G$4&amp;$G$5,'Raw Data'!$C:$BS,68,0),"NA")</f>
        <v>NA</v>
      </c>
      <c r="S56" s="26" t="str">
        <f>IFERROR(VLOOKUP(D56&amp;$G$3&amp;$G$4&amp;$G$5,'Raw Data'!$C:$BS,69,0),"NA")</f>
        <v>NA</v>
      </c>
      <c r="T56" s="44" t="str">
        <f t="shared" si="12"/>
        <v>NA</v>
      </c>
      <c r="BK56" s="60" t="str">
        <f t="shared" si="13"/>
        <v>NA</v>
      </c>
      <c r="BL56" t="str">
        <f t="shared" si="14"/>
        <v>NA</v>
      </c>
      <c r="BM56" t="str">
        <f t="shared" si="15"/>
        <v>NA</v>
      </c>
      <c r="BN56" t="str">
        <f t="shared" si="16"/>
        <v>NA</v>
      </c>
      <c r="BO56" t="str">
        <f t="shared" si="18"/>
        <v/>
      </c>
      <c r="BP56" t="str">
        <f t="shared" si="17"/>
        <v>NA</v>
      </c>
    </row>
    <row r="57" spans="1:68">
      <c r="A57" t="str">
        <f t="shared" ca="1" si="7"/>
        <v>44LowNoTelecom-Non AT&amp;TJ</v>
      </c>
      <c r="B57" t="str">
        <f t="shared" ca="1" si="8"/>
        <v>44LowNoTelecom-Non AT&amp;TK</v>
      </c>
      <c r="C57" t="str">
        <f t="shared" ca="1" si="9"/>
        <v>44LowNoTelecom-Non AT&amp;TL</v>
      </c>
      <c r="D57" s="22">
        <v>44</v>
      </c>
      <c r="E57" s="24" t="str">
        <f>IFERROR(VLOOKUP(D57&amp;$G$3&amp;$G$4&amp;$G$5,'Raw Data'!$C:$BO,2,0),"NA")</f>
        <v>NA</v>
      </c>
      <c r="F57" s="79" t="str">
        <f>IFERROR(VLOOKUP(D57&amp;$G$3&amp;$G$4&amp;$G$5,'Raw Data'!$C:$BO,5,0),"NA")</f>
        <v>NA</v>
      </c>
      <c r="G57" s="44" t="str">
        <f>IFERROR(VLOOKUP(D57&amp;$G$3&amp;$G$4&amp;$G$5,'Raw Data'!$C:$BT,70,0),"NA")</f>
        <v>NA</v>
      </c>
      <c r="H57" s="62" t="str">
        <f>IFERROR(VLOOKUP(D57&amp;$G$3&amp;$G$4&amp;$G$5,'Raw Data'!$C:$BO,7,0),"NA")</f>
        <v>NA</v>
      </c>
      <c r="I57" s="29" t="str">
        <f>IFERROR(VLOOKUP(D57&amp;$G$3&amp;$G$4&amp;$G$5,'Raw Data'!$C:$BO,11,0),"NA")</f>
        <v>NA</v>
      </c>
      <c r="J57" s="26" t="str">
        <f>IFERROR(VLOOKUP(D57&amp;$G$3&amp;$G$4&amp;$G$5,'Raw Data'!$C:$BO,26,0),"NA")</f>
        <v>NA</v>
      </c>
      <c r="K57" s="26" t="str">
        <f>IFERROR(VLOOKUP(D57&amp;$G$3&amp;$G$4&amp;$G$5,'Raw Data'!$C:$BO,39,0),"NA")</f>
        <v>NA</v>
      </c>
      <c r="L57" s="26" t="str">
        <f>IFERROR(VLOOKUP(D57&amp;$G$3&amp;$G$4&amp;$G$5,'Raw Data'!$C:$BO,65,0),"NA")</f>
        <v>NA</v>
      </c>
      <c r="M57" s="26" t="str">
        <f>IFERROR(VLOOKUP(D57&amp;$G$3&amp;$G$4&amp;G49,'Raw Data'!$C:$BO,52,0),"NA")</f>
        <v>NA</v>
      </c>
      <c r="N57" s="26">
        <f t="shared" si="10"/>
        <v>0</v>
      </c>
      <c r="O57" s="78" t="str">
        <f t="shared" si="11"/>
        <v>NA</v>
      </c>
      <c r="P57" s="26" t="str">
        <f>IFERROR(VLOOKUP(D57&amp;$G$3&amp;$G$4&amp;$G$5,'Raw Data'!$C:$BS,66,0),"NA")</f>
        <v>NA</v>
      </c>
      <c r="Q57" s="26" t="str">
        <f>IFERROR(VLOOKUP(D57&amp;$G$3&amp;$G$4&amp;$G$5,'Raw Data'!$C:$BS,67,0),"NA")</f>
        <v>NA</v>
      </c>
      <c r="R57" s="26" t="str">
        <f>IFERROR(VLOOKUP(D57&amp;$G$3&amp;$G$4&amp;$G$5,'Raw Data'!$C:$BS,68,0),"NA")</f>
        <v>NA</v>
      </c>
      <c r="S57" s="26" t="str">
        <f>IFERROR(VLOOKUP(D57&amp;$G$3&amp;$G$4&amp;$G$5,'Raw Data'!$C:$BS,69,0),"NA")</f>
        <v>NA</v>
      </c>
      <c r="T57" s="44" t="str">
        <f t="shared" si="12"/>
        <v>NA</v>
      </c>
      <c r="BK57" s="60" t="str">
        <f t="shared" si="13"/>
        <v>NA</v>
      </c>
      <c r="BL57" t="str">
        <f t="shared" si="14"/>
        <v>NA</v>
      </c>
      <c r="BM57" t="str">
        <f t="shared" si="15"/>
        <v>NA</v>
      </c>
      <c r="BN57" t="str">
        <f t="shared" si="16"/>
        <v>NA</v>
      </c>
      <c r="BO57" t="str">
        <f t="shared" si="18"/>
        <v/>
      </c>
      <c r="BP57" t="str">
        <f t="shared" si="17"/>
        <v>NA</v>
      </c>
    </row>
    <row r="58" spans="1:68">
      <c r="A58" t="str">
        <f t="shared" ca="1" si="7"/>
        <v>45LowNoTelecom-Non AT&amp;TJ</v>
      </c>
      <c r="B58" t="str">
        <f t="shared" ca="1" si="8"/>
        <v>45LowNoTelecom-Non AT&amp;TK</v>
      </c>
      <c r="C58" t="str">
        <f t="shared" ca="1" si="9"/>
        <v>45LowNoTelecom-Non AT&amp;TL</v>
      </c>
      <c r="D58" s="22">
        <v>45</v>
      </c>
      <c r="E58" s="24" t="str">
        <f>IFERROR(VLOOKUP(D58&amp;$G$3&amp;$G$4&amp;$G$5,'Raw Data'!$C:$BO,2,0),"NA")</f>
        <v>NA</v>
      </c>
      <c r="F58" s="79" t="str">
        <f>IFERROR(VLOOKUP(D58&amp;$G$3&amp;$G$4&amp;$G$5,'Raw Data'!$C:$BO,5,0),"NA")</f>
        <v>NA</v>
      </c>
      <c r="G58" s="44" t="str">
        <f>IFERROR(VLOOKUP(D58&amp;$G$3&amp;$G$4&amp;$G$5,'Raw Data'!$C:$BT,70,0),"NA")</f>
        <v>NA</v>
      </c>
      <c r="H58" s="62" t="str">
        <f>IFERROR(VLOOKUP(D58&amp;$G$3&amp;$G$4&amp;$G$5,'Raw Data'!$C:$BO,7,0),"NA")</f>
        <v>NA</v>
      </c>
      <c r="I58" s="29" t="str">
        <f>IFERROR(VLOOKUP(D58&amp;$G$3&amp;$G$4&amp;$G$5,'Raw Data'!$C:$BO,11,0),"NA")</f>
        <v>NA</v>
      </c>
      <c r="J58" s="26" t="str">
        <f>IFERROR(VLOOKUP(D58&amp;$G$3&amp;$G$4&amp;$G$5,'Raw Data'!$C:$BO,26,0),"NA")</f>
        <v>NA</v>
      </c>
      <c r="K58" s="26" t="str">
        <f>IFERROR(VLOOKUP(D58&amp;$G$3&amp;$G$4&amp;$G$5,'Raw Data'!$C:$BO,39,0),"NA")</f>
        <v>NA</v>
      </c>
      <c r="L58" s="26" t="str">
        <f>IFERROR(VLOOKUP(D58&amp;$G$3&amp;$G$4&amp;$G$5,'Raw Data'!$C:$BO,65,0),"NA")</f>
        <v>NA</v>
      </c>
      <c r="M58" s="26" t="str">
        <f>IFERROR(VLOOKUP(D58&amp;$G$3&amp;$G$4&amp;G50,'Raw Data'!$C:$BO,52,0),"NA")</f>
        <v>NA</v>
      </c>
      <c r="N58" s="26">
        <f t="shared" si="10"/>
        <v>0</v>
      </c>
      <c r="O58" s="78" t="str">
        <f t="shared" si="11"/>
        <v>NA</v>
      </c>
      <c r="P58" s="26" t="str">
        <f>IFERROR(VLOOKUP(D58&amp;$G$3&amp;$G$4&amp;$G$5,'Raw Data'!$C:$BS,66,0),"NA")</f>
        <v>NA</v>
      </c>
      <c r="Q58" s="26" t="str">
        <f>IFERROR(VLOOKUP(D58&amp;$G$3&amp;$G$4&amp;$G$5,'Raw Data'!$C:$BS,67,0),"NA")</f>
        <v>NA</v>
      </c>
      <c r="R58" s="26" t="str">
        <f>IFERROR(VLOOKUP(D58&amp;$G$3&amp;$G$4&amp;$G$5,'Raw Data'!$C:$BS,68,0),"NA")</f>
        <v>NA</v>
      </c>
      <c r="S58" s="26" t="str">
        <f>IFERROR(VLOOKUP(D58&amp;$G$3&amp;$G$4&amp;$G$5,'Raw Data'!$C:$BS,69,0),"NA")</f>
        <v>NA</v>
      </c>
      <c r="T58" s="44" t="str">
        <f t="shared" si="12"/>
        <v>NA</v>
      </c>
      <c r="BK58" s="60" t="str">
        <f t="shared" si="13"/>
        <v>NA</v>
      </c>
      <c r="BL58" t="str">
        <f t="shared" si="14"/>
        <v>NA</v>
      </c>
      <c r="BM58" t="str">
        <f t="shared" si="15"/>
        <v>NA</v>
      </c>
      <c r="BN58" t="str">
        <f t="shared" si="16"/>
        <v>NA</v>
      </c>
      <c r="BO58" t="str">
        <f t="shared" si="18"/>
        <v/>
      </c>
      <c r="BP58" t="str">
        <f t="shared" si="17"/>
        <v>NA</v>
      </c>
    </row>
    <row r="59" spans="1:68">
      <c r="A59" t="str">
        <f t="shared" ca="1" si="7"/>
        <v>46LowNoTelecom-Non AT&amp;TJ</v>
      </c>
      <c r="B59" t="str">
        <f t="shared" ca="1" si="8"/>
        <v>46LowNoTelecom-Non AT&amp;TK</v>
      </c>
      <c r="C59" t="str">
        <f t="shared" ca="1" si="9"/>
        <v>46LowNoTelecom-Non AT&amp;TL</v>
      </c>
      <c r="D59" s="22">
        <v>46</v>
      </c>
      <c r="E59" s="24" t="str">
        <f>IFERROR(VLOOKUP(D59&amp;$G$3&amp;$G$4&amp;$G$5,'Raw Data'!$C:$BO,2,0),"NA")</f>
        <v>NA</v>
      </c>
      <c r="F59" s="79" t="str">
        <f>IFERROR(VLOOKUP(D59&amp;$G$3&amp;$G$4&amp;$G$5,'Raw Data'!$C:$BO,5,0),"NA")</f>
        <v>NA</v>
      </c>
      <c r="G59" s="44" t="str">
        <f>IFERROR(VLOOKUP(D59&amp;$G$3&amp;$G$4&amp;$G$5,'Raw Data'!$C:$BT,70,0),"NA")</f>
        <v>NA</v>
      </c>
      <c r="H59" s="62" t="str">
        <f>IFERROR(VLOOKUP(D59&amp;$G$3&amp;$G$4&amp;$G$5,'Raw Data'!$C:$BO,7,0),"NA")</f>
        <v>NA</v>
      </c>
      <c r="I59" s="29" t="str">
        <f>IFERROR(VLOOKUP(D59&amp;$G$3&amp;$G$4&amp;$G$5,'Raw Data'!$C:$BO,11,0),"NA")</f>
        <v>NA</v>
      </c>
      <c r="J59" s="26" t="str">
        <f>IFERROR(VLOOKUP(D59&amp;$G$3&amp;$G$4&amp;$G$5,'Raw Data'!$C:$BO,26,0),"NA")</f>
        <v>NA</v>
      </c>
      <c r="K59" s="26" t="str">
        <f>IFERROR(VLOOKUP(D59&amp;$G$3&amp;$G$4&amp;$G$5,'Raw Data'!$C:$BO,39,0),"NA")</f>
        <v>NA</v>
      </c>
      <c r="L59" s="26" t="str">
        <f>IFERROR(VLOOKUP(D59&amp;$G$3&amp;$G$4&amp;$G$5,'Raw Data'!$C:$BO,65,0),"NA")</f>
        <v>NA</v>
      </c>
      <c r="M59" s="26" t="str">
        <f>IFERROR(VLOOKUP(D59&amp;$G$3&amp;$G$4&amp;G51,'Raw Data'!$C:$BO,52,0),"NA")</f>
        <v>NA</v>
      </c>
      <c r="N59" s="26">
        <f t="shared" si="10"/>
        <v>0</v>
      </c>
      <c r="O59" s="78" t="str">
        <f t="shared" si="11"/>
        <v>NA</v>
      </c>
      <c r="P59" s="26" t="str">
        <f>IFERROR(VLOOKUP(D59&amp;$G$3&amp;$G$4&amp;$G$5,'Raw Data'!$C:$BS,66,0),"NA")</f>
        <v>NA</v>
      </c>
      <c r="Q59" s="26" t="str">
        <f>IFERROR(VLOOKUP(D59&amp;$G$3&amp;$G$4&amp;$G$5,'Raw Data'!$C:$BS,67,0),"NA")</f>
        <v>NA</v>
      </c>
      <c r="R59" s="26" t="str">
        <f>IFERROR(VLOOKUP(D59&amp;$G$3&amp;$G$4&amp;$G$5,'Raw Data'!$C:$BS,68,0),"NA")</f>
        <v>NA</v>
      </c>
      <c r="S59" s="26" t="str">
        <f>IFERROR(VLOOKUP(D59&amp;$G$3&amp;$G$4&amp;$G$5,'Raw Data'!$C:$BS,69,0),"NA")</f>
        <v>NA</v>
      </c>
      <c r="T59" s="44" t="str">
        <f t="shared" si="12"/>
        <v>NA</v>
      </c>
      <c r="BK59" s="60" t="str">
        <f t="shared" si="13"/>
        <v>NA</v>
      </c>
      <c r="BL59" t="str">
        <f t="shared" si="14"/>
        <v>NA</v>
      </c>
      <c r="BM59" t="str">
        <f t="shared" si="15"/>
        <v>NA</v>
      </c>
      <c r="BN59" t="str">
        <f t="shared" si="16"/>
        <v>NA</v>
      </c>
      <c r="BO59" t="str">
        <f t="shared" si="18"/>
        <v/>
      </c>
      <c r="BP59" t="str">
        <f t="shared" si="17"/>
        <v>NA</v>
      </c>
    </row>
    <row r="60" spans="1:68">
      <c r="A60" t="str">
        <f t="shared" ca="1" si="7"/>
        <v>47LowNoTelecom-Non AT&amp;TJ</v>
      </c>
      <c r="B60" t="str">
        <f t="shared" ca="1" si="8"/>
        <v>47LowNoTelecom-Non AT&amp;TK</v>
      </c>
      <c r="C60" t="str">
        <f t="shared" ca="1" si="9"/>
        <v>47LowNoTelecom-Non AT&amp;TL</v>
      </c>
      <c r="D60" s="22">
        <v>47</v>
      </c>
      <c r="E60" s="24" t="str">
        <f>IFERROR(VLOOKUP(D60&amp;$G$3&amp;$G$4&amp;$G$5,'Raw Data'!$C:$BO,2,0),"NA")</f>
        <v>NA</v>
      </c>
      <c r="F60" s="79" t="str">
        <f>IFERROR(VLOOKUP(D60&amp;$G$3&amp;$G$4&amp;$G$5,'Raw Data'!$C:$BO,5,0),"NA")</f>
        <v>NA</v>
      </c>
      <c r="G60" s="44" t="str">
        <f>IFERROR(VLOOKUP(D60&amp;$G$3&amp;$G$4&amp;$G$5,'Raw Data'!$C:$BT,70,0),"NA")</f>
        <v>NA</v>
      </c>
      <c r="H60" s="62" t="str">
        <f>IFERROR(VLOOKUP(D60&amp;$G$3&amp;$G$4&amp;$G$5,'Raw Data'!$C:$BO,7,0),"NA")</f>
        <v>NA</v>
      </c>
      <c r="I60" s="29" t="str">
        <f>IFERROR(VLOOKUP(D60&amp;$G$3&amp;$G$4&amp;$G$5,'Raw Data'!$C:$BO,11,0),"NA")</f>
        <v>NA</v>
      </c>
      <c r="J60" s="26" t="str">
        <f>IFERROR(VLOOKUP(D60&amp;$G$3&amp;$G$4&amp;$G$5,'Raw Data'!$C:$BO,26,0),"NA")</f>
        <v>NA</v>
      </c>
      <c r="K60" s="26" t="str">
        <f>IFERROR(VLOOKUP(D60&amp;$G$3&amp;$G$4&amp;$G$5,'Raw Data'!$C:$BO,39,0),"NA")</f>
        <v>NA</v>
      </c>
      <c r="L60" s="26" t="str">
        <f>IFERROR(VLOOKUP(D60&amp;$G$3&amp;$G$4&amp;$G$5,'Raw Data'!$C:$BO,65,0),"NA")</f>
        <v>NA</v>
      </c>
      <c r="M60" s="26" t="str">
        <f>IFERROR(VLOOKUP(D60&amp;$G$3&amp;$G$4&amp;G52,'Raw Data'!$C:$BO,52,0),"NA")</f>
        <v>NA</v>
      </c>
      <c r="N60" s="26">
        <f t="shared" si="10"/>
        <v>0</v>
      </c>
      <c r="O60" s="78" t="str">
        <f t="shared" si="11"/>
        <v>NA</v>
      </c>
      <c r="P60" s="26" t="str">
        <f>IFERROR(VLOOKUP(D60&amp;$G$3&amp;$G$4&amp;$G$5,'Raw Data'!$C:$BS,66,0),"NA")</f>
        <v>NA</v>
      </c>
      <c r="Q60" s="26" t="str">
        <f>IFERROR(VLOOKUP(D60&amp;$G$3&amp;$G$4&amp;$G$5,'Raw Data'!$C:$BS,67,0),"NA")</f>
        <v>NA</v>
      </c>
      <c r="R60" s="26" t="str">
        <f>IFERROR(VLOOKUP(D60&amp;$G$3&amp;$G$4&amp;$G$5,'Raw Data'!$C:$BS,68,0),"NA")</f>
        <v>NA</v>
      </c>
      <c r="S60" s="26" t="str">
        <f>IFERROR(VLOOKUP(D60&amp;$G$3&amp;$G$4&amp;$G$5,'Raw Data'!$C:$BS,69,0),"NA")</f>
        <v>NA</v>
      </c>
      <c r="T60" s="44" t="str">
        <f t="shared" si="12"/>
        <v>NA</v>
      </c>
      <c r="BK60" s="60" t="str">
        <f t="shared" si="13"/>
        <v>NA</v>
      </c>
      <c r="BL60" t="str">
        <f t="shared" si="14"/>
        <v>NA</v>
      </c>
      <c r="BM60" t="str">
        <f t="shared" si="15"/>
        <v>NA</v>
      </c>
      <c r="BN60" t="str">
        <f t="shared" si="16"/>
        <v>NA</v>
      </c>
      <c r="BO60" t="str">
        <f t="shared" si="18"/>
        <v/>
      </c>
      <c r="BP60" t="str">
        <f t="shared" si="17"/>
        <v>NA</v>
      </c>
    </row>
    <row r="61" spans="1:68">
      <c r="A61" t="str">
        <f t="shared" ca="1" si="7"/>
        <v>48LowNoTelecom-Non AT&amp;TJ</v>
      </c>
      <c r="B61" t="str">
        <f t="shared" ca="1" si="8"/>
        <v>48LowNoTelecom-Non AT&amp;TK</v>
      </c>
      <c r="C61" t="str">
        <f t="shared" ca="1" si="9"/>
        <v>48LowNoTelecom-Non AT&amp;TL</v>
      </c>
      <c r="D61" s="22">
        <v>48</v>
      </c>
      <c r="E61" s="24" t="str">
        <f>IFERROR(VLOOKUP(D61&amp;$G$3&amp;$G$4&amp;$G$5,'Raw Data'!$C:$BO,2,0),"NA")</f>
        <v>NA</v>
      </c>
      <c r="F61" s="79" t="str">
        <f>IFERROR(VLOOKUP(D61&amp;$G$3&amp;$G$4&amp;$G$5,'Raw Data'!$C:$BO,5,0),"NA")</f>
        <v>NA</v>
      </c>
      <c r="G61" s="44" t="str">
        <f>IFERROR(VLOOKUP(D61&amp;$G$3&amp;$G$4&amp;$G$5,'Raw Data'!$C:$BT,70,0),"NA")</f>
        <v>NA</v>
      </c>
      <c r="H61" s="62" t="str">
        <f>IFERROR(VLOOKUP(D61&amp;$G$3&amp;$G$4&amp;$G$5,'Raw Data'!$C:$BO,7,0),"NA")</f>
        <v>NA</v>
      </c>
      <c r="I61" s="29" t="str">
        <f>IFERROR(VLOOKUP(D61&amp;$G$3&amp;$G$4&amp;$G$5,'Raw Data'!$C:$BO,11,0),"NA")</f>
        <v>NA</v>
      </c>
      <c r="J61" s="26" t="str">
        <f>IFERROR(VLOOKUP(D61&amp;$G$3&amp;$G$4&amp;$G$5,'Raw Data'!$C:$BO,26,0),"NA")</f>
        <v>NA</v>
      </c>
      <c r="K61" s="26" t="str">
        <f>IFERROR(VLOOKUP(D61&amp;$G$3&amp;$G$4&amp;$G$5,'Raw Data'!$C:$BO,39,0),"NA")</f>
        <v>NA</v>
      </c>
      <c r="L61" s="26" t="str">
        <f>IFERROR(VLOOKUP(D61&amp;$G$3&amp;$G$4&amp;$G$5,'Raw Data'!$C:$BO,65,0),"NA")</f>
        <v>NA</v>
      </c>
      <c r="M61" s="26" t="str">
        <f>IFERROR(VLOOKUP(D61&amp;$G$3&amp;$G$4&amp;G53,'Raw Data'!$C:$BO,52,0),"NA")</f>
        <v>NA</v>
      </c>
      <c r="N61" s="26">
        <f t="shared" si="10"/>
        <v>0</v>
      </c>
      <c r="O61" s="78" t="str">
        <f t="shared" si="11"/>
        <v>NA</v>
      </c>
      <c r="P61" s="26" t="str">
        <f>IFERROR(VLOOKUP(D61&amp;$G$3&amp;$G$4&amp;$G$5,'Raw Data'!$C:$BS,66,0),"NA")</f>
        <v>NA</v>
      </c>
      <c r="Q61" s="26" t="str">
        <f>IFERROR(VLOOKUP(D61&amp;$G$3&amp;$G$4&amp;$G$5,'Raw Data'!$C:$BS,67,0),"NA")</f>
        <v>NA</v>
      </c>
      <c r="R61" s="26" t="str">
        <f>IFERROR(VLOOKUP(D61&amp;$G$3&amp;$G$4&amp;$G$5,'Raw Data'!$C:$BS,68,0),"NA")</f>
        <v>NA</v>
      </c>
      <c r="S61" s="26" t="str">
        <f>IFERROR(VLOOKUP(D61&amp;$G$3&amp;$G$4&amp;$G$5,'Raw Data'!$C:$BS,69,0),"NA")</f>
        <v>NA</v>
      </c>
      <c r="T61" s="44" t="str">
        <f t="shared" si="12"/>
        <v>NA</v>
      </c>
      <c r="BK61" s="60" t="str">
        <f t="shared" si="13"/>
        <v>NA</v>
      </c>
      <c r="BL61" t="str">
        <f t="shared" si="14"/>
        <v>NA</v>
      </c>
      <c r="BM61" t="str">
        <f t="shared" si="15"/>
        <v>NA</v>
      </c>
      <c r="BN61" t="str">
        <f t="shared" si="16"/>
        <v>NA</v>
      </c>
      <c r="BO61" t="str">
        <f t="shared" si="18"/>
        <v/>
      </c>
      <c r="BP61" t="str">
        <f t="shared" si="17"/>
        <v>NA</v>
      </c>
    </row>
    <row r="62" spans="1:68">
      <c r="A62" t="str">
        <f t="shared" ca="1" si="7"/>
        <v>49LowNoTelecom-Non AT&amp;TJ</v>
      </c>
      <c r="B62" t="str">
        <f t="shared" ca="1" si="8"/>
        <v>49LowNoTelecom-Non AT&amp;TK</v>
      </c>
      <c r="C62" t="str">
        <f t="shared" ca="1" si="9"/>
        <v>49LowNoTelecom-Non AT&amp;TL</v>
      </c>
      <c r="D62" s="22">
        <v>49</v>
      </c>
      <c r="E62" s="24" t="str">
        <f>IFERROR(VLOOKUP(D62&amp;$G$3&amp;$G$4&amp;$G$5,'Raw Data'!$C:$BO,2,0),"NA")</f>
        <v>NA</v>
      </c>
      <c r="F62" s="79" t="str">
        <f>IFERROR(VLOOKUP(D62&amp;$G$3&amp;$G$4&amp;$G$5,'Raw Data'!$C:$BO,5,0),"NA")</f>
        <v>NA</v>
      </c>
      <c r="G62" s="44" t="str">
        <f>IFERROR(VLOOKUP(D62&amp;$G$3&amp;$G$4&amp;$G$5,'Raw Data'!$C:$BT,70,0),"NA")</f>
        <v>NA</v>
      </c>
      <c r="H62" s="62" t="str">
        <f>IFERROR(VLOOKUP(D62&amp;$G$3&amp;$G$4&amp;$G$5,'Raw Data'!$C:$BO,7,0),"NA")</f>
        <v>NA</v>
      </c>
      <c r="I62" s="29" t="str">
        <f>IFERROR(VLOOKUP(D62&amp;$G$3&amp;$G$4&amp;$G$5,'Raw Data'!$C:$BO,11,0),"NA")</f>
        <v>NA</v>
      </c>
      <c r="J62" s="26" t="str">
        <f>IFERROR(VLOOKUP(D62&amp;$G$3&amp;$G$4&amp;$G$5,'Raw Data'!$C:$BO,26,0),"NA")</f>
        <v>NA</v>
      </c>
      <c r="K62" s="26" t="str">
        <f>IFERROR(VLOOKUP(D62&amp;$G$3&amp;$G$4&amp;$G$5,'Raw Data'!$C:$BO,39,0),"NA")</f>
        <v>NA</v>
      </c>
      <c r="L62" s="26" t="str">
        <f>IFERROR(VLOOKUP(D62&amp;$G$3&amp;$G$4&amp;$G$5,'Raw Data'!$C:$BO,65,0),"NA")</f>
        <v>NA</v>
      </c>
      <c r="M62" s="26" t="str">
        <f>IFERROR(VLOOKUP(D62&amp;$G$3&amp;$G$4&amp;G54,'Raw Data'!$C:$BO,52,0),"NA")</f>
        <v>NA</v>
      </c>
      <c r="N62" s="26">
        <f t="shared" si="10"/>
        <v>0</v>
      </c>
      <c r="O62" s="78" t="str">
        <f t="shared" si="11"/>
        <v>NA</v>
      </c>
      <c r="P62" s="26" t="str">
        <f>IFERROR(VLOOKUP(D62&amp;$G$3&amp;$G$4&amp;$G$5,'Raw Data'!$C:$BS,66,0),"NA")</f>
        <v>NA</v>
      </c>
      <c r="Q62" s="26" t="str">
        <f>IFERROR(VLOOKUP(D62&amp;$G$3&amp;$G$4&amp;$G$5,'Raw Data'!$C:$BS,67,0),"NA")</f>
        <v>NA</v>
      </c>
      <c r="R62" s="26" t="str">
        <f>IFERROR(VLOOKUP(D62&amp;$G$3&amp;$G$4&amp;$G$5,'Raw Data'!$C:$BS,68,0),"NA")</f>
        <v>NA</v>
      </c>
      <c r="S62" s="26" t="str">
        <f>IFERROR(VLOOKUP(D62&amp;$G$3&amp;$G$4&amp;$G$5,'Raw Data'!$C:$BS,69,0),"NA")</f>
        <v>NA</v>
      </c>
      <c r="T62" s="44" t="str">
        <f t="shared" si="12"/>
        <v>NA</v>
      </c>
      <c r="BK62" s="60" t="str">
        <f t="shared" si="13"/>
        <v>NA</v>
      </c>
      <c r="BL62" t="str">
        <f t="shared" si="14"/>
        <v>NA</v>
      </c>
      <c r="BM62" t="str">
        <f t="shared" si="15"/>
        <v>NA</v>
      </c>
      <c r="BN62" t="str">
        <f t="shared" si="16"/>
        <v>NA</v>
      </c>
      <c r="BO62" t="str">
        <f t="shared" si="18"/>
        <v/>
      </c>
      <c r="BP62" t="str">
        <f t="shared" si="17"/>
        <v>NA</v>
      </c>
    </row>
    <row r="63" spans="1:68">
      <c r="A63" t="str">
        <f t="shared" ca="1" si="7"/>
        <v>50LowNoTelecom-Non AT&amp;TJ</v>
      </c>
      <c r="B63" t="str">
        <f t="shared" ca="1" si="8"/>
        <v>50LowNoTelecom-Non AT&amp;TK</v>
      </c>
      <c r="C63" t="str">
        <f t="shared" ca="1" si="9"/>
        <v>50LowNoTelecom-Non AT&amp;TL</v>
      </c>
      <c r="D63" s="22">
        <v>50</v>
      </c>
      <c r="E63" s="24" t="str">
        <f>IFERROR(VLOOKUP(D63&amp;$G$3&amp;$G$4&amp;$G$5,'Raw Data'!$C:$BO,2,0),"NA")</f>
        <v>NA</v>
      </c>
      <c r="F63" s="79" t="str">
        <f>IFERROR(VLOOKUP(D63&amp;$G$3&amp;$G$4&amp;$G$5,'Raw Data'!$C:$BO,5,0),"NA")</f>
        <v>NA</v>
      </c>
      <c r="G63" s="44" t="str">
        <f>IFERROR(VLOOKUP(D63&amp;$G$3&amp;$G$4&amp;$G$5,'Raw Data'!$C:$BT,70,0),"NA")</f>
        <v>NA</v>
      </c>
      <c r="H63" s="62" t="str">
        <f>IFERROR(VLOOKUP(D63&amp;$G$3&amp;$G$4&amp;$G$5,'Raw Data'!$C:$BO,7,0),"NA")</f>
        <v>NA</v>
      </c>
      <c r="I63" s="29" t="str">
        <f>IFERROR(VLOOKUP(D63&amp;$G$3&amp;$G$4&amp;$G$5,'Raw Data'!$C:$BO,11,0),"NA")</f>
        <v>NA</v>
      </c>
      <c r="J63" s="26" t="str">
        <f>IFERROR(VLOOKUP(D63&amp;$G$3&amp;$G$4&amp;$G$5,'Raw Data'!$C:$BO,26,0),"NA")</f>
        <v>NA</v>
      </c>
      <c r="K63" s="26" t="str">
        <f>IFERROR(VLOOKUP(D63&amp;$G$3&amp;$G$4&amp;$G$5,'Raw Data'!$C:$BO,39,0),"NA")</f>
        <v>NA</v>
      </c>
      <c r="L63" s="26" t="str">
        <f>IFERROR(VLOOKUP(D63&amp;$G$3&amp;$G$4&amp;$G$5,'Raw Data'!$C:$BO,65,0),"NA")</f>
        <v>NA</v>
      </c>
      <c r="M63" s="26" t="str">
        <f>IFERROR(VLOOKUP(D63&amp;$G$3&amp;$G$4&amp;G55,'Raw Data'!$C:$BO,52,0),"NA")</f>
        <v>NA</v>
      </c>
      <c r="N63" s="26">
        <f t="shared" si="10"/>
        <v>0</v>
      </c>
      <c r="O63" s="78" t="str">
        <f t="shared" si="11"/>
        <v>NA</v>
      </c>
      <c r="P63" s="26" t="str">
        <f>IFERROR(VLOOKUP(D63&amp;$G$3&amp;$G$4&amp;$G$5,'Raw Data'!$C:$BS,66,0),"NA")</f>
        <v>NA</v>
      </c>
      <c r="Q63" s="26" t="str">
        <f>IFERROR(VLOOKUP(D63&amp;$G$3&amp;$G$4&amp;$G$5,'Raw Data'!$C:$BS,67,0),"NA")</f>
        <v>NA</v>
      </c>
      <c r="R63" s="26" t="str">
        <f>IFERROR(VLOOKUP(D63&amp;$G$3&amp;$G$4&amp;$G$5,'Raw Data'!$C:$BS,68,0),"NA")</f>
        <v>NA</v>
      </c>
      <c r="S63" s="26" t="str">
        <f>IFERROR(VLOOKUP(D63&amp;$G$3&amp;$G$4&amp;$G$5,'Raw Data'!$C:$BS,69,0),"NA")</f>
        <v>NA</v>
      </c>
      <c r="T63" s="44" t="str">
        <f t="shared" si="12"/>
        <v>NA</v>
      </c>
      <c r="BK63" s="60" t="str">
        <f t="shared" si="13"/>
        <v>NA</v>
      </c>
      <c r="BL63" t="str">
        <f t="shared" si="14"/>
        <v>NA</v>
      </c>
      <c r="BM63" t="str">
        <f t="shared" si="15"/>
        <v>NA</v>
      </c>
      <c r="BN63" t="str">
        <f t="shared" si="16"/>
        <v>NA</v>
      </c>
      <c r="BO63" t="str">
        <f t="shared" si="18"/>
        <v/>
      </c>
      <c r="BP63" t="str">
        <f t="shared" si="17"/>
        <v>NA</v>
      </c>
    </row>
    <row r="64" spans="1:68">
      <c r="A64" t="str">
        <f t="shared" ca="1" si="7"/>
        <v>51LowNoTelecom-Non AT&amp;TJ</v>
      </c>
      <c r="B64" t="str">
        <f t="shared" ca="1" si="8"/>
        <v>51LowNoTelecom-Non AT&amp;TK</v>
      </c>
      <c r="C64" t="str">
        <f t="shared" ca="1" si="9"/>
        <v>51LowNoTelecom-Non AT&amp;TL</v>
      </c>
      <c r="D64" s="22">
        <v>51</v>
      </c>
      <c r="E64" s="24" t="str">
        <f>IFERROR(VLOOKUP(D64&amp;$G$3&amp;$G$4&amp;$G$5,'Raw Data'!$C:$BO,2,0),"NA")</f>
        <v>NA</v>
      </c>
      <c r="F64" s="79" t="str">
        <f>IFERROR(VLOOKUP(D64&amp;$G$3&amp;$G$4&amp;$G$5,'Raw Data'!$C:$BO,5,0),"NA")</f>
        <v>NA</v>
      </c>
      <c r="G64" s="44" t="str">
        <f>IFERROR(VLOOKUP(D64&amp;$G$3&amp;$G$4&amp;$G$5,'Raw Data'!$C:$BT,70,0),"NA")</f>
        <v>NA</v>
      </c>
      <c r="H64" s="62" t="str">
        <f>IFERROR(VLOOKUP(D64&amp;$G$3&amp;$G$4&amp;$G$5,'Raw Data'!$C:$BO,7,0),"NA")</f>
        <v>NA</v>
      </c>
      <c r="I64" s="29" t="str">
        <f>IFERROR(VLOOKUP(D64&amp;$G$3&amp;$G$4&amp;$G$5,'Raw Data'!$C:$BO,11,0),"NA")</f>
        <v>NA</v>
      </c>
      <c r="J64" s="26" t="str">
        <f>IFERROR(VLOOKUP(D64&amp;$G$3&amp;$G$4&amp;$G$5,'Raw Data'!$C:$BO,26,0),"NA")</f>
        <v>NA</v>
      </c>
      <c r="K64" s="26" t="str">
        <f>IFERROR(VLOOKUP(D64&amp;$G$3&amp;$G$4&amp;$G$5,'Raw Data'!$C:$BO,39,0),"NA")</f>
        <v>NA</v>
      </c>
      <c r="L64" s="26" t="str">
        <f>IFERROR(VLOOKUP(D64&amp;$G$3&amp;$G$4&amp;$G$5,'Raw Data'!$C:$BO,65,0),"NA")</f>
        <v>NA</v>
      </c>
      <c r="M64" s="26" t="str">
        <f>IFERROR(VLOOKUP(D64&amp;$G$3&amp;$G$4&amp;G56,'Raw Data'!$C:$BO,52,0),"NA")</f>
        <v>NA</v>
      </c>
      <c r="N64" s="26">
        <f t="shared" si="10"/>
        <v>0</v>
      </c>
      <c r="O64" s="78" t="str">
        <f t="shared" si="11"/>
        <v>NA</v>
      </c>
      <c r="P64" s="26" t="str">
        <f>IFERROR(VLOOKUP(D64&amp;$G$3&amp;$G$4&amp;$G$5,'Raw Data'!$C:$BS,66,0),"NA")</f>
        <v>NA</v>
      </c>
      <c r="Q64" s="26" t="str">
        <f>IFERROR(VLOOKUP(D64&amp;$G$3&amp;$G$4&amp;$G$5,'Raw Data'!$C:$BS,67,0),"NA")</f>
        <v>NA</v>
      </c>
      <c r="R64" s="26" t="str">
        <f>IFERROR(VLOOKUP(D64&amp;$G$3&amp;$G$4&amp;$G$5,'Raw Data'!$C:$BS,68,0),"NA")</f>
        <v>NA</v>
      </c>
      <c r="S64" s="26" t="str">
        <f>IFERROR(VLOOKUP(D64&amp;$G$3&amp;$G$4&amp;$G$5,'Raw Data'!$C:$BS,69,0),"NA")</f>
        <v>NA</v>
      </c>
      <c r="T64" s="44" t="str">
        <f t="shared" si="12"/>
        <v>NA</v>
      </c>
      <c r="BK64" s="60" t="str">
        <f t="shared" si="13"/>
        <v>NA</v>
      </c>
      <c r="BL64" t="str">
        <f t="shared" si="14"/>
        <v>NA</v>
      </c>
      <c r="BM64" t="str">
        <f t="shared" si="15"/>
        <v>NA</v>
      </c>
      <c r="BN64" t="str">
        <f t="shared" si="16"/>
        <v>NA</v>
      </c>
      <c r="BO64" t="str">
        <f t="shared" si="18"/>
        <v/>
      </c>
      <c r="BP64" t="str">
        <f t="shared" si="17"/>
        <v>NA</v>
      </c>
    </row>
    <row r="65" spans="1:68">
      <c r="A65" t="str">
        <f t="shared" ca="1" si="7"/>
        <v>52LowNoTelecom-Non AT&amp;TJ</v>
      </c>
      <c r="B65" t="str">
        <f t="shared" ca="1" si="8"/>
        <v>52LowNoTelecom-Non AT&amp;TK</v>
      </c>
      <c r="C65" t="str">
        <f t="shared" ca="1" si="9"/>
        <v>52LowNoTelecom-Non AT&amp;TL</v>
      </c>
      <c r="D65" s="22">
        <v>52</v>
      </c>
      <c r="E65" s="24" t="str">
        <f>IFERROR(VLOOKUP(D65&amp;$G$3&amp;$G$4&amp;$G$5,'Raw Data'!$C:$BO,2,0),"NA")</f>
        <v>NA</v>
      </c>
      <c r="F65" s="79" t="str">
        <f>IFERROR(VLOOKUP(D65&amp;$G$3&amp;$G$4&amp;$G$5,'Raw Data'!$C:$BO,5,0),"NA")</f>
        <v>NA</v>
      </c>
      <c r="G65" s="44" t="str">
        <f>IFERROR(VLOOKUP(D65&amp;$G$3&amp;$G$4&amp;$G$5,'Raw Data'!$C:$BT,70,0),"NA")</f>
        <v>NA</v>
      </c>
      <c r="H65" s="62" t="str">
        <f>IFERROR(VLOOKUP(D65&amp;$G$3&amp;$G$4&amp;$G$5,'Raw Data'!$C:$BO,7,0),"NA")</f>
        <v>NA</v>
      </c>
      <c r="I65" s="29" t="str">
        <f>IFERROR(VLOOKUP(D65&amp;$G$3&amp;$G$4&amp;$G$5,'Raw Data'!$C:$BO,11,0),"NA")</f>
        <v>NA</v>
      </c>
      <c r="J65" s="26" t="str">
        <f>IFERROR(VLOOKUP(D65&amp;$G$3&amp;$G$4&amp;$G$5,'Raw Data'!$C:$BO,26,0),"NA")</f>
        <v>NA</v>
      </c>
      <c r="K65" s="26" t="str">
        <f>IFERROR(VLOOKUP(D65&amp;$G$3&amp;$G$4&amp;$G$5,'Raw Data'!$C:$BO,39,0),"NA")</f>
        <v>NA</v>
      </c>
      <c r="L65" s="26" t="str">
        <f>IFERROR(VLOOKUP(D65&amp;$G$3&amp;$G$4&amp;$G$5,'Raw Data'!$C:$BO,65,0),"NA")</f>
        <v>NA</v>
      </c>
      <c r="M65" s="26" t="str">
        <f>IFERROR(VLOOKUP(D65&amp;$G$3&amp;$G$4&amp;G57,'Raw Data'!$C:$BO,52,0),"NA")</f>
        <v>NA</v>
      </c>
      <c r="N65" s="26">
        <f t="shared" si="10"/>
        <v>0</v>
      </c>
      <c r="O65" s="78" t="str">
        <f t="shared" si="11"/>
        <v>NA</v>
      </c>
      <c r="P65" s="26" t="str">
        <f>IFERROR(VLOOKUP(D65&amp;$G$3&amp;$G$4&amp;$G$5,'Raw Data'!$C:$BS,66,0),"NA")</f>
        <v>NA</v>
      </c>
      <c r="Q65" s="26" t="str">
        <f>IFERROR(VLOOKUP(D65&amp;$G$3&amp;$G$4&amp;$G$5,'Raw Data'!$C:$BS,67,0),"NA")</f>
        <v>NA</v>
      </c>
      <c r="R65" s="26" t="str">
        <f>IFERROR(VLOOKUP(D65&amp;$G$3&amp;$G$4&amp;$G$5,'Raw Data'!$C:$BS,68,0),"NA")</f>
        <v>NA</v>
      </c>
      <c r="S65" s="26" t="str">
        <f>IFERROR(VLOOKUP(D65&amp;$G$3&amp;$G$4&amp;$G$5,'Raw Data'!$C:$BS,69,0),"NA")</f>
        <v>NA</v>
      </c>
      <c r="T65" s="44" t="str">
        <f t="shared" si="12"/>
        <v>NA</v>
      </c>
      <c r="BK65" s="60" t="str">
        <f t="shared" si="13"/>
        <v>NA</v>
      </c>
      <c r="BL65" t="str">
        <f t="shared" si="14"/>
        <v>NA</v>
      </c>
      <c r="BM65" t="str">
        <f t="shared" si="15"/>
        <v>NA</v>
      </c>
      <c r="BN65" t="str">
        <f t="shared" si="16"/>
        <v>NA</v>
      </c>
      <c r="BO65" t="str">
        <f t="shared" si="18"/>
        <v/>
      </c>
      <c r="BP65" t="str">
        <f t="shared" si="17"/>
        <v>NA</v>
      </c>
    </row>
    <row r="66" spans="1:68">
      <c r="A66" t="str">
        <f t="shared" ca="1" si="7"/>
        <v>53LowNoTelecom-Non AT&amp;TJ</v>
      </c>
      <c r="B66" t="str">
        <f t="shared" ca="1" si="8"/>
        <v>53LowNoTelecom-Non AT&amp;TK</v>
      </c>
      <c r="C66" t="str">
        <f t="shared" ca="1" si="9"/>
        <v>53LowNoTelecom-Non AT&amp;TL</v>
      </c>
      <c r="D66" s="22">
        <v>53</v>
      </c>
      <c r="E66" s="24" t="str">
        <f>IFERROR(VLOOKUP(D66&amp;$G$3&amp;$G$4&amp;$G$5,'Raw Data'!$C:$BO,2,0),"NA")</f>
        <v>NA</v>
      </c>
      <c r="F66" s="79" t="str">
        <f>IFERROR(VLOOKUP(D66&amp;$G$3&amp;$G$4&amp;$G$5,'Raw Data'!$C:$BO,5,0),"NA")</f>
        <v>NA</v>
      </c>
      <c r="G66" s="44" t="str">
        <f>IFERROR(VLOOKUP(D66&amp;$G$3&amp;$G$4&amp;$G$5,'Raw Data'!$C:$BT,70,0),"NA")</f>
        <v>NA</v>
      </c>
      <c r="H66" s="62" t="str">
        <f>IFERROR(VLOOKUP(D66&amp;$G$3&amp;$G$4&amp;$G$5,'Raw Data'!$C:$BO,7,0),"NA")</f>
        <v>NA</v>
      </c>
      <c r="I66" s="29" t="str">
        <f>IFERROR(VLOOKUP(D66&amp;$G$3&amp;$G$4&amp;$G$5,'Raw Data'!$C:$BO,11,0),"NA")</f>
        <v>NA</v>
      </c>
      <c r="J66" s="26" t="str">
        <f>IFERROR(VLOOKUP(D66&amp;$G$3&amp;$G$4&amp;$G$5,'Raw Data'!$C:$BO,26,0),"NA")</f>
        <v>NA</v>
      </c>
      <c r="K66" s="26" t="str">
        <f>IFERROR(VLOOKUP(D66&amp;$G$3&amp;$G$4&amp;$G$5,'Raw Data'!$C:$BO,39,0),"NA")</f>
        <v>NA</v>
      </c>
      <c r="L66" s="26" t="str">
        <f>IFERROR(VLOOKUP(D66&amp;$G$3&amp;$G$4&amp;$G$5,'Raw Data'!$C:$BO,65,0),"NA")</f>
        <v>NA</v>
      </c>
      <c r="M66" s="26" t="str">
        <f>IFERROR(VLOOKUP(D66&amp;$G$3&amp;$G$4&amp;G58,'Raw Data'!$C:$BO,52,0),"NA")</f>
        <v>NA</v>
      </c>
      <c r="N66" s="26">
        <f t="shared" si="10"/>
        <v>0</v>
      </c>
      <c r="O66" s="78" t="str">
        <f t="shared" si="11"/>
        <v>NA</v>
      </c>
      <c r="P66" s="26" t="str">
        <f>IFERROR(VLOOKUP(D66&amp;$G$3&amp;$G$4&amp;$G$5,'Raw Data'!$C:$BS,66,0),"NA")</f>
        <v>NA</v>
      </c>
      <c r="Q66" s="26" t="str">
        <f>IFERROR(VLOOKUP(D66&amp;$G$3&amp;$G$4&amp;$G$5,'Raw Data'!$C:$BS,67,0),"NA")</f>
        <v>NA</v>
      </c>
      <c r="R66" s="26" t="str">
        <f>IFERROR(VLOOKUP(D66&amp;$G$3&amp;$G$4&amp;$G$5,'Raw Data'!$C:$BS,68,0),"NA")</f>
        <v>NA</v>
      </c>
      <c r="S66" s="26" t="str">
        <f>IFERROR(VLOOKUP(D66&amp;$G$3&amp;$G$4&amp;$G$5,'Raw Data'!$C:$BS,69,0),"NA")</f>
        <v>NA</v>
      </c>
      <c r="T66" s="44" t="str">
        <f t="shared" si="12"/>
        <v>NA</v>
      </c>
      <c r="BK66" s="60" t="str">
        <f t="shared" si="13"/>
        <v>NA</v>
      </c>
      <c r="BL66" t="str">
        <f t="shared" si="14"/>
        <v>NA</v>
      </c>
      <c r="BM66" t="str">
        <f t="shared" si="15"/>
        <v>NA</v>
      </c>
      <c r="BN66" t="str">
        <f t="shared" si="16"/>
        <v>NA</v>
      </c>
      <c r="BO66" t="str">
        <f t="shared" si="18"/>
        <v/>
      </c>
      <c r="BP66" t="str">
        <f t="shared" si="17"/>
        <v>NA</v>
      </c>
    </row>
    <row r="67" spans="1:68">
      <c r="A67" t="str">
        <f t="shared" ca="1" si="7"/>
        <v>54LowNoTelecom-Non AT&amp;TJ</v>
      </c>
      <c r="B67" t="str">
        <f t="shared" ca="1" si="8"/>
        <v>54LowNoTelecom-Non AT&amp;TK</v>
      </c>
      <c r="C67" t="str">
        <f t="shared" ca="1" si="9"/>
        <v>54LowNoTelecom-Non AT&amp;TL</v>
      </c>
      <c r="D67" s="22">
        <v>54</v>
      </c>
      <c r="E67" s="24" t="str">
        <f>IFERROR(VLOOKUP(D67&amp;$G$3&amp;$G$4&amp;$G$5,'Raw Data'!$C:$BO,2,0),"NA")</f>
        <v>NA</v>
      </c>
      <c r="F67" s="79" t="str">
        <f>IFERROR(VLOOKUP(D67&amp;$G$3&amp;$G$4&amp;$G$5,'Raw Data'!$C:$BO,5,0),"NA")</f>
        <v>NA</v>
      </c>
      <c r="G67" s="44" t="str">
        <f>IFERROR(VLOOKUP(D67&amp;$G$3&amp;$G$4&amp;$G$5,'Raw Data'!$C:$BT,70,0),"NA")</f>
        <v>NA</v>
      </c>
      <c r="H67" s="62" t="str">
        <f>IFERROR(VLOOKUP(D67&amp;$G$3&amp;$G$4&amp;$G$5,'Raw Data'!$C:$BO,7,0),"NA")</f>
        <v>NA</v>
      </c>
      <c r="I67" s="29" t="str">
        <f>IFERROR(VLOOKUP(D67&amp;$G$3&amp;$G$4&amp;$G$5,'Raw Data'!$C:$BO,11,0),"NA")</f>
        <v>NA</v>
      </c>
      <c r="J67" s="26" t="str">
        <f>IFERROR(VLOOKUP(D67&amp;$G$3&amp;$G$4&amp;$G$5,'Raw Data'!$C:$BO,26,0),"NA")</f>
        <v>NA</v>
      </c>
      <c r="K67" s="26" t="str">
        <f>IFERROR(VLOOKUP(D67&amp;$G$3&amp;$G$4&amp;$G$5,'Raw Data'!$C:$BO,39,0),"NA")</f>
        <v>NA</v>
      </c>
      <c r="L67" s="26" t="str">
        <f>IFERROR(VLOOKUP(D67&amp;$G$3&amp;$G$4&amp;$G$5,'Raw Data'!$C:$BO,65,0),"NA")</f>
        <v>NA</v>
      </c>
      <c r="M67" s="26" t="str">
        <f>IFERROR(VLOOKUP(D67&amp;$G$3&amp;$G$4&amp;G59,'Raw Data'!$C:$BO,52,0),"NA")</f>
        <v>NA</v>
      </c>
      <c r="N67" s="26">
        <f t="shared" si="10"/>
        <v>0</v>
      </c>
      <c r="O67" s="78" t="str">
        <f t="shared" si="11"/>
        <v>NA</v>
      </c>
      <c r="P67" s="26" t="str">
        <f>IFERROR(VLOOKUP(D67&amp;$G$3&amp;$G$4&amp;$G$5,'Raw Data'!$C:$BS,66,0),"NA")</f>
        <v>NA</v>
      </c>
      <c r="Q67" s="26" t="str">
        <f>IFERROR(VLOOKUP(D67&amp;$G$3&amp;$G$4&amp;$G$5,'Raw Data'!$C:$BS,67,0),"NA")</f>
        <v>NA</v>
      </c>
      <c r="R67" s="26" t="str">
        <f>IFERROR(VLOOKUP(D67&amp;$G$3&amp;$G$4&amp;$G$5,'Raw Data'!$C:$BS,68,0),"NA")</f>
        <v>NA</v>
      </c>
      <c r="S67" s="26" t="str">
        <f>IFERROR(VLOOKUP(D67&amp;$G$3&amp;$G$4&amp;$G$5,'Raw Data'!$C:$BS,69,0),"NA")</f>
        <v>NA</v>
      </c>
      <c r="T67" s="44" t="str">
        <f t="shared" si="12"/>
        <v>NA</v>
      </c>
      <c r="BK67" s="60" t="str">
        <f t="shared" si="13"/>
        <v>NA</v>
      </c>
      <c r="BL67" t="str">
        <f t="shared" si="14"/>
        <v>NA</v>
      </c>
      <c r="BM67" t="str">
        <f t="shared" si="15"/>
        <v>NA</v>
      </c>
      <c r="BN67" t="str">
        <f t="shared" si="16"/>
        <v>NA</v>
      </c>
      <c r="BO67" t="str">
        <f t="shared" si="18"/>
        <v/>
      </c>
      <c r="BP67" t="str">
        <f t="shared" si="17"/>
        <v>NA</v>
      </c>
    </row>
    <row r="68" spans="1:68">
      <c r="A68" t="str">
        <f t="shared" ca="1" si="7"/>
        <v>55LowNoTelecom-Non AT&amp;TJ</v>
      </c>
      <c r="B68" t="str">
        <f t="shared" ca="1" si="8"/>
        <v>55LowNoTelecom-Non AT&amp;TK</v>
      </c>
      <c r="C68" t="str">
        <f t="shared" ca="1" si="9"/>
        <v>55LowNoTelecom-Non AT&amp;TL</v>
      </c>
      <c r="D68" s="22">
        <v>55</v>
      </c>
      <c r="E68" s="24" t="str">
        <f>IFERROR(VLOOKUP(D68&amp;$G$3&amp;$G$4&amp;$G$5,'Raw Data'!$C:$BO,2,0),"NA")</f>
        <v>NA</v>
      </c>
      <c r="F68" s="79" t="str">
        <f>IFERROR(VLOOKUP(D68&amp;$G$3&amp;$G$4&amp;$G$5,'Raw Data'!$C:$BO,5,0),"NA")</f>
        <v>NA</v>
      </c>
      <c r="G68" s="44" t="str">
        <f>IFERROR(VLOOKUP(D68&amp;$G$3&amp;$G$4&amp;$G$5,'Raw Data'!$C:$BT,70,0),"NA")</f>
        <v>NA</v>
      </c>
      <c r="H68" s="62" t="str">
        <f>IFERROR(VLOOKUP(D68&amp;$G$3&amp;$G$4&amp;$G$5,'Raw Data'!$C:$BO,7,0),"NA")</f>
        <v>NA</v>
      </c>
      <c r="I68" s="29" t="str">
        <f>IFERROR(VLOOKUP(D68&amp;$G$3&amp;$G$4&amp;$G$5,'Raw Data'!$C:$BO,11,0),"NA")</f>
        <v>NA</v>
      </c>
      <c r="J68" s="26" t="str">
        <f>IFERROR(VLOOKUP(D68&amp;$G$3&amp;$G$4&amp;$G$5,'Raw Data'!$C:$BO,26,0),"NA")</f>
        <v>NA</v>
      </c>
      <c r="K68" s="26" t="str">
        <f>IFERROR(VLOOKUP(D68&amp;$G$3&amp;$G$4&amp;$G$5,'Raw Data'!$C:$BO,39,0),"NA")</f>
        <v>NA</v>
      </c>
      <c r="L68" s="26" t="str">
        <f>IFERROR(VLOOKUP(D68&amp;$G$3&amp;$G$4&amp;$G$5,'Raw Data'!$C:$BO,65,0),"NA")</f>
        <v>NA</v>
      </c>
      <c r="M68" s="26" t="str">
        <f>IFERROR(VLOOKUP(D68&amp;$G$3&amp;$G$4&amp;G60,'Raw Data'!$C:$BO,52,0),"NA")</f>
        <v>NA</v>
      </c>
      <c r="N68" s="26">
        <f t="shared" si="10"/>
        <v>0</v>
      </c>
      <c r="O68" s="78" t="str">
        <f t="shared" si="11"/>
        <v>NA</v>
      </c>
      <c r="P68" s="26" t="str">
        <f>IFERROR(VLOOKUP(D68&amp;$G$3&amp;$G$4&amp;$G$5,'Raw Data'!$C:$BS,66,0),"NA")</f>
        <v>NA</v>
      </c>
      <c r="Q68" s="26" t="str">
        <f>IFERROR(VLOOKUP(D68&amp;$G$3&amp;$G$4&amp;$G$5,'Raw Data'!$C:$BS,67,0),"NA")</f>
        <v>NA</v>
      </c>
      <c r="R68" s="26" t="str">
        <f>IFERROR(VLOOKUP(D68&amp;$G$3&amp;$G$4&amp;$G$5,'Raw Data'!$C:$BS,68,0),"NA")</f>
        <v>NA</v>
      </c>
      <c r="S68" s="26" t="str">
        <f>IFERROR(VLOOKUP(D68&amp;$G$3&amp;$G$4&amp;$G$5,'Raw Data'!$C:$BS,69,0),"NA")</f>
        <v>NA</v>
      </c>
      <c r="T68" s="44" t="str">
        <f t="shared" si="12"/>
        <v>NA</v>
      </c>
      <c r="BK68" s="60" t="str">
        <f t="shared" si="13"/>
        <v>NA</v>
      </c>
      <c r="BL68" t="str">
        <f t="shared" si="14"/>
        <v>NA</v>
      </c>
      <c r="BM68" t="str">
        <f t="shared" si="15"/>
        <v>NA</v>
      </c>
      <c r="BN68" t="str">
        <f t="shared" si="16"/>
        <v>NA</v>
      </c>
      <c r="BO68" t="str">
        <f t="shared" si="18"/>
        <v/>
      </c>
      <c r="BP68" t="str">
        <f t="shared" si="17"/>
        <v>NA</v>
      </c>
    </row>
    <row r="69" spans="1:68">
      <c r="A69" t="str">
        <f t="shared" ca="1" si="7"/>
        <v>56LowNoTelecom-Non AT&amp;TJ</v>
      </c>
      <c r="B69" t="str">
        <f t="shared" ca="1" si="8"/>
        <v>56LowNoTelecom-Non AT&amp;TK</v>
      </c>
      <c r="C69" t="str">
        <f t="shared" ca="1" si="9"/>
        <v>56LowNoTelecom-Non AT&amp;TL</v>
      </c>
      <c r="D69" s="22">
        <v>56</v>
      </c>
      <c r="E69" s="24" t="str">
        <f>IFERROR(VLOOKUP(D69&amp;$G$3&amp;$G$4&amp;$G$5,'Raw Data'!$C:$BO,2,0),"NA")</f>
        <v>NA</v>
      </c>
      <c r="F69" s="79" t="str">
        <f>IFERROR(VLOOKUP(D69&amp;$G$3&amp;$G$4&amp;$G$5,'Raw Data'!$C:$BO,5,0),"NA")</f>
        <v>NA</v>
      </c>
      <c r="G69" s="44" t="str">
        <f>IFERROR(VLOOKUP(D69&amp;$G$3&amp;$G$4&amp;$G$5,'Raw Data'!$C:$BT,70,0),"NA")</f>
        <v>NA</v>
      </c>
      <c r="H69" s="62" t="str">
        <f>IFERROR(VLOOKUP(D69&amp;$G$3&amp;$G$4&amp;$G$5,'Raw Data'!$C:$BO,7,0),"NA")</f>
        <v>NA</v>
      </c>
      <c r="I69" s="29" t="str">
        <f>IFERROR(VLOOKUP(D69&amp;$G$3&amp;$G$4&amp;$G$5,'Raw Data'!$C:$BO,11,0),"NA")</f>
        <v>NA</v>
      </c>
      <c r="J69" s="26" t="str">
        <f>IFERROR(VLOOKUP(D69&amp;$G$3&amp;$G$4&amp;$G$5,'Raw Data'!$C:$BO,26,0),"NA")</f>
        <v>NA</v>
      </c>
      <c r="K69" s="26" t="str">
        <f>IFERROR(VLOOKUP(D69&amp;$G$3&amp;$G$4&amp;$G$5,'Raw Data'!$C:$BO,39,0),"NA")</f>
        <v>NA</v>
      </c>
      <c r="L69" s="26" t="str">
        <f>IFERROR(VLOOKUP(D69&amp;$G$3&amp;$G$4&amp;$G$5,'Raw Data'!$C:$BO,65,0),"NA")</f>
        <v>NA</v>
      </c>
      <c r="M69" s="26" t="str">
        <f>IFERROR(VLOOKUP(D69&amp;$G$3&amp;$G$4&amp;G61,'Raw Data'!$C:$BO,52,0),"NA")</f>
        <v>NA</v>
      </c>
      <c r="N69" s="26">
        <f t="shared" si="10"/>
        <v>0</v>
      </c>
      <c r="O69" s="78" t="str">
        <f t="shared" si="11"/>
        <v>NA</v>
      </c>
      <c r="P69" s="26" t="str">
        <f>IFERROR(VLOOKUP(D69&amp;$G$3&amp;$G$4&amp;$G$5,'Raw Data'!$C:$BS,66,0),"NA")</f>
        <v>NA</v>
      </c>
      <c r="Q69" s="26" t="str">
        <f>IFERROR(VLOOKUP(D69&amp;$G$3&amp;$G$4&amp;$G$5,'Raw Data'!$C:$BS,67,0),"NA")</f>
        <v>NA</v>
      </c>
      <c r="R69" s="26" t="str">
        <f>IFERROR(VLOOKUP(D69&amp;$G$3&amp;$G$4&amp;$G$5,'Raw Data'!$C:$BS,68,0),"NA")</f>
        <v>NA</v>
      </c>
      <c r="S69" s="26" t="str">
        <f>IFERROR(VLOOKUP(D69&amp;$G$3&amp;$G$4&amp;$G$5,'Raw Data'!$C:$BS,69,0),"NA")</f>
        <v>NA</v>
      </c>
      <c r="T69" s="44" t="str">
        <f t="shared" si="12"/>
        <v>NA</v>
      </c>
      <c r="BK69" s="60" t="str">
        <f t="shared" si="13"/>
        <v>NA</v>
      </c>
      <c r="BL69" t="str">
        <f t="shared" si="14"/>
        <v>NA</v>
      </c>
      <c r="BM69" t="str">
        <f t="shared" si="15"/>
        <v>NA</v>
      </c>
      <c r="BN69" t="str">
        <f t="shared" si="16"/>
        <v>NA</v>
      </c>
      <c r="BO69" t="str">
        <f t="shared" si="18"/>
        <v/>
      </c>
      <c r="BP69" t="str">
        <f t="shared" si="17"/>
        <v>NA</v>
      </c>
    </row>
    <row r="70" spans="1:68">
      <c r="A70" t="str">
        <f t="shared" ca="1" si="7"/>
        <v>57LowNoTelecom-Non AT&amp;TJ</v>
      </c>
      <c r="B70" t="str">
        <f t="shared" ca="1" si="8"/>
        <v>57LowNoTelecom-Non AT&amp;TK</v>
      </c>
      <c r="C70" t="str">
        <f t="shared" ca="1" si="9"/>
        <v>57LowNoTelecom-Non AT&amp;TL</v>
      </c>
      <c r="D70" s="22">
        <v>57</v>
      </c>
      <c r="E70" s="24" t="str">
        <f>IFERROR(VLOOKUP(D70&amp;$G$3&amp;$G$4&amp;$G$5,'Raw Data'!$C:$BO,2,0),"NA")</f>
        <v>NA</v>
      </c>
      <c r="F70" s="79" t="str">
        <f>IFERROR(VLOOKUP(D70&amp;$G$3&amp;$G$4&amp;$G$5,'Raw Data'!$C:$BO,5,0),"NA")</f>
        <v>NA</v>
      </c>
      <c r="G70" s="44" t="str">
        <f>IFERROR(VLOOKUP(D70&amp;$G$3&amp;$G$4&amp;$G$5,'Raw Data'!$C:$BT,70,0),"NA")</f>
        <v>NA</v>
      </c>
      <c r="H70" s="62" t="str">
        <f>IFERROR(VLOOKUP(D70&amp;$G$3&amp;$G$4&amp;$G$5,'Raw Data'!$C:$BO,7,0),"NA")</f>
        <v>NA</v>
      </c>
      <c r="I70" s="29" t="str">
        <f>IFERROR(VLOOKUP(D70&amp;$G$3&amp;$G$4&amp;$G$5,'Raw Data'!$C:$BO,11,0),"NA")</f>
        <v>NA</v>
      </c>
      <c r="J70" s="26" t="str">
        <f>IFERROR(VLOOKUP(D70&amp;$G$3&amp;$G$4&amp;$G$5,'Raw Data'!$C:$BO,26,0),"NA")</f>
        <v>NA</v>
      </c>
      <c r="K70" s="26" t="str">
        <f>IFERROR(VLOOKUP(D70&amp;$G$3&amp;$G$4&amp;$G$5,'Raw Data'!$C:$BO,39,0),"NA")</f>
        <v>NA</v>
      </c>
      <c r="L70" s="26" t="str">
        <f>IFERROR(VLOOKUP(D70&amp;$G$3&amp;$G$4&amp;$G$5,'Raw Data'!$C:$BO,65,0),"NA")</f>
        <v>NA</v>
      </c>
      <c r="M70" s="26" t="str">
        <f>IFERROR(VLOOKUP(D70&amp;$G$3&amp;$G$4&amp;G62,'Raw Data'!$C:$BO,52,0),"NA")</f>
        <v>NA</v>
      </c>
      <c r="N70" s="26">
        <f t="shared" si="10"/>
        <v>0</v>
      </c>
      <c r="O70" s="78" t="str">
        <f t="shared" si="11"/>
        <v>NA</v>
      </c>
      <c r="P70" s="26" t="str">
        <f>IFERROR(VLOOKUP(D70&amp;$G$3&amp;$G$4&amp;$G$5,'Raw Data'!$C:$BS,66,0),"NA")</f>
        <v>NA</v>
      </c>
      <c r="Q70" s="26" t="str">
        <f>IFERROR(VLOOKUP(D70&amp;$G$3&amp;$G$4&amp;$G$5,'Raw Data'!$C:$BS,67,0),"NA")</f>
        <v>NA</v>
      </c>
      <c r="R70" s="26" t="str">
        <f>IFERROR(VLOOKUP(D70&amp;$G$3&amp;$G$4&amp;$G$5,'Raw Data'!$C:$BS,68,0),"NA")</f>
        <v>NA</v>
      </c>
      <c r="S70" s="26" t="str">
        <f>IFERROR(VLOOKUP(D70&amp;$G$3&amp;$G$4&amp;$G$5,'Raw Data'!$C:$BS,69,0),"NA")</f>
        <v>NA</v>
      </c>
      <c r="T70" s="44" t="str">
        <f t="shared" si="12"/>
        <v>NA</v>
      </c>
      <c r="BK70" s="60" t="str">
        <f t="shared" si="13"/>
        <v>NA</v>
      </c>
      <c r="BL70" t="str">
        <f t="shared" si="14"/>
        <v>NA</v>
      </c>
      <c r="BM70" t="str">
        <f t="shared" si="15"/>
        <v>NA</v>
      </c>
      <c r="BN70" t="str">
        <f t="shared" si="16"/>
        <v>NA</v>
      </c>
      <c r="BO70" t="str">
        <f t="shared" si="18"/>
        <v/>
      </c>
      <c r="BP70" t="str">
        <f t="shared" si="17"/>
        <v>NA</v>
      </c>
    </row>
    <row r="71" spans="1:68">
      <c r="A71" t="str">
        <f t="shared" ca="1" si="7"/>
        <v>58LowNoTelecom-Non AT&amp;TJ</v>
      </c>
      <c r="B71" t="str">
        <f t="shared" ca="1" si="8"/>
        <v>58LowNoTelecom-Non AT&amp;TK</v>
      </c>
      <c r="C71" t="str">
        <f t="shared" ca="1" si="9"/>
        <v>58LowNoTelecom-Non AT&amp;TL</v>
      </c>
      <c r="D71" s="22">
        <v>58</v>
      </c>
      <c r="E71" s="24" t="str">
        <f>IFERROR(VLOOKUP(D71&amp;$G$3&amp;$G$4&amp;$G$5,'Raw Data'!$C:$BO,2,0),"NA")</f>
        <v>NA</v>
      </c>
      <c r="F71" s="79" t="str">
        <f>IFERROR(VLOOKUP(D71&amp;$G$3&amp;$G$4&amp;$G$5,'Raw Data'!$C:$BO,5,0),"NA")</f>
        <v>NA</v>
      </c>
      <c r="G71" s="44" t="str">
        <f>IFERROR(VLOOKUP(D71&amp;$G$3&amp;$G$4&amp;$G$5,'Raw Data'!$C:$BT,70,0),"NA")</f>
        <v>NA</v>
      </c>
      <c r="H71" s="62" t="str">
        <f>IFERROR(VLOOKUP(D71&amp;$G$3&amp;$G$4&amp;$G$5,'Raw Data'!$C:$BO,7,0),"NA")</f>
        <v>NA</v>
      </c>
      <c r="I71" s="29" t="str">
        <f>IFERROR(VLOOKUP(D71&amp;$G$3&amp;$G$4&amp;$G$5,'Raw Data'!$C:$BO,11,0),"NA")</f>
        <v>NA</v>
      </c>
      <c r="J71" s="26" t="str">
        <f>IFERROR(VLOOKUP(D71&amp;$G$3&amp;$G$4&amp;$G$5,'Raw Data'!$C:$BO,26,0),"NA")</f>
        <v>NA</v>
      </c>
      <c r="K71" s="26" t="str">
        <f>IFERROR(VLOOKUP(D71&amp;$G$3&amp;$G$4&amp;$G$5,'Raw Data'!$C:$BO,39,0),"NA")</f>
        <v>NA</v>
      </c>
      <c r="L71" s="26" t="str">
        <f>IFERROR(VLOOKUP(D71&amp;$G$3&amp;$G$4&amp;$G$5,'Raw Data'!$C:$BO,65,0),"NA")</f>
        <v>NA</v>
      </c>
      <c r="M71" s="26" t="str">
        <f>IFERROR(VLOOKUP(D71&amp;$G$3&amp;$G$4&amp;G63,'Raw Data'!$C:$BO,52,0),"NA")</f>
        <v>NA</v>
      </c>
      <c r="N71" s="26">
        <f t="shared" si="10"/>
        <v>0</v>
      </c>
      <c r="O71" s="78" t="str">
        <f t="shared" si="11"/>
        <v>NA</v>
      </c>
      <c r="P71" s="26" t="str">
        <f>IFERROR(VLOOKUP(D71&amp;$G$3&amp;$G$4&amp;$G$5,'Raw Data'!$C:$BS,66,0),"NA")</f>
        <v>NA</v>
      </c>
      <c r="Q71" s="26" t="str">
        <f>IFERROR(VLOOKUP(D71&amp;$G$3&amp;$G$4&amp;$G$5,'Raw Data'!$C:$BS,67,0),"NA")</f>
        <v>NA</v>
      </c>
      <c r="R71" s="26" t="str">
        <f>IFERROR(VLOOKUP(D71&amp;$G$3&amp;$G$4&amp;$G$5,'Raw Data'!$C:$BS,68,0),"NA")</f>
        <v>NA</v>
      </c>
      <c r="S71" s="26" t="str">
        <f>IFERROR(VLOOKUP(D71&amp;$G$3&amp;$G$4&amp;$G$5,'Raw Data'!$C:$BS,69,0),"NA")</f>
        <v>NA</v>
      </c>
      <c r="T71" s="44" t="str">
        <f t="shared" si="12"/>
        <v>NA</v>
      </c>
      <c r="BK71" s="60" t="str">
        <f t="shared" si="13"/>
        <v>NA</v>
      </c>
      <c r="BL71" t="str">
        <f t="shared" si="14"/>
        <v>NA</v>
      </c>
      <c r="BM71" t="str">
        <f t="shared" si="15"/>
        <v>NA</v>
      </c>
      <c r="BN71" t="str">
        <f t="shared" si="16"/>
        <v>NA</v>
      </c>
      <c r="BO71" t="str">
        <f t="shared" si="18"/>
        <v/>
      </c>
      <c r="BP71" t="str">
        <f t="shared" si="17"/>
        <v>NA</v>
      </c>
    </row>
    <row r="72" spans="1:68">
      <c r="A72" t="str">
        <f t="shared" ca="1" si="7"/>
        <v>59LowNoTelecom-Non AT&amp;TJ</v>
      </c>
      <c r="B72" t="str">
        <f t="shared" ca="1" si="8"/>
        <v>59LowNoTelecom-Non AT&amp;TK</v>
      </c>
      <c r="C72" t="str">
        <f t="shared" ca="1" si="9"/>
        <v>59LowNoTelecom-Non AT&amp;TL</v>
      </c>
      <c r="D72" s="22">
        <v>59</v>
      </c>
      <c r="E72" s="24" t="str">
        <f>IFERROR(VLOOKUP(D72&amp;$G$3&amp;$G$4&amp;$G$5,'Raw Data'!$C:$BO,2,0),"NA")</f>
        <v>NA</v>
      </c>
      <c r="F72" s="79" t="str">
        <f>IFERROR(VLOOKUP(D72&amp;$G$3&amp;$G$4&amp;$G$5,'Raw Data'!$C:$BO,5,0),"NA")</f>
        <v>NA</v>
      </c>
      <c r="G72" s="44" t="str">
        <f>IFERROR(VLOOKUP(D72&amp;$G$3&amp;$G$4&amp;$G$5,'Raw Data'!$C:$BT,70,0),"NA")</f>
        <v>NA</v>
      </c>
      <c r="H72" s="62" t="str">
        <f>IFERROR(VLOOKUP(D72&amp;$G$3&amp;$G$4&amp;$G$5,'Raw Data'!$C:$BO,7,0),"NA")</f>
        <v>NA</v>
      </c>
      <c r="I72" s="29" t="str">
        <f>IFERROR(VLOOKUP(D72&amp;$G$3&amp;$G$4&amp;$G$5,'Raw Data'!$C:$BO,11,0),"NA")</f>
        <v>NA</v>
      </c>
      <c r="J72" s="26" t="str">
        <f>IFERROR(VLOOKUP(D72&amp;$G$3&amp;$G$4&amp;$G$5,'Raw Data'!$C:$BO,26,0),"NA")</f>
        <v>NA</v>
      </c>
      <c r="K72" s="26" t="str">
        <f>IFERROR(VLOOKUP(D72&amp;$G$3&amp;$G$4&amp;$G$5,'Raw Data'!$C:$BO,39,0),"NA")</f>
        <v>NA</v>
      </c>
      <c r="L72" s="26" t="str">
        <f>IFERROR(VLOOKUP(D72&amp;$G$3&amp;$G$4&amp;$G$5,'Raw Data'!$C:$BO,65,0),"NA")</f>
        <v>NA</v>
      </c>
      <c r="M72" s="26" t="str">
        <f>IFERROR(VLOOKUP(D72&amp;$G$3&amp;$G$4&amp;G64,'Raw Data'!$C:$BO,52,0),"NA")</f>
        <v>NA</v>
      </c>
      <c r="N72" s="26">
        <f t="shared" si="10"/>
        <v>0</v>
      </c>
      <c r="O72" s="78" t="str">
        <f t="shared" si="11"/>
        <v>NA</v>
      </c>
      <c r="P72" s="26" t="str">
        <f>IFERROR(VLOOKUP(D72&amp;$G$3&amp;$G$4&amp;$G$5,'Raw Data'!$C:$BS,66,0),"NA")</f>
        <v>NA</v>
      </c>
      <c r="Q72" s="26" t="str">
        <f>IFERROR(VLOOKUP(D72&amp;$G$3&amp;$G$4&amp;$G$5,'Raw Data'!$C:$BS,67,0),"NA")</f>
        <v>NA</v>
      </c>
      <c r="R72" s="26" t="str">
        <f>IFERROR(VLOOKUP(D72&amp;$G$3&amp;$G$4&amp;$G$5,'Raw Data'!$C:$BS,68,0),"NA")</f>
        <v>NA</v>
      </c>
      <c r="S72" s="26" t="str">
        <f>IFERROR(VLOOKUP(D72&amp;$G$3&amp;$G$4&amp;$G$5,'Raw Data'!$C:$BS,69,0),"NA")</f>
        <v>NA</v>
      </c>
      <c r="T72" s="44" t="str">
        <f t="shared" si="12"/>
        <v>NA</v>
      </c>
      <c r="BK72" s="60" t="str">
        <f t="shared" si="13"/>
        <v>NA</v>
      </c>
      <c r="BL72" t="str">
        <f t="shared" si="14"/>
        <v>NA</v>
      </c>
      <c r="BM72" t="str">
        <f t="shared" si="15"/>
        <v>NA</v>
      </c>
      <c r="BN72" t="str">
        <f t="shared" si="16"/>
        <v>NA</v>
      </c>
      <c r="BO72" t="str">
        <f t="shared" si="18"/>
        <v/>
      </c>
      <c r="BP72" t="str">
        <f t="shared" si="17"/>
        <v>NA</v>
      </c>
    </row>
    <row r="73" spans="1:68">
      <c r="A73" t="str">
        <f t="shared" ca="1" si="7"/>
        <v>60LowNoTelecom-Non AT&amp;TJ</v>
      </c>
      <c r="B73" t="str">
        <f t="shared" ca="1" si="8"/>
        <v>60LowNoTelecom-Non AT&amp;TK</v>
      </c>
      <c r="C73" t="str">
        <f t="shared" ca="1" si="9"/>
        <v>60LowNoTelecom-Non AT&amp;TL</v>
      </c>
      <c r="D73" s="22">
        <v>60</v>
      </c>
      <c r="E73" s="24" t="str">
        <f>IFERROR(VLOOKUP(D73&amp;$G$3&amp;$G$4&amp;$G$5,'Raw Data'!$C:$BO,2,0),"NA")</f>
        <v>NA</v>
      </c>
      <c r="F73" s="79" t="str">
        <f>IFERROR(VLOOKUP(D73&amp;$G$3&amp;$G$4&amp;$G$5,'Raw Data'!$C:$BO,5,0),"NA")</f>
        <v>NA</v>
      </c>
      <c r="G73" s="44" t="str">
        <f>IFERROR(VLOOKUP(D73&amp;$G$3&amp;$G$4&amp;$G$5,'Raw Data'!$C:$BT,70,0),"NA")</f>
        <v>NA</v>
      </c>
      <c r="H73" s="62" t="str">
        <f>IFERROR(VLOOKUP(D73&amp;$G$3&amp;$G$4&amp;$G$5,'Raw Data'!$C:$BO,7,0),"NA")</f>
        <v>NA</v>
      </c>
      <c r="I73" s="29" t="str">
        <f>IFERROR(VLOOKUP(D73&amp;$G$3&amp;$G$4&amp;$G$5,'Raw Data'!$C:$BO,11,0),"NA")</f>
        <v>NA</v>
      </c>
      <c r="J73" s="26" t="str">
        <f>IFERROR(VLOOKUP(D73&amp;$G$3&amp;$G$4&amp;$G$5,'Raw Data'!$C:$BO,26,0),"NA")</f>
        <v>NA</v>
      </c>
      <c r="K73" s="26" t="str">
        <f>IFERROR(VLOOKUP(D73&amp;$G$3&amp;$G$4&amp;$G$5,'Raw Data'!$C:$BO,39,0),"NA")</f>
        <v>NA</v>
      </c>
      <c r="L73" s="26" t="str">
        <f>IFERROR(VLOOKUP(D73&amp;$G$3&amp;$G$4&amp;$G$5,'Raw Data'!$C:$BO,65,0),"NA")</f>
        <v>NA</v>
      </c>
      <c r="M73" s="26" t="str">
        <f>IFERROR(VLOOKUP(D73&amp;$G$3&amp;$G$4&amp;G65,'Raw Data'!$C:$BO,52,0),"NA")</f>
        <v>NA</v>
      </c>
      <c r="N73" s="26">
        <f t="shared" si="10"/>
        <v>0</v>
      </c>
      <c r="O73" s="78" t="str">
        <f t="shared" si="11"/>
        <v>NA</v>
      </c>
      <c r="P73" s="26" t="str">
        <f>IFERROR(VLOOKUP(D73&amp;$G$3&amp;$G$4&amp;$G$5,'Raw Data'!$C:$BS,66,0),"NA")</f>
        <v>NA</v>
      </c>
      <c r="Q73" s="26" t="str">
        <f>IFERROR(VLOOKUP(D73&amp;$G$3&amp;$G$4&amp;$G$5,'Raw Data'!$C:$BS,67,0),"NA")</f>
        <v>NA</v>
      </c>
      <c r="R73" s="26" t="str">
        <f>IFERROR(VLOOKUP(D73&amp;$G$3&amp;$G$4&amp;$G$5,'Raw Data'!$C:$BS,68,0),"NA")</f>
        <v>NA</v>
      </c>
      <c r="S73" s="26" t="str">
        <f>IFERROR(VLOOKUP(D73&amp;$G$3&amp;$G$4&amp;$G$5,'Raw Data'!$C:$BS,69,0),"NA")</f>
        <v>NA</v>
      </c>
      <c r="T73" s="44" t="str">
        <f t="shared" si="12"/>
        <v>NA</v>
      </c>
      <c r="BK73" s="60" t="str">
        <f t="shared" si="13"/>
        <v>NA</v>
      </c>
      <c r="BL73" t="str">
        <f t="shared" si="14"/>
        <v>NA</v>
      </c>
      <c r="BM73" t="str">
        <f t="shared" si="15"/>
        <v>NA</v>
      </c>
      <c r="BN73" t="str">
        <f t="shared" si="16"/>
        <v>NA</v>
      </c>
      <c r="BO73" t="str">
        <f t="shared" si="18"/>
        <v/>
      </c>
      <c r="BP73" t="str">
        <f t="shared" si="17"/>
        <v>NA</v>
      </c>
    </row>
    <row r="74" spans="1:68">
      <c r="A74" t="str">
        <f t="shared" ca="1" si="7"/>
        <v>61LowNoTelecom-Non AT&amp;TJ</v>
      </c>
      <c r="B74" t="str">
        <f t="shared" ca="1" si="8"/>
        <v>61LowNoTelecom-Non AT&amp;TK</v>
      </c>
      <c r="C74" t="str">
        <f t="shared" ca="1" si="9"/>
        <v>61LowNoTelecom-Non AT&amp;TL</v>
      </c>
      <c r="D74" s="22">
        <v>61</v>
      </c>
      <c r="E74" s="24" t="str">
        <f>IFERROR(VLOOKUP(D74&amp;$G$3&amp;$G$4&amp;$G$5,'Raw Data'!$C:$BO,2,0),"NA")</f>
        <v>NA</v>
      </c>
      <c r="F74" s="79" t="str">
        <f>IFERROR(VLOOKUP(D74&amp;$G$3&amp;$G$4&amp;$G$5,'Raw Data'!$C:$BO,5,0),"NA")</f>
        <v>NA</v>
      </c>
      <c r="G74" s="44" t="str">
        <f>IFERROR(VLOOKUP(D74&amp;$G$3&amp;$G$4&amp;$G$5,'Raw Data'!$C:$BT,70,0),"NA")</f>
        <v>NA</v>
      </c>
      <c r="H74" s="62" t="str">
        <f>IFERROR(VLOOKUP(D74&amp;$G$3&amp;$G$4&amp;$G$5,'Raw Data'!$C:$BO,7,0),"NA")</f>
        <v>NA</v>
      </c>
      <c r="I74" s="29" t="str">
        <f>IFERROR(VLOOKUP(D74&amp;$G$3&amp;$G$4&amp;$G$5,'Raw Data'!$C:$BO,11,0),"NA")</f>
        <v>NA</v>
      </c>
      <c r="J74" s="26" t="str">
        <f>IFERROR(VLOOKUP(D74&amp;$G$3&amp;$G$4&amp;$G$5,'Raw Data'!$C:$BO,26,0),"NA")</f>
        <v>NA</v>
      </c>
      <c r="K74" s="26" t="str">
        <f>IFERROR(VLOOKUP(D74&amp;$G$3&amp;$G$4&amp;$G$5,'Raw Data'!$C:$BO,39,0),"NA")</f>
        <v>NA</v>
      </c>
      <c r="L74" s="26" t="str">
        <f>IFERROR(VLOOKUP(D74&amp;$G$3&amp;$G$4&amp;$G$5,'Raw Data'!$C:$BO,65,0),"NA")</f>
        <v>NA</v>
      </c>
      <c r="M74" s="26" t="str">
        <f>IFERROR(VLOOKUP(D74&amp;$G$3&amp;$G$4&amp;G66,'Raw Data'!$C:$BO,52,0),"NA")</f>
        <v>NA</v>
      </c>
      <c r="N74" s="26">
        <f t="shared" si="10"/>
        <v>0</v>
      </c>
      <c r="O74" s="78" t="str">
        <f t="shared" si="11"/>
        <v>NA</v>
      </c>
      <c r="P74" s="26" t="str">
        <f>IFERROR(VLOOKUP(D74&amp;$G$3&amp;$G$4&amp;$G$5,'Raw Data'!$C:$BS,66,0),"NA")</f>
        <v>NA</v>
      </c>
      <c r="Q74" s="26" t="str">
        <f>IFERROR(VLOOKUP(D74&amp;$G$3&amp;$G$4&amp;$G$5,'Raw Data'!$C:$BS,67,0),"NA")</f>
        <v>NA</v>
      </c>
      <c r="R74" s="26" t="str">
        <f>IFERROR(VLOOKUP(D74&amp;$G$3&amp;$G$4&amp;$G$5,'Raw Data'!$C:$BS,68,0),"NA")</f>
        <v>NA</v>
      </c>
      <c r="S74" s="26" t="str">
        <f>IFERROR(VLOOKUP(D74&amp;$G$3&amp;$G$4&amp;$G$5,'Raw Data'!$C:$BS,69,0),"NA")</f>
        <v>NA</v>
      </c>
      <c r="T74" s="44" t="str">
        <f t="shared" si="12"/>
        <v>NA</v>
      </c>
      <c r="BK74" s="60" t="str">
        <f t="shared" si="13"/>
        <v>NA</v>
      </c>
      <c r="BL74" t="str">
        <f t="shared" si="14"/>
        <v>NA</v>
      </c>
      <c r="BM74" t="str">
        <f t="shared" si="15"/>
        <v>NA</v>
      </c>
      <c r="BN74" t="str">
        <f t="shared" si="16"/>
        <v>NA</v>
      </c>
      <c r="BO74" t="str">
        <f t="shared" si="18"/>
        <v/>
      </c>
      <c r="BP74" t="str">
        <f t="shared" si="17"/>
        <v>NA</v>
      </c>
    </row>
    <row r="75" spans="1:68">
      <c r="A75" t="str">
        <f t="shared" ca="1" si="7"/>
        <v>62LowNoTelecom-Non AT&amp;TJ</v>
      </c>
      <c r="B75" t="str">
        <f t="shared" ca="1" si="8"/>
        <v>62LowNoTelecom-Non AT&amp;TK</v>
      </c>
      <c r="C75" t="str">
        <f t="shared" ca="1" si="9"/>
        <v>62LowNoTelecom-Non AT&amp;TL</v>
      </c>
      <c r="D75" s="22">
        <v>62</v>
      </c>
      <c r="E75" s="24" t="str">
        <f>IFERROR(VLOOKUP(D75&amp;$G$3&amp;$G$4&amp;$G$5,'Raw Data'!$C:$BO,2,0),"NA")</f>
        <v>NA</v>
      </c>
      <c r="F75" s="79" t="str">
        <f>IFERROR(VLOOKUP(D75&amp;$G$3&amp;$G$4&amp;$G$5,'Raw Data'!$C:$BO,5,0),"NA")</f>
        <v>NA</v>
      </c>
      <c r="G75" s="44" t="str">
        <f>IFERROR(VLOOKUP(D75&amp;$G$3&amp;$G$4&amp;$G$5,'Raw Data'!$C:$BT,70,0),"NA")</f>
        <v>NA</v>
      </c>
      <c r="H75" s="62" t="str">
        <f>IFERROR(VLOOKUP(D75&amp;$G$3&amp;$G$4&amp;$G$5,'Raw Data'!$C:$BO,7,0),"NA")</f>
        <v>NA</v>
      </c>
      <c r="I75" s="29" t="str">
        <f>IFERROR(VLOOKUP(D75&amp;$G$3&amp;$G$4&amp;$G$5,'Raw Data'!$C:$BO,11,0),"NA")</f>
        <v>NA</v>
      </c>
      <c r="J75" s="26" t="str">
        <f>IFERROR(VLOOKUP(D75&amp;$G$3&amp;$G$4&amp;$G$5,'Raw Data'!$C:$BO,26,0),"NA")</f>
        <v>NA</v>
      </c>
      <c r="K75" s="26" t="str">
        <f>IFERROR(VLOOKUP(D75&amp;$G$3&amp;$G$4&amp;$G$5,'Raw Data'!$C:$BO,39,0),"NA")</f>
        <v>NA</v>
      </c>
      <c r="L75" s="26" t="str">
        <f>IFERROR(VLOOKUP(D75&amp;$G$3&amp;$G$4&amp;$G$5,'Raw Data'!$C:$BO,65,0),"NA")</f>
        <v>NA</v>
      </c>
      <c r="M75" s="26" t="str">
        <f>IFERROR(VLOOKUP(D75&amp;$G$3&amp;$G$4&amp;G67,'Raw Data'!$C:$BO,52,0),"NA")</f>
        <v>NA</v>
      </c>
      <c r="N75" s="26">
        <f t="shared" si="10"/>
        <v>0</v>
      </c>
      <c r="O75" s="78" t="str">
        <f t="shared" si="11"/>
        <v>NA</v>
      </c>
      <c r="P75" s="26" t="str">
        <f>IFERROR(VLOOKUP(D75&amp;$G$3&amp;$G$4&amp;$G$5,'Raw Data'!$C:$BS,66,0),"NA")</f>
        <v>NA</v>
      </c>
      <c r="Q75" s="26" t="str">
        <f>IFERROR(VLOOKUP(D75&amp;$G$3&amp;$G$4&amp;$G$5,'Raw Data'!$C:$BS,67,0),"NA")</f>
        <v>NA</v>
      </c>
      <c r="R75" s="26" t="str">
        <f>IFERROR(VLOOKUP(D75&amp;$G$3&amp;$G$4&amp;$G$5,'Raw Data'!$C:$BS,68,0),"NA")</f>
        <v>NA</v>
      </c>
      <c r="S75" s="26" t="str">
        <f>IFERROR(VLOOKUP(D75&amp;$G$3&amp;$G$4&amp;$G$5,'Raw Data'!$C:$BS,69,0),"NA")</f>
        <v>NA</v>
      </c>
      <c r="T75" s="44" t="str">
        <f t="shared" si="12"/>
        <v>NA</v>
      </c>
      <c r="BK75" s="60" t="str">
        <f t="shared" si="13"/>
        <v>NA</v>
      </c>
      <c r="BL75" t="str">
        <f t="shared" si="14"/>
        <v>NA</v>
      </c>
      <c r="BM75" t="str">
        <f t="shared" si="15"/>
        <v>NA</v>
      </c>
      <c r="BN75" t="str">
        <f t="shared" si="16"/>
        <v>NA</v>
      </c>
      <c r="BO75" t="str">
        <f t="shared" si="18"/>
        <v/>
      </c>
      <c r="BP75" t="str">
        <f t="shared" si="17"/>
        <v>NA</v>
      </c>
    </row>
    <row r="76" spans="1:68">
      <c r="A76" t="str">
        <f t="shared" ca="1" si="7"/>
        <v>63LowNoTelecom-Non AT&amp;TJ</v>
      </c>
      <c r="B76" t="str">
        <f t="shared" ca="1" si="8"/>
        <v>63LowNoTelecom-Non AT&amp;TK</v>
      </c>
      <c r="C76" t="str">
        <f t="shared" ca="1" si="9"/>
        <v>63LowNoTelecom-Non AT&amp;TL</v>
      </c>
      <c r="D76" s="22">
        <v>63</v>
      </c>
      <c r="E76" s="24" t="str">
        <f>IFERROR(VLOOKUP(D76&amp;$G$3&amp;$G$4&amp;$G$5,'Raw Data'!$C:$BO,2,0),"NA")</f>
        <v>NA</v>
      </c>
      <c r="F76" s="79" t="str">
        <f>IFERROR(VLOOKUP(D76&amp;$G$3&amp;$G$4&amp;$G$5,'Raw Data'!$C:$BO,5,0),"NA")</f>
        <v>NA</v>
      </c>
      <c r="G76" s="44" t="str">
        <f>IFERROR(VLOOKUP(D76&amp;$G$3&amp;$G$4&amp;$G$5,'Raw Data'!$C:$BT,70,0),"NA")</f>
        <v>NA</v>
      </c>
      <c r="H76" s="62" t="str">
        <f>IFERROR(VLOOKUP(D76&amp;$G$3&amp;$G$4&amp;$G$5,'Raw Data'!$C:$BO,7,0),"NA")</f>
        <v>NA</v>
      </c>
      <c r="I76" s="29" t="str">
        <f>IFERROR(VLOOKUP(D76&amp;$G$3&amp;$G$4&amp;$G$5,'Raw Data'!$C:$BO,11,0),"NA")</f>
        <v>NA</v>
      </c>
      <c r="J76" s="26" t="str">
        <f>IFERROR(VLOOKUP(D76&amp;$G$3&amp;$G$4&amp;$G$5,'Raw Data'!$C:$BO,26,0),"NA")</f>
        <v>NA</v>
      </c>
      <c r="K76" s="26" t="str">
        <f>IFERROR(VLOOKUP(D76&amp;$G$3&amp;$G$4&amp;$G$5,'Raw Data'!$C:$BO,39,0),"NA")</f>
        <v>NA</v>
      </c>
      <c r="L76" s="26" t="str">
        <f>IFERROR(VLOOKUP(D76&amp;$G$3&amp;$G$4&amp;$G$5,'Raw Data'!$C:$BO,65,0),"NA")</f>
        <v>NA</v>
      </c>
      <c r="M76" s="26" t="str">
        <f>IFERROR(VLOOKUP(D76&amp;$G$3&amp;$G$4&amp;G68,'Raw Data'!$C:$BO,52,0),"NA")</f>
        <v>NA</v>
      </c>
      <c r="N76" s="26">
        <f t="shared" si="10"/>
        <v>0</v>
      </c>
      <c r="O76" s="78" t="str">
        <f t="shared" si="11"/>
        <v>NA</v>
      </c>
      <c r="P76" s="26" t="str">
        <f>IFERROR(VLOOKUP(D76&amp;$G$3&amp;$G$4&amp;$G$5,'Raw Data'!$C:$BS,66,0),"NA")</f>
        <v>NA</v>
      </c>
      <c r="Q76" s="26" t="str">
        <f>IFERROR(VLOOKUP(D76&amp;$G$3&amp;$G$4&amp;$G$5,'Raw Data'!$C:$BS,67,0),"NA")</f>
        <v>NA</v>
      </c>
      <c r="R76" s="26" t="str">
        <f>IFERROR(VLOOKUP(D76&amp;$G$3&amp;$G$4&amp;$G$5,'Raw Data'!$C:$BS,68,0),"NA")</f>
        <v>NA</v>
      </c>
      <c r="S76" s="26" t="str">
        <f>IFERROR(VLOOKUP(D76&amp;$G$3&amp;$G$4&amp;$G$5,'Raw Data'!$C:$BS,69,0),"NA")</f>
        <v>NA</v>
      </c>
      <c r="T76" s="44" t="str">
        <f t="shared" si="12"/>
        <v>NA</v>
      </c>
      <c r="BK76" s="60" t="str">
        <f t="shared" si="13"/>
        <v>NA</v>
      </c>
      <c r="BL76" t="str">
        <f t="shared" si="14"/>
        <v>NA</v>
      </c>
      <c r="BM76" t="str">
        <f t="shared" si="15"/>
        <v>NA</v>
      </c>
      <c r="BN76" t="str">
        <f t="shared" si="16"/>
        <v>NA</v>
      </c>
      <c r="BO76" t="str">
        <f t="shared" si="18"/>
        <v/>
      </c>
      <c r="BP76" t="str">
        <f t="shared" si="17"/>
        <v>NA</v>
      </c>
    </row>
    <row r="77" spans="1:68">
      <c r="A77" t="str">
        <f t="shared" ca="1" si="7"/>
        <v>64LowNoTelecom-Non AT&amp;TJ</v>
      </c>
      <c r="B77" t="str">
        <f t="shared" ca="1" si="8"/>
        <v>64LowNoTelecom-Non AT&amp;TK</v>
      </c>
      <c r="C77" t="str">
        <f t="shared" ca="1" si="9"/>
        <v>64LowNoTelecom-Non AT&amp;TL</v>
      </c>
      <c r="D77" s="22">
        <v>64</v>
      </c>
      <c r="E77" s="24" t="str">
        <f>IFERROR(VLOOKUP(D77&amp;$G$3&amp;$G$4&amp;$G$5,'Raw Data'!$C:$BO,2,0),"NA")</f>
        <v>NA</v>
      </c>
      <c r="F77" s="79" t="str">
        <f>IFERROR(VLOOKUP(D77&amp;$G$3&amp;$G$4&amp;$G$5,'Raw Data'!$C:$BO,5,0),"NA")</f>
        <v>NA</v>
      </c>
      <c r="G77" s="44" t="str">
        <f>IFERROR(VLOOKUP(D77&amp;$G$3&amp;$G$4&amp;$G$5,'Raw Data'!$C:$BT,70,0),"NA")</f>
        <v>NA</v>
      </c>
      <c r="H77" s="62" t="str">
        <f>IFERROR(VLOOKUP(D77&amp;$G$3&amp;$G$4&amp;$G$5,'Raw Data'!$C:$BO,7,0),"NA")</f>
        <v>NA</v>
      </c>
      <c r="I77" s="29" t="str">
        <f>IFERROR(VLOOKUP(D77&amp;$G$3&amp;$G$4&amp;$G$5,'Raw Data'!$C:$BO,11,0),"NA")</f>
        <v>NA</v>
      </c>
      <c r="J77" s="26" t="str">
        <f>IFERROR(VLOOKUP(D77&amp;$G$3&amp;$G$4&amp;$G$5,'Raw Data'!$C:$BO,26,0),"NA")</f>
        <v>NA</v>
      </c>
      <c r="K77" s="26" t="str">
        <f>IFERROR(VLOOKUP(D77&amp;$G$3&amp;$G$4&amp;$G$5,'Raw Data'!$C:$BO,39,0),"NA")</f>
        <v>NA</v>
      </c>
      <c r="L77" s="26" t="str">
        <f>IFERROR(VLOOKUP(D77&amp;$G$3&amp;$G$4&amp;$G$5,'Raw Data'!$C:$BO,65,0),"NA")</f>
        <v>NA</v>
      </c>
      <c r="M77" s="26" t="str">
        <f>IFERROR(VLOOKUP(D77&amp;$G$3&amp;$G$4&amp;G69,'Raw Data'!$C:$BO,52,0),"NA")</f>
        <v>NA</v>
      </c>
      <c r="N77" s="26">
        <f t="shared" si="10"/>
        <v>0</v>
      </c>
      <c r="O77" s="78" t="str">
        <f t="shared" si="11"/>
        <v>NA</v>
      </c>
      <c r="P77" s="26" t="str">
        <f>IFERROR(VLOOKUP(D77&amp;$G$3&amp;$G$4&amp;$G$5,'Raw Data'!$C:$BS,66,0),"NA")</f>
        <v>NA</v>
      </c>
      <c r="Q77" s="26" t="str">
        <f>IFERROR(VLOOKUP(D77&amp;$G$3&amp;$G$4&amp;$G$5,'Raw Data'!$C:$BS,67,0),"NA")</f>
        <v>NA</v>
      </c>
      <c r="R77" s="26" t="str">
        <f>IFERROR(VLOOKUP(D77&amp;$G$3&amp;$G$4&amp;$G$5,'Raw Data'!$C:$BS,68,0),"NA")</f>
        <v>NA</v>
      </c>
      <c r="S77" s="26" t="str">
        <f>IFERROR(VLOOKUP(D77&amp;$G$3&amp;$G$4&amp;$G$5,'Raw Data'!$C:$BS,69,0),"NA")</f>
        <v>NA</v>
      </c>
      <c r="T77" s="44" t="str">
        <f t="shared" si="12"/>
        <v>NA</v>
      </c>
      <c r="BK77" s="60" t="str">
        <f t="shared" si="13"/>
        <v>NA</v>
      </c>
      <c r="BL77" t="str">
        <f t="shared" si="14"/>
        <v>NA</v>
      </c>
      <c r="BM77" t="str">
        <f t="shared" si="15"/>
        <v>NA</v>
      </c>
      <c r="BN77" t="str">
        <f t="shared" si="16"/>
        <v>NA</v>
      </c>
      <c r="BO77" t="str">
        <f t="shared" si="18"/>
        <v/>
      </c>
      <c r="BP77" t="str">
        <f t="shared" si="17"/>
        <v>NA</v>
      </c>
    </row>
    <row r="78" spans="1:68">
      <c r="A78" t="str">
        <f t="shared" ca="1" si="7"/>
        <v>65LowNoTelecom-Non AT&amp;TJ</v>
      </c>
      <c r="B78" t="str">
        <f t="shared" ca="1" si="8"/>
        <v>65LowNoTelecom-Non AT&amp;TK</v>
      </c>
      <c r="C78" t="str">
        <f t="shared" ca="1" si="9"/>
        <v>65LowNoTelecom-Non AT&amp;TL</v>
      </c>
      <c r="D78" s="22">
        <v>65</v>
      </c>
      <c r="E78" s="24" t="str">
        <f>IFERROR(VLOOKUP(D78&amp;$G$3&amp;$G$4&amp;$G$5,'Raw Data'!$C:$BO,2,0),"NA")</f>
        <v>NA</v>
      </c>
      <c r="F78" s="79" t="str">
        <f>IFERROR(VLOOKUP(D78&amp;$G$3&amp;$G$4&amp;$G$5,'Raw Data'!$C:$BO,5,0),"NA")</f>
        <v>NA</v>
      </c>
      <c r="G78" s="44" t="str">
        <f>IFERROR(VLOOKUP(D78&amp;$G$3&amp;$G$4&amp;$G$5,'Raw Data'!$C:$BT,70,0),"NA")</f>
        <v>NA</v>
      </c>
      <c r="H78" s="62" t="str">
        <f>IFERROR(VLOOKUP(D78&amp;$G$3&amp;$G$4&amp;$G$5,'Raw Data'!$C:$BO,7,0),"NA")</f>
        <v>NA</v>
      </c>
      <c r="I78" s="29" t="str">
        <f>IFERROR(VLOOKUP(D78&amp;$G$3&amp;$G$4&amp;$G$5,'Raw Data'!$C:$BO,11,0),"NA")</f>
        <v>NA</v>
      </c>
      <c r="J78" s="26" t="str">
        <f>IFERROR(VLOOKUP(D78&amp;$G$3&amp;$G$4&amp;$G$5,'Raw Data'!$C:$BO,26,0),"NA")</f>
        <v>NA</v>
      </c>
      <c r="K78" s="26" t="str">
        <f>IFERROR(VLOOKUP(D78&amp;$G$3&amp;$G$4&amp;$G$5,'Raw Data'!$C:$BO,39,0),"NA")</f>
        <v>NA</v>
      </c>
      <c r="L78" s="26" t="str">
        <f>IFERROR(VLOOKUP(D78&amp;$G$3&amp;$G$4&amp;$G$5,'Raw Data'!$C:$BO,65,0),"NA")</f>
        <v>NA</v>
      </c>
      <c r="M78" s="26" t="str">
        <f>IFERROR(VLOOKUP(D78&amp;$G$3&amp;$G$4&amp;G70,'Raw Data'!$C:$BO,52,0),"NA")</f>
        <v>NA</v>
      </c>
      <c r="N78" s="26">
        <f t="shared" si="10"/>
        <v>0</v>
      </c>
      <c r="O78" s="78" t="str">
        <f t="shared" si="11"/>
        <v>NA</v>
      </c>
      <c r="P78" s="26" t="str">
        <f>IFERROR(VLOOKUP(D78&amp;$G$3&amp;$G$4&amp;$G$5,'Raw Data'!$C:$BS,66,0),"NA")</f>
        <v>NA</v>
      </c>
      <c r="Q78" s="26" t="str">
        <f>IFERROR(VLOOKUP(D78&amp;$G$3&amp;$G$4&amp;$G$5,'Raw Data'!$C:$BS,67,0),"NA")</f>
        <v>NA</v>
      </c>
      <c r="R78" s="26" t="str">
        <f>IFERROR(VLOOKUP(D78&amp;$G$3&amp;$G$4&amp;$G$5,'Raw Data'!$C:$BS,68,0),"NA")</f>
        <v>NA</v>
      </c>
      <c r="S78" s="26" t="str">
        <f>IFERROR(VLOOKUP(D78&amp;$G$3&amp;$G$4&amp;$G$5,'Raw Data'!$C:$BS,69,0),"NA")</f>
        <v>NA</v>
      </c>
      <c r="T78" s="44" t="str">
        <f t="shared" si="12"/>
        <v>NA</v>
      </c>
      <c r="BK78" s="60" t="str">
        <f t="shared" si="13"/>
        <v>NA</v>
      </c>
      <c r="BL78" t="str">
        <f t="shared" si="14"/>
        <v>NA</v>
      </c>
      <c r="BM78" t="str">
        <f t="shared" si="15"/>
        <v>NA</v>
      </c>
      <c r="BN78" t="str">
        <f t="shared" si="16"/>
        <v>NA</v>
      </c>
      <c r="BO78" t="str">
        <f t="shared" ref="BO78:BO109" si="19">IF(OR($BK78="Minutes",$BK78="Volume"),SUMPRODUCT(($BK78=$BB$2:$BB$15)*($BL78=$BD$2:$BD$15)*($BN78=$BC$2:$BC$15)*($BA$2:$BA$15)),IF($BK78="HeadCount",SUMPRODUCT(($BK78=$BB$2:$BB$15)*($BL78=$BD$2:$BD$15)*($BM78=$BE$2:$BE$15)*($BA$2:$BA$15)),IF($BK78="Hours",SUMPRODUCT(($BK78=$BB$2:$BB$15)*($BL78=$BD$2:$BD$15)*($BA$2:$BA$15)),"")))</f>
        <v/>
      </c>
      <c r="BP78" t="str">
        <f t="shared" si="17"/>
        <v>NA</v>
      </c>
    </row>
    <row r="79" spans="1:68">
      <c r="A79" t="str">
        <f t="shared" ref="A79:A142" ca="1" si="20">$D79&amp;$G$3&amp;$G$4&amp;$G$5&amp;MID(CELL("address",J79),2,FIND("$",CELL("address",J79),2)-2)</f>
        <v>66LowNoTelecom-Non AT&amp;TJ</v>
      </c>
      <c r="B79" t="str">
        <f t="shared" ref="B79:B142" ca="1" si="21">$D79&amp;$G$3&amp;$G$4&amp;$G$5&amp;MID(CELL("address",K79),2,FIND("$",CELL("address",K79),2)-2)</f>
        <v>66LowNoTelecom-Non AT&amp;TK</v>
      </c>
      <c r="C79" t="str">
        <f t="shared" ref="C79:C142" ca="1" si="22">$D79&amp;$G$3&amp;$G$4&amp;$G$5&amp;MID(CELL("address",L79),2,FIND("$",CELL("address",L79),2)-2)</f>
        <v>66LowNoTelecom-Non AT&amp;TL</v>
      </c>
      <c r="D79" s="22">
        <v>66</v>
      </c>
      <c r="E79" s="24" t="str">
        <f>IFERROR(VLOOKUP(D79&amp;$G$3&amp;$G$4&amp;$G$5,'Raw Data'!$C:$BO,2,0),"NA")</f>
        <v>NA</v>
      </c>
      <c r="F79" s="79" t="str">
        <f>IFERROR(VLOOKUP(D79&amp;$G$3&amp;$G$4&amp;$G$5,'Raw Data'!$C:$BO,5,0),"NA")</f>
        <v>NA</v>
      </c>
      <c r="G79" s="44" t="str">
        <f>IFERROR(VLOOKUP(D79&amp;$G$3&amp;$G$4&amp;$G$5,'Raw Data'!$C:$BT,70,0),"NA")</f>
        <v>NA</v>
      </c>
      <c r="H79" s="62" t="str">
        <f>IFERROR(VLOOKUP(D79&amp;$G$3&amp;$G$4&amp;$G$5,'Raw Data'!$C:$BO,7,0),"NA")</f>
        <v>NA</v>
      </c>
      <c r="I79" s="29" t="str">
        <f>IFERROR(VLOOKUP(D79&amp;$G$3&amp;$G$4&amp;$G$5,'Raw Data'!$C:$BO,11,0),"NA")</f>
        <v>NA</v>
      </c>
      <c r="J79" s="26" t="str">
        <f>IFERROR(VLOOKUP(D79&amp;$G$3&amp;$G$4&amp;$G$5,'Raw Data'!$C:$BO,26,0),"NA")</f>
        <v>NA</v>
      </c>
      <c r="K79" s="26" t="str">
        <f>IFERROR(VLOOKUP(D79&amp;$G$3&amp;$G$4&amp;$G$5,'Raw Data'!$C:$BO,39,0),"NA")</f>
        <v>NA</v>
      </c>
      <c r="L79" s="26" t="str">
        <f>IFERROR(VLOOKUP(D79&amp;$G$3&amp;$G$4&amp;$G$5,'Raw Data'!$C:$BO,65,0),"NA")</f>
        <v>NA</v>
      </c>
      <c r="M79" s="26" t="str">
        <f>IFERROR(VLOOKUP(D79&amp;$G$3&amp;$G$4&amp;G71,'Raw Data'!$C:$BO,52,0),"NA")</f>
        <v>NA</v>
      </c>
      <c r="N79" s="26">
        <f t="shared" ref="N79:N142" si="23">IFERROR(AVERAGEIF(J79:M79,"&lt;&gt;0%",J79:M79),0)</f>
        <v>0</v>
      </c>
      <c r="O79" s="78" t="str">
        <f t="shared" ref="O79:O142" si="24">IF(AND(N79&gt;$AC$1,N79&lt;=$AD$1),"Low",IF(AND(N79&gt;=$AE$1,N79&lt;=$AF$1),"Medium",IF(AND(N79&gt;=$AG$1,N79&lt;=$AH$1),"High",IF(OR(N79&gt;100%,N79&lt;0%),"Very High","NA"))))</f>
        <v>NA</v>
      </c>
      <c r="P79" s="26" t="str">
        <f>IFERROR(VLOOKUP(D79&amp;$G$3&amp;$G$4&amp;$G$5,'Raw Data'!$C:$BS,66,0),"NA")</f>
        <v>NA</v>
      </c>
      <c r="Q79" s="26" t="str">
        <f>IFERROR(VLOOKUP(D79&amp;$G$3&amp;$G$4&amp;$G$5,'Raw Data'!$C:$BS,67,0),"NA")</f>
        <v>NA</v>
      </c>
      <c r="R79" s="26" t="str">
        <f>IFERROR(VLOOKUP(D79&amp;$G$3&amp;$G$4&amp;$G$5,'Raw Data'!$C:$BS,68,0),"NA")</f>
        <v>NA</v>
      </c>
      <c r="S79" s="26" t="str">
        <f>IFERROR(VLOOKUP(D79&amp;$G$3&amp;$G$4&amp;$G$5,'Raw Data'!$C:$BS,69,0),"NA")</f>
        <v>NA</v>
      </c>
      <c r="T79" s="44" t="str">
        <f t="shared" ref="T79:T142" si="25">BP79</f>
        <v>NA</v>
      </c>
      <c r="BK79" s="60" t="str">
        <f t="shared" ref="BK79:BK142" si="26">G79</f>
        <v>NA</v>
      </c>
      <c r="BL79" t="str">
        <f t="shared" ref="BL79:BL142" si="27">IFERROR(IF(SIGN(J79)=1,"Positive","Negative"),"NA")</f>
        <v>NA</v>
      </c>
      <c r="BM79" t="str">
        <f t="shared" ref="BM79:BM142" si="28">IFERROR(IF(SIGN(K79)=1,"Positive","Negative"),"NA")</f>
        <v>NA</v>
      </c>
      <c r="BN79" t="str">
        <f t="shared" ref="BN79:BN142" si="29">IFERROR(IF(SIGN(L79)=1,"Positive","Negative"),"NA")</f>
        <v>NA</v>
      </c>
      <c r="BO79" t="str">
        <f t="shared" si="19"/>
        <v/>
      </c>
      <c r="BP79" t="str">
        <f t="shared" ref="BP79:BP142" si="30">IFERROR(VLOOKUP($BO79,$BA$2:$BI$15,9,0),"NA")</f>
        <v>NA</v>
      </c>
    </row>
    <row r="80" spans="1:68">
      <c r="A80" t="str">
        <f t="shared" ca="1" si="20"/>
        <v>67LowNoTelecom-Non AT&amp;TJ</v>
      </c>
      <c r="B80" t="str">
        <f t="shared" ca="1" si="21"/>
        <v>67LowNoTelecom-Non AT&amp;TK</v>
      </c>
      <c r="C80" t="str">
        <f t="shared" ca="1" si="22"/>
        <v>67LowNoTelecom-Non AT&amp;TL</v>
      </c>
      <c r="D80" s="22">
        <v>67</v>
      </c>
      <c r="E80" s="24" t="str">
        <f>IFERROR(VLOOKUP(D80&amp;$G$3&amp;$G$4&amp;$G$5,'Raw Data'!$C:$BO,2,0),"NA")</f>
        <v>NA</v>
      </c>
      <c r="F80" s="79" t="str">
        <f>IFERROR(VLOOKUP(D80&amp;$G$3&amp;$G$4&amp;$G$5,'Raw Data'!$C:$BO,5,0),"NA")</f>
        <v>NA</v>
      </c>
      <c r="G80" s="44" t="str">
        <f>IFERROR(VLOOKUP(D80&amp;$G$3&amp;$G$4&amp;$G$5,'Raw Data'!$C:$BT,70,0),"NA")</f>
        <v>NA</v>
      </c>
      <c r="H80" s="62" t="str">
        <f>IFERROR(VLOOKUP(D80&amp;$G$3&amp;$G$4&amp;$G$5,'Raw Data'!$C:$BO,7,0),"NA")</f>
        <v>NA</v>
      </c>
      <c r="I80" s="29" t="str">
        <f>IFERROR(VLOOKUP(D80&amp;$G$3&amp;$G$4&amp;$G$5,'Raw Data'!$C:$BO,11,0),"NA")</f>
        <v>NA</v>
      </c>
      <c r="J80" s="26" t="str">
        <f>IFERROR(VLOOKUP(D80&amp;$G$3&amp;$G$4&amp;$G$5,'Raw Data'!$C:$BO,26,0),"NA")</f>
        <v>NA</v>
      </c>
      <c r="K80" s="26" t="str">
        <f>IFERROR(VLOOKUP(D80&amp;$G$3&amp;$G$4&amp;$G$5,'Raw Data'!$C:$BO,39,0),"NA")</f>
        <v>NA</v>
      </c>
      <c r="L80" s="26" t="str">
        <f>IFERROR(VLOOKUP(D80&amp;$G$3&amp;$G$4&amp;$G$5,'Raw Data'!$C:$BO,65,0),"NA")</f>
        <v>NA</v>
      </c>
      <c r="M80" s="26" t="str">
        <f>IFERROR(VLOOKUP(D80&amp;$G$3&amp;$G$4&amp;G72,'Raw Data'!$C:$BO,52,0),"NA")</f>
        <v>NA</v>
      </c>
      <c r="N80" s="26">
        <f t="shared" si="23"/>
        <v>0</v>
      </c>
      <c r="O80" s="78" t="str">
        <f t="shared" si="24"/>
        <v>NA</v>
      </c>
      <c r="P80" s="26" t="str">
        <f>IFERROR(VLOOKUP(D80&amp;$G$3&amp;$G$4&amp;$G$5,'Raw Data'!$C:$BS,66,0),"NA")</f>
        <v>NA</v>
      </c>
      <c r="Q80" s="26" t="str">
        <f>IFERROR(VLOOKUP(D80&amp;$G$3&amp;$G$4&amp;$G$5,'Raw Data'!$C:$BS,67,0),"NA")</f>
        <v>NA</v>
      </c>
      <c r="R80" s="26" t="str">
        <f>IFERROR(VLOOKUP(D80&amp;$G$3&amp;$G$4&amp;$G$5,'Raw Data'!$C:$BS,68,0),"NA")</f>
        <v>NA</v>
      </c>
      <c r="S80" s="26" t="str">
        <f>IFERROR(VLOOKUP(D80&amp;$G$3&amp;$G$4&amp;$G$5,'Raw Data'!$C:$BS,69,0),"NA")</f>
        <v>NA</v>
      </c>
      <c r="T80" s="44" t="str">
        <f t="shared" si="25"/>
        <v>NA</v>
      </c>
      <c r="BK80" s="60" t="str">
        <f t="shared" si="26"/>
        <v>NA</v>
      </c>
      <c r="BL80" t="str">
        <f t="shared" si="27"/>
        <v>NA</v>
      </c>
      <c r="BM80" t="str">
        <f t="shared" si="28"/>
        <v>NA</v>
      </c>
      <c r="BN80" t="str">
        <f t="shared" si="29"/>
        <v>NA</v>
      </c>
      <c r="BO80" t="str">
        <f t="shared" si="19"/>
        <v/>
      </c>
      <c r="BP80" t="str">
        <f t="shared" si="30"/>
        <v>NA</v>
      </c>
    </row>
    <row r="81" spans="1:68">
      <c r="A81" t="str">
        <f t="shared" ca="1" si="20"/>
        <v>68LowNoTelecom-Non AT&amp;TJ</v>
      </c>
      <c r="B81" t="str">
        <f t="shared" ca="1" si="21"/>
        <v>68LowNoTelecom-Non AT&amp;TK</v>
      </c>
      <c r="C81" t="str">
        <f t="shared" ca="1" si="22"/>
        <v>68LowNoTelecom-Non AT&amp;TL</v>
      </c>
      <c r="D81" s="22">
        <v>68</v>
      </c>
      <c r="E81" s="24" t="str">
        <f>IFERROR(VLOOKUP(D81&amp;$G$3&amp;$G$4&amp;$G$5,'Raw Data'!$C:$BO,2,0),"NA")</f>
        <v>NA</v>
      </c>
      <c r="F81" s="79" t="str">
        <f>IFERROR(VLOOKUP(D81&amp;$G$3&amp;$G$4&amp;$G$5,'Raw Data'!$C:$BO,5,0),"NA")</f>
        <v>NA</v>
      </c>
      <c r="G81" s="44" t="str">
        <f>IFERROR(VLOOKUP(D81&amp;$G$3&amp;$G$4&amp;$G$5,'Raw Data'!$C:$BT,70,0),"NA")</f>
        <v>NA</v>
      </c>
      <c r="H81" s="62" t="str">
        <f>IFERROR(VLOOKUP(D81&amp;$G$3&amp;$G$4&amp;$G$5,'Raw Data'!$C:$BO,7,0),"NA")</f>
        <v>NA</v>
      </c>
      <c r="I81" s="29" t="str">
        <f>IFERROR(VLOOKUP(D81&amp;$G$3&amp;$G$4&amp;$G$5,'Raw Data'!$C:$BO,11,0),"NA")</f>
        <v>NA</v>
      </c>
      <c r="J81" s="26" t="str">
        <f>IFERROR(VLOOKUP(D81&amp;$G$3&amp;$G$4&amp;$G$5,'Raw Data'!$C:$BO,26,0),"NA")</f>
        <v>NA</v>
      </c>
      <c r="K81" s="26" t="str">
        <f>IFERROR(VLOOKUP(D81&amp;$G$3&amp;$G$4&amp;$G$5,'Raw Data'!$C:$BO,39,0),"NA")</f>
        <v>NA</v>
      </c>
      <c r="L81" s="26" t="str">
        <f>IFERROR(VLOOKUP(D81&amp;$G$3&amp;$G$4&amp;$G$5,'Raw Data'!$C:$BO,65,0),"NA")</f>
        <v>NA</v>
      </c>
      <c r="M81" s="26" t="str">
        <f>IFERROR(VLOOKUP(D81&amp;$G$3&amp;$G$4&amp;G73,'Raw Data'!$C:$BO,52,0),"NA")</f>
        <v>NA</v>
      </c>
      <c r="N81" s="26">
        <f t="shared" si="23"/>
        <v>0</v>
      </c>
      <c r="O81" s="78" t="str">
        <f t="shared" si="24"/>
        <v>NA</v>
      </c>
      <c r="P81" s="26" t="str">
        <f>IFERROR(VLOOKUP(D81&amp;$G$3&amp;$G$4&amp;$G$5,'Raw Data'!$C:$BS,66,0),"NA")</f>
        <v>NA</v>
      </c>
      <c r="Q81" s="26" t="str">
        <f>IFERROR(VLOOKUP(D81&amp;$G$3&amp;$G$4&amp;$G$5,'Raw Data'!$C:$BS,67,0),"NA")</f>
        <v>NA</v>
      </c>
      <c r="R81" s="26" t="str">
        <f>IFERROR(VLOOKUP(D81&amp;$G$3&amp;$G$4&amp;$G$5,'Raw Data'!$C:$BS,68,0),"NA")</f>
        <v>NA</v>
      </c>
      <c r="S81" s="26" t="str">
        <f>IFERROR(VLOOKUP(D81&amp;$G$3&amp;$G$4&amp;$G$5,'Raw Data'!$C:$BS,69,0),"NA")</f>
        <v>NA</v>
      </c>
      <c r="T81" s="44" t="str">
        <f t="shared" si="25"/>
        <v>NA</v>
      </c>
      <c r="BK81" s="60" t="str">
        <f t="shared" si="26"/>
        <v>NA</v>
      </c>
      <c r="BL81" t="str">
        <f t="shared" si="27"/>
        <v>NA</v>
      </c>
      <c r="BM81" t="str">
        <f t="shared" si="28"/>
        <v>NA</v>
      </c>
      <c r="BN81" t="str">
        <f t="shared" si="29"/>
        <v>NA</v>
      </c>
      <c r="BO81" t="str">
        <f t="shared" si="19"/>
        <v/>
      </c>
      <c r="BP81" t="str">
        <f t="shared" si="30"/>
        <v>NA</v>
      </c>
    </row>
    <row r="82" spans="1:68">
      <c r="A82" t="str">
        <f t="shared" ca="1" si="20"/>
        <v>69LowNoTelecom-Non AT&amp;TJ</v>
      </c>
      <c r="B82" t="str">
        <f t="shared" ca="1" si="21"/>
        <v>69LowNoTelecom-Non AT&amp;TK</v>
      </c>
      <c r="C82" t="str">
        <f t="shared" ca="1" si="22"/>
        <v>69LowNoTelecom-Non AT&amp;TL</v>
      </c>
      <c r="D82" s="22">
        <v>69</v>
      </c>
      <c r="E82" s="24" t="str">
        <f>IFERROR(VLOOKUP(D82&amp;$G$3&amp;$G$4&amp;$G$5,'Raw Data'!$C:$BO,2,0),"NA")</f>
        <v>NA</v>
      </c>
      <c r="F82" s="79" t="str">
        <f>IFERROR(VLOOKUP(D82&amp;$G$3&amp;$G$4&amp;$G$5,'Raw Data'!$C:$BO,5,0),"NA")</f>
        <v>NA</v>
      </c>
      <c r="G82" s="44" t="str">
        <f>IFERROR(VLOOKUP(D82&amp;$G$3&amp;$G$4&amp;$G$5,'Raw Data'!$C:$BT,70,0),"NA")</f>
        <v>NA</v>
      </c>
      <c r="H82" s="62" t="str">
        <f>IFERROR(VLOOKUP(D82&amp;$G$3&amp;$G$4&amp;$G$5,'Raw Data'!$C:$BO,7,0),"NA")</f>
        <v>NA</v>
      </c>
      <c r="I82" s="29" t="str">
        <f>IFERROR(VLOOKUP(D82&amp;$G$3&amp;$G$4&amp;$G$5,'Raw Data'!$C:$BO,11,0),"NA")</f>
        <v>NA</v>
      </c>
      <c r="J82" s="26" t="str">
        <f>IFERROR(VLOOKUP(D82&amp;$G$3&amp;$G$4&amp;$G$5,'Raw Data'!$C:$BO,26,0),"NA")</f>
        <v>NA</v>
      </c>
      <c r="K82" s="26" t="str">
        <f>IFERROR(VLOOKUP(D82&amp;$G$3&amp;$G$4&amp;$G$5,'Raw Data'!$C:$BO,39,0),"NA")</f>
        <v>NA</v>
      </c>
      <c r="L82" s="26" t="str">
        <f>IFERROR(VLOOKUP(D82&amp;$G$3&amp;$G$4&amp;$G$5,'Raw Data'!$C:$BO,65,0),"NA")</f>
        <v>NA</v>
      </c>
      <c r="M82" s="26" t="str">
        <f>IFERROR(VLOOKUP(D82&amp;$G$3&amp;$G$4&amp;G74,'Raw Data'!$C:$BO,52,0),"NA")</f>
        <v>NA</v>
      </c>
      <c r="N82" s="26">
        <f t="shared" si="23"/>
        <v>0</v>
      </c>
      <c r="O82" s="78" t="str">
        <f t="shared" si="24"/>
        <v>NA</v>
      </c>
      <c r="P82" s="26" t="str">
        <f>IFERROR(VLOOKUP(D82&amp;$G$3&amp;$G$4&amp;$G$5,'Raw Data'!$C:$BS,66,0),"NA")</f>
        <v>NA</v>
      </c>
      <c r="Q82" s="26" t="str">
        <f>IFERROR(VLOOKUP(D82&amp;$G$3&amp;$G$4&amp;$G$5,'Raw Data'!$C:$BS,67,0),"NA")</f>
        <v>NA</v>
      </c>
      <c r="R82" s="26" t="str">
        <f>IFERROR(VLOOKUP(D82&amp;$G$3&amp;$G$4&amp;$G$5,'Raw Data'!$C:$BS,68,0),"NA")</f>
        <v>NA</v>
      </c>
      <c r="S82" s="26" t="str">
        <f>IFERROR(VLOOKUP(D82&amp;$G$3&amp;$G$4&amp;$G$5,'Raw Data'!$C:$BS,69,0),"NA")</f>
        <v>NA</v>
      </c>
      <c r="T82" s="44" t="str">
        <f t="shared" si="25"/>
        <v>NA</v>
      </c>
      <c r="BK82" s="60" t="str">
        <f t="shared" si="26"/>
        <v>NA</v>
      </c>
      <c r="BL82" t="str">
        <f t="shared" si="27"/>
        <v>NA</v>
      </c>
      <c r="BM82" t="str">
        <f t="shared" si="28"/>
        <v>NA</v>
      </c>
      <c r="BN82" t="str">
        <f t="shared" si="29"/>
        <v>NA</v>
      </c>
      <c r="BO82" t="str">
        <f t="shared" si="19"/>
        <v/>
      </c>
      <c r="BP82" t="str">
        <f t="shared" si="30"/>
        <v>NA</v>
      </c>
    </row>
    <row r="83" spans="1:68">
      <c r="A83" t="str">
        <f t="shared" ca="1" si="20"/>
        <v>70LowNoTelecom-Non AT&amp;TJ</v>
      </c>
      <c r="B83" t="str">
        <f t="shared" ca="1" si="21"/>
        <v>70LowNoTelecom-Non AT&amp;TK</v>
      </c>
      <c r="C83" t="str">
        <f t="shared" ca="1" si="22"/>
        <v>70LowNoTelecom-Non AT&amp;TL</v>
      </c>
      <c r="D83" s="22">
        <v>70</v>
      </c>
      <c r="E83" s="24" t="str">
        <f>IFERROR(VLOOKUP(D83&amp;$G$3&amp;$G$4&amp;$G$5,'Raw Data'!$C:$BO,2,0),"NA")</f>
        <v>NA</v>
      </c>
      <c r="F83" s="79" t="str">
        <f>IFERROR(VLOOKUP(D83&amp;$G$3&amp;$G$4&amp;$G$5,'Raw Data'!$C:$BO,5,0),"NA")</f>
        <v>NA</v>
      </c>
      <c r="G83" s="44" t="str">
        <f>IFERROR(VLOOKUP(D83&amp;$G$3&amp;$G$4&amp;$G$5,'Raw Data'!$C:$BT,70,0),"NA")</f>
        <v>NA</v>
      </c>
      <c r="H83" s="62" t="str">
        <f>IFERROR(VLOOKUP(D83&amp;$G$3&amp;$G$4&amp;$G$5,'Raw Data'!$C:$BO,7,0),"NA")</f>
        <v>NA</v>
      </c>
      <c r="I83" s="29" t="str">
        <f>IFERROR(VLOOKUP(D83&amp;$G$3&amp;$G$4&amp;$G$5,'Raw Data'!$C:$BO,11,0),"NA")</f>
        <v>NA</v>
      </c>
      <c r="J83" s="26" t="str">
        <f>IFERROR(VLOOKUP(D83&amp;$G$3&amp;$G$4&amp;$G$5,'Raw Data'!$C:$BO,26,0),"NA")</f>
        <v>NA</v>
      </c>
      <c r="K83" s="26" t="str">
        <f>IFERROR(VLOOKUP(D83&amp;$G$3&amp;$G$4&amp;$G$5,'Raw Data'!$C:$BO,39,0),"NA")</f>
        <v>NA</v>
      </c>
      <c r="L83" s="26" t="str">
        <f>IFERROR(VLOOKUP(D83&amp;$G$3&amp;$G$4&amp;$G$5,'Raw Data'!$C:$BO,65,0),"NA")</f>
        <v>NA</v>
      </c>
      <c r="M83" s="26" t="str">
        <f>IFERROR(VLOOKUP(D83&amp;$G$3&amp;$G$4&amp;G75,'Raw Data'!$C:$BO,52,0),"NA")</f>
        <v>NA</v>
      </c>
      <c r="N83" s="26">
        <f t="shared" si="23"/>
        <v>0</v>
      </c>
      <c r="O83" s="78" t="str">
        <f t="shared" si="24"/>
        <v>NA</v>
      </c>
      <c r="P83" s="26" t="str">
        <f>IFERROR(VLOOKUP(D83&amp;$G$3&amp;$G$4&amp;$G$5,'Raw Data'!$C:$BS,66,0),"NA")</f>
        <v>NA</v>
      </c>
      <c r="Q83" s="26" t="str">
        <f>IFERROR(VLOOKUP(D83&amp;$G$3&amp;$G$4&amp;$G$5,'Raw Data'!$C:$BS,67,0),"NA")</f>
        <v>NA</v>
      </c>
      <c r="R83" s="26" t="str">
        <f>IFERROR(VLOOKUP(D83&amp;$G$3&amp;$G$4&amp;$G$5,'Raw Data'!$C:$BS,68,0),"NA")</f>
        <v>NA</v>
      </c>
      <c r="S83" s="26" t="str">
        <f>IFERROR(VLOOKUP(D83&amp;$G$3&amp;$G$4&amp;$G$5,'Raw Data'!$C:$BS,69,0),"NA")</f>
        <v>NA</v>
      </c>
      <c r="T83" s="44" t="str">
        <f t="shared" si="25"/>
        <v>NA</v>
      </c>
      <c r="BK83" s="60" t="str">
        <f t="shared" si="26"/>
        <v>NA</v>
      </c>
      <c r="BL83" t="str">
        <f t="shared" si="27"/>
        <v>NA</v>
      </c>
      <c r="BM83" t="str">
        <f t="shared" si="28"/>
        <v>NA</v>
      </c>
      <c r="BN83" t="str">
        <f t="shared" si="29"/>
        <v>NA</v>
      </c>
      <c r="BO83" t="str">
        <f t="shared" si="19"/>
        <v/>
      </c>
      <c r="BP83" t="str">
        <f t="shared" si="30"/>
        <v>NA</v>
      </c>
    </row>
    <row r="84" spans="1:68">
      <c r="A84" t="str">
        <f t="shared" ca="1" si="20"/>
        <v>71LowNoTelecom-Non AT&amp;TJ</v>
      </c>
      <c r="B84" t="str">
        <f t="shared" ca="1" si="21"/>
        <v>71LowNoTelecom-Non AT&amp;TK</v>
      </c>
      <c r="C84" t="str">
        <f t="shared" ca="1" si="22"/>
        <v>71LowNoTelecom-Non AT&amp;TL</v>
      </c>
      <c r="D84" s="22">
        <v>71</v>
      </c>
      <c r="E84" s="24" t="str">
        <f>IFERROR(VLOOKUP(D84&amp;$G$3&amp;$G$4&amp;$G$5,'Raw Data'!$C:$BO,2,0),"NA")</f>
        <v>NA</v>
      </c>
      <c r="F84" s="79" t="str">
        <f>IFERROR(VLOOKUP(D84&amp;$G$3&amp;$G$4&amp;$G$5,'Raw Data'!$C:$BO,5,0),"NA")</f>
        <v>NA</v>
      </c>
      <c r="G84" s="44" t="str">
        <f>IFERROR(VLOOKUP(D84&amp;$G$3&amp;$G$4&amp;$G$5,'Raw Data'!$C:$BT,70,0),"NA")</f>
        <v>NA</v>
      </c>
      <c r="H84" s="62" t="str">
        <f>IFERROR(VLOOKUP(D84&amp;$G$3&amp;$G$4&amp;$G$5,'Raw Data'!$C:$BO,7,0),"NA")</f>
        <v>NA</v>
      </c>
      <c r="I84" s="29" t="str">
        <f>IFERROR(VLOOKUP(D84&amp;$G$3&amp;$G$4&amp;$G$5,'Raw Data'!$C:$BO,11,0),"NA")</f>
        <v>NA</v>
      </c>
      <c r="J84" s="26" t="str">
        <f>IFERROR(VLOOKUP(D84&amp;$G$3&amp;$G$4&amp;$G$5,'Raw Data'!$C:$BO,26,0),"NA")</f>
        <v>NA</v>
      </c>
      <c r="K84" s="26" t="str">
        <f>IFERROR(VLOOKUP(D84&amp;$G$3&amp;$G$4&amp;$G$5,'Raw Data'!$C:$BO,39,0),"NA")</f>
        <v>NA</v>
      </c>
      <c r="L84" s="26" t="str">
        <f>IFERROR(VLOOKUP(D84&amp;$G$3&amp;$G$4&amp;$G$5,'Raw Data'!$C:$BO,65,0),"NA")</f>
        <v>NA</v>
      </c>
      <c r="M84" s="26" t="str">
        <f>IFERROR(VLOOKUP(D84&amp;$G$3&amp;$G$4&amp;G76,'Raw Data'!$C:$BO,52,0),"NA")</f>
        <v>NA</v>
      </c>
      <c r="N84" s="26">
        <f t="shared" si="23"/>
        <v>0</v>
      </c>
      <c r="O84" s="78" t="str">
        <f t="shared" si="24"/>
        <v>NA</v>
      </c>
      <c r="P84" s="26" t="str">
        <f>IFERROR(VLOOKUP(D84&amp;$G$3&amp;$G$4&amp;$G$5,'Raw Data'!$C:$BS,66,0),"NA")</f>
        <v>NA</v>
      </c>
      <c r="Q84" s="26" t="str">
        <f>IFERROR(VLOOKUP(D84&amp;$G$3&amp;$G$4&amp;$G$5,'Raw Data'!$C:$BS,67,0),"NA")</f>
        <v>NA</v>
      </c>
      <c r="R84" s="26" t="str">
        <f>IFERROR(VLOOKUP(D84&amp;$G$3&amp;$G$4&amp;$G$5,'Raw Data'!$C:$BS,68,0),"NA")</f>
        <v>NA</v>
      </c>
      <c r="S84" s="26" t="str">
        <f>IFERROR(VLOOKUP(D84&amp;$G$3&amp;$G$4&amp;$G$5,'Raw Data'!$C:$BS,69,0),"NA")</f>
        <v>NA</v>
      </c>
      <c r="T84" s="44" t="str">
        <f t="shared" si="25"/>
        <v>NA</v>
      </c>
      <c r="BK84" s="60" t="str">
        <f t="shared" si="26"/>
        <v>NA</v>
      </c>
      <c r="BL84" t="str">
        <f t="shared" si="27"/>
        <v>NA</v>
      </c>
      <c r="BM84" t="str">
        <f t="shared" si="28"/>
        <v>NA</v>
      </c>
      <c r="BN84" t="str">
        <f t="shared" si="29"/>
        <v>NA</v>
      </c>
      <c r="BO84" t="str">
        <f t="shared" si="19"/>
        <v/>
      </c>
      <c r="BP84" t="str">
        <f t="shared" si="30"/>
        <v>NA</v>
      </c>
    </row>
    <row r="85" spans="1:68">
      <c r="A85" t="str">
        <f t="shared" ca="1" si="20"/>
        <v>72LowNoTelecom-Non AT&amp;TJ</v>
      </c>
      <c r="B85" t="str">
        <f t="shared" ca="1" si="21"/>
        <v>72LowNoTelecom-Non AT&amp;TK</v>
      </c>
      <c r="C85" t="str">
        <f t="shared" ca="1" si="22"/>
        <v>72LowNoTelecom-Non AT&amp;TL</v>
      </c>
      <c r="D85" s="22">
        <v>72</v>
      </c>
      <c r="E85" s="24" t="str">
        <f>IFERROR(VLOOKUP(D85&amp;$G$3&amp;$G$4&amp;$G$5,'Raw Data'!$C:$BO,2,0),"NA")</f>
        <v>NA</v>
      </c>
      <c r="F85" s="79" t="str">
        <f>IFERROR(VLOOKUP(D85&amp;$G$3&amp;$G$4&amp;$G$5,'Raw Data'!$C:$BO,5,0),"NA")</f>
        <v>NA</v>
      </c>
      <c r="G85" s="44" t="str">
        <f>IFERROR(VLOOKUP(D85&amp;$G$3&amp;$G$4&amp;$G$5,'Raw Data'!$C:$BT,70,0),"NA")</f>
        <v>NA</v>
      </c>
      <c r="H85" s="62" t="str">
        <f>IFERROR(VLOOKUP(D85&amp;$G$3&amp;$G$4&amp;$G$5,'Raw Data'!$C:$BO,7,0),"NA")</f>
        <v>NA</v>
      </c>
      <c r="I85" s="29" t="str">
        <f>IFERROR(VLOOKUP(D85&amp;$G$3&amp;$G$4&amp;$G$5,'Raw Data'!$C:$BO,11,0),"NA")</f>
        <v>NA</v>
      </c>
      <c r="J85" s="26" t="str">
        <f>IFERROR(VLOOKUP(D85&amp;$G$3&amp;$G$4&amp;$G$5,'Raw Data'!$C:$BO,26,0),"NA")</f>
        <v>NA</v>
      </c>
      <c r="K85" s="26" t="str">
        <f>IFERROR(VLOOKUP(D85&amp;$G$3&amp;$G$4&amp;$G$5,'Raw Data'!$C:$BO,39,0),"NA")</f>
        <v>NA</v>
      </c>
      <c r="L85" s="26" t="str">
        <f>IFERROR(VLOOKUP(D85&amp;$G$3&amp;$G$4&amp;$G$5,'Raw Data'!$C:$BO,65,0),"NA")</f>
        <v>NA</v>
      </c>
      <c r="M85" s="26" t="str">
        <f>IFERROR(VLOOKUP(D85&amp;$G$3&amp;$G$4&amp;G77,'Raw Data'!$C:$BO,52,0),"NA")</f>
        <v>NA</v>
      </c>
      <c r="N85" s="26">
        <f t="shared" si="23"/>
        <v>0</v>
      </c>
      <c r="O85" s="78" t="str">
        <f t="shared" si="24"/>
        <v>NA</v>
      </c>
      <c r="P85" s="26" t="str">
        <f>IFERROR(VLOOKUP(D85&amp;$G$3&amp;$G$4&amp;$G$5,'Raw Data'!$C:$BS,66,0),"NA")</f>
        <v>NA</v>
      </c>
      <c r="Q85" s="26" t="str">
        <f>IFERROR(VLOOKUP(D85&amp;$G$3&amp;$G$4&amp;$G$5,'Raw Data'!$C:$BS,67,0),"NA")</f>
        <v>NA</v>
      </c>
      <c r="R85" s="26" t="str">
        <f>IFERROR(VLOOKUP(D85&amp;$G$3&amp;$G$4&amp;$G$5,'Raw Data'!$C:$BS,68,0),"NA")</f>
        <v>NA</v>
      </c>
      <c r="S85" s="26" t="str">
        <f>IFERROR(VLOOKUP(D85&amp;$G$3&amp;$G$4&amp;$G$5,'Raw Data'!$C:$BS,69,0),"NA")</f>
        <v>NA</v>
      </c>
      <c r="T85" s="44" t="str">
        <f t="shared" si="25"/>
        <v>NA</v>
      </c>
      <c r="BK85" s="60" t="str">
        <f t="shared" si="26"/>
        <v>NA</v>
      </c>
      <c r="BL85" t="str">
        <f t="shared" si="27"/>
        <v>NA</v>
      </c>
      <c r="BM85" t="str">
        <f t="shared" si="28"/>
        <v>NA</v>
      </c>
      <c r="BN85" t="str">
        <f t="shared" si="29"/>
        <v>NA</v>
      </c>
      <c r="BO85" t="str">
        <f t="shared" si="19"/>
        <v/>
      </c>
      <c r="BP85" t="str">
        <f t="shared" si="30"/>
        <v>NA</v>
      </c>
    </row>
    <row r="86" spans="1:68">
      <c r="A86" t="str">
        <f t="shared" ca="1" si="20"/>
        <v>73LowNoTelecom-Non AT&amp;TJ</v>
      </c>
      <c r="B86" t="str">
        <f t="shared" ca="1" si="21"/>
        <v>73LowNoTelecom-Non AT&amp;TK</v>
      </c>
      <c r="C86" t="str">
        <f t="shared" ca="1" si="22"/>
        <v>73LowNoTelecom-Non AT&amp;TL</v>
      </c>
      <c r="D86" s="22">
        <v>73</v>
      </c>
      <c r="E86" s="24" t="str">
        <f>IFERROR(VLOOKUP(D86&amp;$G$3&amp;$G$4&amp;$G$5,'Raw Data'!$C:$BO,2,0),"NA")</f>
        <v>NA</v>
      </c>
      <c r="F86" s="79" t="str">
        <f>IFERROR(VLOOKUP(D86&amp;$G$3&amp;$G$4&amp;$G$5,'Raw Data'!$C:$BO,5,0),"NA")</f>
        <v>NA</v>
      </c>
      <c r="G86" s="44" t="str">
        <f>IFERROR(VLOOKUP(D86&amp;$G$3&amp;$G$4&amp;$G$5,'Raw Data'!$C:$BT,70,0),"NA")</f>
        <v>NA</v>
      </c>
      <c r="H86" s="62" t="str">
        <f>IFERROR(VLOOKUP(D86&amp;$G$3&amp;$G$4&amp;$G$5,'Raw Data'!$C:$BO,7,0),"NA")</f>
        <v>NA</v>
      </c>
      <c r="I86" s="29" t="str">
        <f>IFERROR(VLOOKUP(D86&amp;$G$3&amp;$G$4&amp;$G$5,'Raw Data'!$C:$BO,11,0),"NA")</f>
        <v>NA</v>
      </c>
      <c r="J86" s="26" t="str">
        <f>IFERROR(VLOOKUP(D86&amp;$G$3&amp;$G$4&amp;$G$5,'Raw Data'!$C:$BO,26,0),"NA")</f>
        <v>NA</v>
      </c>
      <c r="K86" s="26" t="str">
        <f>IFERROR(VLOOKUP(D86&amp;$G$3&amp;$G$4&amp;$G$5,'Raw Data'!$C:$BO,39,0),"NA")</f>
        <v>NA</v>
      </c>
      <c r="L86" s="26" t="str">
        <f>IFERROR(VLOOKUP(D86&amp;$G$3&amp;$G$4&amp;$G$5,'Raw Data'!$C:$BO,65,0),"NA")</f>
        <v>NA</v>
      </c>
      <c r="M86" s="26" t="str">
        <f>IFERROR(VLOOKUP(D86&amp;$G$3&amp;$G$4&amp;G78,'Raw Data'!$C:$BO,52,0),"NA")</f>
        <v>NA</v>
      </c>
      <c r="N86" s="26">
        <f t="shared" si="23"/>
        <v>0</v>
      </c>
      <c r="O86" s="78" t="str">
        <f t="shared" si="24"/>
        <v>NA</v>
      </c>
      <c r="P86" s="26" t="str">
        <f>IFERROR(VLOOKUP(D86&amp;$G$3&amp;$G$4&amp;$G$5,'Raw Data'!$C:$BS,66,0),"NA")</f>
        <v>NA</v>
      </c>
      <c r="Q86" s="26" t="str">
        <f>IFERROR(VLOOKUP(D86&amp;$G$3&amp;$G$4&amp;$G$5,'Raw Data'!$C:$BS,67,0),"NA")</f>
        <v>NA</v>
      </c>
      <c r="R86" s="26" t="str">
        <f>IFERROR(VLOOKUP(D86&amp;$G$3&amp;$G$4&amp;$G$5,'Raw Data'!$C:$BS,68,0),"NA")</f>
        <v>NA</v>
      </c>
      <c r="S86" s="26" t="str">
        <f>IFERROR(VLOOKUP(D86&amp;$G$3&amp;$G$4&amp;$G$5,'Raw Data'!$C:$BS,69,0),"NA")</f>
        <v>NA</v>
      </c>
      <c r="T86" s="44" t="str">
        <f t="shared" si="25"/>
        <v>NA</v>
      </c>
      <c r="BK86" s="60" t="str">
        <f t="shared" si="26"/>
        <v>NA</v>
      </c>
      <c r="BL86" t="str">
        <f t="shared" si="27"/>
        <v>NA</v>
      </c>
      <c r="BM86" t="str">
        <f t="shared" si="28"/>
        <v>NA</v>
      </c>
      <c r="BN86" t="str">
        <f t="shared" si="29"/>
        <v>NA</v>
      </c>
      <c r="BO86" t="str">
        <f t="shared" si="19"/>
        <v/>
      </c>
      <c r="BP86" t="str">
        <f t="shared" si="30"/>
        <v>NA</v>
      </c>
    </row>
    <row r="87" spans="1:68">
      <c r="A87" t="str">
        <f t="shared" ca="1" si="20"/>
        <v>74LowNoTelecom-Non AT&amp;TJ</v>
      </c>
      <c r="B87" t="str">
        <f t="shared" ca="1" si="21"/>
        <v>74LowNoTelecom-Non AT&amp;TK</v>
      </c>
      <c r="C87" t="str">
        <f t="shared" ca="1" si="22"/>
        <v>74LowNoTelecom-Non AT&amp;TL</v>
      </c>
      <c r="D87" s="22">
        <v>74</v>
      </c>
      <c r="E87" s="24" t="str">
        <f>IFERROR(VLOOKUP(D87&amp;$G$3&amp;$G$4&amp;$G$5,'Raw Data'!$C:$BO,2,0),"NA")</f>
        <v>NA</v>
      </c>
      <c r="F87" s="79" t="str">
        <f>IFERROR(VLOOKUP(D87&amp;$G$3&amp;$G$4&amp;$G$5,'Raw Data'!$C:$BO,5,0),"NA")</f>
        <v>NA</v>
      </c>
      <c r="G87" s="44" t="str">
        <f>IFERROR(VLOOKUP(D87&amp;$G$3&amp;$G$4&amp;$G$5,'Raw Data'!$C:$BT,70,0),"NA")</f>
        <v>NA</v>
      </c>
      <c r="H87" s="62" t="str">
        <f>IFERROR(VLOOKUP(D87&amp;$G$3&amp;$G$4&amp;$G$5,'Raw Data'!$C:$BO,7,0),"NA")</f>
        <v>NA</v>
      </c>
      <c r="I87" s="29" t="str">
        <f>IFERROR(VLOOKUP(D87&amp;$G$3&amp;$G$4&amp;$G$5,'Raw Data'!$C:$BO,11,0),"NA")</f>
        <v>NA</v>
      </c>
      <c r="J87" s="26" t="str">
        <f>IFERROR(VLOOKUP(D87&amp;$G$3&amp;$G$4&amp;$G$5,'Raw Data'!$C:$BO,26,0),"NA")</f>
        <v>NA</v>
      </c>
      <c r="K87" s="26" t="str">
        <f>IFERROR(VLOOKUP(D87&amp;$G$3&amp;$G$4&amp;$G$5,'Raw Data'!$C:$BO,39,0),"NA")</f>
        <v>NA</v>
      </c>
      <c r="L87" s="26" t="str">
        <f>IFERROR(VLOOKUP(D87&amp;$G$3&amp;$G$4&amp;$G$5,'Raw Data'!$C:$BO,65,0),"NA")</f>
        <v>NA</v>
      </c>
      <c r="M87" s="26" t="str">
        <f>IFERROR(VLOOKUP(D87&amp;$G$3&amp;$G$4&amp;G79,'Raw Data'!$C:$BO,52,0),"NA")</f>
        <v>NA</v>
      </c>
      <c r="N87" s="26">
        <f t="shared" si="23"/>
        <v>0</v>
      </c>
      <c r="O87" s="78" t="str">
        <f t="shared" si="24"/>
        <v>NA</v>
      </c>
      <c r="P87" s="26" t="str">
        <f>IFERROR(VLOOKUP(D87&amp;$G$3&amp;$G$4&amp;$G$5,'Raw Data'!$C:$BS,66,0),"NA")</f>
        <v>NA</v>
      </c>
      <c r="Q87" s="26" t="str">
        <f>IFERROR(VLOOKUP(D87&amp;$G$3&amp;$G$4&amp;$G$5,'Raw Data'!$C:$BS,67,0),"NA")</f>
        <v>NA</v>
      </c>
      <c r="R87" s="26" t="str">
        <f>IFERROR(VLOOKUP(D87&amp;$G$3&amp;$G$4&amp;$G$5,'Raw Data'!$C:$BS,68,0),"NA")</f>
        <v>NA</v>
      </c>
      <c r="S87" s="26" t="str">
        <f>IFERROR(VLOOKUP(D87&amp;$G$3&amp;$G$4&amp;$G$5,'Raw Data'!$C:$BS,69,0),"NA")</f>
        <v>NA</v>
      </c>
      <c r="T87" s="44" t="str">
        <f t="shared" si="25"/>
        <v>NA</v>
      </c>
      <c r="BK87" s="60" t="str">
        <f t="shared" si="26"/>
        <v>NA</v>
      </c>
      <c r="BL87" t="str">
        <f t="shared" si="27"/>
        <v>NA</v>
      </c>
      <c r="BM87" t="str">
        <f t="shared" si="28"/>
        <v>NA</v>
      </c>
      <c r="BN87" t="str">
        <f t="shared" si="29"/>
        <v>NA</v>
      </c>
      <c r="BO87" t="str">
        <f t="shared" si="19"/>
        <v/>
      </c>
      <c r="BP87" t="str">
        <f t="shared" si="30"/>
        <v>NA</v>
      </c>
    </row>
    <row r="88" spans="1:68">
      <c r="A88" t="str">
        <f t="shared" ca="1" si="20"/>
        <v>75LowNoTelecom-Non AT&amp;TJ</v>
      </c>
      <c r="B88" t="str">
        <f t="shared" ca="1" si="21"/>
        <v>75LowNoTelecom-Non AT&amp;TK</v>
      </c>
      <c r="C88" t="str">
        <f t="shared" ca="1" si="22"/>
        <v>75LowNoTelecom-Non AT&amp;TL</v>
      </c>
      <c r="D88" s="22">
        <v>75</v>
      </c>
      <c r="E88" s="24" t="str">
        <f>IFERROR(VLOOKUP(D88&amp;$G$3&amp;$G$4&amp;$G$5,'Raw Data'!$C:$BO,2,0),"NA")</f>
        <v>NA</v>
      </c>
      <c r="F88" s="79" t="str">
        <f>IFERROR(VLOOKUP(D88&amp;$G$3&amp;$G$4&amp;$G$5,'Raw Data'!$C:$BO,5,0),"NA")</f>
        <v>NA</v>
      </c>
      <c r="G88" s="44" t="str">
        <f>IFERROR(VLOOKUP(D88&amp;$G$3&amp;$G$4&amp;$G$5,'Raw Data'!$C:$BT,70,0),"NA")</f>
        <v>NA</v>
      </c>
      <c r="H88" s="62" t="str">
        <f>IFERROR(VLOOKUP(D88&amp;$G$3&amp;$G$4&amp;$G$5,'Raw Data'!$C:$BO,7,0),"NA")</f>
        <v>NA</v>
      </c>
      <c r="I88" s="29" t="str">
        <f>IFERROR(VLOOKUP(D88&amp;$G$3&amp;$G$4&amp;$G$5,'Raw Data'!$C:$BO,11,0),"NA")</f>
        <v>NA</v>
      </c>
      <c r="J88" s="26" t="str">
        <f>IFERROR(VLOOKUP(D88&amp;$G$3&amp;$G$4&amp;$G$5,'Raw Data'!$C:$BO,26,0),"NA")</f>
        <v>NA</v>
      </c>
      <c r="K88" s="26" t="str">
        <f>IFERROR(VLOOKUP(D88&amp;$G$3&amp;$G$4&amp;$G$5,'Raw Data'!$C:$BO,39,0),"NA")</f>
        <v>NA</v>
      </c>
      <c r="L88" s="26" t="str">
        <f>IFERROR(VLOOKUP(D88&amp;$G$3&amp;$G$4&amp;$G$5,'Raw Data'!$C:$BO,65,0),"NA")</f>
        <v>NA</v>
      </c>
      <c r="M88" s="26" t="str">
        <f>IFERROR(VLOOKUP(D88&amp;$G$3&amp;$G$4&amp;G80,'Raw Data'!$C:$BO,52,0),"NA")</f>
        <v>NA</v>
      </c>
      <c r="N88" s="26">
        <f t="shared" si="23"/>
        <v>0</v>
      </c>
      <c r="O88" s="78" t="str">
        <f t="shared" si="24"/>
        <v>NA</v>
      </c>
      <c r="P88" s="26" t="str">
        <f>IFERROR(VLOOKUP(D88&amp;$G$3&amp;$G$4&amp;$G$5,'Raw Data'!$C:$BS,66,0),"NA")</f>
        <v>NA</v>
      </c>
      <c r="Q88" s="26" t="str">
        <f>IFERROR(VLOOKUP(D88&amp;$G$3&amp;$G$4&amp;$G$5,'Raw Data'!$C:$BS,67,0),"NA")</f>
        <v>NA</v>
      </c>
      <c r="R88" s="26" t="str">
        <f>IFERROR(VLOOKUP(D88&amp;$G$3&amp;$G$4&amp;$G$5,'Raw Data'!$C:$BS,68,0),"NA")</f>
        <v>NA</v>
      </c>
      <c r="S88" s="26" t="str">
        <f>IFERROR(VLOOKUP(D88&amp;$G$3&amp;$G$4&amp;$G$5,'Raw Data'!$C:$BS,69,0),"NA")</f>
        <v>NA</v>
      </c>
      <c r="T88" s="44" t="str">
        <f t="shared" si="25"/>
        <v>NA</v>
      </c>
      <c r="BK88" s="60" t="str">
        <f t="shared" si="26"/>
        <v>NA</v>
      </c>
      <c r="BL88" t="str">
        <f t="shared" si="27"/>
        <v>NA</v>
      </c>
      <c r="BM88" t="str">
        <f t="shared" si="28"/>
        <v>NA</v>
      </c>
      <c r="BN88" t="str">
        <f t="shared" si="29"/>
        <v>NA</v>
      </c>
      <c r="BO88" t="str">
        <f t="shared" si="19"/>
        <v/>
      </c>
      <c r="BP88" t="str">
        <f t="shared" si="30"/>
        <v>NA</v>
      </c>
    </row>
    <row r="89" spans="1:68">
      <c r="A89" t="str">
        <f t="shared" ca="1" si="20"/>
        <v>76LowNoTelecom-Non AT&amp;TJ</v>
      </c>
      <c r="B89" t="str">
        <f t="shared" ca="1" si="21"/>
        <v>76LowNoTelecom-Non AT&amp;TK</v>
      </c>
      <c r="C89" t="str">
        <f t="shared" ca="1" si="22"/>
        <v>76LowNoTelecom-Non AT&amp;TL</v>
      </c>
      <c r="D89" s="22">
        <v>76</v>
      </c>
      <c r="E89" s="24" t="str">
        <f>IFERROR(VLOOKUP(D89&amp;$G$3&amp;$G$4&amp;$G$5,'Raw Data'!$C:$BO,2,0),"NA")</f>
        <v>NA</v>
      </c>
      <c r="F89" s="79" t="str">
        <f>IFERROR(VLOOKUP(D89&amp;$G$3&amp;$G$4&amp;$G$5,'Raw Data'!$C:$BO,5,0),"NA")</f>
        <v>NA</v>
      </c>
      <c r="G89" s="44" t="str">
        <f>IFERROR(VLOOKUP(D89&amp;$G$3&amp;$G$4&amp;$G$5,'Raw Data'!$C:$BT,70,0),"NA")</f>
        <v>NA</v>
      </c>
      <c r="H89" s="62" t="str">
        <f>IFERROR(VLOOKUP(D89&amp;$G$3&amp;$G$4&amp;$G$5,'Raw Data'!$C:$BO,7,0),"NA")</f>
        <v>NA</v>
      </c>
      <c r="I89" s="29" t="str">
        <f>IFERROR(VLOOKUP(D89&amp;$G$3&amp;$G$4&amp;$G$5,'Raw Data'!$C:$BO,11,0),"NA")</f>
        <v>NA</v>
      </c>
      <c r="J89" s="26" t="str">
        <f>IFERROR(VLOOKUP(D89&amp;$G$3&amp;$G$4&amp;$G$5,'Raw Data'!$C:$BO,26,0),"NA")</f>
        <v>NA</v>
      </c>
      <c r="K89" s="26" t="str">
        <f>IFERROR(VLOOKUP(D89&amp;$G$3&amp;$G$4&amp;$G$5,'Raw Data'!$C:$BO,39,0),"NA")</f>
        <v>NA</v>
      </c>
      <c r="L89" s="26" t="str">
        <f>IFERROR(VLOOKUP(D89&amp;$G$3&amp;$G$4&amp;$G$5,'Raw Data'!$C:$BO,65,0),"NA")</f>
        <v>NA</v>
      </c>
      <c r="M89" s="26" t="str">
        <f>IFERROR(VLOOKUP(D89&amp;$G$3&amp;$G$4&amp;G81,'Raw Data'!$C:$BO,52,0),"NA")</f>
        <v>NA</v>
      </c>
      <c r="N89" s="26">
        <f t="shared" si="23"/>
        <v>0</v>
      </c>
      <c r="O89" s="78" t="str">
        <f t="shared" si="24"/>
        <v>NA</v>
      </c>
      <c r="P89" s="26" t="str">
        <f>IFERROR(VLOOKUP(D89&amp;$G$3&amp;$G$4&amp;$G$5,'Raw Data'!$C:$BS,66,0),"NA")</f>
        <v>NA</v>
      </c>
      <c r="Q89" s="26" t="str">
        <f>IFERROR(VLOOKUP(D89&amp;$G$3&amp;$G$4&amp;$G$5,'Raw Data'!$C:$BS,67,0),"NA")</f>
        <v>NA</v>
      </c>
      <c r="R89" s="26" t="str">
        <f>IFERROR(VLOOKUP(D89&amp;$G$3&amp;$G$4&amp;$G$5,'Raw Data'!$C:$BS,68,0),"NA")</f>
        <v>NA</v>
      </c>
      <c r="S89" s="26" t="str">
        <f>IFERROR(VLOOKUP(D89&amp;$G$3&amp;$G$4&amp;$G$5,'Raw Data'!$C:$BS,69,0),"NA")</f>
        <v>NA</v>
      </c>
      <c r="T89" s="44" t="str">
        <f t="shared" si="25"/>
        <v>NA</v>
      </c>
      <c r="BK89" s="60" t="str">
        <f t="shared" si="26"/>
        <v>NA</v>
      </c>
      <c r="BL89" t="str">
        <f t="shared" si="27"/>
        <v>NA</v>
      </c>
      <c r="BM89" t="str">
        <f t="shared" si="28"/>
        <v>NA</v>
      </c>
      <c r="BN89" t="str">
        <f t="shared" si="29"/>
        <v>NA</v>
      </c>
      <c r="BO89" t="str">
        <f t="shared" si="19"/>
        <v/>
      </c>
      <c r="BP89" t="str">
        <f t="shared" si="30"/>
        <v>NA</v>
      </c>
    </row>
    <row r="90" spans="1:68">
      <c r="A90" t="str">
        <f t="shared" ca="1" si="20"/>
        <v>77LowNoTelecom-Non AT&amp;TJ</v>
      </c>
      <c r="B90" t="str">
        <f t="shared" ca="1" si="21"/>
        <v>77LowNoTelecom-Non AT&amp;TK</v>
      </c>
      <c r="C90" t="str">
        <f t="shared" ca="1" si="22"/>
        <v>77LowNoTelecom-Non AT&amp;TL</v>
      </c>
      <c r="D90" s="22">
        <v>77</v>
      </c>
      <c r="E90" s="24" t="str">
        <f>IFERROR(VLOOKUP(D90&amp;$G$3&amp;$G$4&amp;$G$5,'Raw Data'!$C:$BO,2,0),"NA")</f>
        <v>NA</v>
      </c>
      <c r="F90" s="79" t="str">
        <f>IFERROR(VLOOKUP(D90&amp;$G$3&amp;$G$4&amp;$G$5,'Raw Data'!$C:$BO,5,0),"NA")</f>
        <v>NA</v>
      </c>
      <c r="G90" s="44" t="str">
        <f>IFERROR(VLOOKUP(D90&amp;$G$3&amp;$G$4&amp;$G$5,'Raw Data'!$C:$BT,70,0),"NA")</f>
        <v>NA</v>
      </c>
      <c r="H90" s="62" t="str">
        <f>IFERROR(VLOOKUP(D90&amp;$G$3&amp;$G$4&amp;$G$5,'Raw Data'!$C:$BO,7,0),"NA")</f>
        <v>NA</v>
      </c>
      <c r="I90" s="29" t="str">
        <f>IFERROR(VLOOKUP(D90&amp;$G$3&amp;$G$4&amp;$G$5,'Raw Data'!$C:$BO,11,0),"NA")</f>
        <v>NA</v>
      </c>
      <c r="J90" s="26" t="str">
        <f>IFERROR(VLOOKUP(D90&amp;$G$3&amp;$G$4&amp;$G$5,'Raw Data'!$C:$BO,26,0),"NA")</f>
        <v>NA</v>
      </c>
      <c r="K90" s="26" t="str">
        <f>IFERROR(VLOOKUP(D90&amp;$G$3&amp;$G$4&amp;$G$5,'Raw Data'!$C:$BO,39,0),"NA")</f>
        <v>NA</v>
      </c>
      <c r="L90" s="26" t="str">
        <f>IFERROR(VLOOKUP(D90&amp;$G$3&amp;$G$4&amp;$G$5,'Raw Data'!$C:$BO,65,0),"NA")</f>
        <v>NA</v>
      </c>
      <c r="M90" s="26" t="str">
        <f>IFERROR(VLOOKUP(D90&amp;$G$3&amp;$G$4&amp;G82,'Raw Data'!$C:$BO,52,0),"NA")</f>
        <v>NA</v>
      </c>
      <c r="N90" s="26">
        <f t="shared" si="23"/>
        <v>0</v>
      </c>
      <c r="O90" s="78" t="str">
        <f t="shared" si="24"/>
        <v>NA</v>
      </c>
      <c r="P90" s="26" t="str">
        <f>IFERROR(VLOOKUP(D90&amp;$G$3&amp;$G$4&amp;$G$5,'Raw Data'!$C:$BS,66,0),"NA")</f>
        <v>NA</v>
      </c>
      <c r="Q90" s="26" t="str">
        <f>IFERROR(VLOOKUP(D90&amp;$G$3&amp;$G$4&amp;$G$5,'Raw Data'!$C:$BS,67,0),"NA")</f>
        <v>NA</v>
      </c>
      <c r="R90" s="26" t="str">
        <f>IFERROR(VLOOKUP(D90&amp;$G$3&amp;$G$4&amp;$G$5,'Raw Data'!$C:$BS,68,0),"NA")</f>
        <v>NA</v>
      </c>
      <c r="S90" s="26" t="str">
        <f>IFERROR(VLOOKUP(D90&amp;$G$3&amp;$G$4&amp;$G$5,'Raw Data'!$C:$BS,69,0),"NA")</f>
        <v>NA</v>
      </c>
      <c r="T90" s="44" t="str">
        <f t="shared" si="25"/>
        <v>NA</v>
      </c>
      <c r="BK90" s="60" t="str">
        <f t="shared" si="26"/>
        <v>NA</v>
      </c>
      <c r="BL90" t="str">
        <f t="shared" si="27"/>
        <v>NA</v>
      </c>
      <c r="BM90" t="str">
        <f t="shared" si="28"/>
        <v>NA</v>
      </c>
      <c r="BN90" t="str">
        <f t="shared" si="29"/>
        <v>NA</v>
      </c>
      <c r="BO90" t="str">
        <f t="shared" si="19"/>
        <v/>
      </c>
      <c r="BP90" t="str">
        <f t="shared" si="30"/>
        <v>NA</v>
      </c>
    </row>
    <row r="91" spans="1:68">
      <c r="A91" t="str">
        <f t="shared" ca="1" si="20"/>
        <v>78LowNoTelecom-Non AT&amp;TJ</v>
      </c>
      <c r="B91" t="str">
        <f t="shared" ca="1" si="21"/>
        <v>78LowNoTelecom-Non AT&amp;TK</v>
      </c>
      <c r="C91" t="str">
        <f t="shared" ca="1" si="22"/>
        <v>78LowNoTelecom-Non AT&amp;TL</v>
      </c>
      <c r="D91" s="22">
        <v>78</v>
      </c>
      <c r="E91" s="24" t="str">
        <f>IFERROR(VLOOKUP(D91&amp;$G$3&amp;$G$4&amp;$G$5,'Raw Data'!$C:$BO,2,0),"NA")</f>
        <v>NA</v>
      </c>
      <c r="F91" s="79" t="str">
        <f>IFERROR(VLOOKUP(D91&amp;$G$3&amp;$G$4&amp;$G$5,'Raw Data'!$C:$BO,5,0),"NA")</f>
        <v>NA</v>
      </c>
      <c r="G91" s="44" t="str">
        <f>IFERROR(VLOOKUP(D91&amp;$G$3&amp;$G$4&amp;$G$5,'Raw Data'!$C:$BT,70,0),"NA")</f>
        <v>NA</v>
      </c>
      <c r="H91" s="62" t="str">
        <f>IFERROR(VLOOKUP(D91&amp;$G$3&amp;$G$4&amp;$G$5,'Raw Data'!$C:$BO,7,0),"NA")</f>
        <v>NA</v>
      </c>
      <c r="I91" s="29" t="str">
        <f>IFERROR(VLOOKUP(D91&amp;$G$3&amp;$G$4&amp;$G$5,'Raw Data'!$C:$BO,11,0),"NA")</f>
        <v>NA</v>
      </c>
      <c r="J91" s="26" t="str">
        <f>IFERROR(VLOOKUP(D91&amp;$G$3&amp;$G$4&amp;$G$5,'Raw Data'!$C:$BO,26,0),"NA")</f>
        <v>NA</v>
      </c>
      <c r="K91" s="26" t="str">
        <f>IFERROR(VLOOKUP(D91&amp;$G$3&amp;$G$4&amp;$G$5,'Raw Data'!$C:$BO,39,0),"NA")</f>
        <v>NA</v>
      </c>
      <c r="L91" s="26" t="str">
        <f>IFERROR(VLOOKUP(D91&amp;$G$3&amp;$G$4&amp;$G$5,'Raw Data'!$C:$BO,65,0),"NA")</f>
        <v>NA</v>
      </c>
      <c r="M91" s="26" t="str">
        <f>IFERROR(VLOOKUP(D91&amp;$G$3&amp;$G$4&amp;G83,'Raw Data'!$C:$BO,52,0),"NA")</f>
        <v>NA</v>
      </c>
      <c r="N91" s="26">
        <f t="shared" si="23"/>
        <v>0</v>
      </c>
      <c r="O91" s="78" t="str">
        <f t="shared" si="24"/>
        <v>NA</v>
      </c>
      <c r="P91" s="26" t="str">
        <f>IFERROR(VLOOKUP(D91&amp;$G$3&amp;$G$4&amp;$G$5,'Raw Data'!$C:$BS,66,0),"NA")</f>
        <v>NA</v>
      </c>
      <c r="Q91" s="26" t="str">
        <f>IFERROR(VLOOKUP(D91&amp;$G$3&amp;$G$4&amp;$G$5,'Raw Data'!$C:$BS,67,0),"NA")</f>
        <v>NA</v>
      </c>
      <c r="R91" s="26" t="str">
        <f>IFERROR(VLOOKUP(D91&amp;$G$3&amp;$G$4&amp;$G$5,'Raw Data'!$C:$BS,68,0),"NA")</f>
        <v>NA</v>
      </c>
      <c r="S91" s="26" t="str">
        <f>IFERROR(VLOOKUP(D91&amp;$G$3&amp;$G$4&amp;$G$5,'Raw Data'!$C:$BS,69,0),"NA")</f>
        <v>NA</v>
      </c>
      <c r="T91" s="44" t="str">
        <f t="shared" si="25"/>
        <v>NA</v>
      </c>
      <c r="BK91" s="60" t="str">
        <f t="shared" si="26"/>
        <v>NA</v>
      </c>
      <c r="BL91" t="str">
        <f t="shared" si="27"/>
        <v>NA</v>
      </c>
      <c r="BM91" t="str">
        <f t="shared" si="28"/>
        <v>NA</v>
      </c>
      <c r="BN91" t="str">
        <f t="shared" si="29"/>
        <v>NA</v>
      </c>
      <c r="BO91" t="str">
        <f t="shared" si="19"/>
        <v/>
      </c>
      <c r="BP91" t="str">
        <f t="shared" si="30"/>
        <v>NA</v>
      </c>
    </row>
    <row r="92" spans="1:68">
      <c r="A92" t="str">
        <f t="shared" ca="1" si="20"/>
        <v>79LowNoTelecom-Non AT&amp;TJ</v>
      </c>
      <c r="B92" t="str">
        <f t="shared" ca="1" si="21"/>
        <v>79LowNoTelecom-Non AT&amp;TK</v>
      </c>
      <c r="C92" t="str">
        <f t="shared" ca="1" si="22"/>
        <v>79LowNoTelecom-Non AT&amp;TL</v>
      </c>
      <c r="D92" s="22">
        <v>79</v>
      </c>
      <c r="E92" s="24" t="str">
        <f>IFERROR(VLOOKUP(D92&amp;$G$3&amp;$G$4&amp;$G$5,'Raw Data'!$C:$BO,2,0),"NA")</f>
        <v>NA</v>
      </c>
      <c r="F92" s="79" t="str">
        <f>IFERROR(VLOOKUP(D92&amp;$G$3&amp;$G$4&amp;$G$5,'Raw Data'!$C:$BO,5,0),"NA")</f>
        <v>NA</v>
      </c>
      <c r="G92" s="44" t="str">
        <f>IFERROR(VLOOKUP(D92&amp;$G$3&amp;$G$4&amp;$G$5,'Raw Data'!$C:$BT,70,0),"NA")</f>
        <v>NA</v>
      </c>
      <c r="H92" s="62" t="str">
        <f>IFERROR(VLOOKUP(D92&amp;$G$3&amp;$G$4&amp;$G$5,'Raw Data'!$C:$BO,7,0),"NA")</f>
        <v>NA</v>
      </c>
      <c r="I92" s="29" t="str">
        <f>IFERROR(VLOOKUP(D92&amp;$G$3&amp;$G$4&amp;$G$5,'Raw Data'!$C:$BO,11,0),"NA")</f>
        <v>NA</v>
      </c>
      <c r="J92" s="26" t="str">
        <f>IFERROR(VLOOKUP(D92&amp;$G$3&amp;$G$4&amp;$G$5,'Raw Data'!$C:$BO,26,0),"NA")</f>
        <v>NA</v>
      </c>
      <c r="K92" s="26" t="str">
        <f>IFERROR(VLOOKUP(D92&amp;$G$3&amp;$G$4&amp;$G$5,'Raw Data'!$C:$BO,39,0),"NA")</f>
        <v>NA</v>
      </c>
      <c r="L92" s="26" t="str">
        <f>IFERROR(VLOOKUP(D92&amp;$G$3&amp;$G$4&amp;$G$5,'Raw Data'!$C:$BO,65,0),"NA")</f>
        <v>NA</v>
      </c>
      <c r="M92" s="26" t="str">
        <f>IFERROR(VLOOKUP(D92&amp;$G$3&amp;$G$4&amp;G84,'Raw Data'!$C:$BO,52,0),"NA")</f>
        <v>NA</v>
      </c>
      <c r="N92" s="26">
        <f t="shared" si="23"/>
        <v>0</v>
      </c>
      <c r="O92" s="78" t="str">
        <f t="shared" si="24"/>
        <v>NA</v>
      </c>
      <c r="P92" s="26" t="str">
        <f>IFERROR(VLOOKUP(D92&amp;$G$3&amp;$G$4&amp;$G$5,'Raw Data'!$C:$BS,66,0),"NA")</f>
        <v>NA</v>
      </c>
      <c r="Q92" s="26" t="str">
        <f>IFERROR(VLOOKUP(D92&amp;$G$3&amp;$G$4&amp;$G$5,'Raw Data'!$C:$BS,67,0),"NA")</f>
        <v>NA</v>
      </c>
      <c r="R92" s="26" t="str">
        <f>IFERROR(VLOOKUP(D92&amp;$G$3&amp;$G$4&amp;$G$5,'Raw Data'!$C:$BS,68,0),"NA")</f>
        <v>NA</v>
      </c>
      <c r="S92" s="26" t="str">
        <f>IFERROR(VLOOKUP(D92&amp;$G$3&amp;$G$4&amp;$G$5,'Raw Data'!$C:$BS,69,0),"NA")</f>
        <v>NA</v>
      </c>
      <c r="T92" s="44" t="str">
        <f t="shared" si="25"/>
        <v>NA</v>
      </c>
      <c r="BK92" s="60" t="str">
        <f t="shared" si="26"/>
        <v>NA</v>
      </c>
      <c r="BL92" t="str">
        <f t="shared" si="27"/>
        <v>NA</v>
      </c>
      <c r="BM92" t="str">
        <f t="shared" si="28"/>
        <v>NA</v>
      </c>
      <c r="BN92" t="str">
        <f t="shared" si="29"/>
        <v>NA</v>
      </c>
      <c r="BO92" t="str">
        <f t="shared" si="19"/>
        <v/>
      </c>
      <c r="BP92" t="str">
        <f t="shared" si="30"/>
        <v>NA</v>
      </c>
    </row>
    <row r="93" spans="1:68">
      <c r="A93" t="str">
        <f t="shared" ca="1" si="20"/>
        <v>80LowNoTelecom-Non AT&amp;TJ</v>
      </c>
      <c r="B93" t="str">
        <f t="shared" ca="1" si="21"/>
        <v>80LowNoTelecom-Non AT&amp;TK</v>
      </c>
      <c r="C93" t="str">
        <f t="shared" ca="1" si="22"/>
        <v>80LowNoTelecom-Non AT&amp;TL</v>
      </c>
      <c r="D93" s="22">
        <v>80</v>
      </c>
      <c r="E93" s="24" t="str">
        <f>IFERROR(VLOOKUP(D93&amp;$G$3&amp;$G$4&amp;$G$5,'Raw Data'!$C:$BO,2,0),"NA")</f>
        <v>NA</v>
      </c>
      <c r="F93" s="79" t="str">
        <f>IFERROR(VLOOKUP(D93&amp;$G$3&amp;$G$4&amp;$G$5,'Raw Data'!$C:$BO,5,0),"NA")</f>
        <v>NA</v>
      </c>
      <c r="G93" s="44" t="str">
        <f>IFERROR(VLOOKUP(D93&amp;$G$3&amp;$G$4&amp;$G$5,'Raw Data'!$C:$BT,70,0),"NA")</f>
        <v>NA</v>
      </c>
      <c r="H93" s="62" t="str">
        <f>IFERROR(VLOOKUP(D93&amp;$G$3&amp;$G$4&amp;$G$5,'Raw Data'!$C:$BO,7,0),"NA")</f>
        <v>NA</v>
      </c>
      <c r="I93" s="29" t="str">
        <f>IFERROR(VLOOKUP(D93&amp;$G$3&amp;$G$4&amp;$G$5,'Raw Data'!$C:$BO,11,0),"NA")</f>
        <v>NA</v>
      </c>
      <c r="J93" s="26" t="str">
        <f>IFERROR(VLOOKUP(D93&amp;$G$3&amp;$G$4&amp;$G$5,'Raw Data'!$C:$BO,26,0),"NA")</f>
        <v>NA</v>
      </c>
      <c r="K93" s="26" t="str">
        <f>IFERROR(VLOOKUP(D93&amp;$G$3&amp;$G$4&amp;$G$5,'Raw Data'!$C:$BO,39,0),"NA")</f>
        <v>NA</v>
      </c>
      <c r="L93" s="26" t="str">
        <f>IFERROR(VLOOKUP(D93&amp;$G$3&amp;$G$4&amp;$G$5,'Raw Data'!$C:$BO,65,0),"NA")</f>
        <v>NA</v>
      </c>
      <c r="M93" s="26" t="str">
        <f>IFERROR(VLOOKUP(D93&amp;$G$3&amp;$G$4&amp;G85,'Raw Data'!$C:$BO,52,0),"NA")</f>
        <v>NA</v>
      </c>
      <c r="N93" s="26">
        <f t="shared" si="23"/>
        <v>0</v>
      </c>
      <c r="O93" s="78" t="str">
        <f t="shared" si="24"/>
        <v>NA</v>
      </c>
      <c r="P93" s="26" t="str">
        <f>IFERROR(VLOOKUP(D93&amp;$G$3&amp;$G$4&amp;$G$5,'Raw Data'!$C:$BS,66,0),"NA")</f>
        <v>NA</v>
      </c>
      <c r="Q93" s="26" t="str">
        <f>IFERROR(VLOOKUP(D93&amp;$G$3&amp;$G$4&amp;$G$5,'Raw Data'!$C:$BS,67,0),"NA")</f>
        <v>NA</v>
      </c>
      <c r="R93" s="26" t="str">
        <f>IFERROR(VLOOKUP(D93&amp;$G$3&amp;$G$4&amp;$G$5,'Raw Data'!$C:$BS,68,0),"NA")</f>
        <v>NA</v>
      </c>
      <c r="S93" s="26" t="str">
        <f>IFERROR(VLOOKUP(D93&amp;$G$3&amp;$G$4&amp;$G$5,'Raw Data'!$C:$BS,69,0),"NA")</f>
        <v>NA</v>
      </c>
      <c r="T93" s="44" t="str">
        <f t="shared" si="25"/>
        <v>NA</v>
      </c>
      <c r="BK93" s="60" t="str">
        <f t="shared" si="26"/>
        <v>NA</v>
      </c>
      <c r="BL93" t="str">
        <f t="shared" si="27"/>
        <v>NA</v>
      </c>
      <c r="BM93" t="str">
        <f t="shared" si="28"/>
        <v>NA</v>
      </c>
      <c r="BN93" t="str">
        <f t="shared" si="29"/>
        <v>NA</v>
      </c>
      <c r="BO93" t="str">
        <f t="shared" si="19"/>
        <v/>
      </c>
      <c r="BP93" t="str">
        <f t="shared" si="30"/>
        <v>NA</v>
      </c>
    </row>
    <row r="94" spans="1:68">
      <c r="A94" t="str">
        <f t="shared" ca="1" si="20"/>
        <v>81LowNoTelecom-Non AT&amp;TJ</v>
      </c>
      <c r="B94" t="str">
        <f t="shared" ca="1" si="21"/>
        <v>81LowNoTelecom-Non AT&amp;TK</v>
      </c>
      <c r="C94" t="str">
        <f t="shared" ca="1" si="22"/>
        <v>81LowNoTelecom-Non AT&amp;TL</v>
      </c>
      <c r="D94" s="22">
        <v>81</v>
      </c>
      <c r="E94" s="24" t="str">
        <f>IFERROR(VLOOKUP(D94&amp;$G$3&amp;$G$4&amp;$G$5,'Raw Data'!$C:$BO,2,0),"NA")</f>
        <v>NA</v>
      </c>
      <c r="F94" s="79" t="str">
        <f>IFERROR(VLOOKUP(D94&amp;$G$3&amp;$G$4&amp;$G$5,'Raw Data'!$C:$BO,5,0),"NA")</f>
        <v>NA</v>
      </c>
      <c r="G94" s="44" t="str">
        <f>IFERROR(VLOOKUP(D94&amp;$G$3&amp;$G$4&amp;$G$5,'Raw Data'!$C:$BT,70,0),"NA")</f>
        <v>NA</v>
      </c>
      <c r="H94" s="62" t="str">
        <f>IFERROR(VLOOKUP(D94&amp;$G$3&amp;$G$4&amp;$G$5,'Raw Data'!$C:$BO,7,0),"NA")</f>
        <v>NA</v>
      </c>
      <c r="I94" s="29" t="str">
        <f>IFERROR(VLOOKUP(D94&amp;$G$3&amp;$G$4&amp;$G$5,'Raw Data'!$C:$BO,11,0),"NA")</f>
        <v>NA</v>
      </c>
      <c r="J94" s="26" t="str">
        <f>IFERROR(VLOOKUP(D94&amp;$G$3&amp;$G$4&amp;$G$5,'Raw Data'!$C:$BO,26,0),"NA")</f>
        <v>NA</v>
      </c>
      <c r="K94" s="26" t="str">
        <f>IFERROR(VLOOKUP(D94&amp;$G$3&amp;$G$4&amp;$G$5,'Raw Data'!$C:$BO,39,0),"NA")</f>
        <v>NA</v>
      </c>
      <c r="L94" s="26" t="str">
        <f>IFERROR(VLOOKUP(D94&amp;$G$3&amp;$G$4&amp;$G$5,'Raw Data'!$C:$BO,65,0),"NA")</f>
        <v>NA</v>
      </c>
      <c r="M94" s="26" t="str">
        <f>IFERROR(VLOOKUP(D94&amp;$G$3&amp;$G$4&amp;G86,'Raw Data'!$C:$BO,52,0),"NA")</f>
        <v>NA</v>
      </c>
      <c r="N94" s="26">
        <f t="shared" si="23"/>
        <v>0</v>
      </c>
      <c r="O94" s="78" t="str">
        <f t="shared" si="24"/>
        <v>NA</v>
      </c>
      <c r="P94" s="26" t="str">
        <f>IFERROR(VLOOKUP(D94&amp;$G$3&amp;$G$4&amp;$G$5,'Raw Data'!$C:$BS,66,0),"NA")</f>
        <v>NA</v>
      </c>
      <c r="Q94" s="26" t="str">
        <f>IFERROR(VLOOKUP(D94&amp;$G$3&amp;$G$4&amp;$G$5,'Raw Data'!$C:$BS,67,0),"NA")</f>
        <v>NA</v>
      </c>
      <c r="R94" s="26" t="str">
        <f>IFERROR(VLOOKUP(D94&amp;$G$3&amp;$G$4&amp;$G$5,'Raw Data'!$C:$BS,68,0),"NA")</f>
        <v>NA</v>
      </c>
      <c r="S94" s="26" t="str">
        <f>IFERROR(VLOOKUP(D94&amp;$G$3&amp;$G$4&amp;$G$5,'Raw Data'!$C:$BS,69,0),"NA")</f>
        <v>NA</v>
      </c>
      <c r="T94" s="44" t="str">
        <f t="shared" si="25"/>
        <v>NA</v>
      </c>
      <c r="BK94" s="60" t="str">
        <f t="shared" si="26"/>
        <v>NA</v>
      </c>
      <c r="BL94" t="str">
        <f t="shared" si="27"/>
        <v>NA</v>
      </c>
      <c r="BM94" t="str">
        <f t="shared" si="28"/>
        <v>NA</v>
      </c>
      <c r="BN94" t="str">
        <f t="shared" si="29"/>
        <v>NA</v>
      </c>
      <c r="BO94" t="str">
        <f t="shared" si="19"/>
        <v/>
      </c>
      <c r="BP94" t="str">
        <f t="shared" si="30"/>
        <v>NA</v>
      </c>
    </row>
    <row r="95" spans="1:68">
      <c r="A95" t="str">
        <f t="shared" ca="1" si="20"/>
        <v>82LowNoTelecom-Non AT&amp;TJ</v>
      </c>
      <c r="B95" t="str">
        <f t="shared" ca="1" si="21"/>
        <v>82LowNoTelecom-Non AT&amp;TK</v>
      </c>
      <c r="C95" t="str">
        <f t="shared" ca="1" si="22"/>
        <v>82LowNoTelecom-Non AT&amp;TL</v>
      </c>
      <c r="D95" s="22">
        <v>82</v>
      </c>
      <c r="E95" s="24" t="str">
        <f>IFERROR(VLOOKUP(D95&amp;$G$3&amp;$G$4&amp;$G$5,'Raw Data'!$C:$BO,2,0),"NA")</f>
        <v>NA</v>
      </c>
      <c r="F95" s="79" t="str">
        <f>IFERROR(VLOOKUP(D95&amp;$G$3&amp;$G$4&amp;$G$5,'Raw Data'!$C:$BO,5,0),"NA")</f>
        <v>NA</v>
      </c>
      <c r="G95" s="44" t="str">
        <f>IFERROR(VLOOKUP(D95&amp;$G$3&amp;$G$4&amp;$G$5,'Raw Data'!$C:$BT,70,0),"NA")</f>
        <v>NA</v>
      </c>
      <c r="H95" s="62" t="str">
        <f>IFERROR(VLOOKUP(D95&amp;$G$3&amp;$G$4&amp;$G$5,'Raw Data'!$C:$BO,7,0),"NA")</f>
        <v>NA</v>
      </c>
      <c r="I95" s="29" t="str">
        <f>IFERROR(VLOOKUP(D95&amp;$G$3&amp;$G$4&amp;$G$5,'Raw Data'!$C:$BO,11,0),"NA")</f>
        <v>NA</v>
      </c>
      <c r="J95" s="26" t="str">
        <f>IFERROR(VLOOKUP(D95&amp;$G$3&amp;$G$4&amp;$G$5,'Raw Data'!$C:$BO,26,0),"NA")</f>
        <v>NA</v>
      </c>
      <c r="K95" s="26" t="str">
        <f>IFERROR(VLOOKUP(D95&amp;$G$3&amp;$G$4&amp;$G$5,'Raw Data'!$C:$BO,39,0),"NA")</f>
        <v>NA</v>
      </c>
      <c r="L95" s="26" t="str">
        <f>IFERROR(VLOOKUP(D95&amp;$G$3&amp;$G$4&amp;$G$5,'Raw Data'!$C:$BO,65,0),"NA")</f>
        <v>NA</v>
      </c>
      <c r="M95" s="26" t="str">
        <f>IFERROR(VLOOKUP(D95&amp;$G$3&amp;$G$4&amp;G87,'Raw Data'!$C:$BO,52,0),"NA")</f>
        <v>NA</v>
      </c>
      <c r="N95" s="26">
        <f t="shared" si="23"/>
        <v>0</v>
      </c>
      <c r="O95" s="78" t="str">
        <f t="shared" si="24"/>
        <v>NA</v>
      </c>
      <c r="P95" s="26" t="str">
        <f>IFERROR(VLOOKUP(D95&amp;$G$3&amp;$G$4&amp;$G$5,'Raw Data'!$C:$BS,66,0),"NA")</f>
        <v>NA</v>
      </c>
      <c r="Q95" s="26" t="str">
        <f>IFERROR(VLOOKUP(D95&amp;$G$3&amp;$G$4&amp;$G$5,'Raw Data'!$C:$BS,67,0),"NA")</f>
        <v>NA</v>
      </c>
      <c r="R95" s="26" t="str">
        <f>IFERROR(VLOOKUP(D95&amp;$G$3&amp;$G$4&amp;$G$5,'Raw Data'!$C:$BS,68,0),"NA")</f>
        <v>NA</v>
      </c>
      <c r="S95" s="26" t="str">
        <f>IFERROR(VLOOKUP(D95&amp;$G$3&amp;$G$4&amp;$G$5,'Raw Data'!$C:$BS,69,0),"NA")</f>
        <v>NA</v>
      </c>
      <c r="T95" s="44" t="str">
        <f t="shared" si="25"/>
        <v>NA</v>
      </c>
      <c r="BK95" s="60" t="str">
        <f t="shared" si="26"/>
        <v>NA</v>
      </c>
      <c r="BL95" t="str">
        <f t="shared" si="27"/>
        <v>NA</v>
      </c>
      <c r="BM95" t="str">
        <f t="shared" si="28"/>
        <v>NA</v>
      </c>
      <c r="BN95" t="str">
        <f t="shared" si="29"/>
        <v>NA</v>
      </c>
      <c r="BO95" t="str">
        <f t="shared" si="19"/>
        <v/>
      </c>
      <c r="BP95" t="str">
        <f t="shared" si="30"/>
        <v>NA</v>
      </c>
    </row>
    <row r="96" spans="1:68">
      <c r="A96" t="str">
        <f t="shared" ca="1" si="20"/>
        <v>83LowNoTelecom-Non AT&amp;TJ</v>
      </c>
      <c r="B96" t="str">
        <f t="shared" ca="1" si="21"/>
        <v>83LowNoTelecom-Non AT&amp;TK</v>
      </c>
      <c r="C96" t="str">
        <f t="shared" ca="1" si="22"/>
        <v>83LowNoTelecom-Non AT&amp;TL</v>
      </c>
      <c r="D96" s="22">
        <v>83</v>
      </c>
      <c r="E96" s="24" t="str">
        <f>IFERROR(VLOOKUP(D96&amp;$G$3&amp;$G$4&amp;$G$5,'Raw Data'!$C:$BO,2,0),"NA")</f>
        <v>NA</v>
      </c>
      <c r="F96" s="79" t="str">
        <f>IFERROR(VLOOKUP(D96&amp;$G$3&amp;$G$4&amp;$G$5,'Raw Data'!$C:$BO,5,0),"NA")</f>
        <v>NA</v>
      </c>
      <c r="G96" s="44" t="str">
        <f>IFERROR(VLOOKUP(D96&amp;$G$3&amp;$G$4&amp;$G$5,'Raw Data'!$C:$BT,70,0),"NA")</f>
        <v>NA</v>
      </c>
      <c r="H96" s="62" t="str">
        <f>IFERROR(VLOOKUP(D96&amp;$G$3&amp;$G$4&amp;$G$5,'Raw Data'!$C:$BO,7,0),"NA")</f>
        <v>NA</v>
      </c>
      <c r="I96" s="29" t="str">
        <f>IFERROR(VLOOKUP(D96&amp;$G$3&amp;$G$4&amp;$G$5,'Raw Data'!$C:$BO,11,0),"NA")</f>
        <v>NA</v>
      </c>
      <c r="J96" s="26" t="str">
        <f>IFERROR(VLOOKUP(D96&amp;$G$3&amp;$G$4&amp;$G$5,'Raw Data'!$C:$BO,26,0),"NA")</f>
        <v>NA</v>
      </c>
      <c r="K96" s="26" t="str">
        <f>IFERROR(VLOOKUP(D96&amp;$G$3&amp;$G$4&amp;$G$5,'Raw Data'!$C:$BO,39,0),"NA")</f>
        <v>NA</v>
      </c>
      <c r="L96" s="26" t="str">
        <f>IFERROR(VLOOKUP(D96&amp;$G$3&amp;$G$4&amp;$G$5,'Raw Data'!$C:$BO,65,0),"NA")</f>
        <v>NA</v>
      </c>
      <c r="M96" s="26" t="str">
        <f>IFERROR(VLOOKUP(D96&amp;$G$3&amp;$G$4&amp;G88,'Raw Data'!$C:$BO,52,0),"NA")</f>
        <v>NA</v>
      </c>
      <c r="N96" s="26">
        <f t="shared" si="23"/>
        <v>0</v>
      </c>
      <c r="O96" s="78" t="str">
        <f t="shared" si="24"/>
        <v>NA</v>
      </c>
      <c r="P96" s="26" t="str">
        <f>IFERROR(VLOOKUP(D96&amp;$G$3&amp;$G$4&amp;$G$5,'Raw Data'!$C:$BS,66,0),"NA")</f>
        <v>NA</v>
      </c>
      <c r="Q96" s="26" t="str">
        <f>IFERROR(VLOOKUP(D96&amp;$G$3&amp;$G$4&amp;$G$5,'Raw Data'!$C:$BS,67,0),"NA")</f>
        <v>NA</v>
      </c>
      <c r="R96" s="26" t="str">
        <f>IFERROR(VLOOKUP(D96&amp;$G$3&amp;$G$4&amp;$G$5,'Raw Data'!$C:$BS,68,0),"NA")</f>
        <v>NA</v>
      </c>
      <c r="S96" s="26" t="str">
        <f>IFERROR(VLOOKUP(D96&amp;$G$3&amp;$G$4&amp;$G$5,'Raw Data'!$C:$BS,69,0),"NA")</f>
        <v>NA</v>
      </c>
      <c r="T96" s="44" t="str">
        <f t="shared" si="25"/>
        <v>NA</v>
      </c>
      <c r="BK96" s="60" t="str">
        <f t="shared" si="26"/>
        <v>NA</v>
      </c>
      <c r="BL96" t="str">
        <f t="shared" si="27"/>
        <v>NA</v>
      </c>
      <c r="BM96" t="str">
        <f t="shared" si="28"/>
        <v>NA</v>
      </c>
      <c r="BN96" t="str">
        <f t="shared" si="29"/>
        <v>NA</v>
      </c>
      <c r="BO96" t="str">
        <f t="shared" si="19"/>
        <v/>
      </c>
      <c r="BP96" t="str">
        <f t="shared" si="30"/>
        <v>NA</v>
      </c>
    </row>
    <row r="97" spans="1:68">
      <c r="A97" t="str">
        <f t="shared" ca="1" si="20"/>
        <v>84LowNoTelecom-Non AT&amp;TJ</v>
      </c>
      <c r="B97" t="str">
        <f t="shared" ca="1" si="21"/>
        <v>84LowNoTelecom-Non AT&amp;TK</v>
      </c>
      <c r="C97" t="str">
        <f t="shared" ca="1" si="22"/>
        <v>84LowNoTelecom-Non AT&amp;TL</v>
      </c>
      <c r="D97" s="22">
        <v>84</v>
      </c>
      <c r="E97" s="24" t="str">
        <f>IFERROR(VLOOKUP(D97&amp;$G$3&amp;$G$4&amp;$G$5,'Raw Data'!$C:$BO,2,0),"NA")</f>
        <v>NA</v>
      </c>
      <c r="F97" s="79" t="str">
        <f>IFERROR(VLOOKUP(D97&amp;$G$3&amp;$G$4&amp;$G$5,'Raw Data'!$C:$BO,5,0),"NA")</f>
        <v>NA</v>
      </c>
      <c r="G97" s="44" t="str">
        <f>IFERROR(VLOOKUP(D97&amp;$G$3&amp;$G$4&amp;$G$5,'Raw Data'!$C:$BT,70,0),"NA")</f>
        <v>NA</v>
      </c>
      <c r="H97" s="62" t="str">
        <f>IFERROR(VLOOKUP(D97&amp;$G$3&amp;$G$4&amp;$G$5,'Raw Data'!$C:$BO,7,0),"NA")</f>
        <v>NA</v>
      </c>
      <c r="I97" s="29" t="str">
        <f>IFERROR(VLOOKUP(D97&amp;$G$3&amp;$G$4&amp;$G$5,'Raw Data'!$C:$BO,11,0),"NA")</f>
        <v>NA</v>
      </c>
      <c r="J97" s="26" t="str">
        <f>IFERROR(VLOOKUP(D97&amp;$G$3&amp;$G$4&amp;$G$5,'Raw Data'!$C:$BO,26,0),"NA")</f>
        <v>NA</v>
      </c>
      <c r="K97" s="26" t="str">
        <f>IFERROR(VLOOKUP(D97&amp;$G$3&amp;$G$4&amp;$G$5,'Raw Data'!$C:$BO,39,0),"NA")</f>
        <v>NA</v>
      </c>
      <c r="L97" s="26" t="str">
        <f>IFERROR(VLOOKUP(D97&amp;$G$3&amp;$G$4&amp;$G$5,'Raw Data'!$C:$BO,65,0),"NA")</f>
        <v>NA</v>
      </c>
      <c r="M97" s="26" t="str">
        <f>IFERROR(VLOOKUP(D97&amp;$G$3&amp;$G$4&amp;G89,'Raw Data'!$C:$BO,52,0),"NA")</f>
        <v>NA</v>
      </c>
      <c r="N97" s="26">
        <f t="shared" si="23"/>
        <v>0</v>
      </c>
      <c r="O97" s="78" t="str">
        <f t="shared" si="24"/>
        <v>NA</v>
      </c>
      <c r="P97" s="26" t="str">
        <f>IFERROR(VLOOKUP(D97&amp;$G$3&amp;$G$4&amp;$G$5,'Raw Data'!$C:$BS,66,0),"NA")</f>
        <v>NA</v>
      </c>
      <c r="Q97" s="26" t="str">
        <f>IFERROR(VLOOKUP(D97&amp;$G$3&amp;$G$4&amp;$G$5,'Raw Data'!$C:$BS,67,0),"NA")</f>
        <v>NA</v>
      </c>
      <c r="R97" s="26" t="str">
        <f>IFERROR(VLOOKUP(D97&amp;$G$3&amp;$G$4&amp;$G$5,'Raw Data'!$C:$BS,68,0),"NA")</f>
        <v>NA</v>
      </c>
      <c r="S97" s="26" t="str">
        <f>IFERROR(VLOOKUP(D97&amp;$G$3&amp;$G$4&amp;$G$5,'Raw Data'!$C:$BS,69,0),"NA")</f>
        <v>NA</v>
      </c>
      <c r="T97" s="44" t="str">
        <f t="shared" si="25"/>
        <v>NA</v>
      </c>
      <c r="BK97" s="60" t="str">
        <f t="shared" si="26"/>
        <v>NA</v>
      </c>
      <c r="BL97" t="str">
        <f t="shared" si="27"/>
        <v>NA</v>
      </c>
      <c r="BM97" t="str">
        <f t="shared" si="28"/>
        <v>NA</v>
      </c>
      <c r="BN97" t="str">
        <f t="shared" si="29"/>
        <v>NA</v>
      </c>
      <c r="BO97" t="str">
        <f t="shared" si="19"/>
        <v/>
      </c>
      <c r="BP97" t="str">
        <f t="shared" si="30"/>
        <v>NA</v>
      </c>
    </row>
    <row r="98" spans="1:68">
      <c r="A98" t="str">
        <f t="shared" ca="1" si="20"/>
        <v>85LowNoTelecom-Non AT&amp;TJ</v>
      </c>
      <c r="B98" t="str">
        <f t="shared" ca="1" si="21"/>
        <v>85LowNoTelecom-Non AT&amp;TK</v>
      </c>
      <c r="C98" t="str">
        <f t="shared" ca="1" si="22"/>
        <v>85LowNoTelecom-Non AT&amp;TL</v>
      </c>
      <c r="D98" s="22">
        <v>85</v>
      </c>
      <c r="E98" s="24" t="str">
        <f>IFERROR(VLOOKUP(D98&amp;$G$3&amp;$G$4&amp;$G$5,'Raw Data'!$C:$BO,2,0),"NA")</f>
        <v>NA</v>
      </c>
      <c r="F98" s="79" t="str">
        <f>IFERROR(VLOOKUP(D98&amp;$G$3&amp;$G$4&amp;$G$5,'Raw Data'!$C:$BO,5,0),"NA")</f>
        <v>NA</v>
      </c>
      <c r="G98" s="44" t="str">
        <f>IFERROR(VLOOKUP(D98&amp;$G$3&amp;$G$4&amp;$G$5,'Raw Data'!$C:$BT,70,0),"NA")</f>
        <v>NA</v>
      </c>
      <c r="H98" s="62" t="str">
        <f>IFERROR(VLOOKUP(D98&amp;$G$3&amp;$G$4&amp;$G$5,'Raw Data'!$C:$BO,7,0),"NA")</f>
        <v>NA</v>
      </c>
      <c r="I98" s="29" t="str">
        <f>IFERROR(VLOOKUP(D98&amp;$G$3&amp;$G$4&amp;$G$5,'Raw Data'!$C:$BO,11,0),"NA")</f>
        <v>NA</v>
      </c>
      <c r="J98" s="26" t="str">
        <f>IFERROR(VLOOKUP(D98&amp;$G$3&amp;$G$4&amp;$G$5,'Raw Data'!$C:$BO,26,0),"NA")</f>
        <v>NA</v>
      </c>
      <c r="K98" s="26" t="str">
        <f>IFERROR(VLOOKUP(D98&amp;$G$3&amp;$G$4&amp;$G$5,'Raw Data'!$C:$BO,39,0),"NA")</f>
        <v>NA</v>
      </c>
      <c r="L98" s="26" t="str">
        <f>IFERROR(VLOOKUP(D98&amp;$G$3&amp;$G$4&amp;$G$5,'Raw Data'!$C:$BO,65,0),"NA")</f>
        <v>NA</v>
      </c>
      <c r="M98" s="26" t="str">
        <f>IFERROR(VLOOKUP(D98&amp;$G$3&amp;$G$4&amp;G90,'Raw Data'!$C:$BO,52,0),"NA")</f>
        <v>NA</v>
      </c>
      <c r="N98" s="26">
        <f t="shared" si="23"/>
        <v>0</v>
      </c>
      <c r="O98" s="78" t="str">
        <f t="shared" si="24"/>
        <v>NA</v>
      </c>
      <c r="P98" s="26" t="str">
        <f>IFERROR(VLOOKUP(D98&amp;$G$3&amp;$G$4&amp;$G$5,'Raw Data'!$C:$BS,66,0),"NA")</f>
        <v>NA</v>
      </c>
      <c r="Q98" s="26" t="str">
        <f>IFERROR(VLOOKUP(D98&amp;$G$3&amp;$G$4&amp;$G$5,'Raw Data'!$C:$BS,67,0),"NA")</f>
        <v>NA</v>
      </c>
      <c r="R98" s="26" t="str">
        <f>IFERROR(VLOOKUP(D98&amp;$G$3&amp;$G$4&amp;$G$5,'Raw Data'!$C:$BS,68,0),"NA")</f>
        <v>NA</v>
      </c>
      <c r="S98" s="26" t="str">
        <f>IFERROR(VLOOKUP(D98&amp;$G$3&amp;$G$4&amp;$G$5,'Raw Data'!$C:$BS,69,0),"NA")</f>
        <v>NA</v>
      </c>
      <c r="T98" s="44" t="str">
        <f t="shared" si="25"/>
        <v>NA</v>
      </c>
      <c r="BK98" s="60" t="str">
        <f t="shared" si="26"/>
        <v>NA</v>
      </c>
      <c r="BL98" t="str">
        <f t="shared" si="27"/>
        <v>NA</v>
      </c>
      <c r="BM98" t="str">
        <f t="shared" si="28"/>
        <v>NA</v>
      </c>
      <c r="BN98" t="str">
        <f t="shared" si="29"/>
        <v>NA</v>
      </c>
      <c r="BO98" t="str">
        <f t="shared" si="19"/>
        <v/>
      </c>
      <c r="BP98" t="str">
        <f t="shared" si="30"/>
        <v>NA</v>
      </c>
    </row>
    <row r="99" spans="1:68">
      <c r="A99" t="str">
        <f t="shared" ca="1" si="20"/>
        <v>86LowNoTelecom-Non AT&amp;TJ</v>
      </c>
      <c r="B99" t="str">
        <f t="shared" ca="1" si="21"/>
        <v>86LowNoTelecom-Non AT&amp;TK</v>
      </c>
      <c r="C99" t="str">
        <f t="shared" ca="1" si="22"/>
        <v>86LowNoTelecom-Non AT&amp;TL</v>
      </c>
      <c r="D99" s="22">
        <v>86</v>
      </c>
      <c r="E99" s="24" t="str">
        <f>IFERROR(VLOOKUP(D99&amp;$G$3&amp;$G$4&amp;$G$5,'Raw Data'!$C:$BO,2,0),"NA")</f>
        <v>NA</v>
      </c>
      <c r="F99" s="79" t="str">
        <f>IFERROR(VLOOKUP(D99&amp;$G$3&amp;$G$4&amp;$G$5,'Raw Data'!$C:$BO,5,0),"NA")</f>
        <v>NA</v>
      </c>
      <c r="G99" s="44" t="str">
        <f>IFERROR(VLOOKUP(D99&amp;$G$3&amp;$G$4&amp;$G$5,'Raw Data'!$C:$BT,70,0),"NA")</f>
        <v>NA</v>
      </c>
      <c r="H99" s="62" t="str">
        <f>IFERROR(VLOOKUP(D99&amp;$G$3&amp;$G$4&amp;$G$5,'Raw Data'!$C:$BO,7,0),"NA")</f>
        <v>NA</v>
      </c>
      <c r="I99" s="29" t="str">
        <f>IFERROR(VLOOKUP(D99&amp;$G$3&amp;$G$4&amp;$G$5,'Raw Data'!$C:$BO,11,0),"NA")</f>
        <v>NA</v>
      </c>
      <c r="J99" s="26" t="str">
        <f>IFERROR(VLOOKUP(D99&amp;$G$3&amp;$G$4&amp;$G$5,'Raw Data'!$C:$BO,26,0),"NA")</f>
        <v>NA</v>
      </c>
      <c r="K99" s="26" t="str">
        <f>IFERROR(VLOOKUP(D99&amp;$G$3&amp;$G$4&amp;$G$5,'Raw Data'!$C:$BO,39,0),"NA")</f>
        <v>NA</v>
      </c>
      <c r="L99" s="26" t="str">
        <f>IFERROR(VLOOKUP(D99&amp;$G$3&amp;$G$4&amp;$G$5,'Raw Data'!$C:$BO,65,0),"NA")</f>
        <v>NA</v>
      </c>
      <c r="M99" s="26" t="str">
        <f>IFERROR(VLOOKUP(D99&amp;$G$3&amp;$G$4&amp;G91,'Raw Data'!$C:$BO,52,0),"NA")</f>
        <v>NA</v>
      </c>
      <c r="N99" s="26">
        <f t="shared" si="23"/>
        <v>0</v>
      </c>
      <c r="O99" s="78" t="str">
        <f t="shared" si="24"/>
        <v>NA</v>
      </c>
      <c r="P99" s="26" t="str">
        <f>IFERROR(VLOOKUP(D99&amp;$G$3&amp;$G$4&amp;$G$5,'Raw Data'!$C:$BS,66,0),"NA")</f>
        <v>NA</v>
      </c>
      <c r="Q99" s="26" t="str">
        <f>IFERROR(VLOOKUP(D99&amp;$G$3&amp;$G$4&amp;$G$5,'Raw Data'!$C:$BS,67,0),"NA")</f>
        <v>NA</v>
      </c>
      <c r="R99" s="26" t="str">
        <f>IFERROR(VLOOKUP(D99&amp;$G$3&amp;$G$4&amp;$G$5,'Raw Data'!$C:$BS,68,0),"NA")</f>
        <v>NA</v>
      </c>
      <c r="S99" s="26" t="str">
        <f>IFERROR(VLOOKUP(D99&amp;$G$3&amp;$G$4&amp;$G$5,'Raw Data'!$C:$BS,69,0),"NA")</f>
        <v>NA</v>
      </c>
      <c r="T99" s="44" t="str">
        <f t="shared" si="25"/>
        <v>NA</v>
      </c>
      <c r="BK99" s="60" t="str">
        <f t="shared" si="26"/>
        <v>NA</v>
      </c>
      <c r="BL99" t="str">
        <f t="shared" si="27"/>
        <v>NA</v>
      </c>
      <c r="BM99" t="str">
        <f t="shared" si="28"/>
        <v>NA</v>
      </c>
      <c r="BN99" t="str">
        <f t="shared" si="29"/>
        <v>NA</v>
      </c>
      <c r="BO99" t="str">
        <f t="shared" si="19"/>
        <v/>
      </c>
      <c r="BP99" t="str">
        <f t="shared" si="30"/>
        <v>NA</v>
      </c>
    </row>
    <row r="100" spans="1:68">
      <c r="A100" t="str">
        <f t="shared" ca="1" si="20"/>
        <v>87LowNoTelecom-Non AT&amp;TJ</v>
      </c>
      <c r="B100" t="str">
        <f t="shared" ca="1" si="21"/>
        <v>87LowNoTelecom-Non AT&amp;TK</v>
      </c>
      <c r="C100" t="str">
        <f t="shared" ca="1" si="22"/>
        <v>87LowNoTelecom-Non AT&amp;TL</v>
      </c>
      <c r="D100" s="22">
        <v>87</v>
      </c>
      <c r="E100" s="24" t="str">
        <f>IFERROR(VLOOKUP(D100&amp;$G$3&amp;$G$4&amp;$G$5,'Raw Data'!$C:$BO,2,0),"NA")</f>
        <v>NA</v>
      </c>
      <c r="F100" s="79" t="str">
        <f>IFERROR(VLOOKUP(D100&amp;$G$3&amp;$G$4&amp;$G$5,'Raw Data'!$C:$BO,5,0),"NA")</f>
        <v>NA</v>
      </c>
      <c r="G100" s="44" t="str">
        <f>IFERROR(VLOOKUP(D100&amp;$G$3&amp;$G$4&amp;$G$5,'Raw Data'!$C:$BT,70,0),"NA")</f>
        <v>NA</v>
      </c>
      <c r="H100" s="62" t="str">
        <f>IFERROR(VLOOKUP(D100&amp;$G$3&amp;$G$4&amp;$G$5,'Raw Data'!$C:$BO,7,0),"NA")</f>
        <v>NA</v>
      </c>
      <c r="I100" s="29" t="str">
        <f>IFERROR(VLOOKUP(D100&amp;$G$3&amp;$G$4&amp;$G$5,'Raw Data'!$C:$BO,11,0),"NA")</f>
        <v>NA</v>
      </c>
      <c r="J100" s="26" t="str">
        <f>IFERROR(VLOOKUP(D100&amp;$G$3&amp;$G$4&amp;$G$5,'Raw Data'!$C:$BO,26,0),"NA")</f>
        <v>NA</v>
      </c>
      <c r="K100" s="26" t="str">
        <f>IFERROR(VLOOKUP(D100&amp;$G$3&amp;$G$4&amp;$G$5,'Raw Data'!$C:$BO,39,0),"NA")</f>
        <v>NA</v>
      </c>
      <c r="L100" s="26" t="str">
        <f>IFERROR(VLOOKUP(D100&amp;$G$3&amp;$G$4&amp;$G$5,'Raw Data'!$C:$BO,65,0),"NA")</f>
        <v>NA</v>
      </c>
      <c r="M100" s="26" t="str">
        <f>IFERROR(VLOOKUP(D100&amp;$G$3&amp;$G$4&amp;G92,'Raw Data'!$C:$BO,52,0),"NA")</f>
        <v>NA</v>
      </c>
      <c r="N100" s="26">
        <f t="shared" si="23"/>
        <v>0</v>
      </c>
      <c r="O100" s="78" t="str">
        <f t="shared" si="24"/>
        <v>NA</v>
      </c>
      <c r="P100" s="26" t="str">
        <f>IFERROR(VLOOKUP(D100&amp;$G$3&amp;$G$4&amp;$G$5,'Raw Data'!$C:$BS,66,0),"NA")</f>
        <v>NA</v>
      </c>
      <c r="Q100" s="26" t="str">
        <f>IFERROR(VLOOKUP(D100&amp;$G$3&amp;$G$4&amp;$G$5,'Raw Data'!$C:$BS,67,0),"NA")</f>
        <v>NA</v>
      </c>
      <c r="R100" s="26" t="str">
        <f>IFERROR(VLOOKUP(D100&amp;$G$3&amp;$G$4&amp;$G$5,'Raw Data'!$C:$BS,68,0),"NA")</f>
        <v>NA</v>
      </c>
      <c r="S100" s="26" t="str">
        <f>IFERROR(VLOOKUP(D100&amp;$G$3&amp;$G$4&amp;$G$5,'Raw Data'!$C:$BS,69,0),"NA")</f>
        <v>NA</v>
      </c>
      <c r="T100" s="44" t="str">
        <f t="shared" si="25"/>
        <v>NA</v>
      </c>
      <c r="BK100" s="60" t="str">
        <f t="shared" si="26"/>
        <v>NA</v>
      </c>
      <c r="BL100" t="str">
        <f t="shared" si="27"/>
        <v>NA</v>
      </c>
      <c r="BM100" t="str">
        <f t="shared" si="28"/>
        <v>NA</v>
      </c>
      <c r="BN100" t="str">
        <f t="shared" si="29"/>
        <v>NA</v>
      </c>
      <c r="BO100" t="str">
        <f t="shared" si="19"/>
        <v/>
      </c>
      <c r="BP100" t="str">
        <f t="shared" si="30"/>
        <v>NA</v>
      </c>
    </row>
    <row r="101" spans="1:68">
      <c r="A101" t="str">
        <f t="shared" ca="1" si="20"/>
        <v>88LowNoTelecom-Non AT&amp;TJ</v>
      </c>
      <c r="B101" t="str">
        <f t="shared" ca="1" si="21"/>
        <v>88LowNoTelecom-Non AT&amp;TK</v>
      </c>
      <c r="C101" t="str">
        <f t="shared" ca="1" si="22"/>
        <v>88LowNoTelecom-Non AT&amp;TL</v>
      </c>
      <c r="D101" s="22">
        <v>88</v>
      </c>
      <c r="E101" s="24" t="str">
        <f>IFERROR(VLOOKUP(D101&amp;$G$3&amp;$G$4&amp;$G$5,'Raw Data'!$C:$BO,2,0),"NA")</f>
        <v>NA</v>
      </c>
      <c r="F101" s="79" t="str">
        <f>IFERROR(VLOOKUP(D101&amp;$G$3&amp;$G$4&amp;$G$5,'Raw Data'!$C:$BO,5,0),"NA")</f>
        <v>NA</v>
      </c>
      <c r="G101" s="44" t="str">
        <f>IFERROR(VLOOKUP(D101&amp;$G$3&amp;$G$4&amp;$G$5,'Raw Data'!$C:$BT,70,0),"NA")</f>
        <v>NA</v>
      </c>
      <c r="H101" s="62" t="str">
        <f>IFERROR(VLOOKUP(D101&amp;$G$3&amp;$G$4&amp;$G$5,'Raw Data'!$C:$BO,7,0),"NA")</f>
        <v>NA</v>
      </c>
      <c r="I101" s="29" t="str">
        <f>IFERROR(VLOOKUP(D101&amp;$G$3&amp;$G$4&amp;$G$5,'Raw Data'!$C:$BO,11,0),"NA")</f>
        <v>NA</v>
      </c>
      <c r="J101" s="26" t="str">
        <f>IFERROR(VLOOKUP(D101&amp;$G$3&amp;$G$4&amp;$G$5,'Raw Data'!$C:$BO,26,0),"NA")</f>
        <v>NA</v>
      </c>
      <c r="K101" s="26" t="str">
        <f>IFERROR(VLOOKUP(D101&amp;$G$3&amp;$G$4&amp;$G$5,'Raw Data'!$C:$BO,39,0),"NA")</f>
        <v>NA</v>
      </c>
      <c r="L101" s="26" t="str">
        <f>IFERROR(VLOOKUP(D101&amp;$G$3&amp;$G$4&amp;$G$5,'Raw Data'!$C:$BO,65,0),"NA")</f>
        <v>NA</v>
      </c>
      <c r="M101" s="26" t="str">
        <f>IFERROR(VLOOKUP(D101&amp;$G$3&amp;$G$4&amp;G93,'Raw Data'!$C:$BO,52,0),"NA")</f>
        <v>NA</v>
      </c>
      <c r="N101" s="26">
        <f t="shared" si="23"/>
        <v>0</v>
      </c>
      <c r="O101" s="78" t="str">
        <f t="shared" si="24"/>
        <v>NA</v>
      </c>
      <c r="P101" s="26" t="str">
        <f>IFERROR(VLOOKUP(D101&amp;$G$3&amp;$G$4&amp;$G$5,'Raw Data'!$C:$BS,66,0),"NA")</f>
        <v>NA</v>
      </c>
      <c r="Q101" s="26" t="str">
        <f>IFERROR(VLOOKUP(D101&amp;$G$3&amp;$G$4&amp;$G$5,'Raw Data'!$C:$BS,67,0),"NA")</f>
        <v>NA</v>
      </c>
      <c r="R101" s="26" t="str">
        <f>IFERROR(VLOOKUP(D101&amp;$G$3&amp;$G$4&amp;$G$5,'Raw Data'!$C:$BS,68,0),"NA")</f>
        <v>NA</v>
      </c>
      <c r="S101" s="26" t="str">
        <f>IFERROR(VLOOKUP(D101&amp;$G$3&amp;$G$4&amp;$G$5,'Raw Data'!$C:$BS,69,0),"NA")</f>
        <v>NA</v>
      </c>
      <c r="T101" s="44" t="str">
        <f t="shared" si="25"/>
        <v>NA</v>
      </c>
      <c r="BK101" s="60" t="str">
        <f t="shared" si="26"/>
        <v>NA</v>
      </c>
      <c r="BL101" t="str">
        <f t="shared" si="27"/>
        <v>NA</v>
      </c>
      <c r="BM101" t="str">
        <f t="shared" si="28"/>
        <v>NA</v>
      </c>
      <c r="BN101" t="str">
        <f t="shared" si="29"/>
        <v>NA</v>
      </c>
      <c r="BO101" t="str">
        <f t="shared" si="19"/>
        <v/>
      </c>
      <c r="BP101" t="str">
        <f t="shared" si="30"/>
        <v>NA</v>
      </c>
    </row>
    <row r="102" spans="1:68">
      <c r="A102" t="str">
        <f t="shared" ca="1" si="20"/>
        <v>89LowNoTelecom-Non AT&amp;TJ</v>
      </c>
      <c r="B102" t="str">
        <f t="shared" ca="1" si="21"/>
        <v>89LowNoTelecom-Non AT&amp;TK</v>
      </c>
      <c r="C102" t="str">
        <f t="shared" ca="1" si="22"/>
        <v>89LowNoTelecom-Non AT&amp;TL</v>
      </c>
      <c r="D102" s="22">
        <v>89</v>
      </c>
      <c r="E102" s="24" t="str">
        <f>IFERROR(VLOOKUP(D102&amp;$G$3&amp;$G$4&amp;$G$5,'Raw Data'!$C:$BO,2,0),"NA")</f>
        <v>NA</v>
      </c>
      <c r="F102" s="79" t="str">
        <f>IFERROR(VLOOKUP(D102&amp;$G$3&amp;$G$4&amp;$G$5,'Raw Data'!$C:$BO,5,0),"NA")</f>
        <v>NA</v>
      </c>
      <c r="G102" s="44" t="str">
        <f>IFERROR(VLOOKUP(D102&amp;$G$3&amp;$G$4&amp;$G$5,'Raw Data'!$C:$BT,70,0),"NA")</f>
        <v>NA</v>
      </c>
      <c r="H102" s="62" t="str">
        <f>IFERROR(VLOOKUP(D102&amp;$G$3&amp;$G$4&amp;$G$5,'Raw Data'!$C:$BO,7,0),"NA")</f>
        <v>NA</v>
      </c>
      <c r="I102" s="29" t="str">
        <f>IFERROR(VLOOKUP(D102&amp;$G$3&amp;$G$4&amp;$G$5,'Raw Data'!$C:$BO,11,0),"NA")</f>
        <v>NA</v>
      </c>
      <c r="J102" s="26" t="str">
        <f>IFERROR(VLOOKUP(D102&amp;$G$3&amp;$G$4&amp;$G$5,'Raw Data'!$C:$BO,26,0),"NA")</f>
        <v>NA</v>
      </c>
      <c r="K102" s="26" t="str">
        <f>IFERROR(VLOOKUP(D102&amp;$G$3&amp;$G$4&amp;$G$5,'Raw Data'!$C:$BO,39,0),"NA")</f>
        <v>NA</v>
      </c>
      <c r="L102" s="26" t="str">
        <f>IFERROR(VLOOKUP(D102&amp;$G$3&amp;$G$4&amp;$G$5,'Raw Data'!$C:$BO,65,0),"NA")</f>
        <v>NA</v>
      </c>
      <c r="M102" s="26" t="str">
        <f>IFERROR(VLOOKUP(D102&amp;$G$3&amp;$G$4&amp;G94,'Raw Data'!$C:$BO,52,0),"NA")</f>
        <v>NA</v>
      </c>
      <c r="N102" s="26">
        <f t="shared" si="23"/>
        <v>0</v>
      </c>
      <c r="O102" s="78" t="str">
        <f t="shared" si="24"/>
        <v>NA</v>
      </c>
      <c r="P102" s="26" t="str">
        <f>IFERROR(VLOOKUP(D102&amp;$G$3&amp;$G$4&amp;$G$5,'Raw Data'!$C:$BS,66,0),"NA")</f>
        <v>NA</v>
      </c>
      <c r="Q102" s="26" t="str">
        <f>IFERROR(VLOOKUP(D102&amp;$G$3&amp;$G$4&amp;$G$5,'Raw Data'!$C:$BS,67,0),"NA")</f>
        <v>NA</v>
      </c>
      <c r="R102" s="26" t="str">
        <f>IFERROR(VLOOKUP(D102&amp;$G$3&amp;$G$4&amp;$G$5,'Raw Data'!$C:$BS,68,0),"NA")</f>
        <v>NA</v>
      </c>
      <c r="S102" s="26" t="str">
        <f>IFERROR(VLOOKUP(D102&amp;$G$3&amp;$G$4&amp;$G$5,'Raw Data'!$C:$BS,69,0),"NA")</f>
        <v>NA</v>
      </c>
      <c r="T102" s="44" t="str">
        <f t="shared" si="25"/>
        <v>NA</v>
      </c>
      <c r="BK102" s="60" t="str">
        <f t="shared" si="26"/>
        <v>NA</v>
      </c>
      <c r="BL102" t="str">
        <f t="shared" si="27"/>
        <v>NA</v>
      </c>
      <c r="BM102" t="str">
        <f t="shared" si="28"/>
        <v>NA</v>
      </c>
      <c r="BN102" t="str">
        <f t="shared" si="29"/>
        <v>NA</v>
      </c>
      <c r="BO102" t="str">
        <f t="shared" si="19"/>
        <v/>
      </c>
      <c r="BP102" t="str">
        <f t="shared" si="30"/>
        <v>NA</v>
      </c>
    </row>
    <row r="103" spans="1:68">
      <c r="A103" t="str">
        <f t="shared" ca="1" si="20"/>
        <v>90LowNoTelecom-Non AT&amp;TJ</v>
      </c>
      <c r="B103" t="str">
        <f t="shared" ca="1" si="21"/>
        <v>90LowNoTelecom-Non AT&amp;TK</v>
      </c>
      <c r="C103" t="str">
        <f t="shared" ca="1" si="22"/>
        <v>90LowNoTelecom-Non AT&amp;TL</v>
      </c>
      <c r="D103" s="22">
        <v>90</v>
      </c>
      <c r="E103" s="24" t="str">
        <f>IFERROR(VLOOKUP(D103&amp;$G$3&amp;$G$4&amp;$G$5,'Raw Data'!$C:$BO,2,0),"NA")</f>
        <v>NA</v>
      </c>
      <c r="F103" s="79" t="str">
        <f>IFERROR(VLOOKUP(D103&amp;$G$3&amp;$G$4&amp;$G$5,'Raw Data'!$C:$BO,5,0),"NA")</f>
        <v>NA</v>
      </c>
      <c r="G103" s="44" t="str">
        <f>IFERROR(VLOOKUP(D103&amp;$G$3&amp;$G$4&amp;$G$5,'Raw Data'!$C:$BT,70,0),"NA")</f>
        <v>NA</v>
      </c>
      <c r="H103" s="62" t="str">
        <f>IFERROR(VLOOKUP(D103&amp;$G$3&amp;$G$4&amp;$G$5,'Raw Data'!$C:$BO,7,0),"NA")</f>
        <v>NA</v>
      </c>
      <c r="I103" s="29" t="str">
        <f>IFERROR(VLOOKUP(D103&amp;$G$3&amp;$G$4&amp;$G$5,'Raw Data'!$C:$BO,11,0),"NA")</f>
        <v>NA</v>
      </c>
      <c r="J103" s="26" t="str">
        <f>IFERROR(VLOOKUP(D103&amp;$G$3&amp;$G$4&amp;$G$5,'Raw Data'!$C:$BO,26,0),"NA")</f>
        <v>NA</v>
      </c>
      <c r="K103" s="26" t="str">
        <f>IFERROR(VLOOKUP(D103&amp;$G$3&amp;$G$4&amp;$G$5,'Raw Data'!$C:$BO,39,0),"NA")</f>
        <v>NA</v>
      </c>
      <c r="L103" s="26" t="str">
        <f>IFERROR(VLOOKUP(D103&amp;$G$3&amp;$G$4&amp;$G$5,'Raw Data'!$C:$BO,65,0),"NA")</f>
        <v>NA</v>
      </c>
      <c r="M103" s="26" t="str">
        <f>IFERROR(VLOOKUP(D103&amp;$G$3&amp;$G$4&amp;G95,'Raw Data'!$C:$BO,52,0),"NA")</f>
        <v>NA</v>
      </c>
      <c r="N103" s="26">
        <f t="shared" si="23"/>
        <v>0</v>
      </c>
      <c r="O103" s="78" t="str">
        <f t="shared" si="24"/>
        <v>NA</v>
      </c>
      <c r="P103" s="26" t="str">
        <f>IFERROR(VLOOKUP(D103&amp;$G$3&amp;$G$4&amp;$G$5,'Raw Data'!$C:$BS,66,0),"NA")</f>
        <v>NA</v>
      </c>
      <c r="Q103" s="26" t="str">
        <f>IFERROR(VLOOKUP(D103&amp;$G$3&amp;$G$4&amp;$G$5,'Raw Data'!$C:$BS,67,0),"NA")</f>
        <v>NA</v>
      </c>
      <c r="R103" s="26" t="str">
        <f>IFERROR(VLOOKUP(D103&amp;$G$3&amp;$G$4&amp;$G$5,'Raw Data'!$C:$BS,68,0),"NA")</f>
        <v>NA</v>
      </c>
      <c r="S103" s="26" t="str">
        <f>IFERROR(VLOOKUP(D103&amp;$G$3&amp;$G$4&amp;$G$5,'Raw Data'!$C:$BS,69,0),"NA")</f>
        <v>NA</v>
      </c>
      <c r="T103" s="44" t="str">
        <f t="shared" si="25"/>
        <v>NA</v>
      </c>
      <c r="BK103" s="60" t="str">
        <f t="shared" si="26"/>
        <v>NA</v>
      </c>
      <c r="BL103" t="str">
        <f t="shared" si="27"/>
        <v>NA</v>
      </c>
      <c r="BM103" t="str">
        <f t="shared" si="28"/>
        <v>NA</v>
      </c>
      <c r="BN103" t="str">
        <f t="shared" si="29"/>
        <v>NA</v>
      </c>
      <c r="BO103" t="str">
        <f t="shared" si="19"/>
        <v/>
      </c>
      <c r="BP103" t="str">
        <f t="shared" si="30"/>
        <v>NA</v>
      </c>
    </row>
    <row r="104" spans="1:68">
      <c r="A104" t="str">
        <f t="shared" ca="1" si="20"/>
        <v>91LowNoTelecom-Non AT&amp;TJ</v>
      </c>
      <c r="B104" t="str">
        <f t="shared" ca="1" si="21"/>
        <v>91LowNoTelecom-Non AT&amp;TK</v>
      </c>
      <c r="C104" t="str">
        <f t="shared" ca="1" si="22"/>
        <v>91LowNoTelecom-Non AT&amp;TL</v>
      </c>
      <c r="D104" s="22">
        <v>91</v>
      </c>
      <c r="E104" s="24" t="str">
        <f>IFERROR(VLOOKUP(D104&amp;$G$3&amp;$G$4&amp;$G$5,'Raw Data'!$C:$BO,2,0),"NA")</f>
        <v>NA</v>
      </c>
      <c r="F104" s="79" t="str">
        <f>IFERROR(VLOOKUP(D104&amp;$G$3&amp;$G$4&amp;$G$5,'Raw Data'!$C:$BO,5,0),"NA")</f>
        <v>NA</v>
      </c>
      <c r="G104" s="44" t="str">
        <f>IFERROR(VLOOKUP(D104&amp;$G$3&amp;$G$4&amp;$G$5,'Raw Data'!$C:$BT,70,0),"NA")</f>
        <v>NA</v>
      </c>
      <c r="H104" s="62" t="str">
        <f>IFERROR(VLOOKUP(D104&amp;$G$3&amp;$G$4&amp;$G$5,'Raw Data'!$C:$BO,7,0),"NA")</f>
        <v>NA</v>
      </c>
      <c r="I104" s="29" t="str">
        <f>IFERROR(VLOOKUP(D104&amp;$G$3&amp;$G$4&amp;$G$5,'Raw Data'!$C:$BO,11,0),"NA")</f>
        <v>NA</v>
      </c>
      <c r="J104" s="26" t="str">
        <f>IFERROR(VLOOKUP(D104&amp;$G$3&amp;$G$4&amp;$G$5,'Raw Data'!$C:$BO,26,0),"NA")</f>
        <v>NA</v>
      </c>
      <c r="K104" s="26" t="str">
        <f>IFERROR(VLOOKUP(D104&amp;$G$3&amp;$G$4&amp;$G$5,'Raw Data'!$C:$BO,39,0),"NA")</f>
        <v>NA</v>
      </c>
      <c r="L104" s="26" t="str">
        <f>IFERROR(VLOOKUP(D104&amp;$G$3&amp;$G$4&amp;$G$5,'Raw Data'!$C:$BO,65,0),"NA")</f>
        <v>NA</v>
      </c>
      <c r="M104" s="26" t="str">
        <f>IFERROR(VLOOKUP(D104&amp;$G$3&amp;$G$4&amp;G96,'Raw Data'!$C:$BO,52,0),"NA")</f>
        <v>NA</v>
      </c>
      <c r="N104" s="26">
        <f t="shared" si="23"/>
        <v>0</v>
      </c>
      <c r="O104" s="78" t="str">
        <f t="shared" si="24"/>
        <v>NA</v>
      </c>
      <c r="P104" s="26" t="str">
        <f>IFERROR(VLOOKUP(D104&amp;$G$3&amp;$G$4&amp;$G$5,'Raw Data'!$C:$BS,66,0),"NA")</f>
        <v>NA</v>
      </c>
      <c r="Q104" s="26" t="str">
        <f>IFERROR(VLOOKUP(D104&amp;$G$3&amp;$G$4&amp;$G$5,'Raw Data'!$C:$BS,67,0),"NA")</f>
        <v>NA</v>
      </c>
      <c r="R104" s="26" t="str">
        <f>IFERROR(VLOOKUP(D104&amp;$G$3&amp;$G$4&amp;$G$5,'Raw Data'!$C:$BS,68,0),"NA")</f>
        <v>NA</v>
      </c>
      <c r="S104" s="26" t="str">
        <f>IFERROR(VLOOKUP(D104&amp;$G$3&amp;$G$4&amp;$G$5,'Raw Data'!$C:$BS,69,0),"NA")</f>
        <v>NA</v>
      </c>
      <c r="T104" s="44" t="str">
        <f t="shared" si="25"/>
        <v>NA</v>
      </c>
      <c r="BK104" s="60" t="str">
        <f t="shared" si="26"/>
        <v>NA</v>
      </c>
      <c r="BL104" t="str">
        <f t="shared" si="27"/>
        <v>NA</v>
      </c>
      <c r="BM104" t="str">
        <f t="shared" si="28"/>
        <v>NA</v>
      </c>
      <c r="BN104" t="str">
        <f t="shared" si="29"/>
        <v>NA</v>
      </c>
      <c r="BO104" t="str">
        <f t="shared" si="19"/>
        <v/>
      </c>
      <c r="BP104" t="str">
        <f t="shared" si="30"/>
        <v>NA</v>
      </c>
    </row>
    <row r="105" spans="1:68">
      <c r="A105" t="str">
        <f t="shared" ca="1" si="20"/>
        <v>92LowNoTelecom-Non AT&amp;TJ</v>
      </c>
      <c r="B105" t="str">
        <f t="shared" ca="1" si="21"/>
        <v>92LowNoTelecom-Non AT&amp;TK</v>
      </c>
      <c r="C105" t="str">
        <f t="shared" ca="1" si="22"/>
        <v>92LowNoTelecom-Non AT&amp;TL</v>
      </c>
      <c r="D105" s="22">
        <v>92</v>
      </c>
      <c r="E105" s="24" t="str">
        <f>IFERROR(VLOOKUP(D105&amp;$G$3&amp;$G$4&amp;$G$5,'Raw Data'!$C:$BO,2,0),"NA")</f>
        <v>NA</v>
      </c>
      <c r="F105" s="79" t="str">
        <f>IFERROR(VLOOKUP(D105&amp;$G$3&amp;$G$4&amp;$G$5,'Raw Data'!$C:$BO,5,0),"NA")</f>
        <v>NA</v>
      </c>
      <c r="G105" s="44" t="str">
        <f>IFERROR(VLOOKUP(D105&amp;$G$3&amp;$G$4&amp;$G$5,'Raw Data'!$C:$BT,70,0),"NA")</f>
        <v>NA</v>
      </c>
      <c r="H105" s="62" t="str">
        <f>IFERROR(VLOOKUP(D105&amp;$G$3&amp;$G$4&amp;$G$5,'Raw Data'!$C:$BO,7,0),"NA")</f>
        <v>NA</v>
      </c>
      <c r="I105" s="29" t="str">
        <f>IFERROR(VLOOKUP(D105&amp;$G$3&amp;$G$4&amp;$G$5,'Raw Data'!$C:$BO,11,0),"NA")</f>
        <v>NA</v>
      </c>
      <c r="J105" s="26" t="str">
        <f>IFERROR(VLOOKUP(D105&amp;$G$3&amp;$G$4&amp;$G$5,'Raw Data'!$C:$BO,26,0),"NA")</f>
        <v>NA</v>
      </c>
      <c r="K105" s="26" t="str">
        <f>IFERROR(VLOOKUP(D105&amp;$G$3&amp;$G$4&amp;$G$5,'Raw Data'!$C:$BO,39,0),"NA")</f>
        <v>NA</v>
      </c>
      <c r="L105" s="26" t="str">
        <f>IFERROR(VLOOKUP(D105&amp;$G$3&amp;$G$4&amp;$G$5,'Raw Data'!$C:$BO,65,0),"NA")</f>
        <v>NA</v>
      </c>
      <c r="M105" s="26" t="str">
        <f>IFERROR(VLOOKUP(D105&amp;$G$3&amp;$G$4&amp;G97,'Raw Data'!$C:$BO,52,0),"NA")</f>
        <v>NA</v>
      </c>
      <c r="N105" s="26">
        <f t="shared" si="23"/>
        <v>0</v>
      </c>
      <c r="O105" s="78" t="str">
        <f t="shared" si="24"/>
        <v>NA</v>
      </c>
      <c r="P105" s="26" t="str">
        <f>IFERROR(VLOOKUP(D105&amp;$G$3&amp;$G$4&amp;$G$5,'Raw Data'!$C:$BS,66,0),"NA")</f>
        <v>NA</v>
      </c>
      <c r="Q105" s="26" t="str">
        <f>IFERROR(VLOOKUP(D105&amp;$G$3&amp;$G$4&amp;$G$5,'Raw Data'!$C:$BS,67,0),"NA")</f>
        <v>NA</v>
      </c>
      <c r="R105" s="26" t="str">
        <f>IFERROR(VLOOKUP(D105&amp;$G$3&amp;$G$4&amp;$G$5,'Raw Data'!$C:$BS,68,0),"NA")</f>
        <v>NA</v>
      </c>
      <c r="S105" s="26" t="str">
        <f>IFERROR(VLOOKUP(D105&amp;$G$3&amp;$G$4&amp;$G$5,'Raw Data'!$C:$BS,69,0),"NA")</f>
        <v>NA</v>
      </c>
      <c r="T105" s="44" t="str">
        <f t="shared" si="25"/>
        <v>NA</v>
      </c>
      <c r="BK105" s="60" t="str">
        <f t="shared" si="26"/>
        <v>NA</v>
      </c>
      <c r="BL105" t="str">
        <f t="shared" si="27"/>
        <v>NA</v>
      </c>
      <c r="BM105" t="str">
        <f t="shared" si="28"/>
        <v>NA</v>
      </c>
      <c r="BN105" t="str">
        <f t="shared" si="29"/>
        <v>NA</v>
      </c>
      <c r="BO105" t="str">
        <f t="shared" si="19"/>
        <v/>
      </c>
      <c r="BP105" t="str">
        <f t="shared" si="30"/>
        <v>NA</v>
      </c>
    </row>
    <row r="106" spans="1:68">
      <c r="A106" t="str">
        <f t="shared" ca="1" si="20"/>
        <v>93LowNoTelecom-Non AT&amp;TJ</v>
      </c>
      <c r="B106" t="str">
        <f t="shared" ca="1" si="21"/>
        <v>93LowNoTelecom-Non AT&amp;TK</v>
      </c>
      <c r="C106" t="str">
        <f t="shared" ca="1" si="22"/>
        <v>93LowNoTelecom-Non AT&amp;TL</v>
      </c>
      <c r="D106" s="22">
        <v>93</v>
      </c>
      <c r="E106" s="24" t="str">
        <f>IFERROR(VLOOKUP(D106&amp;$G$3&amp;$G$4&amp;$G$5,'Raw Data'!$C:$BO,2,0),"NA")</f>
        <v>NA</v>
      </c>
      <c r="F106" s="79" t="str">
        <f>IFERROR(VLOOKUP(D106&amp;$G$3&amp;$G$4&amp;$G$5,'Raw Data'!$C:$BO,5,0),"NA")</f>
        <v>NA</v>
      </c>
      <c r="G106" s="44" t="str">
        <f>IFERROR(VLOOKUP(D106&amp;$G$3&amp;$G$4&amp;$G$5,'Raw Data'!$C:$BT,70,0),"NA")</f>
        <v>NA</v>
      </c>
      <c r="H106" s="62" t="str">
        <f>IFERROR(VLOOKUP(D106&amp;$G$3&amp;$G$4&amp;$G$5,'Raw Data'!$C:$BO,7,0),"NA")</f>
        <v>NA</v>
      </c>
      <c r="I106" s="29" t="str">
        <f>IFERROR(VLOOKUP(D106&amp;$G$3&amp;$G$4&amp;$G$5,'Raw Data'!$C:$BO,11,0),"NA")</f>
        <v>NA</v>
      </c>
      <c r="J106" s="26" t="str">
        <f>IFERROR(VLOOKUP(D106&amp;$G$3&amp;$G$4&amp;$G$5,'Raw Data'!$C:$BO,26,0),"NA")</f>
        <v>NA</v>
      </c>
      <c r="K106" s="26" t="str">
        <f>IFERROR(VLOOKUP(D106&amp;$G$3&amp;$G$4&amp;$G$5,'Raw Data'!$C:$BO,39,0),"NA")</f>
        <v>NA</v>
      </c>
      <c r="L106" s="26" t="str">
        <f>IFERROR(VLOOKUP(D106&amp;$G$3&amp;$G$4&amp;$G$5,'Raw Data'!$C:$BO,65,0),"NA")</f>
        <v>NA</v>
      </c>
      <c r="M106" s="26" t="str">
        <f>IFERROR(VLOOKUP(D106&amp;$G$3&amp;$G$4&amp;G98,'Raw Data'!$C:$BO,52,0),"NA")</f>
        <v>NA</v>
      </c>
      <c r="N106" s="26">
        <f t="shared" si="23"/>
        <v>0</v>
      </c>
      <c r="O106" s="78" t="str">
        <f t="shared" si="24"/>
        <v>NA</v>
      </c>
      <c r="P106" s="26" t="str">
        <f>IFERROR(VLOOKUP(D106&amp;$G$3&amp;$G$4&amp;$G$5,'Raw Data'!$C:$BS,66,0),"NA")</f>
        <v>NA</v>
      </c>
      <c r="Q106" s="26" t="str">
        <f>IFERROR(VLOOKUP(D106&amp;$G$3&amp;$G$4&amp;$G$5,'Raw Data'!$C:$BS,67,0),"NA")</f>
        <v>NA</v>
      </c>
      <c r="R106" s="26" t="str">
        <f>IFERROR(VLOOKUP(D106&amp;$G$3&amp;$G$4&amp;$G$5,'Raw Data'!$C:$BS,68,0),"NA")</f>
        <v>NA</v>
      </c>
      <c r="S106" s="26" t="str">
        <f>IFERROR(VLOOKUP(D106&amp;$G$3&amp;$G$4&amp;$G$5,'Raw Data'!$C:$BS,69,0),"NA")</f>
        <v>NA</v>
      </c>
      <c r="T106" s="44" t="str">
        <f t="shared" si="25"/>
        <v>NA</v>
      </c>
      <c r="BK106" s="60" t="str">
        <f t="shared" si="26"/>
        <v>NA</v>
      </c>
      <c r="BL106" t="str">
        <f t="shared" si="27"/>
        <v>NA</v>
      </c>
      <c r="BM106" t="str">
        <f t="shared" si="28"/>
        <v>NA</v>
      </c>
      <c r="BN106" t="str">
        <f t="shared" si="29"/>
        <v>NA</v>
      </c>
      <c r="BO106" t="str">
        <f t="shared" si="19"/>
        <v/>
      </c>
      <c r="BP106" t="str">
        <f t="shared" si="30"/>
        <v>NA</v>
      </c>
    </row>
    <row r="107" spans="1:68">
      <c r="A107" t="str">
        <f t="shared" ca="1" si="20"/>
        <v>94LowNoTelecom-Non AT&amp;TJ</v>
      </c>
      <c r="B107" t="str">
        <f t="shared" ca="1" si="21"/>
        <v>94LowNoTelecom-Non AT&amp;TK</v>
      </c>
      <c r="C107" t="str">
        <f t="shared" ca="1" si="22"/>
        <v>94LowNoTelecom-Non AT&amp;TL</v>
      </c>
      <c r="D107" s="22">
        <v>94</v>
      </c>
      <c r="E107" s="24" t="str">
        <f>IFERROR(VLOOKUP(D107&amp;$G$3&amp;$G$4&amp;$G$5,'Raw Data'!$C:$BO,2,0),"NA")</f>
        <v>NA</v>
      </c>
      <c r="F107" s="79" t="str">
        <f>IFERROR(VLOOKUP(D107&amp;$G$3&amp;$G$4&amp;$G$5,'Raw Data'!$C:$BO,5,0),"NA")</f>
        <v>NA</v>
      </c>
      <c r="G107" s="44" t="str">
        <f>IFERROR(VLOOKUP(D107&amp;$G$3&amp;$G$4&amp;$G$5,'Raw Data'!$C:$BT,70,0),"NA")</f>
        <v>NA</v>
      </c>
      <c r="H107" s="62" t="str">
        <f>IFERROR(VLOOKUP(D107&amp;$G$3&amp;$G$4&amp;$G$5,'Raw Data'!$C:$BO,7,0),"NA")</f>
        <v>NA</v>
      </c>
      <c r="I107" s="29" t="str">
        <f>IFERROR(VLOOKUP(D107&amp;$G$3&amp;$G$4&amp;$G$5,'Raw Data'!$C:$BO,11,0),"NA")</f>
        <v>NA</v>
      </c>
      <c r="J107" s="26" t="str">
        <f>IFERROR(VLOOKUP(D107&amp;$G$3&amp;$G$4&amp;$G$5,'Raw Data'!$C:$BO,26,0),"NA")</f>
        <v>NA</v>
      </c>
      <c r="K107" s="26" t="str">
        <f>IFERROR(VLOOKUP(D107&amp;$G$3&amp;$G$4&amp;$G$5,'Raw Data'!$C:$BO,39,0),"NA")</f>
        <v>NA</v>
      </c>
      <c r="L107" s="26" t="str">
        <f>IFERROR(VLOOKUP(D107&amp;$G$3&amp;$G$4&amp;$G$5,'Raw Data'!$C:$BO,65,0),"NA")</f>
        <v>NA</v>
      </c>
      <c r="M107" s="26" t="str">
        <f>IFERROR(VLOOKUP(D107&amp;$G$3&amp;$G$4&amp;G99,'Raw Data'!$C:$BO,52,0),"NA")</f>
        <v>NA</v>
      </c>
      <c r="N107" s="26">
        <f t="shared" si="23"/>
        <v>0</v>
      </c>
      <c r="O107" s="78" t="str">
        <f t="shared" si="24"/>
        <v>NA</v>
      </c>
      <c r="P107" s="26" t="str">
        <f>IFERROR(VLOOKUP(D107&amp;$G$3&amp;$G$4&amp;$G$5,'Raw Data'!$C:$BS,66,0),"NA")</f>
        <v>NA</v>
      </c>
      <c r="Q107" s="26" t="str">
        <f>IFERROR(VLOOKUP(D107&amp;$G$3&amp;$G$4&amp;$G$5,'Raw Data'!$C:$BS,67,0),"NA")</f>
        <v>NA</v>
      </c>
      <c r="R107" s="26" t="str">
        <f>IFERROR(VLOOKUP(D107&amp;$G$3&amp;$G$4&amp;$G$5,'Raw Data'!$C:$BS,68,0),"NA")</f>
        <v>NA</v>
      </c>
      <c r="S107" s="26" t="str">
        <f>IFERROR(VLOOKUP(D107&amp;$G$3&amp;$G$4&amp;$G$5,'Raw Data'!$C:$BS,69,0),"NA")</f>
        <v>NA</v>
      </c>
      <c r="T107" s="44" t="str">
        <f t="shared" si="25"/>
        <v>NA</v>
      </c>
      <c r="BK107" s="60" t="str">
        <f t="shared" si="26"/>
        <v>NA</v>
      </c>
      <c r="BL107" t="str">
        <f t="shared" si="27"/>
        <v>NA</v>
      </c>
      <c r="BM107" t="str">
        <f t="shared" si="28"/>
        <v>NA</v>
      </c>
      <c r="BN107" t="str">
        <f t="shared" si="29"/>
        <v>NA</v>
      </c>
      <c r="BO107" t="str">
        <f t="shared" si="19"/>
        <v/>
      </c>
      <c r="BP107" t="str">
        <f t="shared" si="30"/>
        <v>NA</v>
      </c>
    </row>
    <row r="108" spans="1:68">
      <c r="A108" t="str">
        <f t="shared" ca="1" si="20"/>
        <v>95LowNoTelecom-Non AT&amp;TJ</v>
      </c>
      <c r="B108" t="str">
        <f t="shared" ca="1" si="21"/>
        <v>95LowNoTelecom-Non AT&amp;TK</v>
      </c>
      <c r="C108" t="str">
        <f t="shared" ca="1" si="22"/>
        <v>95LowNoTelecom-Non AT&amp;TL</v>
      </c>
      <c r="D108" s="22">
        <v>95</v>
      </c>
      <c r="E108" s="24" t="str">
        <f>IFERROR(VLOOKUP(D108&amp;$G$3&amp;$G$4&amp;$G$5,'Raw Data'!$C:$BO,2,0),"NA")</f>
        <v>NA</v>
      </c>
      <c r="F108" s="79" t="str">
        <f>IFERROR(VLOOKUP(D108&amp;$G$3&amp;$G$4&amp;$G$5,'Raw Data'!$C:$BO,5,0),"NA")</f>
        <v>NA</v>
      </c>
      <c r="G108" s="44" t="str">
        <f>IFERROR(VLOOKUP(D108&amp;$G$3&amp;$G$4&amp;$G$5,'Raw Data'!$C:$BT,70,0),"NA")</f>
        <v>NA</v>
      </c>
      <c r="H108" s="62" t="str">
        <f>IFERROR(VLOOKUP(D108&amp;$G$3&amp;$G$4&amp;$G$5,'Raw Data'!$C:$BO,7,0),"NA")</f>
        <v>NA</v>
      </c>
      <c r="I108" s="29" t="str">
        <f>IFERROR(VLOOKUP(D108&amp;$G$3&amp;$G$4&amp;$G$5,'Raw Data'!$C:$BO,11,0),"NA")</f>
        <v>NA</v>
      </c>
      <c r="J108" s="26" t="str">
        <f>IFERROR(VLOOKUP(D108&amp;$G$3&amp;$G$4&amp;$G$5,'Raw Data'!$C:$BO,26,0),"NA")</f>
        <v>NA</v>
      </c>
      <c r="K108" s="26" t="str">
        <f>IFERROR(VLOOKUP(D108&amp;$G$3&amp;$G$4&amp;$G$5,'Raw Data'!$C:$BO,39,0),"NA")</f>
        <v>NA</v>
      </c>
      <c r="L108" s="26" t="str">
        <f>IFERROR(VLOOKUP(D108&amp;$G$3&amp;$G$4&amp;$G$5,'Raw Data'!$C:$BO,65,0),"NA")</f>
        <v>NA</v>
      </c>
      <c r="M108" s="26" t="str">
        <f>IFERROR(VLOOKUP(D108&amp;$G$3&amp;$G$4&amp;G100,'Raw Data'!$C:$BO,52,0),"NA")</f>
        <v>NA</v>
      </c>
      <c r="N108" s="26">
        <f t="shared" si="23"/>
        <v>0</v>
      </c>
      <c r="O108" s="78" t="str">
        <f t="shared" si="24"/>
        <v>NA</v>
      </c>
      <c r="P108" s="26" t="str">
        <f>IFERROR(VLOOKUP(D108&amp;$G$3&amp;$G$4&amp;$G$5,'Raw Data'!$C:$BS,66,0),"NA")</f>
        <v>NA</v>
      </c>
      <c r="Q108" s="26" t="str">
        <f>IFERROR(VLOOKUP(D108&amp;$G$3&amp;$G$4&amp;$G$5,'Raw Data'!$C:$BS,67,0),"NA")</f>
        <v>NA</v>
      </c>
      <c r="R108" s="26" t="str">
        <f>IFERROR(VLOOKUP(D108&amp;$G$3&amp;$G$4&amp;$G$5,'Raw Data'!$C:$BS,68,0),"NA")</f>
        <v>NA</v>
      </c>
      <c r="S108" s="26" t="str">
        <f>IFERROR(VLOOKUP(D108&amp;$G$3&amp;$G$4&amp;$G$5,'Raw Data'!$C:$BS,69,0),"NA")</f>
        <v>NA</v>
      </c>
      <c r="T108" s="44" t="str">
        <f t="shared" si="25"/>
        <v>NA</v>
      </c>
      <c r="BK108" s="60" t="str">
        <f t="shared" si="26"/>
        <v>NA</v>
      </c>
      <c r="BL108" t="str">
        <f t="shared" si="27"/>
        <v>NA</v>
      </c>
      <c r="BM108" t="str">
        <f t="shared" si="28"/>
        <v>NA</v>
      </c>
      <c r="BN108" t="str">
        <f t="shared" si="29"/>
        <v>NA</v>
      </c>
      <c r="BO108" t="str">
        <f t="shared" si="19"/>
        <v/>
      </c>
      <c r="BP108" t="str">
        <f t="shared" si="30"/>
        <v>NA</v>
      </c>
    </row>
    <row r="109" spans="1:68">
      <c r="A109" t="str">
        <f t="shared" ca="1" si="20"/>
        <v>96LowNoTelecom-Non AT&amp;TJ</v>
      </c>
      <c r="B109" t="str">
        <f t="shared" ca="1" si="21"/>
        <v>96LowNoTelecom-Non AT&amp;TK</v>
      </c>
      <c r="C109" t="str">
        <f t="shared" ca="1" si="22"/>
        <v>96LowNoTelecom-Non AT&amp;TL</v>
      </c>
      <c r="D109" s="22">
        <v>96</v>
      </c>
      <c r="E109" s="24" t="str">
        <f>IFERROR(VLOOKUP(D109&amp;$G$3&amp;$G$4&amp;$G$5,'Raw Data'!$C:$BO,2,0),"NA")</f>
        <v>NA</v>
      </c>
      <c r="F109" s="79" t="str">
        <f>IFERROR(VLOOKUP(D109&amp;$G$3&amp;$G$4&amp;$G$5,'Raw Data'!$C:$BO,5,0),"NA")</f>
        <v>NA</v>
      </c>
      <c r="G109" s="44" t="str">
        <f>IFERROR(VLOOKUP(D109&amp;$G$3&amp;$G$4&amp;$G$5,'Raw Data'!$C:$BT,70,0),"NA")</f>
        <v>NA</v>
      </c>
      <c r="H109" s="62" t="str">
        <f>IFERROR(VLOOKUP(D109&amp;$G$3&amp;$G$4&amp;$G$5,'Raw Data'!$C:$BO,7,0),"NA")</f>
        <v>NA</v>
      </c>
      <c r="I109" s="29" t="str">
        <f>IFERROR(VLOOKUP(D109&amp;$G$3&amp;$G$4&amp;$G$5,'Raw Data'!$C:$BO,11,0),"NA")</f>
        <v>NA</v>
      </c>
      <c r="J109" s="26" t="str">
        <f>IFERROR(VLOOKUP(D109&amp;$G$3&amp;$G$4&amp;$G$5,'Raw Data'!$C:$BO,26,0),"NA")</f>
        <v>NA</v>
      </c>
      <c r="K109" s="26" t="str">
        <f>IFERROR(VLOOKUP(D109&amp;$G$3&amp;$G$4&amp;$G$5,'Raw Data'!$C:$BO,39,0),"NA")</f>
        <v>NA</v>
      </c>
      <c r="L109" s="26" t="str">
        <f>IFERROR(VLOOKUP(D109&amp;$G$3&amp;$G$4&amp;$G$5,'Raw Data'!$C:$BO,65,0),"NA")</f>
        <v>NA</v>
      </c>
      <c r="M109" s="26" t="str">
        <f>IFERROR(VLOOKUP(D109&amp;$G$3&amp;$G$4&amp;G101,'Raw Data'!$C:$BO,52,0),"NA")</f>
        <v>NA</v>
      </c>
      <c r="N109" s="26">
        <f t="shared" si="23"/>
        <v>0</v>
      </c>
      <c r="O109" s="78" t="str">
        <f t="shared" si="24"/>
        <v>NA</v>
      </c>
      <c r="P109" s="26" t="str">
        <f>IFERROR(VLOOKUP(D109&amp;$G$3&amp;$G$4&amp;$G$5,'Raw Data'!$C:$BS,66,0),"NA")</f>
        <v>NA</v>
      </c>
      <c r="Q109" s="26" t="str">
        <f>IFERROR(VLOOKUP(D109&amp;$G$3&amp;$G$4&amp;$G$5,'Raw Data'!$C:$BS,67,0),"NA")</f>
        <v>NA</v>
      </c>
      <c r="R109" s="26" t="str">
        <f>IFERROR(VLOOKUP(D109&amp;$G$3&amp;$G$4&amp;$G$5,'Raw Data'!$C:$BS,68,0),"NA")</f>
        <v>NA</v>
      </c>
      <c r="S109" s="26" t="str">
        <f>IFERROR(VLOOKUP(D109&amp;$G$3&amp;$G$4&amp;$G$5,'Raw Data'!$C:$BS,69,0),"NA")</f>
        <v>NA</v>
      </c>
      <c r="T109" s="44" t="str">
        <f t="shared" si="25"/>
        <v>NA</v>
      </c>
      <c r="BK109" s="60" t="str">
        <f t="shared" si="26"/>
        <v>NA</v>
      </c>
      <c r="BL109" t="str">
        <f t="shared" si="27"/>
        <v>NA</v>
      </c>
      <c r="BM109" t="str">
        <f t="shared" si="28"/>
        <v>NA</v>
      </c>
      <c r="BN109" t="str">
        <f t="shared" si="29"/>
        <v>NA</v>
      </c>
      <c r="BO109" t="str">
        <f t="shared" si="19"/>
        <v/>
      </c>
      <c r="BP109" t="str">
        <f t="shared" si="30"/>
        <v>NA</v>
      </c>
    </row>
    <row r="110" spans="1:68">
      <c r="A110" t="str">
        <f t="shared" ca="1" si="20"/>
        <v>97LowNoTelecom-Non AT&amp;TJ</v>
      </c>
      <c r="B110" t="str">
        <f t="shared" ca="1" si="21"/>
        <v>97LowNoTelecom-Non AT&amp;TK</v>
      </c>
      <c r="C110" t="str">
        <f t="shared" ca="1" si="22"/>
        <v>97LowNoTelecom-Non AT&amp;TL</v>
      </c>
      <c r="D110" s="22">
        <v>97</v>
      </c>
      <c r="E110" s="24" t="str">
        <f>IFERROR(VLOOKUP(D110&amp;$G$3&amp;$G$4&amp;$G$5,'Raw Data'!$C:$BO,2,0),"NA")</f>
        <v>NA</v>
      </c>
      <c r="F110" s="79" t="str">
        <f>IFERROR(VLOOKUP(D110&amp;$G$3&amp;$G$4&amp;$G$5,'Raw Data'!$C:$BO,5,0),"NA")</f>
        <v>NA</v>
      </c>
      <c r="G110" s="44" t="str">
        <f>IFERROR(VLOOKUP(D110&amp;$G$3&amp;$G$4&amp;$G$5,'Raw Data'!$C:$BT,70,0),"NA")</f>
        <v>NA</v>
      </c>
      <c r="H110" s="62" t="str">
        <f>IFERROR(VLOOKUP(D110&amp;$G$3&amp;$G$4&amp;$G$5,'Raw Data'!$C:$BO,7,0),"NA")</f>
        <v>NA</v>
      </c>
      <c r="I110" s="29" t="str">
        <f>IFERROR(VLOOKUP(D110&amp;$G$3&amp;$G$4&amp;$G$5,'Raw Data'!$C:$BO,11,0),"NA")</f>
        <v>NA</v>
      </c>
      <c r="J110" s="26" t="str">
        <f>IFERROR(VLOOKUP(D110&amp;$G$3&amp;$G$4&amp;$G$5,'Raw Data'!$C:$BO,26,0),"NA")</f>
        <v>NA</v>
      </c>
      <c r="K110" s="26" t="str">
        <f>IFERROR(VLOOKUP(D110&amp;$G$3&amp;$G$4&amp;$G$5,'Raw Data'!$C:$BO,39,0),"NA")</f>
        <v>NA</v>
      </c>
      <c r="L110" s="26" t="str">
        <f>IFERROR(VLOOKUP(D110&amp;$G$3&amp;$G$4&amp;$G$5,'Raw Data'!$C:$BO,65,0),"NA")</f>
        <v>NA</v>
      </c>
      <c r="M110" s="26" t="str">
        <f>IFERROR(VLOOKUP(D110&amp;$G$3&amp;$G$4&amp;G102,'Raw Data'!$C:$BO,52,0),"NA")</f>
        <v>NA</v>
      </c>
      <c r="N110" s="26">
        <f t="shared" si="23"/>
        <v>0</v>
      </c>
      <c r="O110" s="78" t="str">
        <f t="shared" si="24"/>
        <v>NA</v>
      </c>
      <c r="P110" s="26" t="str">
        <f>IFERROR(VLOOKUP(D110&amp;$G$3&amp;$G$4&amp;$G$5,'Raw Data'!$C:$BS,66,0),"NA")</f>
        <v>NA</v>
      </c>
      <c r="Q110" s="26" t="str">
        <f>IFERROR(VLOOKUP(D110&amp;$G$3&amp;$G$4&amp;$G$5,'Raw Data'!$C:$BS,67,0),"NA")</f>
        <v>NA</v>
      </c>
      <c r="R110" s="26" t="str">
        <f>IFERROR(VLOOKUP(D110&amp;$G$3&amp;$G$4&amp;$G$5,'Raw Data'!$C:$BS,68,0),"NA")</f>
        <v>NA</v>
      </c>
      <c r="S110" s="26" t="str">
        <f>IFERROR(VLOOKUP(D110&amp;$G$3&amp;$G$4&amp;$G$5,'Raw Data'!$C:$BS,69,0),"NA")</f>
        <v>NA</v>
      </c>
      <c r="T110" s="44" t="str">
        <f t="shared" si="25"/>
        <v>NA</v>
      </c>
      <c r="BK110" s="60" t="str">
        <f t="shared" si="26"/>
        <v>NA</v>
      </c>
      <c r="BL110" t="str">
        <f t="shared" si="27"/>
        <v>NA</v>
      </c>
      <c r="BM110" t="str">
        <f t="shared" si="28"/>
        <v>NA</v>
      </c>
      <c r="BN110" t="str">
        <f t="shared" si="29"/>
        <v>NA</v>
      </c>
      <c r="BO110" t="str">
        <f t="shared" ref="BO110:BO141" si="31">IF(OR($BK110="Minutes",$BK110="Volume"),SUMPRODUCT(($BK110=$BB$2:$BB$15)*($BL110=$BD$2:$BD$15)*($BN110=$BC$2:$BC$15)*($BA$2:$BA$15)),IF($BK110="HeadCount",SUMPRODUCT(($BK110=$BB$2:$BB$15)*($BL110=$BD$2:$BD$15)*($BM110=$BE$2:$BE$15)*($BA$2:$BA$15)),IF($BK110="Hours",SUMPRODUCT(($BK110=$BB$2:$BB$15)*($BL110=$BD$2:$BD$15)*($BA$2:$BA$15)),"")))</f>
        <v/>
      </c>
      <c r="BP110" t="str">
        <f t="shared" si="30"/>
        <v>NA</v>
      </c>
    </row>
    <row r="111" spans="1:68">
      <c r="A111" t="str">
        <f t="shared" ca="1" si="20"/>
        <v>98LowNoTelecom-Non AT&amp;TJ</v>
      </c>
      <c r="B111" t="str">
        <f t="shared" ca="1" si="21"/>
        <v>98LowNoTelecom-Non AT&amp;TK</v>
      </c>
      <c r="C111" t="str">
        <f t="shared" ca="1" si="22"/>
        <v>98LowNoTelecom-Non AT&amp;TL</v>
      </c>
      <c r="D111" s="22">
        <v>98</v>
      </c>
      <c r="E111" s="24" t="str">
        <f>IFERROR(VLOOKUP(D111&amp;$G$3&amp;$G$4&amp;$G$5,'Raw Data'!$C:$BO,2,0),"NA")</f>
        <v>NA</v>
      </c>
      <c r="F111" s="79" t="str">
        <f>IFERROR(VLOOKUP(D111&amp;$G$3&amp;$G$4&amp;$G$5,'Raw Data'!$C:$BO,5,0),"NA")</f>
        <v>NA</v>
      </c>
      <c r="G111" s="44" t="str">
        <f>IFERROR(VLOOKUP(D111&amp;$G$3&amp;$G$4&amp;$G$5,'Raw Data'!$C:$BT,70,0),"NA")</f>
        <v>NA</v>
      </c>
      <c r="H111" s="62" t="str">
        <f>IFERROR(VLOOKUP(D111&amp;$G$3&amp;$G$4&amp;$G$5,'Raw Data'!$C:$BO,7,0),"NA")</f>
        <v>NA</v>
      </c>
      <c r="I111" s="29" t="str">
        <f>IFERROR(VLOOKUP(D111&amp;$G$3&amp;$G$4&amp;$G$5,'Raw Data'!$C:$BO,11,0),"NA")</f>
        <v>NA</v>
      </c>
      <c r="J111" s="26" t="str">
        <f>IFERROR(VLOOKUP(D111&amp;$G$3&amp;$G$4&amp;$G$5,'Raw Data'!$C:$BO,26,0),"NA")</f>
        <v>NA</v>
      </c>
      <c r="K111" s="26" t="str">
        <f>IFERROR(VLOOKUP(D111&amp;$G$3&amp;$G$4&amp;$G$5,'Raw Data'!$C:$BO,39,0),"NA")</f>
        <v>NA</v>
      </c>
      <c r="L111" s="26" t="str">
        <f>IFERROR(VLOOKUP(D111&amp;$G$3&amp;$G$4&amp;$G$5,'Raw Data'!$C:$BO,65,0),"NA")</f>
        <v>NA</v>
      </c>
      <c r="M111" s="26" t="str">
        <f>IFERROR(VLOOKUP(D111&amp;$G$3&amp;$G$4&amp;G103,'Raw Data'!$C:$BO,52,0),"NA")</f>
        <v>NA</v>
      </c>
      <c r="N111" s="26">
        <f t="shared" si="23"/>
        <v>0</v>
      </c>
      <c r="O111" s="78" t="str">
        <f t="shared" si="24"/>
        <v>NA</v>
      </c>
      <c r="P111" s="26" t="str">
        <f>IFERROR(VLOOKUP(D111&amp;$G$3&amp;$G$4&amp;$G$5,'Raw Data'!$C:$BS,66,0),"NA")</f>
        <v>NA</v>
      </c>
      <c r="Q111" s="26" t="str">
        <f>IFERROR(VLOOKUP(D111&amp;$G$3&amp;$G$4&amp;$G$5,'Raw Data'!$C:$BS,67,0),"NA")</f>
        <v>NA</v>
      </c>
      <c r="R111" s="26" t="str">
        <f>IFERROR(VLOOKUP(D111&amp;$G$3&amp;$G$4&amp;$G$5,'Raw Data'!$C:$BS,68,0),"NA")</f>
        <v>NA</v>
      </c>
      <c r="S111" s="26" t="str">
        <f>IFERROR(VLOOKUP(D111&amp;$G$3&amp;$G$4&amp;$G$5,'Raw Data'!$C:$BS,69,0),"NA")</f>
        <v>NA</v>
      </c>
      <c r="T111" s="44" t="str">
        <f t="shared" si="25"/>
        <v>NA</v>
      </c>
      <c r="BK111" s="60" t="str">
        <f t="shared" si="26"/>
        <v>NA</v>
      </c>
      <c r="BL111" t="str">
        <f t="shared" si="27"/>
        <v>NA</v>
      </c>
      <c r="BM111" t="str">
        <f t="shared" si="28"/>
        <v>NA</v>
      </c>
      <c r="BN111" t="str">
        <f t="shared" si="29"/>
        <v>NA</v>
      </c>
      <c r="BO111" t="str">
        <f t="shared" si="31"/>
        <v/>
      </c>
      <c r="BP111" t="str">
        <f t="shared" si="30"/>
        <v>NA</v>
      </c>
    </row>
    <row r="112" spans="1:68">
      <c r="A112" t="str">
        <f t="shared" ca="1" si="20"/>
        <v>99LowNoTelecom-Non AT&amp;TJ</v>
      </c>
      <c r="B112" t="str">
        <f t="shared" ca="1" si="21"/>
        <v>99LowNoTelecom-Non AT&amp;TK</v>
      </c>
      <c r="C112" t="str">
        <f t="shared" ca="1" si="22"/>
        <v>99LowNoTelecom-Non AT&amp;TL</v>
      </c>
      <c r="D112" s="22">
        <v>99</v>
      </c>
      <c r="E112" s="24" t="str">
        <f>IFERROR(VLOOKUP(D112&amp;$G$3&amp;$G$4&amp;$G$5,'Raw Data'!$C:$BO,2,0),"NA")</f>
        <v>NA</v>
      </c>
      <c r="F112" s="79" t="str">
        <f>IFERROR(VLOOKUP(D112&amp;$G$3&amp;$G$4&amp;$G$5,'Raw Data'!$C:$BO,5,0),"NA")</f>
        <v>NA</v>
      </c>
      <c r="G112" s="44" t="str">
        <f>IFERROR(VLOOKUP(D112&amp;$G$3&amp;$G$4&amp;$G$5,'Raw Data'!$C:$BT,70,0),"NA")</f>
        <v>NA</v>
      </c>
      <c r="H112" s="62" t="str">
        <f>IFERROR(VLOOKUP(D112&amp;$G$3&amp;$G$4&amp;$G$5,'Raw Data'!$C:$BO,7,0),"NA")</f>
        <v>NA</v>
      </c>
      <c r="I112" s="29" t="str">
        <f>IFERROR(VLOOKUP(D112&amp;$G$3&amp;$G$4&amp;$G$5,'Raw Data'!$C:$BO,11,0),"NA")</f>
        <v>NA</v>
      </c>
      <c r="J112" s="26" t="str">
        <f>IFERROR(VLOOKUP(D112&amp;$G$3&amp;$G$4&amp;$G$5,'Raw Data'!$C:$BO,26,0),"NA")</f>
        <v>NA</v>
      </c>
      <c r="K112" s="26" t="str">
        <f>IFERROR(VLOOKUP(D112&amp;$G$3&amp;$G$4&amp;$G$5,'Raw Data'!$C:$BO,39,0),"NA")</f>
        <v>NA</v>
      </c>
      <c r="L112" s="26" t="str">
        <f>IFERROR(VLOOKUP(D112&amp;$G$3&amp;$G$4&amp;$G$5,'Raw Data'!$C:$BO,65,0),"NA")</f>
        <v>NA</v>
      </c>
      <c r="M112" s="26" t="str">
        <f>IFERROR(VLOOKUP(D112&amp;$G$3&amp;$G$4&amp;G104,'Raw Data'!$C:$BO,52,0),"NA")</f>
        <v>NA</v>
      </c>
      <c r="N112" s="26">
        <f t="shared" si="23"/>
        <v>0</v>
      </c>
      <c r="O112" s="78" t="str">
        <f t="shared" si="24"/>
        <v>NA</v>
      </c>
      <c r="P112" s="26" t="str">
        <f>IFERROR(VLOOKUP(D112&amp;$G$3&amp;$G$4&amp;$G$5,'Raw Data'!$C:$BS,66,0),"NA")</f>
        <v>NA</v>
      </c>
      <c r="Q112" s="26" t="str">
        <f>IFERROR(VLOOKUP(D112&amp;$G$3&amp;$G$4&amp;$G$5,'Raw Data'!$C:$BS,67,0),"NA")</f>
        <v>NA</v>
      </c>
      <c r="R112" s="26" t="str">
        <f>IFERROR(VLOOKUP(D112&amp;$G$3&amp;$G$4&amp;$G$5,'Raw Data'!$C:$BS,68,0),"NA")</f>
        <v>NA</v>
      </c>
      <c r="S112" s="26" t="str">
        <f>IFERROR(VLOOKUP(D112&amp;$G$3&amp;$G$4&amp;$G$5,'Raw Data'!$C:$BS,69,0),"NA")</f>
        <v>NA</v>
      </c>
      <c r="T112" s="44" t="str">
        <f t="shared" si="25"/>
        <v>NA</v>
      </c>
      <c r="BK112" s="60" t="str">
        <f t="shared" si="26"/>
        <v>NA</v>
      </c>
      <c r="BL112" t="str">
        <f t="shared" si="27"/>
        <v>NA</v>
      </c>
      <c r="BM112" t="str">
        <f t="shared" si="28"/>
        <v>NA</v>
      </c>
      <c r="BN112" t="str">
        <f t="shared" si="29"/>
        <v>NA</v>
      </c>
      <c r="BO112" t="str">
        <f t="shared" si="31"/>
        <v/>
      </c>
      <c r="BP112" t="str">
        <f t="shared" si="30"/>
        <v>NA</v>
      </c>
    </row>
    <row r="113" spans="1:68">
      <c r="A113" t="str">
        <f t="shared" ca="1" si="20"/>
        <v>100LowNoTelecom-Non AT&amp;TJ</v>
      </c>
      <c r="B113" t="str">
        <f t="shared" ca="1" si="21"/>
        <v>100LowNoTelecom-Non AT&amp;TK</v>
      </c>
      <c r="C113" t="str">
        <f t="shared" ca="1" si="22"/>
        <v>100LowNoTelecom-Non AT&amp;TL</v>
      </c>
      <c r="D113" s="22">
        <v>100</v>
      </c>
      <c r="E113" s="24" t="str">
        <f>IFERROR(VLOOKUP(D113&amp;$G$3&amp;$G$4&amp;$G$5,'Raw Data'!$C:$BO,2,0),"NA")</f>
        <v>NA</v>
      </c>
      <c r="F113" s="79" t="str">
        <f>IFERROR(VLOOKUP(D113&amp;$G$3&amp;$G$4&amp;$G$5,'Raw Data'!$C:$BO,5,0),"NA")</f>
        <v>NA</v>
      </c>
      <c r="G113" s="44" t="str">
        <f>IFERROR(VLOOKUP(D113&amp;$G$3&amp;$G$4&amp;$G$5,'Raw Data'!$C:$BT,70,0),"NA")</f>
        <v>NA</v>
      </c>
      <c r="H113" s="62" t="str">
        <f>IFERROR(VLOOKUP(D113&amp;$G$3&amp;$G$4&amp;$G$5,'Raw Data'!$C:$BO,7,0),"NA")</f>
        <v>NA</v>
      </c>
      <c r="I113" s="29" t="str">
        <f>IFERROR(VLOOKUP(D113&amp;$G$3&amp;$G$4&amp;$G$5,'Raw Data'!$C:$BO,11,0),"NA")</f>
        <v>NA</v>
      </c>
      <c r="J113" s="26" t="str">
        <f>IFERROR(VLOOKUP(D113&amp;$G$3&amp;$G$4&amp;$G$5,'Raw Data'!$C:$BO,26,0),"NA")</f>
        <v>NA</v>
      </c>
      <c r="K113" s="26" t="str">
        <f>IFERROR(VLOOKUP(D113&amp;$G$3&amp;$G$4&amp;$G$5,'Raw Data'!$C:$BO,39,0),"NA")</f>
        <v>NA</v>
      </c>
      <c r="L113" s="26" t="str">
        <f>IFERROR(VLOOKUP(D113&amp;$G$3&amp;$G$4&amp;$G$5,'Raw Data'!$C:$BO,65,0),"NA")</f>
        <v>NA</v>
      </c>
      <c r="M113" s="26" t="str">
        <f>IFERROR(VLOOKUP(D113&amp;$G$3&amp;$G$4&amp;G105,'Raw Data'!$C:$BO,52,0),"NA")</f>
        <v>NA</v>
      </c>
      <c r="N113" s="26">
        <f t="shared" si="23"/>
        <v>0</v>
      </c>
      <c r="O113" s="78" t="str">
        <f t="shared" si="24"/>
        <v>NA</v>
      </c>
      <c r="P113" s="26" t="str">
        <f>IFERROR(VLOOKUP(D113&amp;$G$3&amp;$G$4&amp;$G$5,'Raw Data'!$C:$BS,66,0),"NA")</f>
        <v>NA</v>
      </c>
      <c r="Q113" s="26" t="str">
        <f>IFERROR(VLOOKUP(D113&amp;$G$3&amp;$G$4&amp;$G$5,'Raw Data'!$C:$BS,67,0),"NA")</f>
        <v>NA</v>
      </c>
      <c r="R113" s="26" t="str">
        <f>IFERROR(VLOOKUP(D113&amp;$G$3&amp;$G$4&amp;$G$5,'Raw Data'!$C:$BS,68,0),"NA")</f>
        <v>NA</v>
      </c>
      <c r="S113" s="26" t="str">
        <f>IFERROR(VLOOKUP(D113&amp;$G$3&amp;$G$4&amp;$G$5,'Raw Data'!$C:$BS,69,0),"NA")</f>
        <v>NA</v>
      </c>
      <c r="T113" s="44" t="str">
        <f t="shared" si="25"/>
        <v>NA</v>
      </c>
      <c r="BK113" s="60" t="str">
        <f t="shared" si="26"/>
        <v>NA</v>
      </c>
      <c r="BL113" t="str">
        <f t="shared" si="27"/>
        <v>NA</v>
      </c>
      <c r="BM113" t="str">
        <f t="shared" si="28"/>
        <v>NA</v>
      </c>
      <c r="BN113" t="str">
        <f t="shared" si="29"/>
        <v>NA</v>
      </c>
      <c r="BO113" t="str">
        <f t="shared" si="31"/>
        <v/>
      </c>
      <c r="BP113" t="str">
        <f t="shared" si="30"/>
        <v>NA</v>
      </c>
    </row>
    <row r="114" spans="1:68">
      <c r="A114" t="str">
        <f t="shared" ca="1" si="20"/>
        <v>101LowNoTelecom-Non AT&amp;TJ</v>
      </c>
      <c r="B114" t="str">
        <f t="shared" ca="1" si="21"/>
        <v>101LowNoTelecom-Non AT&amp;TK</v>
      </c>
      <c r="C114" t="str">
        <f t="shared" ca="1" si="22"/>
        <v>101LowNoTelecom-Non AT&amp;TL</v>
      </c>
      <c r="D114" s="22">
        <f>D113+1</f>
        <v>101</v>
      </c>
      <c r="E114" s="24" t="str">
        <f>IFERROR(VLOOKUP(D114&amp;$G$3&amp;$G$4&amp;$G$5,'Raw Data'!$C:$BO,2,0),"NA")</f>
        <v>NA</v>
      </c>
      <c r="F114" s="79" t="str">
        <f>IFERROR(VLOOKUP(D114&amp;$G$3&amp;$G$4&amp;$G$5,'Raw Data'!$C:$BO,5,0),"NA")</f>
        <v>NA</v>
      </c>
      <c r="G114" s="44" t="str">
        <f>IFERROR(VLOOKUP(D114&amp;$G$3&amp;$G$4&amp;$G$5,'Raw Data'!$C:$BT,70,0),"NA")</f>
        <v>NA</v>
      </c>
      <c r="H114" s="62" t="str">
        <f>IFERROR(VLOOKUP(D114&amp;$G$3&amp;$G$4&amp;$G$5,'Raw Data'!$C:$BO,7,0),"NA")</f>
        <v>NA</v>
      </c>
      <c r="I114" s="29" t="str">
        <f>IFERROR(VLOOKUP(D114&amp;$G$3&amp;$G$4&amp;$G$5,'Raw Data'!$C:$BO,11,0),"NA")</f>
        <v>NA</v>
      </c>
      <c r="J114" s="26" t="str">
        <f>IFERROR(VLOOKUP(D114&amp;$G$3&amp;$G$4&amp;$G$5,'Raw Data'!$C:$BO,26,0),"NA")</f>
        <v>NA</v>
      </c>
      <c r="K114" s="26" t="str">
        <f>IFERROR(VLOOKUP(D114&amp;$G$3&amp;$G$4&amp;$G$5,'Raw Data'!$C:$BO,39,0),"NA")</f>
        <v>NA</v>
      </c>
      <c r="L114" s="26" t="str">
        <f>IFERROR(VLOOKUP(D114&amp;$G$3&amp;$G$4&amp;$G$5,'Raw Data'!$C:$BO,65,0),"NA")</f>
        <v>NA</v>
      </c>
      <c r="M114" s="26" t="str">
        <f>IFERROR(VLOOKUP(D114&amp;$G$3&amp;$G$4&amp;G106,'Raw Data'!$C:$BO,52,0),"NA")</f>
        <v>NA</v>
      </c>
      <c r="N114" s="26">
        <f t="shared" si="23"/>
        <v>0</v>
      </c>
      <c r="O114" s="78" t="str">
        <f t="shared" si="24"/>
        <v>NA</v>
      </c>
      <c r="P114" s="26" t="str">
        <f>IFERROR(VLOOKUP(D114&amp;$G$3&amp;$G$4&amp;$G$5,'Raw Data'!$C:$BS,66,0),"NA")</f>
        <v>NA</v>
      </c>
      <c r="Q114" s="26" t="str">
        <f>IFERROR(VLOOKUP(D114&amp;$G$3&amp;$G$4&amp;$G$5,'Raw Data'!$C:$BS,67,0),"NA")</f>
        <v>NA</v>
      </c>
      <c r="R114" s="26" t="str">
        <f>IFERROR(VLOOKUP(D114&amp;$G$3&amp;$G$4&amp;$G$5,'Raw Data'!$C:$BS,68,0),"NA")</f>
        <v>NA</v>
      </c>
      <c r="S114" s="26" t="str">
        <f>IFERROR(VLOOKUP(D114&amp;$G$3&amp;$G$4&amp;$G$5,'Raw Data'!$C:$BS,69,0),"NA")</f>
        <v>NA</v>
      </c>
      <c r="T114" s="44" t="str">
        <f t="shared" si="25"/>
        <v>NA</v>
      </c>
      <c r="BK114" s="60" t="str">
        <f t="shared" si="26"/>
        <v>NA</v>
      </c>
      <c r="BL114" t="str">
        <f t="shared" si="27"/>
        <v>NA</v>
      </c>
      <c r="BM114" t="str">
        <f t="shared" si="28"/>
        <v>NA</v>
      </c>
      <c r="BN114" t="str">
        <f t="shared" si="29"/>
        <v>NA</v>
      </c>
      <c r="BO114" t="str">
        <f t="shared" si="31"/>
        <v/>
      </c>
      <c r="BP114" t="str">
        <f t="shared" si="30"/>
        <v>NA</v>
      </c>
    </row>
    <row r="115" spans="1:68">
      <c r="A115" t="str">
        <f t="shared" ca="1" si="20"/>
        <v>102LowNoTelecom-Non AT&amp;TJ</v>
      </c>
      <c r="B115" t="str">
        <f t="shared" ca="1" si="21"/>
        <v>102LowNoTelecom-Non AT&amp;TK</v>
      </c>
      <c r="C115" t="str">
        <f t="shared" ca="1" si="22"/>
        <v>102LowNoTelecom-Non AT&amp;TL</v>
      </c>
      <c r="D115" s="22">
        <f t="shared" ref="D115:D164" si="32">D114+1</f>
        <v>102</v>
      </c>
      <c r="E115" s="24" t="str">
        <f>IFERROR(VLOOKUP(D115&amp;$G$3&amp;$G$4&amp;$G$5,'Raw Data'!$C:$BO,2,0),"NA")</f>
        <v>NA</v>
      </c>
      <c r="F115" s="79" t="str">
        <f>IFERROR(VLOOKUP(D115&amp;$G$3&amp;$G$4&amp;$G$5,'Raw Data'!$C:$BO,5,0),"NA")</f>
        <v>NA</v>
      </c>
      <c r="G115" s="44" t="str">
        <f>IFERROR(VLOOKUP(D115&amp;$G$3&amp;$G$4&amp;$G$5,'Raw Data'!$C:$BT,70,0),"NA")</f>
        <v>NA</v>
      </c>
      <c r="H115" s="62" t="str">
        <f>IFERROR(VLOOKUP(D115&amp;$G$3&amp;$G$4&amp;$G$5,'Raw Data'!$C:$BO,7,0),"NA")</f>
        <v>NA</v>
      </c>
      <c r="I115" s="29" t="str">
        <f>IFERROR(VLOOKUP(D115&amp;$G$3&amp;$G$4&amp;$G$5,'Raw Data'!$C:$BO,11,0),"NA")</f>
        <v>NA</v>
      </c>
      <c r="J115" s="26" t="str">
        <f>IFERROR(VLOOKUP(D115&amp;$G$3&amp;$G$4&amp;$G$5,'Raw Data'!$C:$BO,26,0),"NA")</f>
        <v>NA</v>
      </c>
      <c r="K115" s="26" t="str">
        <f>IFERROR(VLOOKUP(D115&amp;$G$3&amp;$G$4&amp;$G$5,'Raw Data'!$C:$BO,39,0),"NA")</f>
        <v>NA</v>
      </c>
      <c r="L115" s="26" t="str">
        <f>IFERROR(VLOOKUP(D115&amp;$G$3&amp;$G$4&amp;$G$5,'Raw Data'!$C:$BO,65,0),"NA")</f>
        <v>NA</v>
      </c>
      <c r="M115" s="26" t="str">
        <f>IFERROR(VLOOKUP(D115&amp;$G$3&amp;$G$4&amp;G107,'Raw Data'!$C:$BO,52,0),"NA")</f>
        <v>NA</v>
      </c>
      <c r="N115" s="26">
        <f t="shared" si="23"/>
        <v>0</v>
      </c>
      <c r="O115" s="78" t="str">
        <f t="shared" si="24"/>
        <v>NA</v>
      </c>
      <c r="P115" s="26" t="str">
        <f>IFERROR(VLOOKUP(D115&amp;$G$3&amp;$G$4&amp;$G$5,'Raw Data'!$C:$BS,66,0),"NA")</f>
        <v>NA</v>
      </c>
      <c r="Q115" s="26" t="str">
        <f>IFERROR(VLOOKUP(D115&amp;$G$3&amp;$G$4&amp;$G$5,'Raw Data'!$C:$BS,67,0),"NA")</f>
        <v>NA</v>
      </c>
      <c r="R115" s="26" t="str">
        <f>IFERROR(VLOOKUP(D115&amp;$G$3&amp;$G$4&amp;$G$5,'Raw Data'!$C:$BS,68,0),"NA")</f>
        <v>NA</v>
      </c>
      <c r="S115" s="26" t="str">
        <f>IFERROR(VLOOKUP(D115&amp;$G$3&amp;$G$4&amp;$G$5,'Raw Data'!$C:$BS,69,0),"NA")</f>
        <v>NA</v>
      </c>
      <c r="T115" s="44" t="str">
        <f t="shared" si="25"/>
        <v>NA</v>
      </c>
      <c r="BK115" s="60" t="str">
        <f t="shared" si="26"/>
        <v>NA</v>
      </c>
      <c r="BL115" t="str">
        <f t="shared" si="27"/>
        <v>NA</v>
      </c>
      <c r="BM115" t="str">
        <f t="shared" si="28"/>
        <v>NA</v>
      </c>
      <c r="BN115" t="str">
        <f t="shared" si="29"/>
        <v>NA</v>
      </c>
      <c r="BO115" t="str">
        <f t="shared" si="31"/>
        <v/>
      </c>
      <c r="BP115" t="str">
        <f t="shared" si="30"/>
        <v>NA</v>
      </c>
    </row>
    <row r="116" spans="1:68">
      <c r="A116" t="str">
        <f t="shared" ca="1" si="20"/>
        <v>103LowNoTelecom-Non AT&amp;TJ</v>
      </c>
      <c r="B116" t="str">
        <f t="shared" ca="1" si="21"/>
        <v>103LowNoTelecom-Non AT&amp;TK</v>
      </c>
      <c r="C116" t="str">
        <f t="shared" ca="1" si="22"/>
        <v>103LowNoTelecom-Non AT&amp;TL</v>
      </c>
      <c r="D116" s="22">
        <f t="shared" si="32"/>
        <v>103</v>
      </c>
      <c r="E116" s="24" t="str">
        <f>IFERROR(VLOOKUP(D116&amp;$G$3&amp;$G$4&amp;$G$5,'Raw Data'!$C:$BO,2,0),"NA")</f>
        <v>NA</v>
      </c>
      <c r="F116" s="79" t="str">
        <f>IFERROR(VLOOKUP(D116&amp;$G$3&amp;$G$4&amp;$G$5,'Raw Data'!$C:$BO,5,0),"NA")</f>
        <v>NA</v>
      </c>
      <c r="G116" s="44" t="str">
        <f>IFERROR(VLOOKUP(D116&amp;$G$3&amp;$G$4&amp;$G$5,'Raw Data'!$C:$BT,70,0),"NA")</f>
        <v>NA</v>
      </c>
      <c r="H116" s="62" t="str">
        <f>IFERROR(VLOOKUP(D116&amp;$G$3&amp;$G$4&amp;$G$5,'Raw Data'!$C:$BO,7,0),"NA")</f>
        <v>NA</v>
      </c>
      <c r="I116" s="29" t="str">
        <f>IFERROR(VLOOKUP(D116&amp;$G$3&amp;$G$4&amp;$G$5,'Raw Data'!$C:$BO,11,0),"NA")</f>
        <v>NA</v>
      </c>
      <c r="J116" s="26" t="str">
        <f>IFERROR(VLOOKUP(D116&amp;$G$3&amp;$G$4&amp;$G$5,'Raw Data'!$C:$BO,26,0),"NA")</f>
        <v>NA</v>
      </c>
      <c r="K116" s="26" t="str">
        <f>IFERROR(VLOOKUP(D116&amp;$G$3&amp;$G$4&amp;$G$5,'Raw Data'!$C:$BO,39,0),"NA")</f>
        <v>NA</v>
      </c>
      <c r="L116" s="26" t="str">
        <f>IFERROR(VLOOKUP(D116&amp;$G$3&amp;$G$4&amp;$G$5,'Raw Data'!$C:$BO,65,0),"NA")</f>
        <v>NA</v>
      </c>
      <c r="M116" s="26" t="str">
        <f>IFERROR(VLOOKUP(D116&amp;$G$3&amp;$G$4&amp;G108,'Raw Data'!$C:$BO,52,0),"NA")</f>
        <v>NA</v>
      </c>
      <c r="N116" s="26">
        <f t="shared" si="23"/>
        <v>0</v>
      </c>
      <c r="O116" s="78" t="str">
        <f t="shared" si="24"/>
        <v>NA</v>
      </c>
      <c r="P116" s="26" t="str">
        <f>IFERROR(VLOOKUP(D116&amp;$G$3&amp;$G$4&amp;$G$5,'Raw Data'!$C:$BS,66,0),"NA")</f>
        <v>NA</v>
      </c>
      <c r="Q116" s="26" t="str">
        <f>IFERROR(VLOOKUP(D116&amp;$G$3&amp;$G$4&amp;$G$5,'Raw Data'!$C:$BS,67,0),"NA")</f>
        <v>NA</v>
      </c>
      <c r="R116" s="26" t="str">
        <f>IFERROR(VLOOKUP(D116&amp;$G$3&amp;$G$4&amp;$G$5,'Raw Data'!$C:$BS,68,0),"NA")</f>
        <v>NA</v>
      </c>
      <c r="S116" s="26" t="str">
        <f>IFERROR(VLOOKUP(D116&amp;$G$3&amp;$G$4&amp;$G$5,'Raw Data'!$C:$BS,69,0),"NA")</f>
        <v>NA</v>
      </c>
      <c r="T116" s="44" t="str">
        <f t="shared" si="25"/>
        <v>NA</v>
      </c>
      <c r="BK116" s="60" t="str">
        <f t="shared" si="26"/>
        <v>NA</v>
      </c>
      <c r="BL116" t="str">
        <f t="shared" si="27"/>
        <v>NA</v>
      </c>
      <c r="BM116" t="str">
        <f t="shared" si="28"/>
        <v>NA</v>
      </c>
      <c r="BN116" t="str">
        <f t="shared" si="29"/>
        <v>NA</v>
      </c>
      <c r="BO116" t="str">
        <f t="shared" si="31"/>
        <v/>
      </c>
      <c r="BP116" t="str">
        <f t="shared" si="30"/>
        <v>NA</v>
      </c>
    </row>
    <row r="117" spans="1:68">
      <c r="A117" t="str">
        <f t="shared" ca="1" si="20"/>
        <v>104LowNoTelecom-Non AT&amp;TJ</v>
      </c>
      <c r="B117" t="str">
        <f t="shared" ca="1" si="21"/>
        <v>104LowNoTelecom-Non AT&amp;TK</v>
      </c>
      <c r="C117" t="str">
        <f t="shared" ca="1" si="22"/>
        <v>104LowNoTelecom-Non AT&amp;TL</v>
      </c>
      <c r="D117" s="22">
        <f t="shared" si="32"/>
        <v>104</v>
      </c>
      <c r="E117" s="24" t="str">
        <f>IFERROR(VLOOKUP(D117&amp;$G$3&amp;$G$4&amp;$G$5,'Raw Data'!$C:$BO,2,0),"NA")</f>
        <v>NA</v>
      </c>
      <c r="F117" s="79" t="str">
        <f>IFERROR(VLOOKUP(D117&amp;$G$3&amp;$G$4&amp;$G$5,'Raw Data'!$C:$BO,5,0),"NA")</f>
        <v>NA</v>
      </c>
      <c r="G117" s="44" t="str">
        <f>IFERROR(VLOOKUP(D117&amp;$G$3&amp;$G$4&amp;$G$5,'Raw Data'!$C:$BT,70,0),"NA")</f>
        <v>NA</v>
      </c>
      <c r="H117" s="62" t="str">
        <f>IFERROR(VLOOKUP(D117&amp;$G$3&amp;$G$4&amp;$G$5,'Raw Data'!$C:$BO,7,0),"NA")</f>
        <v>NA</v>
      </c>
      <c r="I117" s="29" t="str">
        <f>IFERROR(VLOOKUP(D117&amp;$G$3&amp;$G$4&amp;$G$5,'Raw Data'!$C:$BO,11,0),"NA")</f>
        <v>NA</v>
      </c>
      <c r="J117" s="26" t="str">
        <f>IFERROR(VLOOKUP(D117&amp;$G$3&amp;$G$4&amp;$G$5,'Raw Data'!$C:$BO,26,0),"NA")</f>
        <v>NA</v>
      </c>
      <c r="K117" s="26" t="str">
        <f>IFERROR(VLOOKUP(D117&amp;$G$3&amp;$G$4&amp;$G$5,'Raw Data'!$C:$BO,39,0),"NA")</f>
        <v>NA</v>
      </c>
      <c r="L117" s="26" t="str">
        <f>IFERROR(VLOOKUP(D117&amp;$G$3&amp;$G$4&amp;$G$5,'Raw Data'!$C:$BO,65,0),"NA")</f>
        <v>NA</v>
      </c>
      <c r="M117" s="26" t="str">
        <f>IFERROR(VLOOKUP(D117&amp;$G$3&amp;$G$4&amp;G109,'Raw Data'!$C:$BO,52,0),"NA")</f>
        <v>NA</v>
      </c>
      <c r="N117" s="26">
        <f t="shared" si="23"/>
        <v>0</v>
      </c>
      <c r="O117" s="78" t="str">
        <f t="shared" si="24"/>
        <v>NA</v>
      </c>
      <c r="P117" s="26" t="str">
        <f>IFERROR(VLOOKUP(D117&amp;$G$3&amp;$G$4&amp;$G$5,'Raw Data'!$C:$BS,66,0),"NA")</f>
        <v>NA</v>
      </c>
      <c r="Q117" s="26" t="str">
        <f>IFERROR(VLOOKUP(D117&amp;$G$3&amp;$G$4&amp;$G$5,'Raw Data'!$C:$BS,67,0),"NA")</f>
        <v>NA</v>
      </c>
      <c r="R117" s="26" t="str">
        <f>IFERROR(VLOOKUP(D117&amp;$G$3&amp;$G$4&amp;$G$5,'Raw Data'!$C:$BS,68,0),"NA")</f>
        <v>NA</v>
      </c>
      <c r="S117" s="26" t="str">
        <f>IFERROR(VLOOKUP(D117&amp;$G$3&amp;$G$4&amp;$G$5,'Raw Data'!$C:$BS,69,0),"NA")</f>
        <v>NA</v>
      </c>
      <c r="T117" s="44" t="str">
        <f t="shared" si="25"/>
        <v>NA</v>
      </c>
      <c r="BK117" s="60" t="str">
        <f t="shared" si="26"/>
        <v>NA</v>
      </c>
      <c r="BL117" t="str">
        <f t="shared" si="27"/>
        <v>NA</v>
      </c>
      <c r="BM117" t="str">
        <f t="shared" si="28"/>
        <v>NA</v>
      </c>
      <c r="BN117" t="str">
        <f t="shared" si="29"/>
        <v>NA</v>
      </c>
      <c r="BO117" t="str">
        <f t="shared" si="31"/>
        <v/>
      </c>
      <c r="BP117" t="str">
        <f t="shared" si="30"/>
        <v>NA</v>
      </c>
    </row>
    <row r="118" spans="1:68">
      <c r="A118" t="str">
        <f t="shared" ca="1" si="20"/>
        <v>105LowNoTelecom-Non AT&amp;TJ</v>
      </c>
      <c r="B118" t="str">
        <f t="shared" ca="1" si="21"/>
        <v>105LowNoTelecom-Non AT&amp;TK</v>
      </c>
      <c r="C118" t="str">
        <f t="shared" ca="1" si="22"/>
        <v>105LowNoTelecom-Non AT&amp;TL</v>
      </c>
      <c r="D118" s="22">
        <f t="shared" si="32"/>
        <v>105</v>
      </c>
      <c r="E118" s="24" t="str">
        <f>IFERROR(VLOOKUP(D118&amp;$G$3&amp;$G$4&amp;$G$5,'Raw Data'!$C:$BO,2,0),"NA")</f>
        <v>NA</v>
      </c>
      <c r="F118" s="79" t="str">
        <f>IFERROR(VLOOKUP(D118&amp;$G$3&amp;$G$4&amp;$G$5,'Raw Data'!$C:$BO,5,0),"NA")</f>
        <v>NA</v>
      </c>
      <c r="G118" s="44" t="str">
        <f>IFERROR(VLOOKUP(D118&amp;$G$3&amp;$G$4&amp;$G$5,'Raw Data'!$C:$BT,70,0),"NA")</f>
        <v>NA</v>
      </c>
      <c r="H118" s="62" t="str">
        <f>IFERROR(VLOOKUP(D118&amp;$G$3&amp;$G$4&amp;$G$5,'Raw Data'!$C:$BO,7,0),"NA")</f>
        <v>NA</v>
      </c>
      <c r="I118" s="29" t="str">
        <f>IFERROR(VLOOKUP(D118&amp;$G$3&amp;$G$4&amp;$G$5,'Raw Data'!$C:$BO,11,0),"NA")</f>
        <v>NA</v>
      </c>
      <c r="J118" s="26" t="str">
        <f>IFERROR(VLOOKUP(D118&amp;$G$3&amp;$G$4&amp;$G$5,'Raw Data'!$C:$BO,26,0),"NA")</f>
        <v>NA</v>
      </c>
      <c r="K118" s="26" t="str">
        <f>IFERROR(VLOOKUP(D118&amp;$G$3&amp;$G$4&amp;$G$5,'Raw Data'!$C:$BO,39,0),"NA")</f>
        <v>NA</v>
      </c>
      <c r="L118" s="26" t="str">
        <f>IFERROR(VLOOKUP(D118&amp;$G$3&amp;$G$4&amp;$G$5,'Raw Data'!$C:$BO,65,0),"NA")</f>
        <v>NA</v>
      </c>
      <c r="M118" s="26" t="str">
        <f>IFERROR(VLOOKUP(D118&amp;$G$3&amp;$G$4&amp;G110,'Raw Data'!$C:$BO,52,0),"NA")</f>
        <v>NA</v>
      </c>
      <c r="N118" s="26">
        <f t="shared" si="23"/>
        <v>0</v>
      </c>
      <c r="O118" s="78" t="str">
        <f t="shared" si="24"/>
        <v>NA</v>
      </c>
      <c r="P118" s="26" t="str">
        <f>IFERROR(VLOOKUP(D118&amp;$G$3&amp;$G$4&amp;$G$5,'Raw Data'!$C:$BS,66,0),"NA")</f>
        <v>NA</v>
      </c>
      <c r="Q118" s="26" t="str">
        <f>IFERROR(VLOOKUP(D118&amp;$G$3&amp;$G$4&amp;$G$5,'Raw Data'!$C:$BS,67,0),"NA")</f>
        <v>NA</v>
      </c>
      <c r="R118" s="26" t="str">
        <f>IFERROR(VLOOKUP(D118&amp;$G$3&amp;$G$4&amp;$G$5,'Raw Data'!$C:$BS,68,0),"NA")</f>
        <v>NA</v>
      </c>
      <c r="S118" s="26" t="str">
        <f>IFERROR(VLOOKUP(D118&amp;$G$3&amp;$G$4&amp;$G$5,'Raw Data'!$C:$BS,69,0),"NA")</f>
        <v>NA</v>
      </c>
      <c r="T118" s="44" t="str">
        <f t="shared" si="25"/>
        <v>NA</v>
      </c>
      <c r="BK118" s="60" t="str">
        <f t="shared" si="26"/>
        <v>NA</v>
      </c>
      <c r="BL118" t="str">
        <f t="shared" si="27"/>
        <v>NA</v>
      </c>
      <c r="BM118" t="str">
        <f t="shared" si="28"/>
        <v>NA</v>
      </c>
      <c r="BN118" t="str">
        <f t="shared" si="29"/>
        <v>NA</v>
      </c>
      <c r="BO118" t="str">
        <f t="shared" si="31"/>
        <v/>
      </c>
      <c r="BP118" t="str">
        <f t="shared" si="30"/>
        <v>NA</v>
      </c>
    </row>
    <row r="119" spans="1:68">
      <c r="A119" t="str">
        <f t="shared" ca="1" si="20"/>
        <v>106LowNoTelecom-Non AT&amp;TJ</v>
      </c>
      <c r="B119" t="str">
        <f t="shared" ca="1" si="21"/>
        <v>106LowNoTelecom-Non AT&amp;TK</v>
      </c>
      <c r="C119" t="str">
        <f t="shared" ca="1" si="22"/>
        <v>106LowNoTelecom-Non AT&amp;TL</v>
      </c>
      <c r="D119" s="22">
        <f t="shared" si="32"/>
        <v>106</v>
      </c>
      <c r="E119" s="24" t="str">
        <f>IFERROR(VLOOKUP(D119&amp;$G$3&amp;$G$4&amp;$G$5,'Raw Data'!$C:$BO,2,0),"NA")</f>
        <v>NA</v>
      </c>
      <c r="F119" s="79" t="str">
        <f>IFERROR(VLOOKUP(D119&amp;$G$3&amp;$G$4&amp;$G$5,'Raw Data'!$C:$BO,5,0),"NA")</f>
        <v>NA</v>
      </c>
      <c r="G119" s="44" t="str">
        <f>IFERROR(VLOOKUP(D119&amp;$G$3&amp;$G$4&amp;$G$5,'Raw Data'!$C:$BT,70,0),"NA")</f>
        <v>NA</v>
      </c>
      <c r="H119" s="62" t="str">
        <f>IFERROR(VLOOKUP(D119&amp;$G$3&amp;$G$4&amp;$G$5,'Raw Data'!$C:$BO,7,0),"NA")</f>
        <v>NA</v>
      </c>
      <c r="I119" s="29" t="str">
        <f>IFERROR(VLOOKUP(D119&amp;$G$3&amp;$G$4&amp;$G$5,'Raw Data'!$C:$BO,11,0),"NA")</f>
        <v>NA</v>
      </c>
      <c r="J119" s="26" t="str">
        <f>IFERROR(VLOOKUP(D119&amp;$G$3&amp;$G$4&amp;$G$5,'Raw Data'!$C:$BO,26,0),"NA")</f>
        <v>NA</v>
      </c>
      <c r="K119" s="26" t="str">
        <f>IFERROR(VLOOKUP(D119&amp;$G$3&amp;$G$4&amp;$G$5,'Raw Data'!$C:$BO,39,0),"NA")</f>
        <v>NA</v>
      </c>
      <c r="L119" s="26" t="str">
        <f>IFERROR(VLOOKUP(D119&amp;$G$3&amp;$G$4&amp;$G$5,'Raw Data'!$C:$BO,65,0),"NA")</f>
        <v>NA</v>
      </c>
      <c r="M119" s="26" t="str">
        <f>IFERROR(VLOOKUP(D119&amp;$G$3&amp;$G$4&amp;G111,'Raw Data'!$C:$BO,52,0),"NA")</f>
        <v>NA</v>
      </c>
      <c r="N119" s="26">
        <f t="shared" si="23"/>
        <v>0</v>
      </c>
      <c r="O119" s="78" t="str">
        <f t="shared" si="24"/>
        <v>NA</v>
      </c>
      <c r="P119" s="26" t="str">
        <f>IFERROR(VLOOKUP(D119&amp;$G$3&amp;$G$4&amp;$G$5,'Raw Data'!$C:$BS,66,0),"NA")</f>
        <v>NA</v>
      </c>
      <c r="Q119" s="26" t="str">
        <f>IFERROR(VLOOKUP(D119&amp;$G$3&amp;$G$4&amp;$G$5,'Raw Data'!$C:$BS,67,0),"NA")</f>
        <v>NA</v>
      </c>
      <c r="R119" s="26" t="str">
        <f>IFERROR(VLOOKUP(D119&amp;$G$3&amp;$G$4&amp;$G$5,'Raw Data'!$C:$BS,68,0),"NA")</f>
        <v>NA</v>
      </c>
      <c r="S119" s="26" t="str">
        <f>IFERROR(VLOOKUP(D119&amp;$G$3&amp;$G$4&amp;$G$5,'Raw Data'!$C:$BS,69,0),"NA")</f>
        <v>NA</v>
      </c>
      <c r="T119" s="44" t="str">
        <f t="shared" si="25"/>
        <v>NA</v>
      </c>
      <c r="BK119" s="60" t="str">
        <f t="shared" si="26"/>
        <v>NA</v>
      </c>
      <c r="BL119" t="str">
        <f t="shared" si="27"/>
        <v>NA</v>
      </c>
      <c r="BM119" t="str">
        <f t="shared" si="28"/>
        <v>NA</v>
      </c>
      <c r="BN119" t="str">
        <f t="shared" si="29"/>
        <v>NA</v>
      </c>
      <c r="BO119" t="str">
        <f t="shared" si="31"/>
        <v/>
      </c>
      <c r="BP119" t="str">
        <f t="shared" si="30"/>
        <v>NA</v>
      </c>
    </row>
    <row r="120" spans="1:68">
      <c r="A120" t="str">
        <f t="shared" ca="1" si="20"/>
        <v>107LowNoTelecom-Non AT&amp;TJ</v>
      </c>
      <c r="B120" t="str">
        <f t="shared" ca="1" si="21"/>
        <v>107LowNoTelecom-Non AT&amp;TK</v>
      </c>
      <c r="C120" t="str">
        <f t="shared" ca="1" si="22"/>
        <v>107LowNoTelecom-Non AT&amp;TL</v>
      </c>
      <c r="D120" s="22">
        <f t="shared" si="32"/>
        <v>107</v>
      </c>
      <c r="E120" s="24" t="str">
        <f>IFERROR(VLOOKUP(D120&amp;$G$3&amp;$G$4&amp;$G$5,'Raw Data'!$C:$BO,2,0),"NA")</f>
        <v>NA</v>
      </c>
      <c r="F120" s="79" t="str">
        <f>IFERROR(VLOOKUP(D120&amp;$G$3&amp;$G$4&amp;$G$5,'Raw Data'!$C:$BO,5,0),"NA")</f>
        <v>NA</v>
      </c>
      <c r="G120" s="44" t="str">
        <f>IFERROR(VLOOKUP(D120&amp;$G$3&amp;$G$4&amp;$G$5,'Raw Data'!$C:$BT,70,0),"NA")</f>
        <v>NA</v>
      </c>
      <c r="H120" s="62" t="str">
        <f>IFERROR(VLOOKUP(D120&amp;$G$3&amp;$G$4&amp;$G$5,'Raw Data'!$C:$BO,7,0),"NA")</f>
        <v>NA</v>
      </c>
      <c r="I120" s="29" t="str">
        <f>IFERROR(VLOOKUP(D120&amp;$G$3&amp;$G$4&amp;$G$5,'Raw Data'!$C:$BO,11,0),"NA")</f>
        <v>NA</v>
      </c>
      <c r="J120" s="26" t="str">
        <f>IFERROR(VLOOKUP(D120&amp;$G$3&amp;$G$4&amp;$G$5,'Raw Data'!$C:$BO,26,0),"NA")</f>
        <v>NA</v>
      </c>
      <c r="K120" s="26" t="str">
        <f>IFERROR(VLOOKUP(D120&amp;$G$3&amp;$G$4&amp;$G$5,'Raw Data'!$C:$BO,39,0),"NA")</f>
        <v>NA</v>
      </c>
      <c r="L120" s="26" t="str">
        <f>IFERROR(VLOOKUP(D120&amp;$G$3&amp;$G$4&amp;$G$5,'Raw Data'!$C:$BO,65,0),"NA")</f>
        <v>NA</v>
      </c>
      <c r="M120" s="26" t="str">
        <f>IFERROR(VLOOKUP(D120&amp;$G$3&amp;$G$4&amp;G112,'Raw Data'!$C:$BO,52,0),"NA")</f>
        <v>NA</v>
      </c>
      <c r="N120" s="26">
        <f t="shared" si="23"/>
        <v>0</v>
      </c>
      <c r="O120" s="78" t="str">
        <f t="shared" si="24"/>
        <v>NA</v>
      </c>
      <c r="P120" s="26" t="str">
        <f>IFERROR(VLOOKUP(D120&amp;$G$3&amp;$G$4&amp;$G$5,'Raw Data'!$C:$BS,66,0),"NA")</f>
        <v>NA</v>
      </c>
      <c r="Q120" s="26" t="str">
        <f>IFERROR(VLOOKUP(D120&amp;$G$3&amp;$G$4&amp;$G$5,'Raw Data'!$C:$BS,67,0),"NA")</f>
        <v>NA</v>
      </c>
      <c r="R120" s="26" t="str">
        <f>IFERROR(VLOOKUP(D120&amp;$G$3&amp;$G$4&amp;$G$5,'Raw Data'!$C:$BS,68,0),"NA")</f>
        <v>NA</v>
      </c>
      <c r="S120" s="26" t="str">
        <f>IFERROR(VLOOKUP(D120&amp;$G$3&amp;$G$4&amp;$G$5,'Raw Data'!$C:$BS,69,0),"NA")</f>
        <v>NA</v>
      </c>
      <c r="T120" s="44" t="str">
        <f t="shared" si="25"/>
        <v>NA</v>
      </c>
      <c r="BK120" s="60" t="str">
        <f t="shared" si="26"/>
        <v>NA</v>
      </c>
      <c r="BL120" t="str">
        <f t="shared" si="27"/>
        <v>NA</v>
      </c>
      <c r="BM120" t="str">
        <f t="shared" si="28"/>
        <v>NA</v>
      </c>
      <c r="BN120" t="str">
        <f t="shared" si="29"/>
        <v>NA</v>
      </c>
      <c r="BO120" t="str">
        <f t="shared" si="31"/>
        <v/>
      </c>
      <c r="BP120" t="str">
        <f t="shared" si="30"/>
        <v>NA</v>
      </c>
    </row>
    <row r="121" spans="1:68">
      <c r="A121" t="str">
        <f t="shared" ca="1" si="20"/>
        <v>108LowNoTelecom-Non AT&amp;TJ</v>
      </c>
      <c r="B121" t="str">
        <f t="shared" ca="1" si="21"/>
        <v>108LowNoTelecom-Non AT&amp;TK</v>
      </c>
      <c r="C121" t="str">
        <f t="shared" ca="1" si="22"/>
        <v>108LowNoTelecom-Non AT&amp;TL</v>
      </c>
      <c r="D121" s="22">
        <f t="shared" si="32"/>
        <v>108</v>
      </c>
      <c r="E121" s="24" t="str">
        <f>IFERROR(VLOOKUP(D121&amp;$G$3&amp;$G$4&amp;$G$5,'Raw Data'!$C:$BO,2,0),"NA")</f>
        <v>NA</v>
      </c>
      <c r="F121" s="79" t="str">
        <f>IFERROR(VLOOKUP(D121&amp;$G$3&amp;$G$4&amp;$G$5,'Raw Data'!$C:$BO,5,0),"NA")</f>
        <v>NA</v>
      </c>
      <c r="G121" s="44" t="str">
        <f>IFERROR(VLOOKUP(D121&amp;$G$3&amp;$G$4&amp;$G$5,'Raw Data'!$C:$BT,70,0),"NA")</f>
        <v>NA</v>
      </c>
      <c r="H121" s="62" t="str">
        <f>IFERROR(VLOOKUP(D121&amp;$G$3&amp;$G$4&amp;$G$5,'Raw Data'!$C:$BO,7,0),"NA")</f>
        <v>NA</v>
      </c>
      <c r="I121" s="29" t="str">
        <f>IFERROR(VLOOKUP(D121&amp;$G$3&amp;$G$4&amp;$G$5,'Raw Data'!$C:$BO,11,0),"NA")</f>
        <v>NA</v>
      </c>
      <c r="J121" s="26" t="str">
        <f>IFERROR(VLOOKUP(D121&amp;$G$3&amp;$G$4&amp;$G$5,'Raw Data'!$C:$BO,26,0),"NA")</f>
        <v>NA</v>
      </c>
      <c r="K121" s="26" t="str">
        <f>IFERROR(VLOOKUP(D121&amp;$G$3&amp;$G$4&amp;$G$5,'Raw Data'!$C:$BO,39,0),"NA")</f>
        <v>NA</v>
      </c>
      <c r="L121" s="26" t="str">
        <f>IFERROR(VLOOKUP(D121&amp;$G$3&amp;$G$4&amp;$G$5,'Raw Data'!$C:$BO,65,0),"NA")</f>
        <v>NA</v>
      </c>
      <c r="M121" s="26" t="str">
        <f>IFERROR(VLOOKUP(D121&amp;$G$3&amp;$G$4&amp;G113,'Raw Data'!$C:$BO,52,0),"NA")</f>
        <v>NA</v>
      </c>
      <c r="N121" s="26">
        <f t="shared" si="23"/>
        <v>0</v>
      </c>
      <c r="O121" s="78" t="str">
        <f t="shared" si="24"/>
        <v>NA</v>
      </c>
      <c r="P121" s="26" t="str">
        <f>IFERROR(VLOOKUP(D121&amp;$G$3&amp;$G$4&amp;$G$5,'Raw Data'!$C:$BS,66,0),"NA")</f>
        <v>NA</v>
      </c>
      <c r="Q121" s="26" t="str">
        <f>IFERROR(VLOOKUP(D121&amp;$G$3&amp;$G$4&amp;$G$5,'Raw Data'!$C:$BS,67,0),"NA")</f>
        <v>NA</v>
      </c>
      <c r="R121" s="26" t="str">
        <f>IFERROR(VLOOKUP(D121&amp;$G$3&amp;$G$4&amp;$G$5,'Raw Data'!$C:$BS,68,0),"NA")</f>
        <v>NA</v>
      </c>
      <c r="S121" s="26" t="str">
        <f>IFERROR(VLOOKUP(D121&amp;$G$3&amp;$G$4&amp;$G$5,'Raw Data'!$C:$BS,69,0),"NA")</f>
        <v>NA</v>
      </c>
      <c r="T121" s="44" t="str">
        <f t="shared" si="25"/>
        <v>NA</v>
      </c>
      <c r="BK121" s="60" t="str">
        <f t="shared" si="26"/>
        <v>NA</v>
      </c>
      <c r="BL121" t="str">
        <f t="shared" si="27"/>
        <v>NA</v>
      </c>
      <c r="BM121" t="str">
        <f t="shared" si="28"/>
        <v>NA</v>
      </c>
      <c r="BN121" t="str">
        <f t="shared" si="29"/>
        <v>NA</v>
      </c>
      <c r="BO121" t="str">
        <f t="shared" si="31"/>
        <v/>
      </c>
      <c r="BP121" t="str">
        <f t="shared" si="30"/>
        <v>NA</v>
      </c>
    </row>
    <row r="122" spans="1:68">
      <c r="A122" t="str">
        <f t="shared" ca="1" si="20"/>
        <v>109LowNoTelecom-Non AT&amp;TJ</v>
      </c>
      <c r="B122" t="str">
        <f t="shared" ca="1" si="21"/>
        <v>109LowNoTelecom-Non AT&amp;TK</v>
      </c>
      <c r="C122" t="str">
        <f t="shared" ca="1" si="22"/>
        <v>109LowNoTelecom-Non AT&amp;TL</v>
      </c>
      <c r="D122" s="22">
        <f t="shared" si="32"/>
        <v>109</v>
      </c>
      <c r="E122" s="24" t="str">
        <f>IFERROR(VLOOKUP(D122&amp;$G$3&amp;$G$4&amp;$G$5,'Raw Data'!$C:$BO,2,0),"NA")</f>
        <v>NA</v>
      </c>
      <c r="F122" s="79" t="str">
        <f>IFERROR(VLOOKUP(D122&amp;$G$3&amp;$G$4&amp;$G$5,'Raw Data'!$C:$BO,5,0),"NA")</f>
        <v>NA</v>
      </c>
      <c r="G122" s="44" t="str">
        <f>IFERROR(VLOOKUP(D122&amp;$G$3&amp;$G$4&amp;$G$5,'Raw Data'!$C:$BT,70,0),"NA")</f>
        <v>NA</v>
      </c>
      <c r="H122" s="62" t="str">
        <f>IFERROR(VLOOKUP(D122&amp;$G$3&amp;$G$4&amp;$G$5,'Raw Data'!$C:$BO,7,0),"NA")</f>
        <v>NA</v>
      </c>
      <c r="I122" s="29" t="str">
        <f>IFERROR(VLOOKUP(D122&amp;$G$3&amp;$G$4&amp;$G$5,'Raw Data'!$C:$BO,11,0),"NA")</f>
        <v>NA</v>
      </c>
      <c r="J122" s="26" t="str">
        <f>IFERROR(VLOOKUP(D122&amp;$G$3&amp;$G$4&amp;$G$5,'Raw Data'!$C:$BO,26,0),"NA")</f>
        <v>NA</v>
      </c>
      <c r="K122" s="26" t="str">
        <f>IFERROR(VLOOKUP(D122&amp;$G$3&amp;$G$4&amp;$G$5,'Raw Data'!$C:$BO,39,0),"NA")</f>
        <v>NA</v>
      </c>
      <c r="L122" s="26" t="str">
        <f>IFERROR(VLOOKUP(D122&amp;$G$3&amp;$G$4&amp;$G$5,'Raw Data'!$C:$BO,65,0),"NA")</f>
        <v>NA</v>
      </c>
      <c r="M122" s="26" t="str">
        <f>IFERROR(VLOOKUP(D122&amp;$G$3&amp;$G$4&amp;G114,'Raw Data'!$C:$BO,52,0),"NA")</f>
        <v>NA</v>
      </c>
      <c r="N122" s="26">
        <f t="shared" si="23"/>
        <v>0</v>
      </c>
      <c r="O122" s="78" t="str">
        <f t="shared" si="24"/>
        <v>NA</v>
      </c>
      <c r="P122" s="26" t="str">
        <f>IFERROR(VLOOKUP(D122&amp;$G$3&amp;$G$4&amp;$G$5,'Raw Data'!$C:$BS,66,0),"NA")</f>
        <v>NA</v>
      </c>
      <c r="Q122" s="26" t="str">
        <f>IFERROR(VLOOKUP(D122&amp;$G$3&amp;$G$4&amp;$G$5,'Raw Data'!$C:$BS,67,0),"NA")</f>
        <v>NA</v>
      </c>
      <c r="R122" s="26" t="str">
        <f>IFERROR(VLOOKUP(D122&amp;$G$3&amp;$G$4&amp;$G$5,'Raw Data'!$C:$BS,68,0),"NA")</f>
        <v>NA</v>
      </c>
      <c r="S122" s="26" t="str">
        <f>IFERROR(VLOOKUP(D122&amp;$G$3&amp;$G$4&amp;$G$5,'Raw Data'!$C:$BS,69,0),"NA")</f>
        <v>NA</v>
      </c>
      <c r="T122" s="44" t="str">
        <f t="shared" si="25"/>
        <v>NA</v>
      </c>
      <c r="BK122" s="60" t="str">
        <f t="shared" si="26"/>
        <v>NA</v>
      </c>
      <c r="BL122" t="str">
        <f t="shared" si="27"/>
        <v>NA</v>
      </c>
      <c r="BM122" t="str">
        <f t="shared" si="28"/>
        <v>NA</v>
      </c>
      <c r="BN122" t="str">
        <f t="shared" si="29"/>
        <v>NA</v>
      </c>
      <c r="BO122" t="str">
        <f t="shared" si="31"/>
        <v/>
      </c>
      <c r="BP122" t="str">
        <f t="shared" si="30"/>
        <v>NA</v>
      </c>
    </row>
    <row r="123" spans="1:68">
      <c r="A123" t="str">
        <f t="shared" ca="1" si="20"/>
        <v>110LowNoTelecom-Non AT&amp;TJ</v>
      </c>
      <c r="B123" t="str">
        <f t="shared" ca="1" si="21"/>
        <v>110LowNoTelecom-Non AT&amp;TK</v>
      </c>
      <c r="C123" t="str">
        <f t="shared" ca="1" si="22"/>
        <v>110LowNoTelecom-Non AT&amp;TL</v>
      </c>
      <c r="D123" s="22">
        <f t="shared" si="32"/>
        <v>110</v>
      </c>
      <c r="E123" s="24" t="str">
        <f>IFERROR(VLOOKUP(D123&amp;$G$3&amp;$G$4&amp;$G$5,'Raw Data'!$C:$BO,2,0),"NA")</f>
        <v>NA</v>
      </c>
      <c r="F123" s="79" t="str">
        <f>IFERROR(VLOOKUP(D123&amp;$G$3&amp;$G$4&amp;$G$5,'Raw Data'!$C:$BO,5,0),"NA")</f>
        <v>NA</v>
      </c>
      <c r="G123" s="44" t="str">
        <f>IFERROR(VLOOKUP(D123&amp;$G$3&amp;$G$4&amp;$G$5,'Raw Data'!$C:$BT,70,0),"NA")</f>
        <v>NA</v>
      </c>
      <c r="H123" s="62" t="str">
        <f>IFERROR(VLOOKUP(D123&amp;$G$3&amp;$G$4&amp;$G$5,'Raw Data'!$C:$BO,7,0),"NA")</f>
        <v>NA</v>
      </c>
      <c r="I123" s="29" t="str">
        <f>IFERROR(VLOOKUP(D123&amp;$G$3&amp;$G$4&amp;$G$5,'Raw Data'!$C:$BO,11,0),"NA")</f>
        <v>NA</v>
      </c>
      <c r="J123" s="26" t="str">
        <f>IFERROR(VLOOKUP(D123&amp;$G$3&amp;$G$4&amp;$G$5,'Raw Data'!$C:$BO,26,0),"NA")</f>
        <v>NA</v>
      </c>
      <c r="K123" s="26" t="str">
        <f>IFERROR(VLOOKUP(D123&amp;$G$3&amp;$G$4&amp;$G$5,'Raw Data'!$C:$BO,39,0),"NA")</f>
        <v>NA</v>
      </c>
      <c r="L123" s="26" t="str">
        <f>IFERROR(VLOOKUP(D123&amp;$G$3&amp;$G$4&amp;$G$5,'Raw Data'!$C:$BO,65,0),"NA")</f>
        <v>NA</v>
      </c>
      <c r="M123" s="26" t="str">
        <f>IFERROR(VLOOKUP(D123&amp;$G$3&amp;$G$4&amp;G115,'Raw Data'!$C:$BO,52,0),"NA")</f>
        <v>NA</v>
      </c>
      <c r="N123" s="26">
        <f t="shared" si="23"/>
        <v>0</v>
      </c>
      <c r="O123" s="78" t="str">
        <f t="shared" si="24"/>
        <v>NA</v>
      </c>
      <c r="P123" s="26" t="str">
        <f>IFERROR(VLOOKUP(D123&amp;$G$3&amp;$G$4&amp;$G$5,'Raw Data'!$C:$BS,66,0),"NA")</f>
        <v>NA</v>
      </c>
      <c r="Q123" s="26" t="str">
        <f>IFERROR(VLOOKUP(D123&amp;$G$3&amp;$G$4&amp;$G$5,'Raw Data'!$C:$BS,67,0),"NA")</f>
        <v>NA</v>
      </c>
      <c r="R123" s="26" t="str">
        <f>IFERROR(VLOOKUP(D123&amp;$G$3&amp;$G$4&amp;$G$5,'Raw Data'!$C:$BS,68,0),"NA")</f>
        <v>NA</v>
      </c>
      <c r="S123" s="26" t="str">
        <f>IFERROR(VLOOKUP(D123&amp;$G$3&amp;$G$4&amp;$G$5,'Raw Data'!$C:$BS,69,0),"NA")</f>
        <v>NA</v>
      </c>
      <c r="T123" s="44" t="str">
        <f t="shared" si="25"/>
        <v>NA</v>
      </c>
      <c r="BK123" s="60" t="str">
        <f t="shared" si="26"/>
        <v>NA</v>
      </c>
      <c r="BL123" t="str">
        <f t="shared" si="27"/>
        <v>NA</v>
      </c>
      <c r="BM123" t="str">
        <f t="shared" si="28"/>
        <v>NA</v>
      </c>
      <c r="BN123" t="str">
        <f t="shared" si="29"/>
        <v>NA</v>
      </c>
      <c r="BO123" t="str">
        <f t="shared" si="31"/>
        <v/>
      </c>
      <c r="BP123" t="str">
        <f t="shared" si="30"/>
        <v>NA</v>
      </c>
    </row>
    <row r="124" spans="1:68">
      <c r="A124" t="str">
        <f t="shared" ca="1" si="20"/>
        <v>111LowNoTelecom-Non AT&amp;TJ</v>
      </c>
      <c r="B124" t="str">
        <f t="shared" ca="1" si="21"/>
        <v>111LowNoTelecom-Non AT&amp;TK</v>
      </c>
      <c r="C124" t="str">
        <f t="shared" ca="1" si="22"/>
        <v>111LowNoTelecom-Non AT&amp;TL</v>
      </c>
      <c r="D124" s="22">
        <f t="shared" si="32"/>
        <v>111</v>
      </c>
      <c r="E124" s="24" t="str">
        <f>IFERROR(VLOOKUP(D124&amp;$G$3&amp;$G$4&amp;$G$5,'Raw Data'!$C:$BO,2,0),"NA")</f>
        <v>NA</v>
      </c>
      <c r="F124" s="79" t="str">
        <f>IFERROR(VLOOKUP(D124&amp;$G$3&amp;$G$4&amp;$G$5,'Raw Data'!$C:$BO,5,0),"NA")</f>
        <v>NA</v>
      </c>
      <c r="G124" s="44" t="str">
        <f>IFERROR(VLOOKUP(D124&amp;$G$3&amp;$G$4&amp;$G$5,'Raw Data'!$C:$BT,70,0),"NA")</f>
        <v>NA</v>
      </c>
      <c r="H124" s="62" t="str">
        <f>IFERROR(VLOOKUP(D124&amp;$G$3&amp;$G$4&amp;$G$5,'Raw Data'!$C:$BO,7,0),"NA")</f>
        <v>NA</v>
      </c>
      <c r="I124" s="29" t="str">
        <f>IFERROR(VLOOKUP(D124&amp;$G$3&amp;$G$4&amp;$G$5,'Raw Data'!$C:$BO,11,0),"NA")</f>
        <v>NA</v>
      </c>
      <c r="J124" s="26" t="str">
        <f>IFERROR(VLOOKUP(D124&amp;$G$3&amp;$G$4&amp;$G$5,'Raw Data'!$C:$BO,26,0),"NA")</f>
        <v>NA</v>
      </c>
      <c r="K124" s="26" t="str">
        <f>IFERROR(VLOOKUP(D124&amp;$G$3&amp;$G$4&amp;$G$5,'Raw Data'!$C:$BO,39,0),"NA")</f>
        <v>NA</v>
      </c>
      <c r="L124" s="26" t="str">
        <f>IFERROR(VLOOKUP(D124&amp;$G$3&amp;$G$4&amp;$G$5,'Raw Data'!$C:$BO,65,0),"NA")</f>
        <v>NA</v>
      </c>
      <c r="M124" s="26" t="str">
        <f>IFERROR(VLOOKUP(D124&amp;$G$3&amp;$G$4&amp;G116,'Raw Data'!$C:$BO,52,0),"NA")</f>
        <v>NA</v>
      </c>
      <c r="N124" s="26">
        <f t="shared" si="23"/>
        <v>0</v>
      </c>
      <c r="O124" s="78" t="str">
        <f t="shared" si="24"/>
        <v>NA</v>
      </c>
      <c r="P124" s="26" t="str">
        <f>IFERROR(VLOOKUP(D124&amp;$G$3&amp;$G$4&amp;$G$5,'Raw Data'!$C:$BS,66,0),"NA")</f>
        <v>NA</v>
      </c>
      <c r="Q124" s="26" t="str">
        <f>IFERROR(VLOOKUP(D124&amp;$G$3&amp;$G$4&amp;$G$5,'Raw Data'!$C:$BS,67,0),"NA")</f>
        <v>NA</v>
      </c>
      <c r="R124" s="26" t="str">
        <f>IFERROR(VLOOKUP(D124&amp;$G$3&amp;$G$4&amp;$G$5,'Raw Data'!$C:$BS,68,0),"NA")</f>
        <v>NA</v>
      </c>
      <c r="S124" s="26" t="str">
        <f>IFERROR(VLOOKUP(D124&amp;$G$3&amp;$G$4&amp;$G$5,'Raw Data'!$C:$BS,69,0),"NA")</f>
        <v>NA</v>
      </c>
      <c r="T124" s="44" t="str">
        <f t="shared" si="25"/>
        <v>NA</v>
      </c>
      <c r="BK124" s="60" t="str">
        <f t="shared" si="26"/>
        <v>NA</v>
      </c>
      <c r="BL124" t="str">
        <f t="shared" si="27"/>
        <v>NA</v>
      </c>
      <c r="BM124" t="str">
        <f t="shared" si="28"/>
        <v>NA</v>
      </c>
      <c r="BN124" t="str">
        <f t="shared" si="29"/>
        <v>NA</v>
      </c>
      <c r="BO124" t="str">
        <f t="shared" si="31"/>
        <v/>
      </c>
      <c r="BP124" t="str">
        <f t="shared" si="30"/>
        <v>NA</v>
      </c>
    </row>
    <row r="125" spans="1:68">
      <c r="A125" t="str">
        <f t="shared" ca="1" si="20"/>
        <v>112LowNoTelecom-Non AT&amp;TJ</v>
      </c>
      <c r="B125" t="str">
        <f t="shared" ca="1" si="21"/>
        <v>112LowNoTelecom-Non AT&amp;TK</v>
      </c>
      <c r="C125" t="str">
        <f t="shared" ca="1" si="22"/>
        <v>112LowNoTelecom-Non AT&amp;TL</v>
      </c>
      <c r="D125" s="22">
        <f t="shared" si="32"/>
        <v>112</v>
      </c>
      <c r="E125" s="24" t="str">
        <f>IFERROR(VLOOKUP(D125&amp;$G$3&amp;$G$4&amp;$G$5,'Raw Data'!$C:$BO,2,0),"NA")</f>
        <v>NA</v>
      </c>
      <c r="F125" s="79" t="str">
        <f>IFERROR(VLOOKUP(D125&amp;$G$3&amp;$G$4&amp;$G$5,'Raw Data'!$C:$BO,5,0),"NA")</f>
        <v>NA</v>
      </c>
      <c r="G125" s="44" t="str">
        <f>IFERROR(VLOOKUP(D125&amp;$G$3&amp;$G$4&amp;$G$5,'Raw Data'!$C:$BT,70,0),"NA")</f>
        <v>NA</v>
      </c>
      <c r="H125" s="62" t="str">
        <f>IFERROR(VLOOKUP(D125&amp;$G$3&amp;$G$4&amp;$G$5,'Raw Data'!$C:$BO,7,0),"NA")</f>
        <v>NA</v>
      </c>
      <c r="I125" s="29" t="str">
        <f>IFERROR(VLOOKUP(D125&amp;$G$3&amp;$G$4&amp;$G$5,'Raw Data'!$C:$BO,11,0),"NA")</f>
        <v>NA</v>
      </c>
      <c r="J125" s="26" t="str">
        <f>IFERROR(VLOOKUP(D125&amp;$G$3&amp;$G$4&amp;$G$5,'Raw Data'!$C:$BO,26,0),"NA")</f>
        <v>NA</v>
      </c>
      <c r="K125" s="26" t="str">
        <f>IFERROR(VLOOKUP(D125&amp;$G$3&amp;$G$4&amp;$G$5,'Raw Data'!$C:$BO,39,0),"NA")</f>
        <v>NA</v>
      </c>
      <c r="L125" s="26" t="str">
        <f>IFERROR(VLOOKUP(D125&amp;$G$3&amp;$G$4&amp;$G$5,'Raw Data'!$C:$BO,65,0),"NA")</f>
        <v>NA</v>
      </c>
      <c r="M125" s="26" t="str">
        <f>IFERROR(VLOOKUP(D125&amp;$G$3&amp;$G$4&amp;G117,'Raw Data'!$C:$BO,52,0),"NA")</f>
        <v>NA</v>
      </c>
      <c r="N125" s="26">
        <f t="shared" si="23"/>
        <v>0</v>
      </c>
      <c r="O125" s="78" t="str">
        <f t="shared" si="24"/>
        <v>NA</v>
      </c>
      <c r="P125" s="26" t="str">
        <f>IFERROR(VLOOKUP(D125&amp;$G$3&amp;$G$4&amp;$G$5,'Raw Data'!$C:$BS,66,0),"NA")</f>
        <v>NA</v>
      </c>
      <c r="Q125" s="26" t="str">
        <f>IFERROR(VLOOKUP(D125&amp;$G$3&amp;$G$4&amp;$G$5,'Raw Data'!$C:$BS,67,0),"NA")</f>
        <v>NA</v>
      </c>
      <c r="R125" s="26" t="str">
        <f>IFERROR(VLOOKUP(D125&amp;$G$3&amp;$G$4&amp;$G$5,'Raw Data'!$C:$BS,68,0),"NA")</f>
        <v>NA</v>
      </c>
      <c r="S125" s="26" t="str">
        <f>IFERROR(VLOOKUP(D125&amp;$G$3&amp;$G$4&amp;$G$5,'Raw Data'!$C:$BS,69,0),"NA")</f>
        <v>NA</v>
      </c>
      <c r="T125" s="44" t="str">
        <f t="shared" si="25"/>
        <v>NA</v>
      </c>
      <c r="BK125" s="60" t="str">
        <f t="shared" si="26"/>
        <v>NA</v>
      </c>
      <c r="BL125" t="str">
        <f t="shared" si="27"/>
        <v>NA</v>
      </c>
      <c r="BM125" t="str">
        <f t="shared" si="28"/>
        <v>NA</v>
      </c>
      <c r="BN125" t="str">
        <f t="shared" si="29"/>
        <v>NA</v>
      </c>
      <c r="BO125" t="str">
        <f t="shared" si="31"/>
        <v/>
      </c>
      <c r="BP125" t="str">
        <f t="shared" si="30"/>
        <v>NA</v>
      </c>
    </row>
    <row r="126" spans="1:68">
      <c r="A126" t="str">
        <f t="shared" ca="1" si="20"/>
        <v>113LowNoTelecom-Non AT&amp;TJ</v>
      </c>
      <c r="B126" t="str">
        <f t="shared" ca="1" si="21"/>
        <v>113LowNoTelecom-Non AT&amp;TK</v>
      </c>
      <c r="C126" t="str">
        <f t="shared" ca="1" si="22"/>
        <v>113LowNoTelecom-Non AT&amp;TL</v>
      </c>
      <c r="D126" s="22">
        <f t="shared" si="32"/>
        <v>113</v>
      </c>
      <c r="E126" s="24" t="str">
        <f>IFERROR(VLOOKUP(D126&amp;$G$3&amp;$G$4&amp;$G$5,'Raw Data'!$C:$BO,2,0),"NA")</f>
        <v>NA</v>
      </c>
      <c r="F126" s="79" t="str">
        <f>IFERROR(VLOOKUP(D126&amp;$G$3&amp;$G$4&amp;$G$5,'Raw Data'!$C:$BO,5,0),"NA")</f>
        <v>NA</v>
      </c>
      <c r="G126" s="44" t="str">
        <f>IFERROR(VLOOKUP(D126&amp;$G$3&amp;$G$4&amp;$G$5,'Raw Data'!$C:$BT,70,0),"NA")</f>
        <v>NA</v>
      </c>
      <c r="H126" s="62" t="str">
        <f>IFERROR(VLOOKUP(D126&amp;$G$3&amp;$G$4&amp;$G$5,'Raw Data'!$C:$BO,7,0),"NA")</f>
        <v>NA</v>
      </c>
      <c r="I126" s="29" t="str">
        <f>IFERROR(VLOOKUP(D126&amp;$G$3&amp;$G$4&amp;$G$5,'Raw Data'!$C:$BO,11,0),"NA")</f>
        <v>NA</v>
      </c>
      <c r="J126" s="26" t="str">
        <f>IFERROR(VLOOKUP(D126&amp;$G$3&amp;$G$4&amp;$G$5,'Raw Data'!$C:$BO,26,0),"NA")</f>
        <v>NA</v>
      </c>
      <c r="K126" s="26" t="str">
        <f>IFERROR(VLOOKUP(D126&amp;$G$3&amp;$G$4&amp;$G$5,'Raw Data'!$C:$BO,39,0),"NA")</f>
        <v>NA</v>
      </c>
      <c r="L126" s="26" t="str">
        <f>IFERROR(VLOOKUP(D126&amp;$G$3&amp;$G$4&amp;$G$5,'Raw Data'!$C:$BO,65,0),"NA")</f>
        <v>NA</v>
      </c>
      <c r="M126" s="26" t="str">
        <f>IFERROR(VLOOKUP(D126&amp;$G$3&amp;$G$4&amp;G118,'Raw Data'!$C:$BO,52,0),"NA")</f>
        <v>NA</v>
      </c>
      <c r="N126" s="26">
        <f t="shared" si="23"/>
        <v>0</v>
      </c>
      <c r="O126" s="78" t="str">
        <f t="shared" si="24"/>
        <v>NA</v>
      </c>
      <c r="P126" s="26" t="str">
        <f>IFERROR(VLOOKUP(D126&amp;$G$3&amp;$G$4&amp;$G$5,'Raw Data'!$C:$BS,66,0),"NA")</f>
        <v>NA</v>
      </c>
      <c r="Q126" s="26" t="str">
        <f>IFERROR(VLOOKUP(D126&amp;$G$3&amp;$G$4&amp;$G$5,'Raw Data'!$C:$BS,67,0),"NA")</f>
        <v>NA</v>
      </c>
      <c r="R126" s="26" t="str">
        <f>IFERROR(VLOOKUP(D126&amp;$G$3&amp;$G$4&amp;$G$5,'Raw Data'!$C:$BS,68,0),"NA")</f>
        <v>NA</v>
      </c>
      <c r="S126" s="26" t="str">
        <f>IFERROR(VLOOKUP(D126&amp;$G$3&amp;$G$4&amp;$G$5,'Raw Data'!$C:$BS,69,0),"NA")</f>
        <v>NA</v>
      </c>
      <c r="T126" s="44" t="str">
        <f t="shared" si="25"/>
        <v>NA</v>
      </c>
      <c r="BK126" s="60" t="str">
        <f t="shared" si="26"/>
        <v>NA</v>
      </c>
      <c r="BL126" t="str">
        <f t="shared" si="27"/>
        <v>NA</v>
      </c>
      <c r="BM126" t="str">
        <f t="shared" si="28"/>
        <v>NA</v>
      </c>
      <c r="BN126" t="str">
        <f t="shared" si="29"/>
        <v>NA</v>
      </c>
      <c r="BO126" t="str">
        <f t="shared" si="31"/>
        <v/>
      </c>
      <c r="BP126" t="str">
        <f t="shared" si="30"/>
        <v>NA</v>
      </c>
    </row>
    <row r="127" spans="1:68">
      <c r="A127" t="str">
        <f t="shared" ca="1" si="20"/>
        <v>114LowNoTelecom-Non AT&amp;TJ</v>
      </c>
      <c r="B127" t="str">
        <f t="shared" ca="1" si="21"/>
        <v>114LowNoTelecom-Non AT&amp;TK</v>
      </c>
      <c r="C127" t="str">
        <f t="shared" ca="1" si="22"/>
        <v>114LowNoTelecom-Non AT&amp;TL</v>
      </c>
      <c r="D127" s="22">
        <f t="shared" si="32"/>
        <v>114</v>
      </c>
      <c r="E127" s="24" t="str">
        <f>IFERROR(VLOOKUP(D127&amp;$G$3&amp;$G$4&amp;$G$5,'Raw Data'!$C:$BO,2,0),"NA")</f>
        <v>NA</v>
      </c>
      <c r="F127" s="79" t="str">
        <f>IFERROR(VLOOKUP(D127&amp;$G$3&amp;$G$4&amp;$G$5,'Raw Data'!$C:$BO,5,0),"NA")</f>
        <v>NA</v>
      </c>
      <c r="G127" s="44" t="str">
        <f>IFERROR(VLOOKUP(D127&amp;$G$3&amp;$G$4&amp;$G$5,'Raw Data'!$C:$BT,70,0),"NA")</f>
        <v>NA</v>
      </c>
      <c r="H127" s="62" t="str">
        <f>IFERROR(VLOOKUP(D127&amp;$G$3&amp;$G$4&amp;$G$5,'Raw Data'!$C:$BO,7,0),"NA")</f>
        <v>NA</v>
      </c>
      <c r="I127" s="29" t="str">
        <f>IFERROR(VLOOKUP(D127&amp;$G$3&amp;$G$4&amp;$G$5,'Raw Data'!$C:$BO,11,0),"NA")</f>
        <v>NA</v>
      </c>
      <c r="J127" s="26" t="str">
        <f>IFERROR(VLOOKUP(D127&amp;$G$3&amp;$G$4&amp;$G$5,'Raw Data'!$C:$BO,26,0),"NA")</f>
        <v>NA</v>
      </c>
      <c r="K127" s="26" t="str">
        <f>IFERROR(VLOOKUP(D127&amp;$G$3&amp;$G$4&amp;$G$5,'Raw Data'!$C:$BO,39,0),"NA")</f>
        <v>NA</v>
      </c>
      <c r="L127" s="26" t="str">
        <f>IFERROR(VLOOKUP(D127&amp;$G$3&amp;$G$4&amp;$G$5,'Raw Data'!$C:$BO,65,0),"NA")</f>
        <v>NA</v>
      </c>
      <c r="M127" s="26" t="str">
        <f>IFERROR(VLOOKUP(D127&amp;$G$3&amp;$G$4&amp;G119,'Raw Data'!$C:$BO,52,0),"NA")</f>
        <v>NA</v>
      </c>
      <c r="N127" s="26">
        <f t="shared" si="23"/>
        <v>0</v>
      </c>
      <c r="O127" s="78" t="str">
        <f t="shared" si="24"/>
        <v>NA</v>
      </c>
      <c r="P127" s="26" t="str">
        <f>IFERROR(VLOOKUP(D127&amp;$G$3&amp;$G$4&amp;$G$5,'Raw Data'!$C:$BS,66,0),"NA")</f>
        <v>NA</v>
      </c>
      <c r="Q127" s="26" t="str">
        <f>IFERROR(VLOOKUP(D127&amp;$G$3&amp;$G$4&amp;$G$5,'Raw Data'!$C:$BS,67,0),"NA")</f>
        <v>NA</v>
      </c>
      <c r="R127" s="26" t="str">
        <f>IFERROR(VLOOKUP(D127&amp;$G$3&amp;$G$4&amp;$G$5,'Raw Data'!$C:$BS,68,0),"NA")</f>
        <v>NA</v>
      </c>
      <c r="S127" s="26" t="str">
        <f>IFERROR(VLOOKUP(D127&amp;$G$3&amp;$G$4&amp;$G$5,'Raw Data'!$C:$BS,69,0),"NA")</f>
        <v>NA</v>
      </c>
      <c r="T127" s="44" t="str">
        <f t="shared" si="25"/>
        <v>NA</v>
      </c>
      <c r="BK127" s="60" t="str">
        <f t="shared" si="26"/>
        <v>NA</v>
      </c>
      <c r="BL127" t="str">
        <f t="shared" si="27"/>
        <v>NA</v>
      </c>
      <c r="BM127" t="str">
        <f t="shared" si="28"/>
        <v>NA</v>
      </c>
      <c r="BN127" t="str">
        <f t="shared" si="29"/>
        <v>NA</v>
      </c>
      <c r="BO127" t="str">
        <f t="shared" si="31"/>
        <v/>
      </c>
      <c r="BP127" t="str">
        <f t="shared" si="30"/>
        <v>NA</v>
      </c>
    </row>
    <row r="128" spans="1:68">
      <c r="A128" t="str">
        <f t="shared" ca="1" si="20"/>
        <v>115LowNoTelecom-Non AT&amp;TJ</v>
      </c>
      <c r="B128" t="str">
        <f t="shared" ca="1" si="21"/>
        <v>115LowNoTelecom-Non AT&amp;TK</v>
      </c>
      <c r="C128" t="str">
        <f t="shared" ca="1" si="22"/>
        <v>115LowNoTelecom-Non AT&amp;TL</v>
      </c>
      <c r="D128" s="22">
        <f t="shared" si="32"/>
        <v>115</v>
      </c>
      <c r="E128" s="24" t="str">
        <f>IFERROR(VLOOKUP(D128&amp;$G$3&amp;$G$4&amp;$G$5,'Raw Data'!$C:$BO,2,0),"NA")</f>
        <v>NA</v>
      </c>
      <c r="F128" s="79" t="str">
        <f>IFERROR(VLOOKUP(D128&amp;$G$3&amp;$G$4&amp;$G$5,'Raw Data'!$C:$BO,5,0),"NA")</f>
        <v>NA</v>
      </c>
      <c r="G128" s="44" t="str">
        <f>IFERROR(VLOOKUP(D128&amp;$G$3&amp;$G$4&amp;$G$5,'Raw Data'!$C:$BT,70,0),"NA")</f>
        <v>NA</v>
      </c>
      <c r="H128" s="62" t="str">
        <f>IFERROR(VLOOKUP(D128&amp;$G$3&amp;$G$4&amp;$G$5,'Raw Data'!$C:$BO,7,0),"NA")</f>
        <v>NA</v>
      </c>
      <c r="I128" s="29" t="str">
        <f>IFERROR(VLOOKUP(D128&amp;$G$3&amp;$G$4&amp;$G$5,'Raw Data'!$C:$BO,11,0),"NA")</f>
        <v>NA</v>
      </c>
      <c r="J128" s="26" t="str">
        <f>IFERROR(VLOOKUP(D128&amp;$G$3&amp;$G$4&amp;$G$5,'Raw Data'!$C:$BO,26,0),"NA")</f>
        <v>NA</v>
      </c>
      <c r="K128" s="26" t="str">
        <f>IFERROR(VLOOKUP(D128&amp;$G$3&amp;$G$4&amp;$G$5,'Raw Data'!$C:$BO,39,0),"NA")</f>
        <v>NA</v>
      </c>
      <c r="L128" s="26" t="str">
        <f>IFERROR(VLOOKUP(D128&amp;$G$3&amp;$G$4&amp;$G$5,'Raw Data'!$C:$BO,65,0),"NA")</f>
        <v>NA</v>
      </c>
      <c r="M128" s="26" t="str">
        <f>IFERROR(VLOOKUP(D128&amp;$G$3&amp;$G$4&amp;G120,'Raw Data'!$C:$BO,52,0),"NA")</f>
        <v>NA</v>
      </c>
      <c r="N128" s="26">
        <f t="shared" si="23"/>
        <v>0</v>
      </c>
      <c r="O128" s="78" t="str">
        <f t="shared" si="24"/>
        <v>NA</v>
      </c>
      <c r="P128" s="26" t="str">
        <f>IFERROR(VLOOKUP(D128&amp;$G$3&amp;$G$4&amp;$G$5,'Raw Data'!$C:$BS,66,0),"NA")</f>
        <v>NA</v>
      </c>
      <c r="Q128" s="26" t="str">
        <f>IFERROR(VLOOKUP(D128&amp;$G$3&amp;$G$4&amp;$G$5,'Raw Data'!$C:$BS,67,0),"NA")</f>
        <v>NA</v>
      </c>
      <c r="R128" s="26" t="str">
        <f>IFERROR(VLOOKUP(D128&amp;$G$3&amp;$G$4&amp;$G$5,'Raw Data'!$C:$BS,68,0),"NA")</f>
        <v>NA</v>
      </c>
      <c r="S128" s="26" t="str">
        <f>IFERROR(VLOOKUP(D128&amp;$G$3&amp;$G$4&amp;$G$5,'Raw Data'!$C:$BS,69,0),"NA")</f>
        <v>NA</v>
      </c>
      <c r="T128" s="44" t="str">
        <f t="shared" si="25"/>
        <v>NA</v>
      </c>
      <c r="BK128" s="60" t="str">
        <f t="shared" si="26"/>
        <v>NA</v>
      </c>
      <c r="BL128" t="str">
        <f t="shared" si="27"/>
        <v>NA</v>
      </c>
      <c r="BM128" t="str">
        <f t="shared" si="28"/>
        <v>NA</v>
      </c>
      <c r="BN128" t="str">
        <f t="shared" si="29"/>
        <v>NA</v>
      </c>
      <c r="BO128" t="str">
        <f t="shared" si="31"/>
        <v/>
      </c>
      <c r="BP128" t="str">
        <f t="shared" si="30"/>
        <v>NA</v>
      </c>
    </row>
    <row r="129" spans="1:68">
      <c r="A129" t="str">
        <f t="shared" ca="1" si="20"/>
        <v>116LowNoTelecom-Non AT&amp;TJ</v>
      </c>
      <c r="B129" t="str">
        <f t="shared" ca="1" si="21"/>
        <v>116LowNoTelecom-Non AT&amp;TK</v>
      </c>
      <c r="C129" t="str">
        <f t="shared" ca="1" si="22"/>
        <v>116LowNoTelecom-Non AT&amp;TL</v>
      </c>
      <c r="D129" s="22">
        <f t="shared" si="32"/>
        <v>116</v>
      </c>
      <c r="E129" s="24" t="str">
        <f>IFERROR(VLOOKUP(D129&amp;$G$3&amp;$G$4&amp;$G$5,'Raw Data'!$C:$BO,2,0),"NA")</f>
        <v>NA</v>
      </c>
      <c r="F129" s="79" t="str">
        <f>IFERROR(VLOOKUP(D129&amp;$G$3&amp;$G$4&amp;$G$5,'Raw Data'!$C:$BO,5,0),"NA")</f>
        <v>NA</v>
      </c>
      <c r="G129" s="44" t="str">
        <f>IFERROR(VLOOKUP(D129&amp;$G$3&amp;$G$4&amp;$G$5,'Raw Data'!$C:$BT,70,0),"NA")</f>
        <v>NA</v>
      </c>
      <c r="H129" s="62" t="str">
        <f>IFERROR(VLOOKUP(D129&amp;$G$3&amp;$G$4&amp;$G$5,'Raw Data'!$C:$BO,7,0),"NA")</f>
        <v>NA</v>
      </c>
      <c r="I129" s="29" t="str">
        <f>IFERROR(VLOOKUP(D129&amp;$G$3&amp;$G$4&amp;$G$5,'Raw Data'!$C:$BO,11,0),"NA")</f>
        <v>NA</v>
      </c>
      <c r="J129" s="26" t="str">
        <f>IFERROR(VLOOKUP(D129&amp;$G$3&amp;$G$4&amp;$G$5,'Raw Data'!$C:$BO,26,0),"NA")</f>
        <v>NA</v>
      </c>
      <c r="K129" s="26" t="str">
        <f>IFERROR(VLOOKUP(D129&amp;$G$3&amp;$G$4&amp;$G$5,'Raw Data'!$C:$BO,39,0),"NA")</f>
        <v>NA</v>
      </c>
      <c r="L129" s="26" t="str">
        <f>IFERROR(VLOOKUP(D129&amp;$G$3&amp;$G$4&amp;$G$5,'Raw Data'!$C:$BO,65,0),"NA")</f>
        <v>NA</v>
      </c>
      <c r="M129" s="26" t="str">
        <f>IFERROR(VLOOKUP(D129&amp;$G$3&amp;$G$4&amp;G121,'Raw Data'!$C:$BO,52,0),"NA")</f>
        <v>NA</v>
      </c>
      <c r="N129" s="26">
        <f t="shared" si="23"/>
        <v>0</v>
      </c>
      <c r="O129" s="78" t="str">
        <f t="shared" si="24"/>
        <v>NA</v>
      </c>
      <c r="P129" s="26" t="str">
        <f>IFERROR(VLOOKUP(D129&amp;$G$3&amp;$G$4&amp;$G$5,'Raw Data'!$C:$BS,66,0),"NA")</f>
        <v>NA</v>
      </c>
      <c r="Q129" s="26" t="str">
        <f>IFERROR(VLOOKUP(D129&amp;$G$3&amp;$G$4&amp;$G$5,'Raw Data'!$C:$BS,67,0),"NA")</f>
        <v>NA</v>
      </c>
      <c r="R129" s="26" t="str">
        <f>IFERROR(VLOOKUP(D129&amp;$G$3&amp;$G$4&amp;$G$5,'Raw Data'!$C:$BS,68,0),"NA")</f>
        <v>NA</v>
      </c>
      <c r="S129" s="26" t="str">
        <f>IFERROR(VLOOKUP(D129&amp;$G$3&amp;$G$4&amp;$G$5,'Raw Data'!$C:$BS,69,0),"NA")</f>
        <v>NA</v>
      </c>
      <c r="T129" s="44" t="str">
        <f t="shared" si="25"/>
        <v>NA</v>
      </c>
      <c r="BK129" s="60" t="str">
        <f t="shared" si="26"/>
        <v>NA</v>
      </c>
      <c r="BL129" t="str">
        <f t="shared" si="27"/>
        <v>NA</v>
      </c>
      <c r="BM129" t="str">
        <f t="shared" si="28"/>
        <v>NA</v>
      </c>
      <c r="BN129" t="str">
        <f t="shared" si="29"/>
        <v>NA</v>
      </c>
      <c r="BO129" t="str">
        <f t="shared" si="31"/>
        <v/>
      </c>
      <c r="BP129" t="str">
        <f t="shared" si="30"/>
        <v>NA</v>
      </c>
    </row>
    <row r="130" spans="1:68">
      <c r="A130" t="str">
        <f t="shared" ca="1" si="20"/>
        <v>117LowNoTelecom-Non AT&amp;TJ</v>
      </c>
      <c r="B130" t="str">
        <f t="shared" ca="1" si="21"/>
        <v>117LowNoTelecom-Non AT&amp;TK</v>
      </c>
      <c r="C130" t="str">
        <f t="shared" ca="1" si="22"/>
        <v>117LowNoTelecom-Non AT&amp;TL</v>
      </c>
      <c r="D130" s="22">
        <f t="shared" si="32"/>
        <v>117</v>
      </c>
      <c r="E130" s="24" t="str">
        <f>IFERROR(VLOOKUP(D130&amp;$G$3&amp;$G$4&amp;$G$5,'Raw Data'!$C:$BO,2,0),"NA")</f>
        <v>NA</v>
      </c>
      <c r="F130" s="79" t="str">
        <f>IFERROR(VLOOKUP(D130&amp;$G$3&amp;$G$4&amp;$G$5,'Raw Data'!$C:$BO,5,0),"NA")</f>
        <v>NA</v>
      </c>
      <c r="G130" s="44" t="str">
        <f>IFERROR(VLOOKUP(D130&amp;$G$3&amp;$G$4&amp;$G$5,'Raw Data'!$C:$BT,70,0),"NA")</f>
        <v>NA</v>
      </c>
      <c r="H130" s="62" t="str">
        <f>IFERROR(VLOOKUP(D130&amp;$G$3&amp;$G$4&amp;$G$5,'Raw Data'!$C:$BO,7,0),"NA")</f>
        <v>NA</v>
      </c>
      <c r="I130" s="29" t="str">
        <f>IFERROR(VLOOKUP(D130&amp;$G$3&amp;$G$4&amp;$G$5,'Raw Data'!$C:$BO,11,0),"NA")</f>
        <v>NA</v>
      </c>
      <c r="J130" s="26" t="str">
        <f>IFERROR(VLOOKUP(D130&amp;$G$3&amp;$G$4&amp;$G$5,'Raw Data'!$C:$BO,26,0),"NA")</f>
        <v>NA</v>
      </c>
      <c r="K130" s="26" t="str">
        <f>IFERROR(VLOOKUP(D130&amp;$G$3&amp;$G$4&amp;$G$5,'Raw Data'!$C:$BO,39,0),"NA")</f>
        <v>NA</v>
      </c>
      <c r="L130" s="26" t="str">
        <f>IFERROR(VLOOKUP(D130&amp;$G$3&amp;$G$4&amp;$G$5,'Raw Data'!$C:$BO,65,0),"NA")</f>
        <v>NA</v>
      </c>
      <c r="M130" s="26" t="str">
        <f>IFERROR(VLOOKUP(D130&amp;$G$3&amp;$G$4&amp;G122,'Raw Data'!$C:$BO,52,0),"NA")</f>
        <v>NA</v>
      </c>
      <c r="N130" s="26">
        <f t="shared" si="23"/>
        <v>0</v>
      </c>
      <c r="O130" s="78" t="str">
        <f t="shared" si="24"/>
        <v>NA</v>
      </c>
      <c r="P130" s="26" t="str">
        <f>IFERROR(VLOOKUP(D130&amp;$G$3&amp;$G$4&amp;$G$5,'Raw Data'!$C:$BS,66,0),"NA")</f>
        <v>NA</v>
      </c>
      <c r="Q130" s="26" t="str">
        <f>IFERROR(VLOOKUP(D130&amp;$G$3&amp;$G$4&amp;$G$5,'Raw Data'!$C:$BS,67,0),"NA")</f>
        <v>NA</v>
      </c>
      <c r="R130" s="26" t="str">
        <f>IFERROR(VLOOKUP(D130&amp;$G$3&amp;$G$4&amp;$G$5,'Raw Data'!$C:$BS,68,0),"NA")</f>
        <v>NA</v>
      </c>
      <c r="S130" s="26" t="str">
        <f>IFERROR(VLOOKUP(D130&amp;$G$3&amp;$G$4&amp;$G$5,'Raw Data'!$C:$BS,69,0),"NA")</f>
        <v>NA</v>
      </c>
      <c r="T130" s="44" t="str">
        <f t="shared" si="25"/>
        <v>NA</v>
      </c>
      <c r="BK130" s="60" t="str">
        <f t="shared" si="26"/>
        <v>NA</v>
      </c>
      <c r="BL130" t="str">
        <f t="shared" si="27"/>
        <v>NA</v>
      </c>
      <c r="BM130" t="str">
        <f t="shared" si="28"/>
        <v>NA</v>
      </c>
      <c r="BN130" t="str">
        <f t="shared" si="29"/>
        <v>NA</v>
      </c>
      <c r="BO130" t="str">
        <f t="shared" si="31"/>
        <v/>
      </c>
      <c r="BP130" t="str">
        <f t="shared" si="30"/>
        <v>NA</v>
      </c>
    </row>
    <row r="131" spans="1:68">
      <c r="A131" t="str">
        <f t="shared" ca="1" si="20"/>
        <v>118LowNoTelecom-Non AT&amp;TJ</v>
      </c>
      <c r="B131" t="str">
        <f t="shared" ca="1" si="21"/>
        <v>118LowNoTelecom-Non AT&amp;TK</v>
      </c>
      <c r="C131" t="str">
        <f t="shared" ca="1" si="22"/>
        <v>118LowNoTelecom-Non AT&amp;TL</v>
      </c>
      <c r="D131" s="22">
        <f t="shared" si="32"/>
        <v>118</v>
      </c>
      <c r="E131" s="24" t="str">
        <f>IFERROR(VLOOKUP(D131&amp;$G$3&amp;$G$4&amp;$G$5,'Raw Data'!$C:$BO,2,0),"NA")</f>
        <v>NA</v>
      </c>
      <c r="F131" s="79" t="str">
        <f>IFERROR(VLOOKUP(D131&amp;$G$3&amp;$G$4&amp;$G$5,'Raw Data'!$C:$BO,5,0),"NA")</f>
        <v>NA</v>
      </c>
      <c r="G131" s="44" t="str">
        <f>IFERROR(VLOOKUP(D131&amp;$G$3&amp;$G$4&amp;$G$5,'Raw Data'!$C:$BT,70,0),"NA")</f>
        <v>NA</v>
      </c>
      <c r="H131" s="62" t="str">
        <f>IFERROR(VLOOKUP(D131&amp;$G$3&amp;$G$4&amp;$G$5,'Raw Data'!$C:$BO,7,0),"NA")</f>
        <v>NA</v>
      </c>
      <c r="I131" s="29" t="str">
        <f>IFERROR(VLOOKUP(D131&amp;$G$3&amp;$G$4&amp;$G$5,'Raw Data'!$C:$BO,11,0),"NA")</f>
        <v>NA</v>
      </c>
      <c r="J131" s="26" t="str">
        <f>IFERROR(VLOOKUP(D131&amp;$G$3&amp;$G$4&amp;$G$5,'Raw Data'!$C:$BO,26,0),"NA")</f>
        <v>NA</v>
      </c>
      <c r="K131" s="26" t="str">
        <f>IFERROR(VLOOKUP(D131&amp;$G$3&amp;$G$4&amp;$G$5,'Raw Data'!$C:$BO,39,0),"NA")</f>
        <v>NA</v>
      </c>
      <c r="L131" s="26" t="str">
        <f>IFERROR(VLOOKUP(D131&amp;$G$3&amp;$G$4&amp;$G$5,'Raw Data'!$C:$BO,65,0),"NA")</f>
        <v>NA</v>
      </c>
      <c r="M131" s="26" t="str">
        <f>IFERROR(VLOOKUP(D131&amp;$G$3&amp;$G$4&amp;G123,'Raw Data'!$C:$BO,52,0),"NA")</f>
        <v>NA</v>
      </c>
      <c r="N131" s="26">
        <f t="shared" si="23"/>
        <v>0</v>
      </c>
      <c r="O131" s="78" t="str">
        <f t="shared" si="24"/>
        <v>NA</v>
      </c>
      <c r="P131" s="26" t="str">
        <f>IFERROR(VLOOKUP(D131&amp;$G$3&amp;$G$4&amp;$G$5,'Raw Data'!$C:$BS,66,0),"NA")</f>
        <v>NA</v>
      </c>
      <c r="Q131" s="26" t="str">
        <f>IFERROR(VLOOKUP(D131&amp;$G$3&amp;$G$4&amp;$G$5,'Raw Data'!$C:$BS,67,0),"NA")</f>
        <v>NA</v>
      </c>
      <c r="R131" s="26" t="str">
        <f>IFERROR(VLOOKUP(D131&amp;$G$3&amp;$G$4&amp;$G$5,'Raw Data'!$C:$BS,68,0),"NA")</f>
        <v>NA</v>
      </c>
      <c r="S131" s="26" t="str">
        <f>IFERROR(VLOOKUP(D131&amp;$G$3&amp;$G$4&amp;$G$5,'Raw Data'!$C:$BS,69,0),"NA")</f>
        <v>NA</v>
      </c>
      <c r="T131" s="44" t="str">
        <f t="shared" si="25"/>
        <v>NA</v>
      </c>
      <c r="BK131" s="60" t="str">
        <f t="shared" si="26"/>
        <v>NA</v>
      </c>
      <c r="BL131" t="str">
        <f t="shared" si="27"/>
        <v>NA</v>
      </c>
      <c r="BM131" t="str">
        <f t="shared" si="28"/>
        <v>NA</v>
      </c>
      <c r="BN131" t="str">
        <f t="shared" si="29"/>
        <v>NA</v>
      </c>
      <c r="BO131" t="str">
        <f t="shared" si="31"/>
        <v/>
      </c>
      <c r="BP131" t="str">
        <f t="shared" si="30"/>
        <v>NA</v>
      </c>
    </row>
    <row r="132" spans="1:68">
      <c r="A132" t="str">
        <f t="shared" ca="1" si="20"/>
        <v>119LowNoTelecom-Non AT&amp;TJ</v>
      </c>
      <c r="B132" t="str">
        <f t="shared" ca="1" si="21"/>
        <v>119LowNoTelecom-Non AT&amp;TK</v>
      </c>
      <c r="C132" t="str">
        <f t="shared" ca="1" si="22"/>
        <v>119LowNoTelecom-Non AT&amp;TL</v>
      </c>
      <c r="D132" s="22">
        <f t="shared" si="32"/>
        <v>119</v>
      </c>
      <c r="E132" s="24" t="str">
        <f>IFERROR(VLOOKUP(D132&amp;$G$3&amp;$G$4&amp;$G$5,'Raw Data'!$C:$BO,2,0),"NA")</f>
        <v>NA</v>
      </c>
      <c r="F132" s="79" t="str">
        <f>IFERROR(VLOOKUP(D132&amp;$G$3&amp;$G$4&amp;$G$5,'Raw Data'!$C:$BO,5,0),"NA")</f>
        <v>NA</v>
      </c>
      <c r="G132" s="44" t="str">
        <f>IFERROR(VLOOKUP(D132&amp;$G$3&amp;$G$4&amp;$G$5,'Raw Data'!$C:$BT,70,0),"NA")</f>
        <v>NA</v>
      </c>
      <c r="H132" s="62" t="str">
        <f>IFERROR(VLOOKUP(D132&amp;$G$3&amp;$G$4&amp;$G$5,'Raw Data'!$C:$BO,7,0),"NA")</f>
        <v>NA</v>
      </c>
      <c r="I132" s="29" t="str">
        <f>IFERROR(VLOOKUP(D132&amp;$G$3&amp;$G$4&amp;$G$5,'Raw Data'!$C:$BO,11,0),"NA")</f>
        <v>NA</v>
      </c>
      <c r="J132" s="26" t="str">
        <f>IFERROR(VLOOKUP(D132&amp;$G$3&amp;$G$4&amp;$G$5,'Raw Data'!$C:$BO,26,0),"NA")</f>
        <v>NA</v>
      </c>
      <c r="K132" s="26" t="str">
        <f>IFERROR(VLOOKUP(D132&amp;$G$3&amp;$G$4&amp;$G$5,'Raw Data'!$C:$BO,39,0),"NA")</f>
        <v>NA</v>
      </c>
      <c r="L132" s="26" t="str">
        <f>IFERROR(VLOOKUP(D132&amp;$G$3&amp;$G$4&amp;$G$5,'Raw Data'!$C:$BO,65,0),"NA")</f>
        <v>NA</v>
      </c>
      <c r="M132" s="26" t="str">
        <f>IFERROR(VLOOKUP(D132&amp;$G$3&amp;$G$4&amp;G124,'Raw Data'!$C:$BO,52,0),"NA")</f>
        <v>NA</v>
      </c>
      <c r="N132" s="26">
        <f t="shared" si="23"/>
        <v>0</v>
      </c>
      <c r="O132" s="78" t="str">
        <f t="shared" si="24"/>
        <v>NA</v>
      </c>
      <c r="P132" s="26" t="str">
        <f>IFERROR(VLOOKUP(D132&amp;$G$3&amp;$G$4&amp;$G$5,'Raw Data'!$C:$BS,66,0),"NA")</f>
        <v>NA</v>
      </c>
      <c r="Q132" s="26" t="str">
        <f>IFERROR(VLOOKUP(D132&amp;$G$3&amp;$G$4&amp;$G$5,'Raw Data'!$C:$BS,67,0),"NA")</f>
        <v>NA</v>
      </c>
      <c r="R132" s="26" t="str">
        <f>IFERROR(VLOOKUP(D132&amp;$G$3&amp;$G$4&amp;$G$5,'Raw Data'!$C:$BS,68,0),"NA")</f>
        <v>NA</v>
      </c>
      <c r="S132" s="26" t="str">
        <f>IFERROR(VLOOKUP(D132&amp;$G$3&amp;$G$4&amp;$G$5,'Raw Data'!$C:$BS,69,0),"NA")</f>
        <v>NA</v>
      </c>
      <c r="T132" s="44" t="str">
        <f t="shared" si="25"/>
        <v>NA</v>
      </c>
      <c r="BK132" s="60" t="str">
        <f t="shared" si="26"/>
        <v>NA</v>
      </c>
      <c r="BL132" t="str">
        <f t="shared" si="27"/>
        <v>NA</v>
      </c>
      <c r="BM132" t="str">
        <f t="shared" si="28"/>
        <v>NA</v>
      </c>
      <c r="BN132" t="str">
        <f t="shared" si="29"/>
        <v>NA</v>
      </c>
      <c r="BO132" t="str">
        <f t="shared" si="31"/>
        <v/>
      </c>
      <c r="BP132" t="str">
        <f t="shared" si="30"/>
        <v>NA</v>
      </c>
    </row>
    <row r="133" spans="1:68">
      <c r="A133" t="str">
        <f t="shared" ca="1" si="20"/>
        <v>120LowNoTelecom-Non AT&amp;TJ</v>
      </c>
      <c r="B133" t="str">
        <f t="shared" ca="1" si="21"/>
        <v>120LowNoTelecom-Non AT&amp;TK</v>
      </c>
      <c r="C133" t="str">
        <f t="shared" ca="1" si="22"/>
        <v>120LowNoTelecom-Non AT&amp;TL</v>
      </c>
      <c r="D133" s="22">
        <f t="shared" si="32"/>
        <v>120</v>
      </c>
      <c r="E133" s="24" t="str">
        <f>IFERROR(VLOOKUP(D133&amp;$G$3&amp;$G$4&amp;$G$5,'Raw Data'!$C:$BO,2,0),"NA")</f>
        <v>NA</v>
      </c>
      <c r="F133" s="79" t="str">
        <f>IFERROR(VLOOKUP(D133&amp;$G$3&amp;$G$4&amp;$G$5,'Raw Data'!$C:$BO,5,0),"NA")</f>
        <v>NA</v>
      </c>
      <c r="G133" s="44" t="str">
        <f>IFERROR(VLOOKUP(D133&amp;$G$3&amp;$G$4&amp;$G$5,'Raw Data'!$C:$BT,70,0),"NA")</f>
        <v>NA</v>
      </c>
      <c r="H133" s="62" t="str">
        <f>IFERROR(VLOOKUP(D133&amp;$G$3&amp;$G$4&amp;$G$5,'Raw Data'!$C:$BO,7,0),"NA")</f>
        <v>NA</v>
      </c>
      <c r="I133" s="29" t="str">
        <f>IFERROR(VLOOKUP(D133&amp;$G$3&amp;$G$4&amp;$G$5,'Raw Data'!$C:$BO,11,0),"NA")</f>
        <v>NA</v>
      </c>
      <c r="J133" s="26" t="str">
        <f>IFERROR(VLOOKUP(D133&amp;$G$3&amp;$G$4&amp;$G$5,'Raw Data'!$C:$BO,26,0),"NA")</f>
        <v>NA</v>
      </c>
      <c r="K133" s="26" t="str">
        <f>IFERROR(VLOOKUP(D133&amp;$G$3&amp;$G$4&amp;$G$5,'Raw Data'!$C:$BO,39,0),"NA")</f>
        <v>NA</v>
      </c>
      <c r="L133" s="26" t="str">
        <f>IFERROR(VLOOKUP(D133&amp;$G$3&amp;$G$4&amp;$G$5,'Raw Data'!$C:$BO,65,0),"NA")</f>
        <v>NA</v>
      </c>
      <c r="M133" s="26" t="str">
        <f>IFERROR(VLOOKUP(D133&amp;$G$3&amp;$G$4&amp;G125,'Raw Data'!$C:$BO,52,0),"NA")</f>
        <v>NA</v>
      </c>
      <c r="N133" s="26">
        <f t="shared" si="23"/>
        <v>0</v>
      </c>
      <c r="O133" s="78" t="str">
        <f t="shared" si="24"/>
        <v>NA</v>
      </c>
      <c r="P133" s="26" t="str">
        <f>IFERROR(VLOOKUP(D133&amp;$G$3&amp;$G$4&amp;$G$5,'Raw Data'!$C:$BS,66,0),"NA")</f>
        <v>NA</v>
      </c>
      <c r="Q133" s="26" t="str">
        <f>IFERROR(VLOOKUP(D133&amp;$G$3&amp;$G$4&amp;$G$5,'Raw Data'!$C:$BS,67,0),"NA")</f>
        <v>NA</v>
      </c>
      <c r="R133" s="26" t="str">
        <f>IFERROR(VLOOKUP(D133&amp;$G$3&amp;$G$4&amp;$G$5,'Raw Data'!$C:$BS,68,0),"NA")</f>
        <v>NA</v>
      </c>
      <c r="S133" s="26" t="str">
        <f>IFERROR(VLOOKUP(D133&amp;$G$3&amp;$G$4&amp;$G$5,'Raw Data'!$C:$BS,69,0),"NA")</f>
        <v>NA</v>
      </c>
      <c r="T133" s="44" t="str">
        <f t="shared" si="25"/>
        <v>NA</v>
      </c>
      <c r="BK133" s="60" t="str">
        <f t="shared" si="26"/>
        <v>NA</v>
      </c>
      <c r="BL133" t="str">
        <f t="shared" si="27"/>
        <v>NA</v>
      </c>
      <c r="BM133" t="str">
        <f t="shared" si="28"/>
        <v>NA</v>
      </c>
      <c r="BN133" t="str">
        <f t="shared" si="29"/>
        <v>NA</v>
      </c>
      <c r="BO133" t="str">
        <f t="shared" si="31"/>
        <v/>
      </c>
      <c r="BP133" t="str">
        <f t="shared" si="30"/>
        <v>NA</v>
      </c>
    </row>
    <row r="134" spans="1:68">
      <c r="A134" t="str">
        <f t="shared" ca="1" si="20"/>
        <v>121LowNoTelecom-Non AT&amp;TJ</v>
      </c>
      <c r="B134" t="str">
        <f t="shared" ca="1" si="21"/>
        <v>121LowNoTelecom-Non AT&amp;TK</v>
      </c>
      <c r="C134" t="str">
        <f t="shared" ca="1" si="22"/>
        <v>121LowNoTelecom-Non AT&amp;TL</v>
      </c>
      <c r="D134" s="22">
        <f t="shared" si="32"/>
        <v>121</v>
      </c>
      <c r="E134" s="24" t="str">
        <f>IFERROR(VLOOKUP(D134&amp;$G$3&amp;$G$4&amp;$G$5,'Raw Data'!$C:$BO,2,0),"NA")</f>
        <v>NA</v>
      </c>
      <c r="F134" s="79" t="str">
        <f>IFERROR(VLOOKUP(D134&amp;$G$3&amp;$G$4&amp;$G$5,'Raw Data'!$C:$BO,5,0),"NA")</f>
        <v>NA</v>
      </c>
      <c r="G134" s="44" t="str">
        <f>IFERROR(VLOOKUP(D134&amp;$G$3&amp;$G$4&amp;$G$5,'Raw Data'!$C:$BT,70,0),"NA")</f>
        <v>NA</v>
      </c>
      <c r="H134" s="62" t="str">
        <f>IFERROR(VLOOKUP(D134&amp;$G$3&amp;$G$4&amp;$G$5,'Raw Data'!$C:$BO,7,0),"NA")</f>
        <v>NA</v>
      </c>
      <c r="I134" s="29" t="str">
        <f>IFERROR(VLOOKUP(D134&amp;$G$3&amp;$G$4&amp;$G$5,'Raw Data'!$C:$BO,11,0),"NA")</f>
        <v>NA</v>
      </c>
      <c r="J134" s="26" t="str">
        <f>IFERROR(VLOOKUP(D134&amp;$G$3&amp;$G$4&amp;$G$5,'Raw Data'!$C:$BO,26,0),"NA")</f>
        <v>NA</v>
      </c>
      <c r="K134" s="26" t="str">
        <f>IFERROR(VLOOKUP(D134&amp;$G$3&amp;$G$4&amp;$G$5,'Raw Data'!$C:$BO,39,0),"NA")</f>
        <v>NA</v>
      </c>
      <c r="L134" s="26" t="str">
        <f>IFERROR(VLOOKUP(D134&amp;$G$3&amp;$G$4&amp;$G$5,'Raw Data'!$C:$BO,65,0),"NA")</f>
        <v>NA</v>
      </c>
      <c r="M134" s="26" t="str">
        <f>IFERROR(VLOOKUP(D134&amp;$G$3&amp;$G$4&amp;G126,'Raw Data'!$C:$BO,52,0),"NA")</f>
        <v>NA</v>
      </c>
      <c r="N134" s="26">
        <f t="shared" si="23"/>
        <v>0</v>
      </c>
      <c r="O134" s="78" t="str">
        <f t="shared" si="24"/>
        <v>NA</v>
      </c>
      <c r="P134" s="26" t="str">
        <f>IFERROR(VLOOKUP(D134&amp;$G$3&amp;$G$4&amp;$G$5,'Raw Data'!$C:$BS,66,0),"NA")</f>
        <v>NA</v>
      </c>
      <c r="Q134" s="26" t="str">
        <f>IFERROR(VLOOKUP(D134&amp;$G$3&amp;$G$4&amp;$G$5,'Raw Data'!$C:$BS,67,0),"NA")</f>
        <v>NA</v>
      </c>
      <c r="R134" s="26" t="str">
        <f>IFERROR(VLOOKUP(D134&amp;$G$3&amp;$G$4&amp;$G$5,'Raw Data'!$C:$BS,68,0),"NA")</f>
        <v>NA</v>
      </c>
      <c r="S134" s="26" t="str">
        <f>IFERROR(VLOOKUP(D134&amp;$G$3&amp;$G$4&amp;$G$5,'Raw Data'!$C:$BS,69,0),"NA")</f>
        <v>NA</v>
      </c>
      <c r="T134" s="44" t="str">
        <f t="shared" si="25"/>
        <v>NA</v>
      </c>
      <c r="BK134" s="60" t="str">
        <f t="shared" si="26"/>
        <v>NA</v>
      </c>
      <c r="BL134" t="str">
        <f t="shared" si="27"/>
        <v>NA</v>
      </c>
      <c r="BM134" t="str">
        <f t="shared" si="28"/>
        <v>NA</v>
      </c>
      <c r="BN134" t="str">
        <f t="shared" si="29"/>
        <v>NA</v>
      </c>
      <c r="BO134" t="str">
        <f t="shared" si="31"/>
        <v/>
      </c>
      <c r="BP134" t="str">
        <f t="shared" si="30"/>
        <v>NA</v>
      </c>
    </row>
    <row r="135" spans="1:68">
      <c r="A135" t="str">
        <f t="shared" ca="1" si="20"/>
        <v>122LowNoTelecom-Non AT&amp;TJ</v>
      </c>
      <c r="B135" t="str">
        <f t="shared" ca="1" si="21"/>
        <v>122LowNoTelecom-Non AT&amp;TK</v>
      </c>
      <c r="C135" t="str">
        <f t="shared" ca="1" si="22"/>
        <v>122LowNoTelecom-Non AT&amp;TL</v>
      </c>
      <c r="D135" s="22">
        <f t="shared" si="32"/>
        <v>122</v>
      </c>
      <c r="E135" s="24" t="str">
        <f>IFERROR(VLOOKUP(D135&amp;$G$3&amp;$G$4&amp;$G$5,'Raw Data'!$C:$BO,2,0),"NA")</f>
        <v>NA</v>
      </c>
      <c r="F135" s="79" t="str">
        <f>IFERROR(VLOOKUP(D135&amp;$G$3&amp;$G$4&amp;$G$5,'Raw Data'!$C:$BO,5,0),"NA")</f>
        <v>NA</v>
      </c>
      <c r="G135" s="44" t="str">
        <f>IFERROR(VLOOKUP(D135&amp;$G$3&amp;$G$4&amp;$G$5,'Raw Data'!$C:$BT,70,0),"NA")</f>
        <v>NA</v>
      </c>
      <c r="H135" s="62" t="str">
        <f>IFERROR(VLOOKUP(D135&amp;$G$3&amp;$G$4&amp;$G$5,'Raw Data'!$C:$BO,7,0),"NA")</f>
        <v>NA</v>
      </c>
      <c r="I135" s="29" t="str">
        <f>IFERROR(VLOOKUP(D135&amp;$G$3&amp;$G$4&amp;$G$5,'Raw Data'!$C:$BO,11,0),"NA")</f>
        <v>NA</v>
      </c>
      <c r="J135" s="26" t="str">
        <f>IFERROR(VLOOKUP(D135&amp;$G$3&amp;$G$4&amp;$G$5,'Raw Data'!$C:$BO,26,0),"NA")</f>
        <v>NA</v>
      </c>
      <c r="K135" s="26" t="str">
        <f>IFERROR(VLOOKUP(D135&amp;$G$3&amp;$G$4&amp;$G$5,'Raw Data'!$C:$BO,39,0),"NA")</f>
        <v>NA</v>
      </c>
      <c r="L135" s="26" t="str">
        <f>IFERROR(VLOOKUP(D135&amp;$G$3&amp;$G$4&amp;$G$5,'Raw Data'!$C:$BO,65,0),"NA")</f>
        <v>NA</v>
      </c>
      <c r="M135" s="26" t="str">
        <f>IFERROR(VLOOKUP(D135&amp;$G$3&amp;$G$4&amp;G127,'Raw Data'!$C:$BO,52,0),"NA")</f>
        <v>NA</v>
      </c>
      <c r="N135" s="26">
        <f t="shared" si="23"/>
        <v>0</v>
      </c>
      <c r="O135" s="78" t="str">
        <f t="shared" si="24"/>
        <v>NA</v>
      </c>
      <c r="P135" s="26" t="str">
        <f>IFERROR(VLOOKUP(D135&amp;$G$3&amp;$G$4&amp;$G$5,'Raw Data'!$C:$BS,66,0),"NA")</f>
        <v>NA</v>
      </c>
      <c r="Q135" s="26" t="str">
        <f>IFERROR(VLOOKUP(D135&amp;$G$3&amp;$G$4&amp;$G$5,'Raw Data'!$C:$BS,67,0),"NA")</f>
        <v>NA</v>
      </c>
      <c r="R135" s="26" t="str">
        <f>IFERROR(VLOOKUP(D135&amp;$G$3&amp;$G$4&amp;$G$5,'Raw Data'!$C:$BS,68,0),"NA")</f>
        <v>NA</v>
      </c>
      <c r="S135" s="26" t="str">
        <f>IFERROR(VLOOKUP(D135&amp;$G$3&amp;$G$4&amp;$G$5,'Raw Data'!$C:$BS,69,0),"NA")</f>
        <v>NA</v>
      </c>
      <c r="T135" s="44" t="str">
        <f t="shared" si="25"/>
        <v>NA</v>
      </c>
      <c r="BK135" s="60" t="str">
        <f t="shared" si="26"/>
        <v>NA</v>
      </c>
      <c r="BL135" t="str">
        <f t="shared" si="27"/>
        <v>NA</v>
      </c>
      <c r="BM135" t="str">
        <f t="shared" si="28"/>
        <v>NA</v>
      </c>
      <c r="BN135" t="str">
        <f t="shared" si="29"/>
        <v>NA</v>
      </c>
      <c r="BO135" t="str">
        <f t="shared" si="31"/>
        <v/>
      </c>
      <c r="BP135" t="str">
        <f t="shared" si="30"/>
        <v>NA</v>
      </c>
    </row>
    <row r="136" spans="1:68">
      <c r="A136" t="str">
        <f t="shared" ca="1" si="20"/>
        <v>123LowNoTelecom-Non AT&amp;TJ</v>
      </c>
      <c r="B136" t="str">
        <f t="shared" ca="1" si="21"/>
        <v>123LowNoTelecom-Non AT&amp;TK</v>
      </c>
      <c r="C136" t="str">
        <f t="shared" ca="1" si="22"/>
        <v>123LowNoTelecom-Non AT&amp;TL</v>
      </c>
      <c r="D136" s="22">
        <f t="shared" si="32"/>
        <v>123</v>
      </c>
      <c r="E136" s="24" t="str">
        <f>IFERROR(VLOOKUP(D136&amp;$G$3&amp;$G$4&amp;$G$5,'Raw Data'!$C:$BO,2,0),"NA")</f>
        <v>NA</v>
      </c>
      <c r="F136" s="79" t="str">
        <f>IFERROR(VLOOKUP(D136&amp;$G$3&amp;$G$4&amp;$G$5,'Raw Data'!$C:$BO,5,0),"NA")</f>
        <v>NA</v>
      </c>
      <c r="G136" s="44" t="str">
        <f>IFERROR(VLOOKUP(D136&amp;$G$3&amp;$G$4&amp;$G$5,'Raw Data'!$C:$BT,70,0),"NA")</f>
        <v>NA</v>
      </c>
      <c r="H136" s="62" t="str">
        <f>IFERROR(VLOOKUP(D136&amp;$G$3&amp;$G$4&amp;$G$5,'Raw Data'!$C:$BO,7,0),"NA")</f>
        <v>NA</v>
      </c>
      <c r="I136" s="29" t="str">
        <f>IFERROR(VLOOKUP(D136&amp;$G$3&amp;$G$4&amp;$G$5,'Raw Data'!$C:$BO,11,0),"NA")</f>
        <v>NA</v>
      </c>
      <c r="J136" s="26" t="str">
        <f>IFERROR(VLOOKUP(D136&amp;$G$3&amp;$G$4&amp;$G$5,'Raw Data'!$C:$BO,26,0),"NA")</f>
        <v>NA</v>
      </c>
      <c r="K136" s="26" t="str">
        <f>IFERROR(VLOOKUP(D136&amp;$G$3&amp;$G$4&amp;$G$5,'Raw Data'!$C:$BO,39,0),"NA")</f>
        <v>NA</v>
      </c>
      <c r="L136" s="26" t="str">
        <f>IFERROR(VLOOKUP(D136&amp;$G$3&amp;$G$4&amp;$G$5,'Raw Data'!$C:$BO,65,0),"NA")</f>
        <v>NA</v>
      </c>
      <c r="M136" s="26" t="str">
        <f>IFERROR(VLOOKUP(D136&amp;$G$3&amp;$G$4&amp;G128,'Raw Data'!$C:$BO,52,0),"NA")</f>
        <v>NA</v>
      </c>
      <c r="N136" s="26">
        <f t="shared" si="23"/>
        <v>0</v>
      </c>
      <c r="O136" s="78" t="str">
        <f t="shared" si="24"/>
        <v>NA</v>
      </c>
      <c r="P136" s="26" t="str">
        <f>IFERROR(VLOOKUP(D136&amp;$G$3&amp;$G$4&amp;$G$5,'Raw Data'!$C:$BS,66,0),"NA")</f>
        <v>NA</v>
      </c>
      <c r="Q136" s="26" t="str">
        <f>IFERROR(VLOOKUP(D136&amp;$G$3&amp;$G$4&amp;$G$5,'Raw Data'!$C:$BS,67,0),"NA")</f>
        <v>NA</v>
      </c>
      <c r="R136" s="26" t="str">
        <f>IFERROR(VLOOKUP(D136&amp;$G$3&amp;$G$4&amp;$G$5,'Raw Data'!$C:$BS,68,0),"NA")</f>
        <v>NA</v>
      </c>
      <c r="S136" s="26" t="str">
        <f>IFERROR(VLOOKUP(D136&amp;$G$3&amp;$G$4&amp;$G$5,'Raw Data'!$C:$BS,69,0),"NA")</f>
        <v>NA</v>
      </c>
      <c r="T136" s="44" t="str">
        <f t="shared" si="25"/>
        <v>NA</v>
      </c>
      <c r="BK136" s="60" t="str">
        <f t="shared" si="26"/>
        <v>NA</v>
      </c>
      <c r="BL136" t="str">
        <f t="shared" si="27"/>
        <v>NA</v>
      </c>
      <c r="BM136" t="str">
        <f t="shared" si="28"/>
        <v>NA</v>
      </c>
      <c r="BN136" t="str">
        <f t="shared" si="29"/>
        <v>NA</v>
      </c>
      <c r="BO136" t="str">
        <f t="shared" si="31"/>
        <v/>
      </c>
      <c r="BP136" t="str">
        <f t="shared" si="30"/>
        <v>NA</v>
      </c>
    </row>
    <row r="137" spans="1:68">
      <c r="A137" t="str">
        <f t="shared" ca="1" si="20"/>
        <v>124LowNoTelecom-Non AT&amp;TJ</v>
      </c>
      <c r="B137" t="str">
        <f t="shared" ca="1" si="21"/>
        <v>124LowNoTelecom-Non AT&amp;TK</v>
      </c>
      <c r="C137" t="str">
        <f t="shared" ca="1" si="22"/>
        <v>124LowNoTelecom-Non AT&amp;TL</v>
      </c>
      <c r="D137" s="22">
        <f t="shared" si="32"/>
        <v>124</v>
      </c>
      <c r="E137" s="24" t="str">
        <f>IFERROR(VLOOKUP(D137&amp;$G$3&amp;$G$4&amp;$G$5,'Raw Data'!$C:$BO,2,0),"NA")</f>
        <v>NA</v>
      </c>
      <c r="F137" s="79" t="str">
        <f>IFERROR(VLOOKUP(D137&amp;$G$3&amp;$G$4&amp;$G$5,'Raw Data'!$C:$BO,5,0),"NA")</f>
        <v>NA</v>
      </c>
      <c r="G137" s="44" t="str">
        <f>IFERROR(VLOOKUP(D137&amp;$G$3&amp;$G$4&amp;$G$5,'Raw Data'!$C:$BT,70,0),"NA")</f>
        <v>NA</v>
      </c>
      <c r="H137" s="62" t="str">
        <f>IFERROR(VLOOKUP(D137&amp;$G$3&amp;$G$4&amp;$G$5,'Raw Data'!$C:$BO,7,0),"NA")</f>
        <v>NA</v>
      </c>
      <c r="I137" s="29" t="str">
        <f>IFERROR(VLOOKUP(D137&amp;$G$3&amp;$G$4&amp;$G$5,'Raw Data'!$C:$BO,11,0),"NA")</f>
        <v>NA</v>
      </c>
      <c r="J137" s="26" t="str">
        <f>IFERROR(VLOOKUP(D137&amp;$G$3&amp;$G$4&amp;$G$5,'Raw Data'!$C:$BO,26,0),"NA")</f>
        <v>NA</v>
      </c>
      <c r="K137" s="26" t="str">
        <f>IFERROR(VLOOKUP(D137&amp;$G$3&amp;$G$4&amp;$G$5,'Raw Data'!$C:$BO,39,0),"NA")</f>
        <v>NA</v>
      </c>
      <c r="L137" s="26" t="str">
        <f>IFERROR(VLOOKUP(D137&amp;$G$3&amp;$G$4&amp;$G$5,'Raw Data'!$C:$BO,65,0),"NA")</f>
        <v>NA</v>
      </c>
      <c r="M137" s="26" t="str">
        <f>IFERROR(VLOOKUP(D137&amp;$G$3&amp;$G$4&amp;G129,'Raw Data'!$C:$BO,52,0),"NA")</f>
        <v>NA</v>
      </c>
      <c r="N137" s="26">
        <f t="shared" si="23"/>
        <v>0</v>
      </c>
      <c r="O137" s="78" t="str">
        <f t="shared" si="24"/>
        <v>NA</v>
      </c>
      <c r="P137" s="26" t="str">
        <f>IFERROR(VLOOKUP(D137&amp;$G$3&amp;$G$4&amp;$G$5,'Raw Data'!$C:$BS,66,0),"NA")</f>
        <v>NA</v>
      </c>
      <c r="Q137" s="26" t="str">
        <f>IFERROR(VLOOKUP(D137&amp;$G$3&amp;$G$4&amp;$G$5,'Raw Data'!$C:$BS,67,0),"NA")</f>
        <v>NA</v>
      </c>
      <c r="R137" s="26" t="str">
        <f>IFERROR(VLOOKUP(D137&amp;$G$3&amp;$G$4&amp;$G$5,'Raw Data'!$C:$BS,68,0),"NA")</f>
        <v>NA</v>
      </c>
      <c r="S137" s="26" t="str">
        <f>IFERROR(VLOOKUP(D137&amp;$G$3&amp;$G$4&amp;$G$5,'Raw Data'!$C:$BS,69,0),"NA")</f>
        <v>NA</v>
      </c>
      <c r="T137" s="44" t="str">
        <f t="shared" si="25"/>
        <v>NA</v>
      </c>
      <c r="BK137" s="60" t="str">
        <f t="shared" si="26"/>
        <v>NA</v>
      </c>
      <c r="BL137" t="str">
        <f t="shared" si="27"/>
        <v>NA</v>
      </c>
      <c r="BM137" t="str">
        <f t="shared" si="28"/>
        <v>NA</v>
      </c>
      <c r="BN137" t="str">
        <f t="shared" si="29"/>
        <v>NA</v>
      </c>
      <c r="BO137" t="str">
        <f t="shared" si="31"/>
        <v/>
      </c>
      <c r="BP137" t="str">
        <f t="shared" si="30"/>
        <v>NA</v>
      </c>
    </row>
    <row r="138" spans="1:68">
      <c r="A138" t="str">
        <f t="shared" ca="1" si="20"/>
        <v>125LowNoTelecom-Non AT&amp;TJ</v>
      </c>
      <c r="B138" t="str">
        <f t="shared" ca="1" si="21"/>
        <v>125LowNoTelecom-Non AT&amp;TK</v>
      </c>
      <c r="C138" t="str">
        <f t="shared" ca="1" si="22"/>
        <v>125LowNoTelecom-Non AT&amp;TL</v>
      </c>
      <c r="D138" s="22">
        <f t="shared" si="32"/>
        <v>125</v>
      </c>
      <c r="E138" s="24" t="str">
        <f>IFERROR(VLOOKUP(D138&amp;$G$3&amp;$G$4&amp;$G$5,'Raw Data'!$C:$BO,2,0),"NA")</f>
        <v>NA</v>
      </c>
      <c r="F138" s="79" t="str">
        <f>IFERROR(VLOOKUP(D138&amp;$G$3&amp;$G$4&amp;$G$5,'Raw Data'!$C:$BO,5,0),"NA")</f>
        <v>NA</v>
      </c>
      <c r="G138" s="44" t="str">
        <f>IFERROR(VLOOKUP(D138&amp;$G$3&amp;$G$4&amp;$G$5,'Raw Data'!$C:$BT,70,0),"NA")</f>
        <v>NA</v>
      </c>
      <c r="H138" s="62" t="str">
        <f>IFERROR(VLOOKUP(D138&amp;$G$3&amp;$G$4&amp;$G$5,'Raw Data'!$C:$BO,7,0),"NA")</f>
        <v>NA</v>
      </c>
      <c r="I138" s="29" t="str">
        <f>IFERROR(VLOOKUP(D138&amp;$G$3&amp;$G$4&amp;$G$5,'Raw Data'!$C:$BO,11,0),"NA")</f>
        <v>NA</v>
      </c>
      <c r="J138" s="26" t="str">
        <f>IFERROR(VLOOKUP(D138&amp;$G$3&amp;$G$4&amp;$G$5,'Raw Data'!$C:$BO,26,0),"NA")</f>
        <v>NA</v>
      </c>
      <c r="K138" s="26" t="str">
        <f>IFERROR(VLOOKUP(D138&amp;$G$3&amp;$G$4&amp;$G$5,'Raw Data'!$C:$BO,39,0),"NA")</f>
        <v>NA</v>
      </c>
      <c r="L138" s="26" t="str">
        <f>IFERROR(VLOOKUP(D138&amp;$G$3&amp;$G$4&amp;$G$5,'Raw Data'!$C:$BO,65,0),"NA")</f>
        <v>NA</v>
      </c>
      <c r="M138" s="26" t="str">
        <f>IFERROR(VLOOKUP(D138&amp;$G$3&amp;$G$4&amp;G130,'Raw Data'!$C:$BO,52,0),"NA")</f>
        <v>NA</v>
      </c>
      <c r="N138" s="26">
        <f t="shared" si="23"/>
        <v>0</v>
      </c>
      <c r="O138" s="78" t="str">
        <f t="shared" si="24"/>
        <v>NA</v>
      </c>
      <c r="P138" s="26" t="str">
        <f>IFERROR(VLOOKUP(D138&amp;$G$3&amp;$G$4&amp;$G$5,'Raw Data'!$C:$BS,66,0),"NA")</f>
        <v>NA</v>
      </c>
      <c r="Q138" s="26" t="str">
        <f>IFERROR(VLOOKUP(D138&amp;$G$3&amp;$G$4&amp;$G$5,'Raw Data'!$C:$BS,67,0),"NA")</f>
        <v>NA</v>
      </c>
      <c r="R138" s="26" t="str">
        <f>IFERROR(VLOOKUP(D138&amp;$G$3&amp;$G$4&amp;$G$5,'Raw Data'!$C:$BS,68,0),"NA")</f>
        <v>NA</v>
      </c>
      <c r="S138" s="26" t="str">
        <f>IFERROR(VLOOKUP(D138&amp;$G$3&amp;$G$4&amp;$G$5,'Raw Data'!$C:$BS,69,0),"NA")</f>
        <v>NA</v>
      </c>
      <c r="T138" s="44" t="str">
        <f t="shared" si="25"/>
        <v>NA</v>
      </c>
      <c r="BK138" s="60" t="str">
        <f t="shared" si="26"/>
        <v>NA</v>
      </c>
      <c r="BL138" t="str">
        <f t="shared" si="27"/>
        <v>NA</v>
      </c>
      <c r="BM138" t="str">
        <f t="shared" si="28"/>
        <v>NA</v>
      </c>
      <c r="BN138" t="str">
        <f t="shared" si="29"/>
        <v>NA</v>
      </c>
      <c r="BO138" t="str">
        <f t="shared" si="31"/>
        <v/>
      </c>
      <c r="BP138" t="str">
        <f t="shared" si="30"/>
        <v>NA</v>
      </c>
    </row>
    <row r="139" spans="1:68">
      <c r="A139" t="str">
        <f t="shared" ca="1" si="20"/>
        <v>126LowNoTelecom-Non AT&amp;TJ</v>
      </c>
      <c r="B139" t="str">
        <f t="shared" ca="1" si="21"/>
        <v>126LowNoTelecom-Non AT&amp;TK</v>
      </c>
      <c r="C139" t="str">
        <f t="shared" ca="1" si="22"/>
        <v>126LowNoTelecom-Non AT&amp;TL</v>
      </c>
      <c r="D139" s="22">
        <f t="shared" si="32"/>
        <v>126</v>
      </c>
      <c r="E139" s="24" t="str">
        <f>IFERROR(VLOOKUP(D139&amp;$G$3&amp;$G$4&amp;$G$5,'Raw Data'!$C:$BO,2,0),"NA")</f>
        <v>NA</v>
      </c>
      <c r="F139" s="79" t="str">
        <f>IFERROR(VLOOKUP(D139&amp;$G$3&amp;$G$4&amp;$G$5,'Raw Data'!$C:$BO,5,0),"NA")</f>
        <v>NA</v>
      </c>
      <c r="G139" s="44" t="str">
        <f>IFERROR(VLOOKUP(D139&amp;$G$3&amp;$G$4&amp;$G$5,'Raw Data'!$C:$BT,70,0),"NA")</f>
        <v>NA</v>
      </c>
      <c r="H139" s="62" t="str">
        <f>IFERROR(VLOOKUP(D139&amp;$G$3&amp;$G$4&amp;$G$5,'Raw Data'!$C:$BO,7,0),"NA")</f>
        <v>NA</v>
      </c>
      <c r="I139" s="29" t="str">
        <f>IFERROR(VLOOKUP(D139&amp;$G$3&amp;$G$4&amp;$G$5,'Raw Data'!$C:$BO,11,0),"NA")</f>
        <v>NA</v>
      </c>
      <c r="J139" s="26" t="str">
        <f>IFERROR(VLOOKUP(D139&amp;$G$3&amp;$G$4&amp;$G$5,'Raw Data'!$C:$BO,26,0),"NA")</f>
        <v>NA</v>
      </c>
      <c r="K139" s="26" t="str">
        <f>IFERROR(VLOOKUP(D139&amp;$G$3&amp;$G$4&amp;$G$5,'Raw Data'!$C:$BO,39,0),"NA")</f>
        <v>NA</v>
      </c>
      <c r="L139" s="26" t="str">
        <f>IFERROR(VLOOKUP(D139&amp;$G$3&amp;$G$4&amp;$G$5,'Raw Data'!$C:$BO,65,0),"NA")</f>
        <v>NA</v>
      </c>
      <c r="M139" s="26" t="str">
        <f>IFERROR(VLOOKUP(D139&amp;$G$3&amp;$G$4&amp;G131,'Raw Data'!$C:$BO,52,0),"NA")</f>
        <v>NA</v>
      </c>
      <c r="N139" s="26">
        <f t="shared" si="23"/>
        <v>0</v>
      </c>
      <c r="O139" s="78" t="str">
        <f t="shared" si="24"/>
        <v>NA</v>
      </c>
      <c r="P139" s="26" t="str">
        <f>IFERROR(VLOOKUP(D139&amp;$G$3&amp;$G$4&amp;$G$5,'Raw Data'!$C:$BS,66,0),"NA")</f>
        <v>NA</v>
      </c>
      <c r="Q139" s="26" t="str">
        <f>IFERROR(VLOOKUP(D139&amp;$G$3&amp;$G$4&amp;$G$5,'Raw Data'!$C:$BS,67,0),"NA")</f>
        <v>NA</v>
      </c>
      <c r="R139" s="26" t="str">
        <f>IFERROR(VLOOKUP(D139&amp;$G$3&amp;$G$4&amp;$G$5,'Raw Data'!$C:$BS,68,0),"NA")</f>
        <v>NA</v>
      </c>
      <c r="S139" s="26" t="str">
        <f>IFERROR(VLOOKUP(D139&amp;$G$3&amp;$G$4&amp;$G$5,'Raw Data'!$C:$BS,69,0),"NA")</f>
        <v>NA</v>
      </c>
      <c r="T139" s="44" t="str">
        <f t="shared" si="25"/>
        <v>NA</v>
      </c>
      <c r="BK139" s="60" t="str">
        <f t="shared" si="26"/>
        <v>NA</v>
      </c>
      <c r="BL139" t="str">
        <f t="shared" si="27"/>
        <v>NA</v>
      </c>
      <c r="BM139" t="str">
        <f t="shared" si="28"/>
        <v>NA</v>
      </c>
      <c r="BN139" t="str">
        <f t="shared" si="29"/>
        <v>NA</v>
      </c>
      <c r="BO139" t="str">
        <f t="shared" si="31"/>
        <v/>
      </c>
      <c r="BP139" t="str">
        <f t="shared" si="30"/>
        <v>NA</v>
      </c>
    </row>
    <row r="140" spans="1:68">
      <c r="A140" t="str">
        <f t="shared" ca="1" si="20"/>
        <v>127LowNoTelecom-Non AT&amp;TJ</v>
      </c>
      <c r="B140" t="str">
        <f t="shared" ca="1" si="21"/>
        <v>127LowNoTelecom-Non AT&amp;TK</v>
      </c>
      <c r="C140" t="str">
        <f t="shared" ca="1" si="22"/>
        <v>127LowNoTelecom-Non AT&amp;TL</v>
      </c>
      <c r="D140" s="22">
        <f t="shared" si="32"/>
        <v>127</v>
      </c>
      <c r="E140" s="24" t="str">
        <f>IFERROR(VLOOKUP(D140&amp;$G$3&amp;$G$4&amp;$G$5,'Raw Data'!$C:$BO,2,0),"NA")</f>
        <v>NA</v>
      </c>
      <c r="F140" s="79" t="str">
        <f>IFERROR(VLOOKUP(D140&amp;$G$3&amp;$G$4&amp;$G$5,'Raw Data'!$C:$BO,5,0),"NA")</f>
        <v>NA</v>
      </c>
      <c r="G140" s="44" t="str">
        <f>IFERROR(VLOOKUP(D140&amp;$G$3&amp;$G$4&amp;$G$5,'Raw Data'!$C:$BT,70,0),"NA")</f>
        <v>NA</v>
      </c>
      <c r="H140" s="62" t="str">
        <f>IFERROR(VLOOKUP(D140&amp;$G$3&amp;$G$4&amp;$G$5,'Raw Data'!$C:$BO,7,0),"NA")</f>
        <v>NA</v>
      </c>
      <c r="I140" s="29" t="str">
        <f>IFERROR(VLOOKUP(D140&amp;$G$3&amp;$G$4&amp;$G$5,'Raw Data'!$C:$BO,11,0),"NA")</f>
        <v>NA</v>
      </c>
      <c r="J140" s="26" t="str">
        <f>IFERROR(VLOOKUP(D140&amp;$G$3&amp;$G$4&amp;$G$5,'Raw Data'!$C:$BO,26,0),"NA")</f>
        <v>NA</v>
      </c>
      <c r="K140" s="26" t="str">
        <f>IFERROR(VLOOKUP(D140&amp;$G$3&amp;$G$4&amp;$G$5,'Raw Data'!$C:$BO,39,0),"NA")</f>
        <v>NA</v>
      </c>
      <c r="L140" s="26" t="str">
        <f>IFERROR(VLOOKUP(D140&amp;$G$3&amp;$G$4&amp;$G$5,'Raw Data'!$C:$BO,65,0),"NA")</f>
        <v>NA</v>
      </c>
      <c r="M140" s="26" t="str">
        <f>IFERROR(VLOOKUP(D140&amp;$G$3&amp;$G$4&amp;G132,'Raw Data'!$C:$BO,52,0),"NA")</f>
        <v>NA</v>
      </c>
      <c r="N140" s="26">
        <f t="shared" si="23"/>
        <v>0</v>
      </c>
      <c r="O140" s="78" t="str">
        <f t="shared" si="24"/>
        <v>NA</v>
      </c>
      <c r="P140" s="26" t="str">
        <f>IFERROR(VLOOKUP(D140&amp;$G$3&amp;$G$4&amp;$G$5,'Raw Data'!$C:$BS,66,0),"NA")</f>
        <v>NA</v>
      </c>
      <c r="Q140" s="26" t="str">
        <f>IFERROR(VLOOKUP(D140&amp;$G$3&amp;$G$4&amp;$G$5,'Raw Data'!$C:$BS,67,0),"NA")</f>
        <v>NA</v>
      </c>
      <c r="R140" s="26" t="str">
        <f>IFERROR(VLOOKUP(D140&amp;$G$3&amp;$G$4&amp;$G$5,'Raw Data'!$C:$BS,68,0),"NA")</f>
        <v>NA</v>
      </c>
      <c r="S140" s="26" t="str">
        <f>IFERROR(VLOOKUP(D140&amp;$G$3&amp;$G$4&amp;$G$5,'Raw Data'!$C:$BS,69,0),"NA")</f>
        <v>NA</v>
      </c>
      <c r="T140" s="44" t="str">
        <f t="shared" si="25"/>
        <v>NA</v>
      </c>
      <c r="BK140" s="60" t="str">
        <f t="shared" si="26"/>
        <v>NA</v>
      </c>
      <c r="BL140" t="str">
        <f t="shared" si="27"/>
        <v>NA</v>
      </c>
      <c r="BM140" t="str">
        <f t="shared" si="28"/>
        <v>NA</v>
      </c>
      <c r="BN140" t="str">
        <f t="shared" si="29"/>
        <v>NA</v>
      </c>
      <c r="BO140" t="str">
        <f t="shared" si="31"/>
        <v/>
      </c>
      <c r="BP140" t="str">
        <f t="shared" si="30"/>
        <v>NA</v>
      </c>
    </row>
    <row r="141" spans="1:68">
      <c r="A141" t="str">
        <f t="shared" ca="1" si="20"/>
        <v>128LowNoTelecom-Non AT&amp;TJ</v>
      </c>
      <c r="B141" t="str">
        <f t="shared" ca="1" si="21"/>
        <v>128LowNoTelecom-Non AT&amp;TK</v>
      </c>
      <c r="C141" t="str">
        <f t="shared" ca="1" si="22"/>
        <v>128LowNoTelecom-Non AT&amp;TL</v>
      </c>
      <c r="D141" s="22">
        <f t="shared" si="32"/>
        <v>128</v>
      </c>
      <c r="E141" s="24" t="str">
        <f>IFERROR(VLOOKUP(D141&amp;$G$3&amp;$G$4&amp;$G$5,'Raw Data'!$C:$BO,2,0),"NA")</f>
        <v>NA</v>
      </c>
      <c r="F141" s="79" t="str">
        <f>IFERROR(VLOOKUP(D141&amp;$G$3&amp;$G$4&amp;$G$5,'Raw Data'!$C:$BO,5,0),"NA")</f>
        <v>NA</v>
      </c>
      <c r="G141" s="44" t="str">
        <f>IFERROR(VLOOKUP(D141&amp;$G$3&amp;$G$4&amp;$G$5,'Raw Data'!$C:$BT,70,0),"NA")</f>
        <v>NA</v>
      </c>
      <c r="H141" s="62" t="str">
        <f>IFERROR(VLOOKUP(D141&amp;$G$3&amp;$G$4&amp;$G$5,'Raw Data'!$C:$BO,7,0),"NA")</f>
        <v>NA</v>
      </c>
      <c r="I141" s="29" t="str">
        <f>IFERROR(VLOOKUP(D141&amp;$G$3&amp;$G$4&amp;$G$5,'Raw Data'!$C:$BO,11,0),"NA")</f>
        <v>NA</v>
      </c>
      <c r="J141" s="26" t="str">
        <f>IFERROR(VLOOKUP(D141&amp;$G$3&amp;$G$4&amp;$G$5,'Raw Data'!$C:$BO,26,0),"NA")</f>
        <v>NA</v>
      </c>
      <c r="K141" s="26" t="str">
        <f>IFERROR(VLOOKUP(D141&amp;$G$3&amp;$G$4&amp;$G$5,'Raw Data'!$C:$BO,39,0),"NA")</f>
        <v>NA</v>
      </c>
      <c r="L141" s="26" t="str">
        <f>IFERROR(VLOOKUP(D141&amp;$G$3&amp;$G$4&amp;$G$5,'Raw Data'!$C:$BO,65,0),"NA")</f>
        <v>NA</v>
      </c>
      <c r="M141" s="26" t="str">
        <f>IFERROR(VLOOKUP(D141&amp;$G$3&amp;$G$4&amp;G133,'Raw Data'!$C:$BO,52,0),"NA")</f>
        <v>NA</v>
      </c>
      <c r="N141" s="26">
        <f t="shared" si="23"/>
        <v>0</v>
      </c>
      <c r="O141" s="78" t="str">
        <f t="shared" si="24"/>
        <v>NA</v>
      </c>
      <c r="P141" s="26" t="str">
        <f>IFERROR(VLOOKUP(D141&amp;$G$3&amp;$G$4&amp;$G$5,'Raw Data'!$C:$BS,66,0),"NA")</f>
        <v>NA</v>
      </c>
      <c r="Q141" s="26" t="str">
        <f>IFERROR(VLOOKUP(D141&amp;$G$3&amp;$G$4&amp;$G$5,'Raw Data'!$C:$BS,67,0),"NA")</f>
        <v>NA</v>
      </c>
      <c r="R141" s="26" t="str">
        <f>IFERROR(VLOOKUP(D141&amp;$G$3&amp;$G$4&amp;$G$5,'Raw Data'!$C:$BS,68,0),"NA")</f>
        <v>NA</v>
      </c>
      <c r="S141" s="26" t="str">
        <f>IFERROR(VLOOKUP(D141&amp;$G$3&amp;$G$4&amp;$G$5,'Raw Data'!$C:$BS,69,0),"NA")</f>
        <v>NA</v>
      </c>
      <c r="T141" s="44" t="str">
        <f t="shared" si="25"/>
        <v>NA</v>
      </c>
      <c r="BK141" s="60" t="str">
        <f t="shared" si="26"/>
        <v>NA</v>
      </c>
      <c r="BL141" t="str">
        <f t="shared" si="27"/>
        <v>NA</v>
      </c>
      <c r="BM141" t="str">
        <f t="shared" si="28"/>
        <v>NA</v>
      </c>
      <c r="BN141" t="str">
        <f t="shared" si="29"/>
        <v>NA</v>
      </c>
      <c r="BO141" t="str">
        <f t="shared" si="31"/>
        <v/>
      </c>
      <c r="BP141" t="str">
        <f t="shared" si="30"/>
        <v>NA</v>
      </c>
    </row>
    <row r="142" spans="1:68">
      <c r="A142" t="str">
        <f t="shared" ca="1" si="20"/>
        <v>129LowNoTelecom-Non AT&amp;TJ</v>
      </c>
      <c r="B142" t="str">
        <f t="shared" ca="1" si="21"/>
        <v>129LowNoTelecom-Non AT&amp;TK</v>
      </c>
      <c r="C142" t="str">
        <f t="shared" ca="1" si="22"/>
        <v>129LowNoTelecom-Non AT&amp;TL</v>
      </c>
      <c r="D142" s="22">
        <f t="shared" si="32"/>
        <v>129</v>
      </c>
      <c r="E142" s="24" t="str">
        <f>IFERROR(VLOOKUP(D142&amp;$G$3&amp;$G$4&amp;$G$5,'Raw Data'!$C:$BO,2,0),"NA")</f>
        <v>NA</v>
      </c>
      <c r="F142" s="79" t="str">
        <f>IFERROR(VLOOKUP(D142&amp;$G$3&amp;$G$4&amp;$G$5,'Raw Data'!$C:$BO,5,0),"NA")</f>
        <v>NA</v>
      </c>
      <c r="G142" s="44" t="str">
        <f>IFERROR(VLOOKUP(D142&amp;$G$3&amp;$G$4&amp;$G$5,'Raw Data'!$C:$BT,70,0),"NA")</f>
        <v>NA</v>
      </c>
      <c r="H142" s="62" t="str">
        <f>IFERROR(VLOOKUP(D142&amp;$G$3&amp;$G$4&amp;$G$5,'Raw Data'!$C:$BO,7,0),"NA")</f>
        <v>NA</v>
      </c>
      <c r="I142" s="29" t="str">
        <f>IFERROR(VLOOKUP(D142&amp;$G$3&amp;$G$4&amp;$G$5,'Raw Data'!$C:$BO,11,0),"NA")</f>
        <v>NA</v>
      </c>
      <c r="J142" s="26" t="str">
        <f>IFERROR(VLOOKUP(D142&amp;$G$3&amp;$G$4&amp;$G$5,'Raw Data'!$C:$BO,26,0),"NA")</f>
        <v>NA</v>
      </c>
      <c r="K142" s="26" t="str">
        <f>IFERROR(VLOOKUP(D142&amp;$G$3&amp;$G$4&amp;$G$5,'Raw Data'!$C:$BO,39,0),"NA")</f>
        <v>NA</v>
      </c>
      <c r="L142" s="26" t="str">
        <f>IFERROR(VLOOKUP(D142&amp;$G$3&amp;$G$4&amp;$G$5,'Raw Data'!$C:$BO,65,0),"NA")</f>
        <v>NA</v>
      </c>
      <c r="M142" s="26" t="str">
        <f>IFERROR(VLOOKUP(D142&amp;$G$3&amp;$G$4&amp;G134,'Raw Data'!$C:$BO,52,0),"NA")</f>
        <v>NA</v>
      </c>
      <c r="N142" s="26">
        <f t="shared" si="23"/>
        <v>0</v>
      </c>
      <c r="O142" s="78" t="str">
        <f t="shared" si="24"/>
        <v>NA</v>
      </c>
      <c r="P142" s="26" t="str">
        <f>IFERROR(VLOOKUP(D142&amp;$G$3&amp;$G$4&amp;$G$5,'Raw Data'!$C:$BS,66,0),"NA")</f>
        <v>NA</v>
      </c>
      <c r="Q142" s="26" t="str">
        <f>IFERROR(VLOOKUP(D142&amp;$G$3&amp;$G$4&amp;$G$5,'Raw Data'!$C:$BS,67,0),"NA")</f>
        <v>NA</v>
      </c>
      <c r="R142" s="26" t="str">
        <f>IFERROR(VLOOKUP(D142&amp;$G$3&amp;$G$4&amp;$G$5,'Raw Data'!$C:$BS,68,0),"NA")</f>
        <v>NA</v>
      </c>
      <c r="S142" s="26" t="str">
        <f>IFERROR(VLOOKUP(D142&amp;$G$3&amp;$G$4&amp;$G$5,'Raw Data'!$C:$BS,69,0),"NA")</f>
        <v>NA</v>
      </c>
      <c r="T142" s="44" t="str">
        <f t="shared" si="25"/>
        <v>NA</v>
      </c>
      <c r="BK142" s="60" t="str">
        <f t="shared" si="26"/>
        <v>NA</v>
      </c>
      <c r="BL142" t="str">
        <f t="shared" si="27"/>
        <v>NA</v>
      </c>
      <c r="BM142" t="str">
        <f t="shared" si="28"/>
        <v>NA</v>
      </c>
      <c r="BN142" t="str">
        <f t="shared" si="29"/>
        <v>NA</v>
      </c>
      <c r="BO142" t="str">
        <f t="shared" ref="BO142:BO164" si="33">IF(OR($BK142="Minutes",$BK142="Volume"),SUMPRODUCT(($BK142=$BB$2:$BB$15)*($BL142=$BD$2:$BD$15)*($BN142=$BC$2:$BC$15)*($BA$2:$BA$15)),IF($BK142="HeadCount",SUMPRODUCT(($BK142=$BB$2:$BB$15)*($BL142=$BD$2:$BD$15)*($BM142=$BE$2:$BE$15)*($BA$2:$BA$15)),IF($BK142="Hours",SUMPRODUCT(($BK142=$BB$2:$BB$15)*($BL142=$BD$2:$BD$15)*($BA$2:$BA$15)),"")))</f>
        <v/>
      </c>
      <c r="BP142" t="str">
        <f t="shared" si="30"/>
        <v>NA</v>
      </c>
    </row>
    <row r="143" spans="1:68">
      <c r="A143" t="str">
        <f t="shared" ref="A143:A164" ca="1" si="34">$D143&amp;$G$3&amp;$G$4&amp;$G$5&amp;MID(CELL("address",J143),2,FIND("$",CELL("address",J143),2)-2)</f>
        <v>130LowNoTelecom-Non AT&amp;TJ</v>
      </c>
      <c r="B143" t="str">
        <f t="shared" ref="B143:B164" ca="1" si="35">$D143&amp;$G$3&amp;$G$4&amp;$G$5&amp;MID(CELL("address",K143),2,FIND("$",CELL("address",K143),2)-2)</f>
        <v>130LowNoTelecom-Non AT&amp;TK</v>
      </c>
      <c r="C143" t="str">
        <f t="shared" ref="C143:C164" ca="1" si="36">$D143&amp;$G$3&amp;$G$4&amp;$G$5&amp;MID(CELL("address",L143),2,FIND("$",CELL("address",L143),2)-2)</f>
        <v>130LowNoTelecom-Non AT&amp;TL</v>
      </c>
      <c r="D143" s="22">
        <f t="shared" si="32"/>
        <v>130</v>
      </c>
      <c r="E143" s="24" t="str">
        <f>IFERROR(VLOOKUP(D143&amp;$G$3&amp;$G$4&amp;$G$5,'Raw Data'!$C:$BO,2,0),"NA")</f>
        <v>NA</v>
      </c>
      <c r="F143" s="79" t="str">
        <f>IFERROR(VLOOKUP(D143&amp;$G$3&amp;$G$4&amp;$G$5,'Raw Data'!$C:$BO,5,0),"NA")</f>
        <v>NA</v>
      </c>
      <c r="G143" s="44" t="str">
        <f>IFERROR(VLOOKUP(D143&amp;$G$3&amp;$G$4&amp;$G$5,'Raw Data'!$C:$BT,70,0),"NA")</f>
        <v>NA</v>
      </c>
      <c r="H143" s="62" t="str">
        <f>IFERROR(VLOOKUP(D143&amp;$G$3&amp;$G$4&amp;$G$5,'Raw Data'!$C:$BO,7,0),"NA")</f>
        <v>NA</v>
      </c>
      <c r="I143" s="29" t="str">
        <f>IFERROR(VLOOKUP(D143&amp;$G$3&amp;$G$4&amp;$G$5,'Raw Data'!$C:$BO,11,0),"NA")</f>
        <v>NA</v>
      </c>
      <c r="J143" s="26" t="str">
        <f>IFERROR(VLOOKUP(D143&amp;$G$3&amp;$G$4&amp;$G$5,'Raw Data'!$C:$BO,26,0),"NA")</f>
        <v>NA</v>
      </c>
      <c r="K143" s="26" t="str">
        <f>IFERROR(VLOOKUP(D143&amp;$G$3&amp;$G$4&amp;$G$5,'Raw Data'!$C:$BO,39,0),"NA")</f>
        <v>NA</v>
      </c>
      <c r="L143" s="26" t="str">
        <f>IFERROR(VLOOKUP(D143&amp;$G$3&amp;$G$4&amp;$G$5,'Raw Data'!$C:$BO,65,0),"NA")</f>
        <v>NA</v>
      </c>
      <c r="M143" s="26" t="str">
        <f>IFERROR(VLOOKUP(D143&amp;$G$3&amp;$G$4&amp;G135,'Raw Data'!$C:$BO,52,0),"NA")</f>
        <v>NA</v>
      </c>
      <c r="N143" s="26">
        <f t="shared" ref="N143:N164" si="37">IFERROR(AVERAGEIF(J143:M143,"&lt;&gt;0%",J143:M143),0)</f>
        <v>0</v>
      </c>
      <c r="O143" s="78" t="str">
        <f t="shared" ref="O143:O164" si="38">IF(AND(N143&gt;$AC$1,N143&lt;=$AD$1),"Low",IF(AND(N143&gt;=$AE$1,N143&lt;=$AF$1),"Medium",IF(AND(N143&gt;=$AG$1,N143&lt;=$AH$1),"High",IF(OR(N143&gt;100%,N143&lt;0%),"Very High","NA"))))</f>
        <v>NA</v>
      </c>
      <c r="P143" s="26" t="str">
        <f>IFERROR(VLOOKUP(D143&amp;$G$3&amp;$G$4&amp;$G$5,'Raw Data'!$C:$BS,66,0),"NA")</f>
        <v>NA</v>
      </c>
      <c r="Q143" s="26" t="str">
        <f>IFERROR(VLOOKUP(D143&amp;$G$3&amp;$G$4&amp;$G$5,'Raw Data'!$C:$BS,67,0),"NA")</f>
        <v>NA</v>
      </c>
      <c r="R143" s="26" t="str">
        <f>IFERROR(VLOOKUP(D143&amp;$G$3&amp;$G$4&amp;$G$5,'Raw Data'!$C:$BS,68,0),"NA")</f>
        <v>NA</v>
      </c>
      <c r="S143" s="26" t="str">
        <f>IFERROR(VLOOKUP(D143&amp;$G$3&amp;$G$4&amp;$G$5,'Raw Data'!$C:$BS,69,0),"NA")</f>
        <v>NA</v>
      </c>
      <c r="T143" s="44" t="str">
        <f t="shared" ref="T143:T164" si="39">BP143</f>
        <v>NA</v>
      </c>
      <c r="BK143" s="60" t="str">
        <f t="shared" ref="BK143:BK164" si="40">G143</f>
        <v>NA</v>
      </c>
      <c r="BL143" t="str">
        <f t="shared" ref="BL143:BL164" si="41">IFERROR(IF(SIGN(J143)=1,"Positive","Negative"),"NA")</f>
        <v>NA</v>
      </c>
      <c r="BM143" t="str">
        <f t="shared" ref="BM143:BM164" si="42">IFERROR(IF(SIGN(K143)=1,"Positive","Negative"),"NA")</f>
        <v>NA</v>
      </c>
      <c r="BN143" t="str">
        <f t="shared" ref="BN143:BN164" si="43">IFERROR(IF(SIGN(L143)=1,"Positive","Negative"),"NA")</f>
        <v>NA</v>
      </c>
      <c r="BO143" t="str">
        <f t="shared" si="33"/>
        <v/>
      </c>
      <c r="BP143" t="str">
        <f t="shared" ref="BP143:BP164" si="44">IFERROR(VLOOKUP($BO143,$BA$2:$BI$15,9,0),"NA")</f>
        <v>NA</v>
      </c>
    </row>
    <row r="144" spans="1:68">
      <c r="A144" t="str">
        <f t="shared" ca="1" si="34"/>
        <v>131LowNoTelecom-Non AT&amp;TJ</v>
      </c>
      <c r="B144" t="str">
        <f t="shared" ca="1" si="35"/>
        <v>131LowNoTelecom-Non AT&amp;TK</v>
      </c>
      <c r="C144" t="str">
        <f t="shared" ca="1" si="36"/>
        <v>131LowNoTelecom-Non AT&amp;TL</v>
      </c>
      <c r="D144" s="22">
        <f t="shared" si="32"/>
        <v>131</v>
      </c>
      <c r="E144" s="24" t="str">
        <f>IFERROR(VLOOKUP(D144&amp;$G$3&amp;$G$4&amp;$G$5,'Raw Data'!$C:$BO,2,0),"NA")</f>
        <v>NA</v>
      </c>
      <c r="F144" s="79" t="str">
        <f>IFERROR(VLOOKUP(D144&amp;$G$3&amp;$G$4&amp;$G$5,'Raw Data'!$C:$BO,5,0),"NA")</f>
        <v>NA</v>
      </c>
      <c r="G144" s="44" t="str">
        <f>IFERROR(VLOOKUP(D144&amp;$G$3&amp;$G$4&amp;$G$5,'Raw Data'!$C:$BT,70,0),"NA")</f>
        <v>NA</v>
      </c>
      <c r="H144" s="62" t="str">
        <f>IFERROR(VLOOKUP(D144&amp;$G$3&amp;$G$4&amp;$G$5,'Raw Data'!$C:$BO,7,0),"NA")</f>
        <v>NA</v>
      </c>
      <c r="I144" s="29" t="str">
        <f>IFERROR(VLOOKUP(D144&amp;$G$3&amp;$G$4&amp;$G$5,'Raw Data'!$C:$BO,11,0),"NA")</f>
        <v>NA</v>
      </c>
      <c r="J144" s="26" t="str">
        <f>IFERROR(VLOOKUP(D144&amp;$G$3&amp;$G$4&amp;$G$5,'Raw Data'!$C:$BO,26,0),"NA")</f>
        <v>NA</v>
      </c>
      <c r="K144" s="26" t="str">
        <f>IFERROR(VLOOKUP(D144&amp;$G$3&amp;$G$4&amp;$G$5,'Raw Data'!$C:$BO,39,0),"NA")</f>
        <v>NA</v>
      </c>
      <c r="L144" s="26" t="str">
        <f>IFERROR(VLOOKUP(D144&amp;$G$3&amp;$G$4&amp;$G$5,'Raw Data'!$C:$BO,65,0),"NA")</f>
        <v>NA</v>
      </c>
      <c r="M144" s="26" t="str">
        <f>IFERROR(VLOOKUP(D144&amp;$G$3&amp;$G$4&amp;G136,'Raw Data'!$C:$BO,52,0),"NA")</f>
        <v>NA</v>
      </c>
      <c r="N144" s="26">
        <f t="shared" si="37"/>
        <v>0</v>
      </c>
      <c r="O144" s="78" t="str">
        <f t="shared" si="38"/>
        <v>NA</v>
      </c>
      <c r="P144" s="26" t="str">
        <f>IFERROR(VLOOKUP(D144&amp;$G$3&amp;$G$4&amp;$G$5,'Raw Data'!$C:$BS,66,0),"NA")</f>
        <v>NA</v>
      </c>
      <c r="Q144" s="26" t="str">
        <f>IFERROR(VLOOKUP(D144&amp;$G$3&amp;$G$4&amp;$G$5,'Raw Data'!$C:$BS,67,0),"NA")</f>
        <v>NA</v>
      </c>
      <c r="R144" s="26" t="str">
        <f>IFERROR(VLOOKUP(D144&amp;$G$3&amp;$G$4&amp;$G$5,'Raw Data'!$C:$BS,68,0),"NA")</f>
        <v>NA</v>
      </c>
      <c r="S144" s="26" t="str">
        <f>IFERROR(VLOOKUP(D144&amp;$G$3&amp;$G$4&amp;$G$5,'Raw Data'!$C:$BS,69,0),"NA")</f>
        <v>NA</v>
      </c>
      <c r="T144" s="44" t="str">
        <f t="shared" si="39"/>
        <v>NA</v>
      </c>
      <c r="BK144" s="60" t="str">
        <f t="shared" si="40"/>
        <v>NA</v>
      </c>
      <c r="BL144" t="str">
        <f t="shared" si="41"/>
        <v>NA</v>
      </c>
      <c r="BM144" t="str">
        <f t="shared" si="42"/>
        <v>NA</v>
      </c>
      <c r="BN144" t="str">
        <f t="shared" si="43"/>
        <v>NA</v>
      </c>
      <c r="BO144" t="str">
        <f t="shared" si="33"/>
        <v/>
      </c>
      <c r="BP144" t="str">
        <f t="shared" si="44"/>
        <v>NA</v>
      </c>
    </row>
    <row r="145" spans="1:68">
      <c r="A145" t="str">
        <f t="shared" ca="1" si="34"/>
        <v>132LowNoTelecom-Non AT&amp;TJ</v>
      </c>
      <c r="B145" t="str">
        <f t="shared" ca="1" si="35"/>
        <v>132LowNoTelecom-Non AT&amp;TK</v>
      </c>
      <c r="C145" t="str">
        <f t="shared" ca="1" si="36"/>
        <v>132LowNoTelecom-Non AT&amp;TL</v>
      </c>
      <c r="D145" s="22">
        <f t="shared" si="32"/>
        <v>132</v>
      </c>
      <c r="E145" s="24" t="str">
        <f>IFERROR(VLOOKUP(D145&amp;$G$3&amp;$G$4&amp;$G$5,'Raw Data'!$C:$BO,2,0),"NA")</f>
        <v>NA</v>
      </c>
      <c r="F145" s="79" t="str">
        <f>IFERROR(VLOOKUP(D145&amp;$G$3&amp;$G$4&amp;$G$5,'Raw Data'!$C:$BO,5,0),"NA")</f>
        <v>NA</v>
      </c>
      <c r="G145" s="44" t="str">
        <f>IFERROR(VLOOKUP(D145&amp;$G$3&amp;$G$4&amp;$G$5,'Raw Data'!$C:$BT,70,0),"NA")</f>
        <v>NA</v>
      </c>
      <c r="H145" s="62" t="str">
        <f>IFERROR(VLOOKUP(D145&amp;$G$3&amp;$G$4&amp;$G$5,'Raw Data'!$C:$BO,7,0),"NA")</f>
        <v>NA</v>
      </c>
      <c r="I145" s="29" t="str">
        <f>IFERROR(VLOOKUP(D145&amp;$G$3&amp;$G$4&amp;$G$5,'Raw Data'!$C:$BO,11,0),"NA")</f>
        <v>NA</v>
      </c>
      <c r="J145" s="26" t="str">
        <f>IFERROR(VLOOKUP(D145&amp;$G$3&amp;$G$4&amp;$G$5,'Raw Data'!$C:$BO,26,0),"NA")</f>
        <v>NA</v>
      </c>
      <c r="K145" s="26" t="str">
        <f>IFERROR(VLOOKUP(D145&amp;$G$3&amp;$G$4&amp;$G$5,'Raw Data'!$C:$BO,39,0),"NA")</f>
        <v>NA</v>
      </c>
      <c r="L145" s="26" t="str">
        <f>IFERROR(VLOOKUP(D145&amp;$G$3&amp;$G$4&amp;$G$5,'Raw Data'!$C:$BO,65,0),"NA")</f>
        <v>NA</v>
      </c>
      <c r="M145" s="26" t="str">
        <f>IFERROR(VLOOKUP(D145&amp;$G$3&amp;$G$4&amp;G137,'Raw Data'!$C:$BO,52,0),"NA")</f>
        <v>NA</v>
      </c>
      <c r="N145" s="26">
        <f t="shared" si="37"/>
        <v>0</v>
      </c>
      <c r="O145" s="78" t="str">
        <f t="shared" si="38"/>
        <v>NA</v>
      </c>
      <c r="P145" s="26" t="str">
        <f>IFERROR(VLOOKUP(D145&amp;$G$3&amp;$G$4&amp;$G$5,'Raw Data'!$C:$BS,66,0),"NA")</f>
        <v>NA</v>
      </c>
      <c r="Q145" s="26" t="str">
        <f>IFERROR(VLOOKUP(D145&amp;$G$3&amp;$G$4&amp;$G$5,'Raw Data'!$C:$BS,67,0),"NA")</f>
        <v>NA</v>
      </c>
      <c r="R145" s="26" t="str">
        <f>IFERROR(VLOOKUP(D145&amp;$G$3&amp;$G$4&amp;$G$5,'Raw Data'!$C:$BS,68,0),"NA")</f>
        <v>NA</v>
      </c>
      <c r="S145" s="26" t="str">
        <f>IFERROR(VLOOKUP(D145&amp;$G$3&amp;$G$4&amp;$G$5,'Raw Data'!$C:$BS,69,0),"NA")</f>
        <v>NA</v>
      </c>
      <c r="T145" s="44" t="str">
        <f t="shared" si="39"/>
        <v>NA</v>
      </c>
      <c r="BK145" s="60" t="str">
        <f t="shared" si="40"/>
        <v>NA</v>
      </c>
      <c r="BL145" t="str">
        <f t="shared" si="41"/>
        <v>NA</v>
      </c>
      <c r="BM145" t="str">
        <f t="shared" si="42"/>
        <v>NA</v>
      </c>
      <c r="BN145" t="str">
        <f t="shared" si="43"/>
        <v>NA</v>
      </c>
      <c r="BO145" t="str">
        <f t="shared" si="33"/>
        <v/>
      </c>
      <c r="BP145" t="str">
        <f t="shared" si="44"/>
        <v>NA</v>
      </c>
    </row>
    <row r="146" spans="1:68">
      <c r="A146" t="str">
        <f t="shared" ca="1" si="34"/>
        <v>133LowNoTelecom-Non AT&amp;TJ</v>
      </c>
      <c r="B146" t="str">
        <f t="shared" ca="1" si="35"/>
        <v>133LowNoTelecom-Non AT&amp;TK</v>
      </c>
      <c r="C146" t="str">
        <f t="shared" ca="1" si="36"/>
        <v>133LowNoTelecom-Non AT&amp;TL</v>
      </c>
      <c r="D146" s="22">
        <f t="shared" si="32"/>
        <v>133</v>
      </c>
      <c r="E146" s="24" t="str">
        <f>IFERROR(VLOOKUP(D146&amp;$G$3&amp;$G$4&amp;$G$5,'Raw Data'!$C:$BO,2,0),"NA")</f>
        <v>NA</v>
      </c>
      <c r="F146" s="79" t="str">
        <f>IFERROR(VLOOKUP(D146&amp;$G$3&amp;$G$4&amp;$G$5,'Raw Data'!$C:$BO,5,0),"NA")</f>
        <v>NA</v>
      </c>
      <c r="G146" s="44" t="str">
        <f>IFERROR(VLOOKUP(D146&amp;$G$3&amp;$G$4&amp;$G$5,'Raw Data'!$C:$BT,70,0),"NA")</f>
        <v>NA</v>
      </c>
      <c r="H146" s="62" t="str">
        <f>IFERROR(VLOOKUP(D146&amp;$G$3&amp;$G$4&amp;$G$5,'Raw Data'!$C:$BO,7,0),"NA")</f>
        <v>NA</v>
      </c>
      <c r="I146" s="29" t="str">
        <f>IFERROR(VLOOKUP(D146&amp;$G$3&amp;$G$4&amp;$G$5,'Raw Data'!$C:$BO,11,0),"NA")</f>
        <v>NA</v>
      </c>
      <c r="J146" s="26" t="str">
        <f>IFERROR(VLOOKUP(D146&amp;$G$3&amp;$G$4&amp;$G$5,'Raw Data'!$C:$BO,26,0),"NA")</f>
        <v>NA</v>
      </c>
      <c r="K146" s="26" t="str">
        <f>IFERROR(VLOOKUP(D146&amp;$G$3&amp;$G$4&amp;$G$5,'Raw Data'!$C:$BO,39,0),"NA")</f>
        <v>NA</v>
      </c>
      <c r="L146" s="26" t="str">
        <f>IFERROR(VLOOKUP(D146&amp;$G$3&amp;$G$4&amp;$G$5,'Raw Data'!$C:$BO,65,0),"NA")</f>
        <v>NA</v>
      </c>
      <c r="M146" s="26" t="str">
        <f>IFERROR(VLOOKUP(D146&amp;$G$3&amp;$G$4&amp;G138,'Raw Data'!$C:$BO,52,0),"NA")</f>
        <v>NA</v>
      </c>
      <c r="N146" s="26">
        <f t="shared" si="37"/>
        <v>0</v>
      </c>
      <c r="O146" s="78" t="str">
        <f t="shared" si="38"/>
        <v>NA</v>
      </c>
      <c r="P146" s="26" t="str">
        <f>IFERROR(VLOOKUP(D146&amp;$G$3&amp;$G$4&amp;$G$5,'Raw Data'!$C:$BS,66,0),"NA")</f>
        <v>NA</v>
      </c>
      <c r="Q146" s="26" t="str">
        <f>IFERROR(VLOOKUP(D146&amp;$G$3&amp;$G$4&amp;$G$5,'Raw Data'!$C:$BS,67,0),"NA")</f>
        <v>NA</v>
      </c>
      <c r="R146" s="26" t="str">
        <f>IFERROR(VLOOKUP(D146&amp;$G$3&amp;$G$4&amp;$G$5,'Raw Data'!$C:$BS,68,0),"NA")</f>
        <v>NA</v>
      </c>
      <c r="S146" s="26" t="str">
        <f>IFERROR(VLOOKUP(D146&amp;$G$3&amp;$G$4&amp;$G$5,'Raw Data'!$C:$BS,69,0),"NA")</f>
        <v>NA</v>
      </c>
      <c r="T146" s="44" t="str">
        <f t="shared" si="39"/>
        <v>NA</v>
      </c>
      <c r="BK146" s="60" t="str">
        <f t="shared" si="40"/>
        <v>NA</v>
      </c>
      <c r="BL146" t="str">
        <f t="shared" si="41"/>
        <v>NA</v>
      </c>
      <c r="BM146" t="str">
        <f t="shared" si="42"/>
        <v>NA</v>
      </c>
      <c r="BN146" t="str">
        <f t="shared" si="43"/>
        <v>NA</v>
      </c>
      <c r="BO146" t="str">
        <f t="shared" si="33"/>
        <v/>
      </c>
      <c r="BP146" t="str">
        <f t="shared" si="44"/>
        <v>NA</v>
      </c>
    </row>
    <row r="147" spans="1:68">
      <c r="A147" t="str">
        <f t="shared" ca="1" si="34"/>
        <v>134LowNoTelecom-Non AT&amp;TJ</v>
      </c>
      <c r="B147" t="str">
        <f t="shared" ca="1" si="35"/>
        <v>134LowNoTelecom-Non AT&amp;TK</v>
      </c>
      <c r="C147" t="str">
        <f t="shared" ca="1" si="36"/>
        <v>134LowNoTelecom-Non AT&amp;TL</v>
      </c>
      <c r="D147" s="22">
        <f t="shared" si="32"/>
        <v>134</v>
      </c>
      <c r="E147" s="24" t="str">
        <f>IFERROR(VLOOKUP(D147&amp;$G$3&amp;$G$4&amp;$G$5,'Raw Data'!$C:$BO,2,0),"NA")</f>
        <v>NA</v>
      </c>
      <c r="F147" s="79" t="str">
        <f>IFERROR(VLOOKUP(D147&amp;$G$3&amp;$G$4&amp;$G$5,'Raw Data'!$C:$BO,5,0),"NA")</f>
        <v>NA</v>
      </c>
      <c r="G147" s="44" t="str">
        <f>IFERROR(VLOOKUP(D147&amp;$G$3&amp;$G$4&amp;$G$5,'Raw Data'!$C:$BT,70,0),"NA")</f>
        <v>NA</v>
      </c>
      <c r="H147" s="62" t="str">
        <f>IFERROR(VLOOKUP(D147&amp;$G$3&amp;$G$4&amp;$G$5,'Raw Data'!$C:$BO,7,0),"NA")</f>
        <v>NA</v>
      </c>
      <c r="I147" s="29" t="str">
        <f>IFERROR(VLOOKUP(D147&amp;$G$3&amp;$G$4&amp;$G$5,'Raw Data'!$C:$BO,11,0),"NA")</f>
        <v>NA</v>
      </c>
      <c r="J147" s="26" t="str">
        <f>IFERROR(VLOOKUP(D147&amp;$G$3&amp;$G$4&amp;$G$5,'Raw Data'!$C:$BO,26,0),"NA")</f>
        <v>NA</v>
      </c>
      <c r="K147" s="26" t="str">
        <f>IFERROR(VLOOKUP(D147&amp;$G$3&amp;$G$4&amp;$G$5,'Raw Data'!$C:$BO,39,0),"NA")</f>
        <v>NA</v>
      </c>
      <c r="L147" s="26" t="str">
        <f>IFERROR(VLOOKUP(D147&amp;$G$3&amp;$G$4&amp;$G$5,'Raw Data'!$C:$BO,65,0),"NA")</f>
        <v>NA</v>
      </c>
      <c r="M147" s="26" t="str">
        <f>IFERROR(VLOOKUP(D147&amp;$G$3&amp;$G$4&amp;G139,'Raw Data'!$C:$BO,52,0),"NA")</f>
        <v>NA</v>
      </c>
      <c r="N147" s="26">
        <f t="shared" si="37"/>
        <v>0</v>
      </c>
      <c r="O147" s="78" t="str">
        <f t="shared" si="38"/>
        <v>NA</v>
      </c>
      <c r="P147" s="26" t="str">
        <f>IFERROR(VLOOKUP(D147&amp;$G$3&amp;$G$4&amp;$G$5,'Raw Data'!$C:$BS,66,0),"NA")</f>
        <v>NA</v>
      </c>
      <c r="Q147" s="26" t="str">
        <f>IFERROR(VLOOKUP(D147&amp;$G$3&amp;$G$4&amp;$G$5,'Raw Data'!$C:$BS,67,0),"NA")</f>
        <v>NA</v>
      </c>
      <c r="R147" s="26" t="str">
        <f>IFERROR(VLOOKUP(D147&amp;$G$3&amp;$G$4&amp;$G$5,'Raw Data'!$C:$BS,68,0),"NA")</f>
        <v>NA</v>
      </c>
      <c r="S147" s="26" t="str">
        <f>IFERROR(VLOOKUP(D147&amp;$G$3&amp;$G$4&amp;$G$5,'Raw Data'!$C:$BS,69,0),"NA")</f>
        <v>NA</v>
      </c>
      <c r="T147" s="44" t="str">
        <f t="shared" si="39"/>
        <v>NA</v>
      </c>
      <c r="BK147" s="60" t="str">
        <f t="shared" si="40"/>
        <v>NA</v>
      </c>
      <c r="BL147" t="str">
        <f t="shared" si="41"/>
        <v>NA</v>
      </c>
      <c r="BM147" t="str">
        <f t="shared" si="42"/>
        <v>NA</v>
      </c>
      <c r="BN147" t="str">
        <f t="shared" si="43"/>
        <v>NA</v>
      </c>
      <c r="BO147" t="str">
        <f t="shared" si="33"/>
        <v/>
      </c>
      <c r="BP147" t="str">
        <f t="shared" si="44"/>
        <v>NA</v>
      </c>
    </row>
    <row r="148" spans="1:68">
      <c r="A148" t="str">
        <f t="shared" ca="1" si="34"/>
        <v>135LowNoTelecom-Non AT&amp;TJ</v>
      </c>
      <c r="B148" t="str">
        <f t="shared" ca="1" si="35"/>
        <v>135LowNoTelecom-Non AT&amp;TK</v>
      </c>
      <c r="C148" t="str">
        <f t="shared" ca="1" si="36"/>
        <v>135LowNoTelecom-Non AT&amp;TL</v>
      </c>
      <c r="D148" s="22">
        <f t="shared" si="32"/>
        <v>135</v>
      </c>
      <c r="E148" s="24" t="str">
        <f>IFERROR(VLOOKUP(D148&amp;$G$3&amp;$G$4&amp;$G$5,'Raw Data'!$C:$BO,2,0),"NA")</f>
        <v>NA</v>
      </c>
      <c r="F148" s="79" t="str">
        <f>IFERROR(VLOOKUP(D148&amp;$G$3&amp;$G$4&amp;$G$5,'Raw Data'!$C:$BO,5,0),"NA")</f>
        <v>NA</v>
      </c>
      <c r="G148" s="44" t="str">
        <f>IFERROR(VLOOKUP(D148&amp;$G$3&amp;$G$4&amp;$G$5,'Raw Data'!$C:$BT,70,0),"NA")</f>
        <v>NA</v>
      </c>
      <c r="H148" s="62" t="str">
        <f>IFERROR(VLOOKUP(D148&amp;$G$3&amp;$G$4&amp;$G$5,'Raw Data'!$C:$BO,7,0),"NA")</f>
        <v>NA</v>
      </c>
      <c r="I148" s="29" t="str">
        <f>IFERROR(VLOOKUP(D148&amp;$G$3&amp;$G$4&amp;$G$5,'Raw Data'!$C:$BO,11,0),"NA")</f>
        <v>NA</v>
      </c>
      <c r="J148" s="26" t="str">
        <f>IFERROR(VLOOKUP(D148&amp;$G$3&amp;$G$4&amp;$G$5,'Raw Data'!$C:$BO,26,0),"NA")</f>
        <v>NA</v>
      </c>
      <c r="K148" s="26" t="str">
        <f>IFERROR(VLOOKUP(D148&amp;$G$3&amp;$G$4&amp;$G$5,'Raw Data'!$C:$BO,39,0),"NA")</f>
        <v>NA</v>
      </c>
      <c r="L148" s="26" t="str">
        <f>IFERROR(VLOOKUP(D148&amp;$G$3&amp;$G$4&amp;$G$5,'Raw Data'!$C:$BO,65,0),"NA")</f>
        <v>NA</v>
      </c>
      <c r="M148" s="26" t="str">
        <f>IFERROR(VLOOKUP(D148&amp;$G$3&amp;$G$4&amp;G140,'Raw Data'!$C:$BO,52,0),"NA")</f>
        <v>NA</v>
      </c>
      <c r="N148" s="26">
        <f t="shared" si="37"/>
        <v>0</v>
      </c>
      <c r="O148" s="78" t="str">
        <f t="shared" si="38"/>
        <v>NA</v>
      </c>
      <c r="P148" s="26" t="str">
        <f>IFERROR(VLOOKUP(D148&amp;$G$3&amp;$G$4&amp;$G$5,'Raw Data'!$C:$BS,66,0),"NA")</f>
        <v>NA</v>
      </c>
      <c r="Q148" s="26" t="str">
        <f>IFERROR(VLOOKUP(D148&amp;$G$3&amp;$G$4&amp;$G$5,'Raw Data'!$C:$BS,67,0),"NA")</f>
        <v>NA</v>
      </c>
      <c r="R148" s="26" t="str">
        <f>IFERROR(VLOOKUP(D148&amp;$G$3&amp;$G$4&amp;$G$5,'Raw Data'!$C:$BS,68,0),"NA")</f>
        <v>NA</v>
      </c>
      <c r="S148" s="26" t="str">
        <f>IFERROR(VLOOKUP(D148&amp;$G$3&amp;$G$4&amp;$G$5,'Raw Data'!$C:$BS,69,0),"NA")</f>
        <v>NA</v>
      </c>
      <c r="T148" s="44" t="str">
        <f t="shared" si="39"/>
        <v>NA</v>
      </c>
      <c r="BK148" s="60" t="str">
        <f t="shared" si="40"/>
        <v>NA</v>
      </c>
      <c r="BL148" t="str">
        <f t="shared" si="41"/>
        <v>NA</v>
      </c>
      <c r="BM148" t="str">
        <f t="shared" si="42"/>
        <v>NA</v>
      </c>
      <c r="BN148" t="str">
        <f t="shared" si="43"/>
        <v>NA</v>
      </c>
      <c r="BO148" t="str">
        <f t="shared" si="33"/>
        <v/>
      </c>
      <c r="BP148" t="str">
        <f t="shared" si="44"/>
        <v>NA</v>
      </c>
    </row>
    <row r="149" spans="1:68">
      <c r="A149" t="str">
        <f t="shared" ca="1" si="34"/>
        <v>136LowNoTelecom-Non AT&amp;TJ</v>
      </c>
      <c r="B149" t="str">
        <f t="shared" ca="1" si="35"/>
        <v>136LowNoTelecom-Non AT&amp;TK</v>
      </c>
      <c r="C149" t="str">
        <f t="shared" ca="1" si="36"/>
        <v>136LowNoTelecom-Non AT&amp;TL</v>
      </c>
      <c r="D149" s="22">
        <f t="shared" si="32"/>
        <v>136</v>
      </c>
      <c r="E149" s="24" t="str">
        <f>IFERROR(VLOOKUP(D149&amp;$G$3&amp;$G$4&amp;$G$5,'Raw Data'!$C:$BO,2,0),"NA")</f>
        <v>NA</v>
      </c>
      <c r="F149" s="79" t="str">
        <f>IFERROR(VLOOKUP(D149&amp;$G$3&amp;$G$4&amp;$G$5,'Raw Data'!$C:$BO,5,0),"NA")</f>
        <v>NA</v>
      </c>
      <c r="G149" s="44" t="str">
        <f>IFERROR(VLOOKUP(D149&amp;$G$3&amp;$G$4&amp;$G$5,'Raw Data'!$C:$BT,70,0),"NA")</f>
        <v>NA</v>
      </c>
      <c r="H149" s="62" t="str">
        <f>IFERROR(VLOOKUP(D149&amp;$G$3&amp;$G$4&amp;$G$5,'Raw Data'!$C:$BO,7,0),"NA")</f>
        <v>NA</v>
      </c>
      <c r="I149" s="29" t="str">
        <f>IFERROR(VLOOKUP(D149&amp;$G$3&amp;$G$4&amp;$G$5,'Raw Data'!$C:$BO,11,0),"NA")</f>
        <v>NA</v>
      </c>
      <c r="J149" s="26" t="str">
        <f>IFERROR(VLOOKUP(D149&amp;$G$3&amp;$G$4&amp;$G$5,'Raw Data'!$C:$BO,26,0),"NA")</f>
        <v>NA</v>
      </c>
      <c r="K149" s="26" t="str">
        <f>IFERROR(VLOOKUP(D149&amp;$G$3&amp;$G$4&amp;$G$5,'Raw Data'!$C:$BO,39,0),"NA")</f>
        <v>NA</v>
      </c>
      <c r="L149" s="26" t="str">
        <f>IFERROR(VLOOKUP(D149&amp;$G$3&amp;$G$4&amp;$G$5,'Raw Data'!$C:$BO,65,0),"NA")</f>
        <v>NA</v>
      </c>
      <c r="M149" s="26" t="str">
        <f>IFERROR(VLOOKUP(D149&amp;$G$3&amp;$G$4&amp;G141,'Raw Data'!$C:$BO,52,0),"NA")</f>
        <v>NA</v>
      </c>
      <c r="N149" s="26">
        <f t="shared" si="37"/>
        <v>0</v>
      </c>
      <c r="O149" s="78" t="str">
        <f t="shared" si="38"/>
        <v>NA</v>
      </c>
      <c r="P149" s="26" t="str">
        <f>IFERROR(VLOOKUP(D149&amp;$G$3&amp;$G$4&amp;$G$5,'Raw Data'!$C:$BS,66,0),"NA")</f>
        <v>NA</v>
      </c>
      <c r="Q149" s="26" t="str">
        <f>IFERROR(VLOOKUP(D149&amp;$G$3&amp;$G$4&amp;$G$5,'Raw Data'!$C:$BS,67,0),"NA")</f>
        <v>NA</v>
      </c>
      <c r="R149" s="26" t="str">
        <f>IFERROR(VLOOKUP(D149&amp;$G$3&amp;$G$4&amp;$G$5,'Raw Data'!$C:$BS,68,0),"NA")</f>
        <v>NA</v>
      </c>
      <c r="S149" s="26" t="str">
        <f>IFERROR(VLOOKUP(D149&amp;$G$3&amp;$G$4&amp;$G$5,'Raw Data'!$C:$BS,69,0),"NA")</f>
        <v>NA</v>
      </c>
      <c r="T149" s="44" t="str">
        <f t="shared" si="39"/>
        <v>NA</v>
      </c>
      <c r="BK149" s="60" t="str">
        <f t="shared" si="40"/>
        <v>NA</v>
      </c>
      <c r="BL149" t="str">
        <f t="shared" si="41"/>
        <v>NA</v>
      </c>
      <c r="BM149" t="str">
        <f t="shared" si="42"/>
        <v>NA</v>
      </c>
      <c r="BN149" t="str">
        <f t="shared" si="43"/>
        <v>NA</v>
      </c>
      <c r="BO149" t="str">
        <f t="shared" si="33"/>
        <v/>
      </c>
      <c r="BP149" t="str">
        <f t="shared" si="44"/>
        <v>NA</v>
      </c>
    </row>
    <row r="150" spans="1:68">
      <c r="A150" t="str">
        <f t="shared" ca="1" si="34"/>
        <v>137LowNoTelecom-Non AT&amp;TJ</v>
      </c>
      <c r="B150" t="str">
        <f t="shared" ca="1" si="35"/>
        <v>137LowNoTelecom-Non AT&amp;TK</v>
      </c>
      <c r="C150" t="str">
        <f t="shared" ca="1" si="36"/>
        <v>137LowNoTelecom-Non AT&amp;TL</v>
      </c>
      <c r="D150" s="22">
        <f t="shared" si="32"/>
        <v>137</v>
      </c>
      <c r="E150" s="24" t="str">
        <f>IFERROR(VLOOKUP(D150&amp;$G$3&amp;$G$4&amp;$G$5,'Raw Data'!$C:$BO,2,0),"NA")</f>
        <v>NA</v>
      </c>
      <c r="F150" s="79" t="str">
        <f>IFERROR(VLOOKUP(D150&amp;$G$3&amp;$G$4&amp;$G$5,'Raw Data'!$C:$BO,5,0),"NA")</f>
        <v>NA</v>
      </c>
      <c r="G150" s="44" t="str">
        <f>IFERROR(VLOOKUP(D150&amp;$G$3&amp;$G$4&amp;$G$5,'Raw Data'!$C:$BT,70,0),"NA")</f>
        <v>NA</v>
      </c>
      <c r="H150" s="62" t="str">
        <f>IFERROR(VLOOKUP(D150&amp;$G$3&amp;$G$4&amp;$G$5,'Raw Data'!$C:$BO,7,0),"NA")</f>
        <v>NA</v>
      </c>
      <c r="I150" s="29" t="str">
        <f>IFERROR(VLOOKUP(D150&amp;$G$3&amp;$G$4&amp;$G$5,'Raw Data'!$C:$BO,11,0),"NA")</f>
        <v>NA</v>
      </c>
      <c r="J150" s="26" t="str">
        <f>IFERROR(VLOOKUP(D150&amp;$G$3&amp;$G$4&amp;$G$5,'Raw Data'!$C:$BO,26,0),"NA")</f>
        <v>NA</v>
      </c>
      <c r="K150" s="26" t="str">
        <f>IFERROR(VLOOKUP(D150&amp;$G$3&amp;$G$4&amp;$G$5,'Raw Data'!$C:$BO,39,0),"NA")</f>
        <v>NA</v>
      </c>
      <c r="L150" s="26" t="str">
        <f>IFERROR(VLOOKUP(D150&amp;$G$3&amp;$G$4&amp;$G$5,'Raw Data'!$C:$BO,65,0),"NA")</f>
        <v>NA</v>
      </c>
      <c r="M150" s="26" t="str">
        <f>IFERROR(VLOOKUP(D150&amp;$G$3&amp;$G$4&amp;G142,'Raw Data'!$C:$BO,52,0),"NA")</f>
        <v>NA</v>
      </c>
      <c r="N150" s="26">
        <f t="shared" si="37"/>
        <v>0</v>
      </c>
      <c r="O150" s="78" t="str">
        <f t="shared" si="38"/>
        <v>NA</v>
      </c>
      <c r="P150" s="26" t="str">
        <f>IFERROR(VLOOKUP(D150&amp;$G$3&amp;$G$4&amp;$G$5,'Raw Data'!$C:$BS,66,0),"NA")</f>
        <v>NA</v>
      </c>
      <c r="Q150" s="26" t="str">
        <f>IFERROR(VLOOKUP(D150&amp;$G$3&amp;$G$4&amp;$G$5,'Raw Data'!$C:$BS,67,0),"NA")</f>
        <v>NA</v>
      </c>
      <c r="R150" s="26" t="str">
        <f>IFERROR(VLOOKUP(D150&amp;$G$3&amp;$G$4&amp;$G$5,'Raw Data'!$C:$BS,68,0),"NA")</f>
        <v>NA</v>
      </c>
      <c r="S150" s="26" t="str">
        <f>IFERROR(VLOOKUP(D150&amp;$G$3&amp;$G$4&amp;$G$5,'Raw Data'!$C:$BS,69,0),"NA")</f>
        <v>NA</v>
      </c>
      <c r="T150" s="44" t="str">
        <f t="shared" si="39"/>
        <v>NA</v>
      </c>
      <c r="BK150" s="60" t="str">
        <f t="shared" si="40"/>
        <v>NA</v>
      </c>
      <c r="BL150" t="str">
        <f t="shared" si="41"/>
        <v>NA</v>
      </c>
      <c r="BM150" t="str">
        <f t="shared" si="42"/>
        <v>NA</v>
      </c>
      <c r="BN150" t="str">
        <f t="shared" si="43"/>
        <v>NA</v>
      </c>
      <c r="BO150" t="str">
        <f t="shared" si="33"/>
        <v/>
      </c>
      <c r="BP150" t="str">
        <f t="shared" si="44"/>
        <v>NA</v>
      </c>
    </row>
    <row r="151" spans="1:68">
      <c r="A151" t="str">
        <f t="shared" ca="1" si="34"/>
        <v>138LowNoTelecom-Non AT&amp;TJ</v>
      </c>
      <c r="B151" t="str">
        <f t="shared" ca="1" si="35"/>
        <v>138LowNoTelecom-Non AT&amp;TK</v>
      </c>
      <c r="C151" t="str">
        <f t="shared" ca="1" si="36"/>
        <v>138LowNoTelecom-Non AT&amp;TL</v>
      </c>
      <c r="D151" s="22">
        <f t="shared" si="32"/>
        <v>138</v>
      </c>
      <c r="E151" s="24" t="str">
        <f>IFERROR(VLOOKUP(D151&amp;$G$3&amp;$G$4&amp;$G$5,'Raw Data'!$C:$BO,2,0),"NA")</f>
        <v>NA</v>
      </c>
      <c r="F151" s="79" t="str">
        <f>IFERROR(VLOOKUP(D151&amp;$G$3&amp;$G$4&amp;$G$5,'Raw Data'!$C:$BO,5,0),"NA")</f>
        <v>NA</v>
      </c>
      <c r="G151" s="44" t="str">
        <f>IFERROR(VLOOKUP(D151&amp;$G$3&amp;$G$4&amp;$G$5,'Raw Data'!$C:$BT,70,0),"NA")</f>
        <v>NA</v>
      </c>
      <c r="H151" s="62" t="str">
        <f>IFERROR(VLOOKUP(D151&amp;$G$3&amp;$G$4&amp;$G$5,'Raw Data'!$C:$BO,7,0),"NA")</f>
        <v>NA</v>
      </c>
      <c r="I151" s="29" t="str">
        <f>IFERROR(VLOOKUP(D151&amp;$G$3&amp;$G$4&amp;$G$5,'Raw Data'!$C:$BO,11,0),"NA")</f>
        <v>NA</v>
      </c>
      <c r="J151" s="26" t="str">
        <f>IFERROR(VLOOKUP(D151&amp;$G$3&amp;$G$4&amp;$G$5,'Raw Data'!$C:$BO,26,0),"NA")</f>
        <v>NA</v>
      </c>
      <c r="K151" s="26" t="str">
        <f>IFERROR(VLOOKUP(D151&amp;$G$3&amp;$G$4&amp;$G$5,'Raw Data'!$C:$BO,39,0),"NA")</f>
        <v>NA</v>
      </c>
      <c r="L151" s="26" t="str">
        <f>IFERROR(VLOOKUP(D151&amp;$G$3&amp;$G$4&amp;$G$5,'Raw Data'!$C:$BO,65,0),"NA")</f>
        <v>NA</v>
      </c>
      <c r="M151" s="26" t="str">
        <f>IFERROR(VLOOKUP(D151&amp;$G$3&amp;$G$4&amp;G143,'Raw Data'!$C:$BO,52,0),"NA")</f>
        <v>NA</v>
      </c>
      <c r="N151" s="26">
        <f t="shared" si="37"/>
        <v>0</v>
      </c>
      <c r="O151" s="78" t="str">
        <f t="shared" si="38"/>
        <v>NA</v>
      </c>
      <c r="P151" s="26" t="str">
        <f>IFERROR(VLOOKUP(D151&amp;$G$3&amp;$G$4&amp;$G$5,'Raw Data'!$C:$BS,66,0),"NA")</f>
        <v>NA</v>
      </c>
      <c r="Q151" s="26" t="str">
        <f>IFERROR(VLOOKUP(D151&amp;$G$3&amp;$G$4&amp;$G$5,'Raw Data'!$C:$BS,67,0),"NA")</f>
        <v>NA</v>
      </c>
      <c r="R151" s="26" t="str">
        <f>IFERROR(VLOOKUP(D151&amp;$G$3&amp;$G$4&amp;$G$5,'Raw Data'!$C:$BS,68,0),"NA")</f>
        <v>NA</v>
      </c>
      <c r="S151" s="26" t="str">
        <f>IFERROR(VLOOKUP(D151&amp;$G$3&amp;$G$4&amp;$G$5,'Raw Data'!$C:$BS,69,0),"NA")</f>
        <v>NA</v>
      </c>
      <c r="T151" s="44" t="str">
        <f t="shared" si="39"/>
        <v>NA</v>
      </c>
      <c r="BK151" s="60" t="str">
        <f t="shared" si="40"/>
        <v>NA</v>
      </c>
      <c r="BL151" t="str">
        <f t="shared" si="41"/>
        <v>NA</v>
      </c>
      <c r="BM151" t="str">
        <f t="shared" si="42"/>
        <v>NA</v>
      </c>
      <c r="BN151" t="str">
        <f t="shared" si="43"/>
        <v>NA</v>
      </c>
      <c r="BO151" t="str">
        <f t="shared" si="33"/>
        <v/>
      </c>
      <c r="BP151" t="str">
        <f t="shared" si="44"/>
        <v>NA</v>
      </c>
    </row>
    <row r="152" spans="1:68">
      <c r="A152" t="str">
        <f t="shared" ca="1" si="34"/>
        <v>139LowNoTelecom-Non AT&amp;TJ</v>
      </c>
      <c r="B152" t="str">
        <f t="shared" ca="1" si="35"/>
        <v>139LowNoTelecom-Non AT&amp;TK</v>
      </c>
      <c r="C152" t="str">
        <f t="shared" ca="1" si="36"/>
        <v>139LowNoTelecom-Non AT&amp;TL</v>
      </c>
      <c r="D152" s="22">
        <f t="shared" si="32"/>
        <v>139</v>
      </c>
      <c r="E152" s="24" t="str">
        <f>IFERROR(VLOOKUP(D152&amp;$G$3&amp;$G$4&amp;$G$5,'Raw Data'!$C:$BO,2,0),"NA")</f>
        <v>NA</v>
      </c>
      <c r="F152" s="79" t="str">
        <f>IFERROR(VLOOKUP(D152&amp;$G$3&amp;$G$4&amp;$G$5,'Raw Data'!$C:$BO,5,0),"NA")</f>
        <v>NA</v>
      </c>
      <c r="G152" s="44" t="str">
        <f>IFERROR(VLOOKUP(D152&amp;$G$3&amp;$G$4&amp;$G$5,'Raw Data'!$C:$BT,70,0),"NA")</f>
        <v>NA</v>
      </c>
      <c r="H152" s="62" t="str">
        <f>IFERROR(VLOOKUP(D152&amp;$G$3&amp;$G$4&amp;$G$5,'Raw Data'!$C:$BO,7,0),"NA")</f>
        <v>NA</v>
      </c>
      <c r="I152" s="29" t="str">
        <f>IFERROR(VLOOKUP(D152&amp;$G$3&amp;$G$4&amp;$G$5,'Raw Data'!$C:$BO,11,0),"NA")</f>
        <v>NA</v>
      </c>
      <c r="J152" s="26" t="str">
        <f>IFERROR(VLOOKUP(D152&amp;$G$3&amp;$G$4&amp;$G$5,'Raw Data'!$C:$BO,26,0),"NA")</f>
        <v>NA</v>
      </c>
      <c r="K152" s="26" t="str">
        <f>IFERROR(VLOOKUP(D152&amp;$G$3&amp;$G$4&amp;$G$5,'Raw Data'!$C:$BO,39,0),"NA")</f>
        <v>NA</v>
      </c>
      <c r="L152" s="26" t="str">
        <f>IFERROR(VLOOKUP(D152&amp;$G$3&amp;$G$4&amp;$G$5,'Raw Data'!$C:$BO,65,0),"NA")</f>
        <v>NA</v>
      </c>
      <c r="M152" s="26" t="str">
        <f>IFERROR(VLOOKUP(D152&amp;$G$3&amp;$G$4&amp;G144,'Raw Data'!$C:$BO,52,0),"NA")</f>
        <v>NA</v>
      </c>
      <c r="N152" s="26">
        <f t="shared" si="37"/>
        <v>0</v>
      </c>
      <c r="O152" s="78" t="str">
        <f t="shared" si="38"/>
        <v>NA</v>
      </c>
      <c r="P152" s="26" t="str">
        <f>IFERROR(VLOOKUP(D152&amp;$G$3&amp;$G$4&amp;$G$5,'Raw Data'!$C:$BS,66,0),"NA")</f>
        <v>NA</v>
      </c>
      <c r="Q152" s="26" t="str">
        <f>IFERROR(VLOOKUP(D152&amp;$G$3&amp;$G$4&amp;$G$5,'Raw Data'!$C:$BS,67,0),"NA")</f>
        <v>NA</v>
      </c>
      <c r="R152" s="26" t="str">
        <f>IFERROR(VLOOKUP(D152&amp;$G$3&amp;$G$4&amp;$G$5,'Raw Data'!$C:$BS,68,0),"NA")</f>
        <v>NA</v>
      </c>
      <c r="S152" s="26" t="str">
        <f>IFERROR(VLOOKUP(D152&amp;$G$3&amp;$G$4&amp;$G$5,'Raw Data'!$C:$BS,69,0),"NA")</f>
        <v>NA</v>
      </c>
      <c r="T152" s="44" t="str">
        <f t="shared" si="39"/>
        <v>NA</v>
      </c>
      <c r="BK152" s="60" t="str">
        <f t="shared" si="40"/>
        <v>NA</v>
      </c>
      <c r="BL152" t="str">
        <f t="shared" si="41"/>
        <v>NA</v>
      </c>
      <c r="BM152" t="str">
        <f t="shared" si="42"/>
        <v>NA</v>
      </c>
      <c r="BN152" t="str">
        <f t="shared" si="43"/>
        <v>NA</v>
      </c>
      <c r="BO152" t="str">
        <f t="shared" si="33"/>
        <v/>
      </c>
      <c r="BP152" t="str">
        <f t="shared" si="44"/>
        <v>NA</v>
      </c>
    </row>
    <row r="153" spans="1:68">
      <c r="A153" t="str">
        <f t="shared" ca="1" si="34"/>
        <v>140LowNoTelecom-Non AT&amp;TJ</v>
      </c>
      <c r="B153" t="str">
        <f t="shared" ca="1" si="35"/>
        <v>140LowNoTelecom-Non AT&amp;TK</v>
      </c>
      <c r="C153" t="str">
        <f t="shared" ca="1" si="36"/>
        <v>140LowNoTelecom-Non AT&amp;TL</v>
      </c>
      <c r="D153" s="22">
        <f t="shared" si="32"/>
        <v>140</v>
      </c>
      <c r="E153" s="24" t="str">
        <f>IFERROR(VLOOKUP(D153&amp;$G$3&amp;$G$4&amp;$G$5,'Raw Data'!$C:$BO,2,0),"NA")</f>
        <v>NA</v>
      </c>
      <c r="F153" s="79" t="str">
        <f>IFERROR(VLOOKUP(D153&amp;$G$3&amp;$G$4&amp;$G$5,'Raw Data'!$C:$BO,5,0),"NA")</f>
        <v>NA</v>
      </c>
      <c r="G153" s="44" t="str">
        <f>IFERROR(VLOOKUP(D153&amp;$G$3&amp;$G$4&amp;$G$5,'Raw Data'!$C:$BT,70,0),"NA")</f>
        <v>NA</v>
      </c>
      <c r="H153" s="62" t="str">
        <f>IFERROR(VLOOKUP(D153&amp;$G$3&amp;$G$4&amp;$G$5,'Raw Data'!$C:$BO,7,0),"NA")</f>
        <v>NA</v>
      </c>
      <c r="I153" s="29" t="str">
        <f>IFERROR(VLOOKUP(D153&amp;$G$3&amp;$G$4&amp;$G$5,'Raw Data'!$C:$BO,11,0),"NA")</f>
        <v>NA</v>
      </c>
      <c r="J153" s="26" t="str">
        <f>IFERROR(VLOOKUP(D153&amp;$G$3&amp;$G$4&amp;$G$5,'Raw Data'!$C:$BO,26,0),"NA")</f>
        <v>NA</v>
      </c>
      <c r="K153" s="26" t="str">
        <f>IFERROR(VLOOKUP(D153&amp;$G$3&amp;$G$4&amp;$G$5,'Raw Data'!$C:$BO,39,0),"NA")</f>
        <v>NA</v>
      </c>
      <c r="L153" s="26" t="str">
        <f>IFERROR(VLOOKUP(D153&amp;$G$3&amp;$G$4&amp;$G$5,'Raw Data'!$C:$BO,65,0),"NA")</f>
        <v>NA</v>
      </c>
      <c r="M153" s="26" t="str">
        <f>IFERROR(VLOOKUP(D153&amp;$G$3&amp;$G$4&amp;G145,'Raw Data'!$C:$BO,52,0),"NA")</f>
        <v>NA</v>
      </c>
      <c r="N153" s="26">
        <f t="shared" si="37"/>
        <v>0</v>
      </c>
      <c r="O153" s="78" t="str">
        <f t="shared" si="38"/>
        <v>NA</v>
      </c>
      <c r="P153" s="26" t="str">
        <f>IFERROR(VLOOKUP(D153&amp;$G$3&amp;$G$4&amp;$G$5,'Raw Data'!$C:$BS,66,0),"NA")</f>
        <v>NA</v>
      </c>
      <c r="Q153" s="26" t="str">
        <f>IFERROR(VLOOKUP(D153&amp;$G$3&amp;$G$4&amp;$G$5,'Raw Data'!$C:$BS,67,0),"NA")</f>
        <v>NA</v>
      </c>
      <c r="R153" s="26" t="str">
        <f>IFERROR(VLOOKUP(D153&amp;$G$3&amp;$G$4&amp;$G$5,'Raw Data'!$C:$BS,68,0),"NA")</f>
        <v>NA</v>
      </c>
      <c r="S153" s="26" t="str">
        <f>IFERROR(VLOOKUP(D153&amp;$G$3&amp;$G$4&amp;$G$5,'Raw Data'!$C:$BS,69,0),"NA")</f>
        <v>NA</v>
      </c>
      <c r="T153" s="44" t="str">
        <f t="shared" si="39"/>
        <v>NA</v>
      </c>
      <c r="BK153" s="60" t="str">
        <f t="shared" si="40"/>
        <v>NA</v>
      </c>
      <c r="BL153" t="str">
        <f t="shared" si="41"/>
        <v>NA</v>
      </c>
      <c r="BM153" t="str">
        <f t="shared" si="42"/>
        <v>NA</v>
      </c>
      <c r="BN153" t="str">
        <f t="shared" si="43"/>
        <v>NA</v>
      </c>
      <c r="BO153" t="str">
        <f t="shared" si="33"/>
        <v/>
      </c>
      <c r="BP153" t="str">
        <f t="shared" si="44"/>
        <v>NA</v>
      </c>
    </row>
    <row r="154" spans="1:68">
      <c r="A154" t="str">
        <f t="shared" ca="1" si="34"/>
        <v>141LowNoTelecom-Non AT&amp;TJ</v>
      </c>
      <c r="B154" t="str">
        <f t="shared" ca="1" si="35"/>
        <v>141LowNoTelecom-Non AT&amp;TK</v>
      </c>
      <c r="C154" t="str">
        <f t="shared" ca="1" si="36"/>
        <v>141LowNoTelecom-Non AT&amp;TL</v>
      </c>
      <c r="D154" s="22">
        <f t="shared" si="32"/>
        <v>141</v>
      </c>
      <c r="E154" s="24" t="str">
        <f>IFERROR(VLOOKUP(D154&amp;$G$3&amp;$G$4&amp;$G$5,'Raw Data'!$C:$BO,2,0),"NA")</f>
        <v>NA</v>
      </c>
      <c r="F154" s="79" t="str">
        <f>IFERROR(VLOOKUP(D154&amp;$G$3&amp;$G$4&amp;$G$5,'Raw Data'!$C:$BO,5,0),"NA")</f>
        <v>NA</v>
      </c>
      <c r="G154" s="44" t="str">
        <f>IFERROR(VLOOKUP(D154&amp;$G$3&amp;$G$4&amp;$G$5,'Raw Data'!$C:$BT,70,0),"NA")</f>
        <v>NA</v>
      </c>
      <c r="H154" s="62" t="str">
        <f>IFERROR(VLOOKUP(D154&amp;$G$3&amp;$G$4&amp;$G$5,'Raw Data'!$C:$BO,7,0),"NA")</f>
        <v>NA</v>
      </c>
      <c r="I154" s="29" t="str">
        <f>IFERROR(VLOOKUP(D154&amp;$G$3&amp;$G$4&amp;$G$5,'Raw Data'!$C:$BO,11,0),"NA")</f>
        <v>NA</v>
      </c>
      <c r="J154" s="26" t="str">
        <f>IFERROR(VLOOKUP(D154&amp;$G$3&amp;$G$4&amp;$G$5,'Raw Data'!$C:$BO,26,0),"NA")</f>
        <v>NA</v>
      </c>
      <c r="K154" s="26" t="str">
        <f>IFERROR(VLOOKUP(D154&amp;$G$3&amp;$G$4&amp;$G$5,'Raw Data'!$C:$BO,39,0),"NA")</f>
        <v>NA</v>
      </c>
      <c r="L154" s="26" t="str">
        <f>IFERROR(VLOOKUP(D154&amp;$G$3&amp;$G$4&amp;$G$5,'Raw Data'!$C:$BO,65,0),"NA")</f>
        <v>NA</v>
      </c>
      <c r="M154" s="26" t="str">
        <f>IFERROR(VLOOKUP(D154&amp;$G$3&amp;$G$4&amp;G146,'Raw Data'!$C:$BO,52,0),"NA")</f>
        <v>NA</v>
      </c>
      <c r="N154" s="26">
        <f t="shared" si="37"/>
        <v>0</v>
      </c>
      <c r="O154" s="78" t="str">
        <f t="shared" si="38"/>
        <v>NA</v>
      </c>
      <c r="P154" s="26" t="str">
        <f>IFERROR(VLOOKUP(D154&amp;$G$3&amp;$G$4&amp;$G$5,'Raw Data'!$C:$BS,66,0),"NA")</f>
        <v>NA</v>
      </c>
      <c r="Q154" s="26" t="str">
        <f>IFERROR(VLOOKUP(D154&amp;$G$3&amp;$G$4&amp;$G$5,'Raw Data'!$C:$BS,67,0),"NA")</f>
        <v>NA</v>
      </c>
      <c r="R154" s="26" t="str">
        <f>IFERROR(VLOOKUP(D154&amp;$G$3&amp;$G$4&amp;$G$5,'Raw Data'!$C:$BS,68,0),"NA")</f>
        <v>NA</v>
      </c>
      <c r="S154" s="26" t="str">
        <f>IFERROR(VLOOKUP(D154&amp;$G$3&amp;$G$4&amp;$G$5,'Raw Data'!$C:$BS,69,0),"NA")</f>
        <v>NA</v>
      </c>
      <c r="T154" s="44" t="str">
        <f t="shared" si="39"/>
        <v>NA</v>
      </c>
      <c r="BK154" s="60" t="str">
        <f t="shared" si="40"/>
        <v>NA</v>
      </c>
      <c r="BL154" t="str">
        <f t="shared" si="41"/>
        <v>NA</v>
      </c>
      <c r="BM154" t="str">
        <f t="shared" si="42"/>
        <v>NA</v>
      </c>
      <c r="BN154" t="str">
        <f t="shared" si="43"/>
        <v>NA</v>
      </c>
      <c r="BO154" t="str">
        <f t="shared" si="33"/>
        <v/>
      </c>
      <c r="BP154" t="str">
        <f t="shared" si="44"/>
        <v>NA</v>
      </c>
    </row>
    <row r="155" spans="1:68">
      <c r="A155" t="str">
        <f t="shared" ca="1" si="34"/>
        <v>142LowNoTelecom-Non AT&amp;TJ</v>
      </c>
      <c r="B155" t="str">
        <f t="shared" ca="1" si="35"/>
        <v>142LowNoTelecom-Non AT&amp;TK</v>
      </c>
      <c r="C155" t="str">
        <f t="shared" ca="1" si="36"/>
        <v>142LowNoTelecom-Non AT&amp;TL</v>
      </c>
      <c r="D155" s="22">
        <f t="shared" si="32"/>
        <v>142</v>
      </c>
      <c r="E155" s="24" t="str">
        <f>IFERROR(VLOOKUP(D155&amp;$G$3&amp;$G$4&amp;$G$5,'Raw Data'!$C:$BO,2,0),"NA")</f>
        <v>NA</v>
      </c>
      <c r="F155" s="79" t="str">
        <f>IFERROR(VLOOKUP(D155&amp;$G$3&amp;$G$4&amp;$G$5,'Raw Data'!$C:$BO,5,0),"NA")</f>
        <v>NA</v>
      </c>
      <c r="G155" s="44" t="str">
        <f>IFERROR(VLOOKUP(D155&amp;$G$3&amp;$G$4&amp;$G$5,'Raw Data'!$C:$BT,70,0),"NA")</f>
        <v>NA</v>
      </c>
      <c r="H155" s="62" t="str">
        <f>IFERROR(VLOOKUP(D155&amp;$G$3&amp;$G$4&amp;$G$5,'Raw Data'!$C:$BO,7,0),"NA")</f>
        <v>NA</v>
      </c>
      <c r="I155" s="29" t="str">
        <f>IFERROR(VLOOKUP(D155&amp;$G$3&amp;$G$4&amp;$G$5,'Raw Data'!$C:$BO,11,0),"NA")</f>
        <v>NA</v>
      </c>
      <c r="J155" s="26" t="str">
        <f>IFERROR(VLOOKUP(D155&amp;$G$3&amp;$G$4&amp;$G$5,'Raw Data'!$C:$BO,26,0),"NA")</f>
        <v>NA</v>
      </c>
      <c r="K155" s="26" t="str">
        <f>IFERROR(VLOOKUP(D155&amp;$G$3&amp;$G$4&amp;$G$5,'Raw Data'!$C:$BO,39,0),"NA")</f>
        <v>NA</v>
      </c>
      <c r="L155" s="26" t="str">
        <f>IFERROR(VLOOKUP(D155&amp;$G$3&amp;$G$4&amp;$G$5,'Raw Data'!$C:$BO,65,0),"NA")</f>
        <v>NA</v>
      </c>
      <c r="M155" s="26" t="str">
        <f>IFERROR(VLOOKUP(D155&amp;$G$3&amp;$G$4&amp;G147,'Raw Data'!$C:$BO,52,0),"NA")</f>
        <v>NA</v>
      </c>
      <c r="N155" s="26">
        <f t="shared" si="37"/>
        <v>0</v>
      </c>
      <c r="O155" s="78" t="str">
        <f t="shared" si="38"/>
        <v>NA</v>
      </c>
      <c r="P155" s="26" t="str">
        <f>IFERROR(VLOOKUP(D155&amp;$G$3&amp;$G$4&amp;$G$5,'Raw Data'!$C:$BS,66,0),"NA")</f>
        <v>NA</v>
      </c>
      <c r="Q155" s="26" t="str">
        <f>IFERROR(VLOOKUP(D155&amp;$G$3&amp;$G$4&amp;$G$5,'Raw Data'!$C:$BS,67,0),"NA")</f>
        <v>NA</v>
      </c>
      <c r="R155" s="26" t="str">
        <f>IFERROR(VLOOKUP(D155&amp;$G$3&amp;$G$4&amp;$G$5,'Raw Data'!$C:$BS,68,0),"NA")</f>
        <v>NA</v>
      </c>
      <c r="S155" s="26" t="str">
        <f>IFERROR(VLOOKUP(D155&amp;$G$3&amp;$G$4&amp;$G$5,'Raw Data'!$C:$BS,69,0),"NA")</f>
        <v>NA</v>
      </c>
      <c r="T155" s="44" t="str">
        <f t="shared" si="39"/>
        <v>NA</v>
      </c>
      <c r="BK155" s="60" t="str">
        <f t="shared" si="40"/>
        <v>NA</v>
      </c>
      <c r="BL155" t="str">
        <f t="shared" si="41"/>
        <v>NA</v>
      </c>
      <c r="BM155" t="str">
        <f t="shared" si="42"/>
        <v>NA</v>
      </c>
      <c r="BN155" t="str">
        <f t="shared" si="43"/>
        <v>NA</v>
      </c>
      <c r="BO155" t="str">
        <f t="shared" si="33"/>
        <v/>
      </c>
      <c r="BP155" t="str">
        <f t="shared" si="44"/>
        <v>NA</v>
      </c>
    </row>
    <row r="156" spans="1:68">
      <c r="A156" t="str">
        <f t="shared" ca="1" si="34"/>
        <v>143LowNoTelecom-Non AT&amp;TJ</v>
      </c>
      <c r="B156" t="str">
        <f t="shared" ca="1" si="35"/>
        <v>143LowNoTelecom-Non AT&amp;TK</v>
      </c>
      <c r="C156" t="str">
        <f t="shared" ca="1" si="36"/>
        <v>143LowNoTelecom-Non AT&amp;TL</v>
      </c>
      <c r="D156" s="22">
        <f t="shared" si="32"/>
        <v>143</v>
      </c>
      <c r="E156" s="24" t="str">
        <f>IFERROR(VLOOKUP(D156&amp;$G$3&amp;$G$4&amp;$G$5,'Raw Data'!$C:$BO,2,0),"NA")</f>
        <v>NA</v>
      </c>
      <c r="F156" s="79" t="str">
        <f>IFERROR(VLOOKUP(D156&amp;$G$3&amp;$G$4&amp;$G$5,'Raw Data'!$C:$BO,5,0),"NA")</f>
        <v>NA</v>
      </c>
      <c r="G156" s="44" t="str">
        <f>IFERROR(VLOOKUP(D156&amp;$G$3&amp;$G$4&amp;$G$5,'Raw Data'!$C:$BT,70,0),"NA")</f>
        <v>NA</v>
      </c>
      <c r="H156" s="62" t="str">
        <f>IFERROR(VLOOKUP(D156&amp;$G$3&amp;$G$4&amp;$G$5,'Raw Data'!$C:$BO,7,0),"NA")</f>
        <v>NA</v>
      </c>
      <c r="I156" s="29" t="str">
        <f>IFERROR(VLOOKUP(D156&amp;$G$3&amp;$G$4&amp;$G$5,'Raw Data'!$C:$BO,11,0),"NA")</f>
        <v>NA</v>
      </c>
      <c r="J156" s="26" t="str">
        <f>IFERROR(VLOOKUP(D156&amp;$G$3&amp;$G$4&amp;$G$5,'Raw Data'!$C:$BO,26,0),"NA")</f>
        <v>NA</v>
      </c>
      <c r="K156" s="26" t="str">
        <f>IFERROR(VLOOKUP(D156&amp;$G$3&amp;$G$4&amp;$G$5,'Raw Data'!$C:$BO,39,0),"NA")</f>
        <v>NA</v>
      </c>
      <c r="L156" s="26" t="str">
        <f>IFERROR(VLOOKUP(D156&amp;$G$3&amp;$G$4&amp;$G$5,'Raw Data'!$C:$BO,65,0),"NA")</f>
        <v>NA</v>
      </c>
      <c r="M156" s="26" t="str">
        <f>IFERROR(VLOOKUP(D156&amp;$G$3&amp;$G$4&amp;G148,'Raw Data'!$C:$BO,52,0),"NA")</f>
        <v>NA</v>
      </c>
      <c r="N156" s="26">
        <f t="shared" si="37"/>
        <v>0</v>
      </c>
      <c r="O156" s="78" t="str">
        <f t="shared" si="38"/>
        <v>NA</v>
      </c>
      <c r="P156" s="26" t="str">
        <f>IFERROR(VLOOKUP(D156&amp;$G$3&amp;$G$4&amp;$G$5,'Raw Data'!$C:$BS,66,0),"NA")</f>
        <v>NA</v>
      </c>
      <c r="Q156" s="26" t="str">
        <f>IFERROR(VLOOKUP(D156&amp;$G$3&amp;$G$4&amp;$G$5,'Raw Data'!$C:$BS,67,0),"NA")</f>
        <v>NA</v>
      </c>
      <c r="R156" s="26" t="str">
        <f>IFERROR(VLOOKUP(D156&amp;$G$3&amp;$G$4&amp;$G$5,'Raw Data'!$C:$BS,68,0),"NA")</f>
        <v>NA</v>
      </c>
      <c r="S156" s="26" t="str">
        <f>IFERROR(VLOOKUP(D156&amp;$G$3&amp;$G$4&amp;$G$5,'Raw Data'!$C:$BS,69,0),"NA")</f>
        <v>NA</v>
      </c>
      <c r="T156" s="44" t="str">
        <f t="shared" si="39"/>
        <v>NA</v>
      </c>
      <c r="BK156" s="60" t="str">
        <f t="shared" si="40"/>
        <v>NA</v>
      </c>
      <c r="BL156" t="str">
        <f t="shared" si="41"/>
        <v>NA</v>
      </c>
      <c r="BM156" t="str">
        <f t="shared" si="42"/>
        <v>NA</v>
      </c>
      <c r="BN156" t="str">
        <f t="shared" si="43"/>
        <v>NA</v>
      </c>
      <c r="BO156" t="str">
        <f t="shared" si="33"/>
        <v/>
      </c>
      <c r="BP156" t="str">
        <f t="shared" si="44"/>
        <v>NA</v>
      </c>
    </row>
    <row r="157" spans="1:68">
      <c r="A157" t="str">
        <f t="shared" ca="1" si="34"/>
        <v>144LowNoTelecom-Non AT&amp;TJ</v>
      </c>
      <c r="B157" t="str">
        <f t="shared" ca="1" si="35"/>
        <v>144LowNoTelecom-Non AT&amp;TK</v>
      </c>
      <c r="C157" t="str">
        <f t="shared" ca="1" si="36"/>
        <v>144LowNoTelecom-Non AT&amp;TL</v>
      </c>
      <c r="D157" s="22">
        <f t="shared" si="32"/>
        <v>144</v>
      </c>
      <c r="E157" s="24" t="str">
        <f>IFERROR(VLOOKUP(D157&amp;$G$3&amp;$G$4&amp;$G$5,'Raw Data'!$C:$BO,2,0),"NA")</f>
        <v>NA</v>
      </c>
      <c r="F157" s="79" t="str">
        <f>IFERROR(VLOOKUP(D157&amp;$G$3&amp;$G$4&amp;$G$5,'Raw Data'!$C:$BO,5,0),"NA")</f>
        <v>NA</v>
      </c>
      <c r="G157" s="44" t="str">
        <f>IFERROR(VLOOKUP(D157&amp;$G$3&amp;$G$4&amp;$G$5,'Raw Data'!$C:$BT,70,0),"NA")</f>
        <v>NA</v>
      </c>
      <c r="H157" s="62" t="str">
        <f>IFERROR(VLOOKUP(D157&amp;$G$3&amp;$G$4&amp;$G$5,'Raw Data'!$C:$BO,7,0),"NA")</f>
        <v>NA</v>
      </c>
      <c r="I157" s="29" t="str">
        <f>IFERROR(VLOOKUP(D157&amp;$G$3&amp;$G$4&amp;$G$5,'Raw Data'!$C:$BO,11,0),"NA")</f>
        <v>NA</v>
      </c>
      <c r="J157" s="26" t="str">
        <f>IFERROR(VLOOKUP(D157&amp;$G$3&amp;$G$4&amp;$G$5,'Raw Data'!$C:$BO,26,0),"NA")</f>
        <v>NA</v>
      </c>
      <c r="K157" s="26" t="str">
        <f>IFERROR(VLOOKUP(D157&amp;$G$3&amp;$G$4&amp;$G$5,'Raw Data'!$C:$BO,39,0),"NA")</f>
        <v>NA</v>
      </c>
      <c r="L157" s="26" t="str">
        <f>IFERROR(VLOOKUP(D157&amp;$G$3&amp;$G$4&amp;$G$5,'Raw Data'!$C:$BO,65,0),"NA")</f>
        <v>NA</v>
      </c>
      <c r="M157" s="26" t="str">
        <f>IFERROR(VLOOKUP(D157&amp;$G$3&amp;$G$4&amp;G149,'Raw Data'!$C:$BO,52,0),"NA")</f>
        <v>NA</v>
      </c>
      <c r="N157" s="26">
        <f t="shared" si="37"/>
        <v>0</v>
      </c>
      <c r="O157" s="78" t="str">
        <f t="shared" si="38"/>
        <v>NA</v>
      </c>
      <c r="P157" s="26" t="str">
        <f>IFERROR(VLOOKUP(D157&amp;$G$3&amp;$G$4&amp;$G$5,'Raw Data'!$C:$BS,66,0),"NA")</f>
        <v>NA</v>
      </c>
      <c r="Q157" s="26" t="str">
        <f>IFERROR(VLOOKUP(D157&amp;$G$3&amp;$G$4&amp;$G$5,'Raw Data'!$C:$BS,67,0),"NA")</f>
        <v>NA</v>
      </c>
      <c r="R157" s="26" t="str">
        <f>IFERROR(VLOOKUP(D157&amp;$G$3&amp;$G$4&amp;$G$5,'Raw Data'!$C:$BS,68,0),"NA")</f>
        <v>NA</v>
      </c>
      <c r="S157" s="26" t="str">
        <f>IFERROR(VLOOKUP(D157&amp;$G$3&amp;$G$4&amp;$G$5,'Raw Data'!$C:$BS,69,0),"NA")</f>
        <v>NA</v>
      </c>
      <c r="T157" s="44" t="str">
        <f t="shared" si="39"/>
        <v>NA</v>
      </c>
      <c r="BK157" s="60" t="str">
        <f t="shared" si="40"/>
        <v>NA</v>
      </c>
      <c r="BL157" t="str">
        <f t="shared" si="41"/>
        <v>NA</v>
      </c>
      <c r="BM157" t="str">
        <f t="shared" si="42"/>
        <v>NA</v>
      </c>
      <c r="BN157" t="str">
        <f t="shared" si="43"/>
        <v>NA</v>
      </c>
      <c r="BO157" t="str">
        <f t="shared" si="33"/>
        <v/>
      </c>
      <c r="BP157" t="str">
        <f t="shared" si="44"/>
        <v>NA</v>
      </c>
    </row>
    <row r="158" spans="1:68">
      <c r="A158" t="str">
        <f t="shared" ca="1" si="34"/>
        <v>145LowNoTelecom-Non AT&amp;TJ</v>
      </c>
      <c r="B158" t="str">
        <f t="shared" ca="1" si="35"/>
        <v>145LowNoTelecom-Non AT&amp;TK</v>
      </c>
      <c r="C158" t="str">
        <f t="shared" ca="1" si="36"/>
        <v>145LowNoTelecom-Non AT&amp;TL</v>
      </c>
      <c r="D158" s="22">
        <f t="shared" si="32"/>
        <v>145</v>
      </c>
      <c r="E158" s="24" t="str">
        <f>IFERROR(VLOOKUP(D158&amp;$G$3&amp;$G$4&amp;$G$5,'Raw Data'!$C:$BO,2,0),"NA")</f>
        <v>NA</v>
      </c>
      <c r="F158" s="79" t="str">
        <f>IFERROR(VLOOKUP(D158&amp;$G$3&amp;$G$4&amp;$G$5,'Raw Data'!$C:$BO,5,0),"NA")</f>
        <v>NA</v>
      </c>
      <c r="G158" s="44" t="str">
        <f>IFERROR(VLOOKUP(D158&amp;$G$3&amp;$G$4&amp;$G$5,'Raw Data'!$C:$BT,70,0),"NA")</f>
        <v>NA</v>
      </c>
      <c r="H158" s="62" t="str">
        <f>IFERROR(VLOOKUP(D158&amp;$G$3&amp;$G$4&amp;$G$5,'Raw Data'!$C:$BO,7,0),"NA")</f>
        <v>NA</v>
      </c>
      <c r="I158" s="29" t="str">
        <f>IFERROR(VLOOKUP(D158&amp;$G$3&amp;$G$4&amp;$G$5,'Raw Data'!$C:$BO,11,0),"NA")</f>
        <v>NA</v>
      </c>
      <c r="J158" s="26" t="str">
        <f>IFERROR(VLOOKUP(D158&amp;$G$3&amp;$G$4&amp;$G$5,'Raw Data'!$C:$BO,26,0),"NA")</f>
        <v>NA</v>
      </c>
      <c r="K158" s="26" t="str">
        <f>IFERROR(VLOOKUP(D158&amp;$G$3&amp;$G$4&amp;$G$5,'Raw Data'!$C:$BO,39,0),"NA")</f>
        <v>NA</v>
      </c>
      <c r="L158" s="26" t="str">
        <f>IFERROR(VLOOKUP(D158&amp;$G$3&amp;$G$4&amp;$G$5,'Raw Data'!$C:$BO,65,0),"NA")</f>
        <v>NA</v>
      </c>
      <c r="M158" s="26" t="str">
        <f>IFERROR(VLOOKUP(D158&amp;$G$3&amp;$G$4&amp;G150,'Raw Data'!$C:$BO,52,0),"NA")</f>
        <v>NA</v>
      </c>
      <c r="N158" s="26">
        <f t="shared" si="37"/>
        <v>0</v>
      </c>
      <c r="O158" s="78" t="str">
        <f t="shared" si="38"/>
        <v>NA</v>
      </c>
      <c r="P158" s="26" t="str">
        <f>IFERROR(VLOOKUP(D158&amp;$G$3&amp;$G$4&amp;$G$5,'Raw Data'!$C:$BS,66,0),"NA")</f>
        <v>NA</v>
      </c>
      <c r="Q158" s="26" t="str">
        <f>IFERROR(VLOOKUP(D158&amp;$G$3&amp;$G$4&amp;$G$5,'Raw Data'!$C:$BS,67,0),"NA")</f>
        <v>NA</v>
      </c>
      <c r="R158" s="26" t="str">
        <f>IFERROR(VLOOKUP(D158&amp;$G$3&amp;$G$4&amp;$G$5,'Raw Data'!$C:$BS,68,0),"NA")</f>
        <v>NA</v>
      </c>
      <c r="S158" s="26" t="str">
        <f>IFERROR(VLOOKUP(D158&amp;$G$3&amp;$G$4&amp;$G$5,'Raw Data'!$C:$BS,69,0),"NA")</f>
        <v>NA</v>
      </c>
      <c r="T158" s="44" t="str">
        <f t="shared" si="39"/>
        <v>NA</v>
      </c>
      <c r="BK158" s="60" t="str">
        <f t="shared" si="40"/>
        <v>NA</v>
      </c>
      <c r="BL158" t="str">
        <f t="shared" si="41"/>
        <v>NA</v>
      </c>
      <c r="BM158" t="str">
        <f t="shared" si="42"/>
        <v>NA</v>
      </c>
      <c r="BN158" t="str">
        <f t="shared" si="43"/>
        <v>NA</v>
      </c>
      <c r="BO158" t="str">
        <f t="shared" si="33"/>
        <v/>
      </c>
      <c r="BP158" t="str">
        <f t="shared" si="44"/>
        <v>NA</v>
      </c>
    </row>
    <row r="159" spans="1:68">
      <c r="A159" t="str">
        <f t="shared" ca="1" si="34"/>
        <v>146LowNoTelecom-Non AT&amp;TJ</v>
      </c>
      <c r="B159" t="str">
        <f t="shared" ca="1" si="35"/>
        <v>146LowNoTelecom-Non AT&amp;TK</v>
      </c>
      <c r="C159" t="str">
        <f t="shared" ca="1" si="36"/>
        <v>146LowNoTelecom-Non AT&amp;TL</v>
      </c>
      <c r="D159" s="22">
        <f t="shared" si="32"/>
        <v>146</v>
      </c>
      <c r="E159" s="24" t="str">
        <f>IFERROR(VLOOKUP(D159&amp;$G$3&amp;$G$4&amp;$G$5,'Raw Data'!$C:$BO,2,0),"NA")</f>
        <v>NA</v>
      </c>
      <c r="F159" s="79" t="str">
        <f>IFERROR(VLOOKUP(D159&amp;$G$3&amp;$G$4&amp;$G$5,'Raw Data'!$C:$BO,5,0),"NA")</f>
        <v>NA</v>
      </c>
      <c r="G159" s="44" t="str">
        <f>IFERROR(VLOOKUP(D159&amp;$G$3&amp;$G$4&amp;$G$5,'Raw Data'!$C:$BT,70,0),"NA")</f>
        <v>NA</v>
      </c>
      <c r="H159" s="62" t="str">
        <f>IFERROR(VLOOKUP(D159&amp;$G$3&amp;$G$4&amp;$G$5,'Raw Data'!$C:$BO,7,0),"NA")</f>
        <v>NA</v>
      </c>
      <c r="I159" s="29" t="str">
        <f>IFERROR(VLOOKUP(D159&amp;$G$3&amp;$G$4&amp;$G$5,'Raw Data'!$C:$BO,11,0),"NA")</f>
        <v>NA</v>
      </c>
      <c r="J159" s="26" t="str">
        <f>IFERROR(VLOOKUP(D159&amp;$G$3&amp;$G$4&amp;$G$5,'Raw Data'!$C:$BO,26,0),"NA")</f>
        <v>NA</v>
      </c>
      <c r="K159" s="26" t="str">
        <f>IFERROR(VLOOKUP(D159&amp;$G$3&amp;$G$4&amp;$G$5,'Raw Data'!$C:$BO,39,0),"NA")</f>
        <v>NA</v>
      </c>
      <c r="L159" s="26" t="str">
        <f>IFERROR(VLOOKUP(D159&amp;$G$3&amp;$G$4&amp;$G$5,'Raw Data'!$C:$BO,65,0),"NA")</f>
        <v>NA</v>
      </c>
      <c r="M159" s="26" t="str">
        <f>IFERROR(VLOOKUP(D159&amp;$G$3&amp;$G$4&amp;G151,'Raw Data'!$C:$BO,52,0),"NA")</f>
        <v>NA</v>
      </c>
      <c r="N159" s="26">
        <f t="shared" si="37"/>
        <v>0</v>
      </c>
      <c r="O159" s="78" t="str">
        <f t="shared" si="38"/>
        <v>NA</v>
      </c>
      <c r="P159" s="26" t="str">
        <f>IFERROR(VLOOKUP(D159&amp;$G$3&amp;$G$4&amp;$G$5,'Raw Data'!$C:$BS,66,0),"NA")</f>
        <v>NA</v>
      </c>
      <c r="Q159" s="26" t="str">
        <f>IFERROR(VLOOKUP(D159&amp;$G$3&amp;$G$4&amp;$G$5,'Raw Data'!$C:$BS,67,0),"NA")</f>
        <v>NA</v>
      </c>
      <c r="R159" s="26" t="str">
        <f>IFERROR(VLOOKUP(D159&amp;$G$3&amp;$G$4&amp;$G$5,'Raw Data'!$C:$BS,68,0),"NA")</f>
        <v>NA</v>
      </c>
      <c r="S159" s="26" t="str">
        <f>IFERROR(VLOOKUP(D159&amp;$G$3&amp;$G$4&amp;$G$5,'Raw Data'!$C:$BS,69,0),"NA")</f>
        <v>NA</v>
      </c>
      <c r="T159" s="44" t="str">
        <f t="shared" si="39"/>
        <v>NA</v>
      </c>
      <c r="BK159" s="60" t="str">
        <f t="shared" si="40"/>
        <v>NA</v>
      </c>
      <c r="BL159" t="str">
        <f t="shared" si="41"/>
        <v>NA</v>
      </c>
      <c r="BM159" t="str">
        <f t="shared" si="42"/>
        <v>NA</v>
      </c>
      <c r="BN159" t="str">
        <f t="shared" si="43"/>
        <v>NA</v>
      </c>
      <c r="BO159" t="str">
        <f t="shared" si="33"/>
        <v/>
      </c>
      <c r="BP159" t="str">
        <f t="shared" si="44"/>
        <v>NA</v>
      </c>
    </row>
    <row r="160" spans="1:68">
      <c r="A160" t="str">
        <f t="shared" ca="1" si="34"/>
        <v>147LowNoTelecom-Non AT&amp;TJ</v>
      </c>
      <c r="B160" t="str">
        <f t="shared" ca="1" si="35"/>
        <v>147LowNoTelecom-Non AT&amp;TK</v>
      </c>
      <c r="C160" t="str">
        <f t="shared" ca="1" si="36"/>
        <v>147LowNoTelecom-Non AT&amp;TL</v>
      </c>
      <c r="D160" s="22">
        <f t="shared" si="32"/>
        <v>147</v>
      </c>
      <c r="E160" s="24" t="str">
        <f>IFERROR(VLOOKUP(D160&amp;$G$3&amp;$G$4&amp;$G$5,'Raw Data'!$C:$BO,2,0),"NA")</f>
        <v>NA</v>
      </c>
      <c r="F160" s="79" t="str">
        <f>IFERROR(VLOOKUP(D160&amp;$G$3&amp;$G$4&amp;$G$5,'Raw Data'!$C:$BO,5,0),"NA")</f>
        <v>NA</v>
      </c>
      <c r="G160" s="44" t="str">
        <f>IFERROR(VLOOKUP(D160&amp;$G$3&amp;$G$4&amp;$G$5,'Raw Data'!$C:$BT,70,0),"NA")</f>
        <v>NA</v>
      </c>
      <c r="H160" s="62" t="str">
        <f>IFERROR(VLOOKUP(D160&amp;$G$3&amp;$G$4&amp;$G$5,'Raw Data'!$C:$BO,7,0),"NA")</f>
        <v>NA</v>
      </c>
      <c r="I160" s="29" t="str">
        <f>IFERROR(VLOOKUP(D160&amp;$G$3&amp;$G$4&amp;$G$5,'Raw Data'!$C:$BO,11,0),"NA")</f>
        <v>NA</v>
      </c>
      <c r="J160" s="26" t="str">
        <f>IFERROR(VLOOKUP(D160&amp;$G$3&amp;$G$4&amp;$G$5,'Raw Data'!$C:$BO,26,0),"NA")</f>
        <v>NA</v>
      </c>
      <c r="K160" s="26" t="str">
        <f>IFERROR(VLOOKUP(D160&amp;$G$3&amp;$G$4&amp;$G$5,'Raw Data'!$C:$BO,39,0),"NA")</f>
        <v>NA</v>
      </c>
      <c r="L160" s="26" t="str">
        <f>IFERROR(VLOOKUP(D160&amp;$G$3&amp;$G$4&amp;$G$5,'Raw Data'!$C:$BO,65,0),"NA")</f>
        <v>NA</v>
      </c>
      <c r="M160" s="26" t="str">
        <f>IFERROR(VLOOKUP(D160&amp;$G$3&amp;$G$4&amp;G152,'Raw Data'!$C:$BO,52,0),"NA")</f>
        <v>NA</v>
      </c>
      <c r="N160" s="26">
        <f t="shared" si="37"/>
        <v>0</v>
      </c>
      <c r="O160" s="78" t="str">
        <f t="shared" si="38"/>
        <v>NA</v>
      </c>
      <c r="P160" s="26" t="str">
        <f>IFERROR(VLOOKUP(D160&amp;$G$3&amp;$G$4&amp;$G$5,'Raw Data'!$C:$BS,66,0),"NA")</f>
        <v>NA</v>
      </c>
      <c r="Q160" s="26" t="str">
        <f>IFERROR(VLOOKUP(D160&amp;$G$3&amp;$G$4&amp;$G$5,'Raw Data'!$C:$BS,67,0),"NA")</f>
        <v>NA</v>
      </c>
      <c r="R160" s="26" t="str">
        <f>IFERROR(VLOOKUP(D160&amp;$G$3&amp;$G$4&amp;$G$5,'Raw Data'!$C:$BS,68,0),"NA")</f>
        <v>NA</v>
      </c>
      <c r="S160" s="26" t="str">
        <f>IFERROR(VLOOKUP(D160&amp;$G$3&amp;$G$4&amp;$G$5,'Raw Data'!$C:$BS,69,0),"NA")</f>
        <v>NA</v>
      </c>
      <c r="T160" s="44" t="str">
        <f t="shared" si="39"/>
        <v>NA</v>
      </c>
      <c r="BK160" s="60" t="str">
        <f t="shared" si="40"/>
        <v>NA</v>
      </c>
      <c r="BL160" t="str">
        <f t="shared" si="41"/>
        <v>NA</v>
      </c>
      <c r="BM160" t="str">
        <f t="shared" si="42"/>
        <v>NA</v>
      </c>
      <c r="BN160" t="str">
        <f t="shared" si="43"/>
        <v>NA</v>
      </c>
      <c r="BO160" t="str">
        <f t="shared" si="33"/>
        <v/>
      </c>
      <c r="BP160" t="str">
        <f t="shared" si="44"/>
        <v>NA</v>
      </c>
    </row>
    <row r="161" spans="1:68">
      <c r="A161" t="str">
        <f t="shared" ca="1" si="34"/>
        <v>148LowNoTelecom-Non AT&amp;TJ</v>
      </c>
      <c r="B161" t="str">
        <f t="shared" ca="1" si="35"/>
        <v>148LowNoTelecom-Non AT&amp;TK</v>
      </c>
      <c r="C161" t="str">
        <f t="shared" ca="1" si="36"/>
        <v>148LowNoTelecom-Non AT&amp;TL</v>
      </c>
      <c r="D161" s="22">
        <f t="shared" si="32"/>
        <v>148</v>
      </c>
      <c r="E161" s="24" t="str">
        <f>IFERROR(VLOOKUP(D161&amp;$G$3&amp;$G$4&amp;$G$5,'Raw Data'!$C:$BO,2,0),"NA")</f>
        <v>NA</v>
      </c>
      <c r="F161" s="79" t="str">
        <f>IFERROR(VLOOKUP(D161&amp;$G$3&amp;$G$4&amp;$G$5,'Raw Data'!$C:$BO,5,0),"NA")</f>
        <v>NA</v>
      </c>
      <c r="G161" s="44" t="str">
        <f>IFERROR(VLOOKUP(D161&amp;$G$3&amp;$G$4&amp;$G$5,'Raw Data'!$C:$BT,70,0),"NA")</f>
        <v>NA</v>
      </c>
      <c r="H161" s="62" t="str">
        <f>IFERROR(VLOOKUP(D161&amp;$G$3&amp;$G$4&amp;$G$5,'Raw Data'!$C:$BO,7,0),"NA")</f>
        <v>NA</v>
      </c>
      <c r="I161" s="29" t="str">
        <f>IFERROR(VLOOKUP(D161&amp;$G$3&amp;$G$4&amp;$G$5,'Raw Data'!$C:$BO,11,0),"NA")</f>
        <v>NA</v>
      </c>
      <c r="J161" s="26" t="str">
        <f>IFERROR(VLOOKUP(D161&amp;$G$3&amp;$G$4&amp;$G$5,'Raw Data'!$C:$BO,26,0),"NA")</f>
        <v>NA</v>
      </c>
      <c r="K161" s="26" t="str">
        <f>IFERROR(VLOOKUP(D161&amp;$G$3&amp;$G$4&amp;$G$5,'Raw Data'!$C:$BO,39,0),"NA")</f>
        <v>NA</v>
      </c>
      <c r="L161" s="26" t="str">
        <f>IFERROR(VLOOKUP(D161&amp;$G$3&amp;$G$4&amp;$G$5,'Raw Data'!$C:$BO,65,0),"NA")</f>
        <v>NA</v>
      </c>
      <c r="M161" s="26" t="str">
        <f>IFERROR(VLOOKUP(D161&amp;$G$3&amp;$G$4&amp;G153,'Raw Data'!$C:$BO,52,0),"NA")</f>
        <v>NA</v>
      </c>
      <c r="N161" s="26">
        <f t="shared" si="37"/>
        <v>0</v>
      </c>
      <c r="O161" s="78" t="str">
        <f t="shared" si="38"/>
        <v>NA</v>
      </c>
      <c r="P161" s="26" t="str">
        <f>IFERROR(VLOOKUP(D161&amp;$G$3&amp;$G$4&amp;$G$5,'Raw Data'!$C:$BS,66,0),"NA")</f>
        <v>NA</v>
      </c>
      <c r="Q161" s="26" t="str">
        <f>IFERROR(VLOOKUP(D161&amp;$G$3&amp;$G$4&amp;$G$5,'Raw Data'!$C:$BS,67,0),"NA")</f>
        <v>NA</v>
      </c>
      <c r="R161" s="26" t="str">
        <f>IFERROR(VLOOKUP(D161&amp;$G$3&amp;$G$4&amp;$G$5,'Raw Data'!$C:$BS,68,0),"NA")</f>
        <v>NA</v>
      </c>
      <c r="S161" s="26" t="str">
        <f>IFERROR(VLOOKUP(D161&amp;$G$3&amp;$G$4&amp;$G$5,'Raw Data'!$C:$BS,69,0),"NA")</f>
        <v>NA</v>
      </c>
      <c r="T161" s="44" t="str">
        <f t="shared" si="39"/>
        <v>NA</v>
      </c>
      <c r="BK161" s="60" t="str">
        <f t="shared" si="40"/>
        <v>NA</v>
      </c>
      <c r="BL161" t="str">
        <f t="shared" si="41"/>
        <v>NA</v>
      </c>
      <c r="BM161" t="str">
        <f t="shared" si="42"/>
        <v>NA</v>
      </c>
      <c r="BN161" t="str">
        <f t="shared" si="43"/>
        <v>NA</v>
      </c>
      <c r="BO161" t="str">
        <f t="shared" si="33"/>
        <v/>
      </c>
      <c r="BP161" t="str">
        <f t="shared" si="44"/>
        <v>NA</v>
      </c>
    </row>
    <row r="162" spans="1:68">
      <c r="A162" t="str">
        <f t="shared" ca="1" si="34"/>
        <v>149LowNoTelecom-Non AT&amp;TJ</v>
      </c>
      <c r="B162" t="str">
        <f t="shared" ca="1" si="35"/>
        <v>149LowNoTelecom-Non AT&amp;TK</v>
      </c>
      <c r="C162" t="str">
        <f t="shared" ca="1" si="36"/>
        <v>149LowNoTelecom-Non AT&amp;TL</v>
      </c>
      <c r="D162" s="22">
        <f t="shared" si="32"/>
        <v>149</v>
      </c>
      <c r="E162" s="24" t="str">
        <f>IFERROR(VLOOKUP(D162&amp;$G$3&amp;$G$4&amp;$G$5,'Raw Data'!$C:$BO,2,0),"NA")</f>
        <v>NA</v>
      </c>
      <c r="F162" s="79" t="str">
        <f>IFERROR(VLOOKUP(D162&amp;$G$3&amp;$G$4&amp;$G$5,'Raw Data'!$C:$BO,5,0),"NA")</f>
        <v>NA</v>
      </c>
      <c r="G162" s="44" t="str">
        <f>IFERROR(VLOOKUP(D162&amp;$G$3&amp;$G$4&amp;$G$5,'Raw Data'!$C:$BT,70,0),"NA")</f>
        <v>NA</v>
      </c>
      <c r="H162" s="62" t="str">
        <f>IFERROR(VLOOKUP(D162&amp;$G$3&amp;$G$4&amp;$G$5,'Raw Data'!$C:$BO,7,0),"NA")</f>
        <v>NA</v>
      </c>
      <c r="I162" s="29" t="str">
        <f>IFERROR(VLOOKUP(D162&amp;$G$3&amp;$G$4&amp;$G$5,'Raw Data'!$C:$BO,11,0),"NA")</f>
        <v>NA</v>
      </c>
      <c r="J162" s="26" t="str">
        <f>IFERROR(VLOOKUP(D162&amp;$G$3&amp;$G$4&amp;$G$5,'Raw Data'!$C:$BO,26,0),"NA")</f>
        <v>NA</v>
      </c>
      <c r="K162" s="26" t="str">
        <f>IFERROR(VLOOKUP(D162&amp;$G$3&amp;$G$4&amp;$G$5,'Raw Data'!$C:$BO,39,0),"NA")</f>
        <v>NA</v>
      </c>
      <c r="L162" s="26" t="str">
        <f>IFERROR(VLOOKUP(D162&amp;$G$3&amp;$G$4&amp;$G$5,'Raw Data'!$C:$BO,65,0),"NA")</f>
        <v>NA</v>
      </c>
      <c r="M162" s="26" t="str">
        <f>IFERROR(VLOOKUP(D162&amp;$G$3&amp;$G$4&amp;G154,'Raw Data'!$C:$BO,52,0),"NA")</f>
        <v>NA</v>
      </c>
      <c r="N162" s="26">
        <f t="shared" si="37"/>
        <v>0</v>
      </c>
      <c r="O162" s="78" t="str">
        <f t="shared" si="38"/>
        <v>NA</v>
      </c>
      <c r="P162" s="26" t="str">
        <f>IFERROR(VLOOKUP(D162&amp;$G$3&amp;$G$4&amp;$G$5,'Raw Data'!$C:$BS,66,0),"NA")</f>
        <v>NA</v>
      </c>
      <c r="Q162" s="26" t="str">
        <f>IFERROR(VLOOKUP(D162&amp;$G$3&amp;$G$4&amp;$G$5,'Raw Data'!$C:$BS,67,0),"NA")</f>
        <v>NA</v>
      </c>
      <c r="R162" s="26" t="str">
        <f>IFERROR(VLOOKUP(D162&amp;$G$3&amp;$G$4&amp;$G$5,'Raw Data'!$C:$BS,68,0),"NA")</f>
        <v>NA</v>
      </c>
      <c r="S162" s="26" t="str">
        <f>IFERROR(VLOOKUP(D162&amp;$G$3&amp;$G$4&amp;$G$5,'Raw Data'!$C:$BS,69,0),"NA")</f>
        <v>NA</v>
      </c>
      <c r="T162" s="44" t="str">
        <f t="shared" si="39"/>
        <v>NA</v>
      </c>
      <c r="BK162" s="60" t="str">
        <f t="shared" si="40"/>
        <v>NA</v>
      </c>
      <c r="BL162" t="str">
        <f t="shared" si="41"/>
        <v>NA</v>
      </c>
      <c r="BM162" t="str">
        <f t="shared" si="42"/>
        <v>NA</v>
      </c>
      <c r="BN162" t="str">
        <f t="shared" si="43"/>
        <v>NA</v>
      </c>
      <c r="BO162" t="str">
        <f t="shared" si="33"/>
        <v/>
      </c>
      <c r="BP162" t="str">
        <f t="shared" si="44"/>
        <v>NA</v>
      </c>
    </row>
    <row r="163" spans="1:68">
      <c r="A163" t="str">
        <f t="shared" ca="1" si="34"/>
        <v>150LowNoTelecom-Non AT&amp;TJ</v>
      </c>
      <c r="B163" t="str">
        <f t="shared" ca="1" si="35"/>
        <v>150LowNoTelecom-Non AT&amp;TK</v>
      </c>
      <c r="C163" t="str">
        <f t="shared" ca="1" si="36"/>
        <v>150LowNoTelecom-Non AT&amp;TL</v>
      </c>
      <c r="D163" s="22">
        <f t="shared" si="32"/>
        <v>150</v>
      </c>
      <c r="E163" s="24" t="str">
        <f>IFERROR(VLOOKUP(D163&amp;$G$3&amp;$G$4&amp;$G$5,'Raw Data'!$C:$BO,2,0),"NA")</f>
        <v>NA</v>
      </c>
      <c r="F163" s="79" t="str">
        <f>IFERROR(VLOOKUP(D163&amp;$G$3&amp;$G$4&amp;$G$5,'Raw Data'!$C:$BO,5,0),"NA")</f>
        <v>NA</v>
      </c>
      <c r="G163" s="44" t="str">
        <f>IFERROR(VLOOKUP(D163&amp;$G$3&amp;$G$4&amp;$G$5,'Raw Data'!$C:$BT,70,0),"NA")</f>
        <v>NA</v>
      </c>
      <c r="H163" s="62" t="str">
        <f>IFERROR(VLOOKUP(D163&amp;$G$3&amp;$G$4&amp;$G$5,'Raw Data'!$C:$BO,7,0),"NA")</f>
        <v>NA</v>
      </c>
      <c r="I163" s="29" t="str">
        <f>IFERROR(VLOOKUP(D163&amp;$G$3&amp;$G$4&amp;$G$5,'Raw Data'!$C:$BO,11,0),"NA")</f>
        <v>NA</v>
      </c>
      <c r="J163" s="26" t="str">
        <f>IFERROR(VLOOKUP(D163&amp;$G$3&amp;$G$4&amp;$G$5,'Raw Data'!$C:$BO,26,0),"NA")</f>
        <v>NA</v>
      </c>
      <c r="K163" s="26" t="str">
        <f>IFERROR(VLOOKUP(D163&amp;$G$3&amp;$G$4&amp;$G$5,'Raw Data'!$C:$BO,39,0),"NA")</f>
        <v>NA</v>
      </c>
      <c r="L163" s="26" t="str">
        <f>IFERROR(VLOOKUP(D163&amp;$G$3&amp;$G$4&amp;$G$5,'Raw Data'!$C:$BO,65,0),"NA")</f>
        <v>NA</v>
      </c>
      <c r="M163" s="26" t="str">
        <f>IFERROR(VLOOKUP(D163&amp;$G$3&amp;$G$4&amp;G155,'Raw Data'!$C:$BO,52,0),"NA")</f>
        <v>NA</v>
      </c>
      <c r="N163" s="26">
        <f t="shared" si="37"/>
        <v>0</v>
      </c>
      <c r="O163" s="78" t="str">
        <f t="shared" si="38"/>
        <v>NA</v>
      </c>
      <c r="P163" s="26" t="str">
        <f>IFERROR(VLOOKUP(D163&amp;$G$3&amp;$G$4&amp;$G$5,'Raw Data'!$C:$BS,66,0),"NA")</f>
        <v>NA</v>
      </c>
      <c r="Q163" s="26" t="str">
        <f>IFERROR(VLOOKUP(D163&amp;$G$3&amp;$G$4&amp;$G$5,'Raw Data'!$C:$BS,67,0),"NA")</f>
        <v>NA</v>
      </c>
      <c r="R163" s="26" t="str">
        <f>IFERROR(VLOOKUP(D163&amp;$G$3&amp;$G$4&amp;$G$5,'Raw Data'!$C:$BS,68,0),"NA")</f>
        <v>NA</v>
      </c>
      <c r="S163" s="26" t="str">
        <f>IFERROR(VLOOKUP(D163&amp;$G$3&amp;$G$4&amp;$G$5,'Raw Data'!$C:$BS,69,0),"NA")</f>
        <v>NA</v>
      </c>
      <c r="T163" s="44" t="str">
        <f t="shared" si="39"/>
        <v>NA</v>
      </c>
      <c r="BK163" s="60" t="str">
        <f t="shared" si="40"/>
        <v>NA</v>
      </c>
      <c r="BL163" t="str">
        <f t="shared" si="41"/>
        <v>NA</v>
      </c>
      <c r="BM163" t="str">
        <f t="shared" si="42"/>
        <v>NA</v>
      </c>
      <c r="BN163" t="str">
        <f t="shared" si="43"/>
        <v>NA</v>
      </c>
      <c r="BO163" t="str">
        <f t="shared" si="33"/>
        <v/>
      </c>
      <c r="BP163" t="str">
        <f t="shared" si="44"/>
        <v>NA</v>
      </c>
    </row>
    <row r="164" spans="1:68">
      <c r="A164" t="str">
        <f t="shared" ca="1" si="34"/>
        <v>151LowNoTelecom-Non AT&amp;TJ</v>
      </c>
      <c r="B164" t="str">
        <f t="shared" ca="1" si="35"/>
        <v>151LowNoTelecom-Non AT&amp;TK</v>
      </c>
      <c r="C164" t="str">
        <f t="shared" ca="1" si="36"/>
        <v>151LowNoTelecom-Non AT&amp;TL</v>
      </c>
      <c r="D164" s="22">
        <f t="shared" si="32"/>
        <v>151</v>
      </c>
      <c r="E164" s="24" t="str">
        <f>IFERROR(VLOOKUP(D164&amp;$G$3&amp;$G$4&amp;$G$5,'Raw Data'!$C:$BO,2,0),"NA")</f>
        <v>NA</v>
      </c>
      <c r="F164" s="79" t="str">
        <f>IFERROR(VLOOKUP(D164&amp;$G$3&amp;$G$4&amp;$G$5,'Raw Data'!$C:$BO,5,0),"NA")</f>
        <v>NA</v>
      </c>
      <c r="G164" s="44" t="str">
        <f>IFERROR(VLOOKUP(D164&amp;$G$3&amp;$G$4&amp;$G$5,'Raw Data'!$C:$BT,70,0),"NA")</f>
        <v>NA</v>
      </c>
      <c r="H164" s="62" t="str">
        <f>IFERROR(VLOOKUP(D164&amp;$G$3&amp;$G$4&amp;$G$5,'Raw Data'!$C:$BO,7,0),"NA")</f>
        <v>NA</v>
      </c>
      <c r="I164" s="29" t="str">
        <f>IFERROR(VLOOKUP(D164&amp;$G$3&amp;$G$4&amp;$G$5,'Raw Data'!$C:$BO,11,0),"NA")</f>
        <v>NA</v>
      </c>
      <c r="J164" s="26" t="str">
        <f>IFERROR(VLOOKUP(D164&amp;$G$3&amp;$G$4&amp;$G$5,'Raw Data'!$C:$BO,26,0),"NA")</f>
        <v>NA</v>
      </c>
      <c r="K164" s="26" t="str">
        <f>IFERROR(VLOOKUP(D164&amp;$G$3&amp;$G$4&amp;$G$5,'Raw Data'!$C:$BO,39,0),"NA")</f>
        <v>NA</v>
      </c>
      <c r="L164" s="26" t="str">
        <f>IFERROR(VLOOKUP(D164&amp;$G$3&amp;$G$4&amp;$G$5,'Raw Data'!$C:$BO,65,0),"NA")</f>
        <v>NA</v>
      </c>
      <c r="M164" s="26" t="str">
        <f>IFERROR(VLOOKUP(D164&amp;$G$3&amp;$G$4&amp;G156,'Raw Data'!$C:$BO,52,0),"NA")</f>
        <v>NA</v>
      </c>
      <c r="N164" s="26">
        <f t="shared" si="37"/>
        <v>0</v>
      </c>
      <c r="O164" s="78" t="str">
        <f t="shared" si="38"/>
        <v>NA</v>
      </c>
      <c r="P164" s="26" t="str">
        <f>IFERROR(VLOOKUP(D164&amp;$G$3&amp;$G$4&amp;$G$5,'Raw Data'!$C:$BS,66,0),"NA")</f>
        <v>NA</v>
      </c>
      <c r="Q164" s="26" t="str">
        <f>IFERROR(VLOOKUP(D164&amp;$G$3&amp;$G$4&amp;$G$5,'Raw Data'!$C:$BS,67,0),"NA")</f>
        <v>NA</v>
      </c>
      <c r="R164" s="26" t="str">
        <f>IFERROR(VLOOKUP(D164&amp;$G$3&amp;$G$4&amp;$G$5,'Raw Data'!$C:$BS,68,0),"NA")</f>
        <v>NA</v>
      </c>
      <c r="S164" s="26" t="str">
        <f>IFERROR(VLOOKUP(D164&amp;$G$3&amp;$G$4&amp;$G$5,'Raw Data'!$C:$BS,69,0),"NA")</f>
        <v>NA</v>
      </c>
      <c r="T164" s="44" t="str">
        <f t="shared" si="39"/>
        <v>NA</v>
      </c>
      <c r="BK164" s="60" t="str">
        <f t="shared" si="40"/>
        <v>NA</v>
      </c>
      <c r="BL164" t="str">
        <f t="shared" si="41"/>
        <v>NA</v>
      </c>
      <c r="BM164" t="str">
        <f t="shared" si="42"/>
        <v>NA</v>
      </c>
      <c r="BN164" t="str">
        <f t="shared" si="43"/>
        <v>NA</v>
      </c>
      <c r="BO164" t="str">
        <f t="shared" si="33"/>
        <v/>
      </c>
      <c r="BP164" t="str">
        <f t="shared" si="44"/>
        <v>NA</v>
      </c>
    </row>
    <row r="165" spans="1:68">
      <c r="J165" s="26" t="str">
        <f>IFERROR(VLOOKUP(D165&amp;$G$3&amp;$G$4&amp;$G$5,'Raw Data'!$C:$BO,26,0),"NA")</f>
        <v>NA</v>
      </c>
    </row>
  </sheetData>
  <mergeCells count="9">
    <mergeCell ref="V13:Z13"/>
    <mergeCell ref="T12:T13"/>
    <mergeCell ref="J12:O12"/>
    <mergeCell ref="P12:S12"/>
    <mergeCell ref="E12:E13"/>
    <mergeCell ref="F12:F13"/>
    <mergeCell ref="H12:H13"/>
    <mergeCell ref="I12:I13"/>
    <mergeCell ref="G12:G13"/>
  </mergeCells>
  <conditionalFormatting sqref="V13:Z16 J15:J165 E14:S164">
    <cfRule type="cellIs" dxfId="7" priority="33" stopIfTrue="1" operator="equal">
      <formula>"NA"</formula>
    </cfRule>
  </conditionalFormatting>
  <conditionalFormatting sqref="N14:N164">
    <cfRule type="cellIs" dxfId="6" priority="21" operator="equal">
      <formula>0</formula>
    </cfRule>
  </conditionalFormatting>
  <conditionalFormatting sqref="T14:T164">
    <cfRule type="containsText" dxfId="5" priority="1" operator="containsText" text="Can't Say">
      <formula>NOT(ISERROR(SEARCH("Can't Say",T14)))</formula>
    </cfRule>
    <cfRule type="containsText" dxfId="4" priority="2" operator="containsText" text="Negative">
      <formula>NOT(ISERROR(SEARCH("Negative",T14)))</formula>
    </cfRule>
    <cfRule type="containsText" dxfId="3" priority="3" operator="containsText" text="Positive">
      <formula>NOT(ISERROR(SEARCH("Positive",T14)))</formula>
    </cfRule>
    <cfRule type="cellIs" dxfId="2" priority="4" stopIfTrue="1" operator="equal">
      <formula>"NA"</formula>
    </cfRule>
  </conditionalFormatting>
  <dataValidations count="3">
    <dataValidation type="list" allowBlank="1" showInputMessage="1" showErrorMessage="1" sqref="G4">
      <formula1>"Yes,No"</formula1>
    </dataValidation>
    <dataValidation type="list" allowBlank="1" showInputMessage="1" showErrorMessage="1" sqref="G3">
      <formula1>$Q$3:$Q$5</formula1>
    </dataValidation>
    <dataValidation type="list" allowBlank="1" showInputMessage="1" showErrorMessage="1" sqref="G5">
      <formula1>$AX$1:$AX$6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T290"/>
  <sheetViews>
    <sheetView showGridLines="0" zoomScale="85" zoomScaleNormal="85" workbookViewId="0">
      <pane xSplit="4" ySplit="6" topLeftCell="E7" activePane="bottomRight" state="frozen"/>
      <selection pane="topRight" activeCell="B1" sqref="B1"/>
      <selection pane="bottomLeft" activeCell="A4" sqref="A4"/>
      <selection pane="bottomRight" activeCell="E7" sqref="E7"/>
    </sheetView>
  </sheetViews>
  <sheetFormatPr defaultColWidth="14.5703125" defaultRowHeight="15"/>
  <cols>
    <col min="1" max="3" width="0" hidden="1" customWidth="1"/>
    <col min="7" max="7" width="33.85546875" bestFit="1" customWidth="1"/>
    <col min="9" max="9" width="29.7109375" bestFit="1" customWidth="1"/>
    <col min="42" max="45" width="14.5703125" style="21"/>
    <col min="59" max="62" width="14.5703125" style="16"/>
  </cols>
  <sheetData>
    <row r="1" spans="1:72" hidden="1"/>
    <row r="2" spans="1:72" hidden="1"/>
    <row r="3" spans="1:72" hidden="1"/>
    <row r="4" spans="1:72">
      <c r="D4" s="86" t="s">
        <v>0</v>
      </c>
      <c r="E4" s="86" t="s">
        <v>425</v>
      </c>
      <c r="F4" s="86" t="s">
        <v>1</v>
      </c>
      <c r="G4" s="86" t="s">
        <v>426</v>
      </c>
      <c r="H4" s="86" t="s">
        <v>2</v>
      </c>
      <c r="I4" s="86" t="s">
        <v>3</v>
      </c>
      <c r="J4" s="86" t="s">
        <v>4</v>
      </c>
      <c r="K4" s="86" t="s">
        <v>411</v>
      </c>
      <c r="L4" s="86" t="s">
        <v>412</v>
      </c>
      <c r="M4" s="86" t="s">
        <v>413</v>
      </c>
      <c r="N4" s="86" t="s">
        <v>440</v>
      </c>
      <c r="O4" s="86" t="s">
        <v>423</v>
      </c>
      <c r="P4" s="100" t="s">
        <v>414</v>
      </c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89" t="s">
        <v>424</v>
      </c>
      <c r="AC4" s="100" t="s">
        <v>427</v>
      </c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89" t="s">
        <v>424</v>
      </c>
      <c r="AP4" s="100" t="s">
        <v>428</v>
      </c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89" t="s">
        <v>424</v>
      </c>
      <c r="BC4" s="100" t="s">
        <v>429</v>
      </c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89" t="s">
        <v>424</v>
      </c>
      <c r="BP4" s="123" t="s">
        <v>443</v>
      </c>
      <c r="BQ4" s="124"/>
      <c r="BR4" s="124"/>
      <c r="BS4" s="124"/>
      <c r="BT4" s="86" t="s">
        <v>457</v>
      </c>
    </row>
    <row r="5" spans="1:72">
      <c r="D5" s="87"/>
      <c r="E5" s="92"/>
      <c r="F5" s="92"/>
      <c r="G5" s="92"/>
      <c r="H5" s="92"/>
      <c r="I5" s="92"/>
      <c r="J5" s="92"/>
      <c r="K5" s="92"/>
      <c r="L5" s="92"/>
      <c r="M5" s="92"/>
      <c r="N5" s="87"/>
      <c r="O5" s="92"/>
      <c r="P5" s="102" t="s">
        <v>415</v>
      </c>
      <c r="Q5" s="102"/>
      <c r="R5" s="102"/>
      <c r="S5" s="102"/>
      <c r="T5" s="102" t="s">
        <v>416</v>
      </c>
      <c r="U5" s="102"/>
      <c r="V5" s="102"/>
      <c r="W5" s="103"/>
      <c r="X5" s="104" t="s">
        <v>417</v>
      </c>
      <c r="Y5" s="104"/>
      <c r="Z5" s="104"/>
      <c r="AA5" s="105"/>
      <c r="AB5" s="90"/>
      <c r="AC5" s="102" t="s">
        <v>415</v>
      </c>
      <c r="AD5" s="102"/>
      <c r="AE5" s="102"/>
      <c r="AF5" s="102"/>
      <c r="AG5" s="102" t="s">
        <v>416</v>
      </c>
      <c r="AH5" s="102"/>
      <c r="AI5" s="102"/>
      <c r="AJ5" s="103"/>
      <c r="AK5" s="104" t="s">
        <v>417</v>
      </c>
      <c r="AL5" s="104"/>
      <c r="AM5" s="104"/>
      <c r="AN5" s="105"/>
      <c r="AO5" s="90"/>
      <c r="AP5" s="118" t="s">
        <v>415</v>
      </c>
      <c r="AQ5" s="118"/>
      <c r="AR5" s="118"/>
      <c r="AS5" s="118"/>
      <c r="AT5" s="102" t="s">
        <v>416</v>
      </c>
      <c r="AU5" s="102"/>
      <c r="AV5" s="102"/>
      <c r="AW5" s="103"/>
      <c r="AX5" s="104" t="s">
        <v>417</v>
      </c>
      <c r="AY5" s="104"/>
      <c r="AZ5" s="104"/>
      <c r="BA5" s="105"/>
      <c r="BB5" s="90"/>
      <c r="BC5" s="102" t="s">
        <v>415</v>
      </c>
      <c r="BD5" s="102"/>
      <c r="BE5" s="102"/>
      <c r="BF5" s="102"/>
      <c r="BG5" s="121" t="s">
        <v>416</v>
      </c>
      <c r="BH5" s="121"/>
      <c r="BI5" s="121"/>
      <c r="BJ5" s="122"/>
      <c r="BK5" s="104" t="s">
        <v>417</v>
      </c>
      <c r="BL5" s="104"/>
      <c r="BM5" s="104"/>
      <c r="BN5" s="105"/>
      <c r="BO5" s="90"/>
      <c r="BP5" s="102" t="s">
        <v>415</v>
      </c>
      <c r="BQ5" s="102"/>
      <c r="BR5" s="102"/>
      <c r="BS5" s="102"/>
      <c r="BT5" s="87"/>
    </row>
    <row r="6" spans="1:72">
      <c r="D6" s="88"/>
      <c r="E6" s="93"/>
      <c r="F6" s="93"/>
      <c r="G6" s="93"/>
      <c r="H6" s="93"/>
      <c r="I6" s="93"/>
      <c r="J6" s="93"/>
      <c r="K6" s="93"/>
      <c r="L6" s="93"/>
      <c r="M6" s="93"/>
      <c r="N6" s="88"/>
      <c r="O6" s="93"/>
      <c r="P6" s="3" t="s">
        <v>418</v>
      </c>
      <c r="Q6" s="3" t="s">
        <v>419</v>
      </c>
      <c r="R6" s="3" t="s">
        <v>420</v>
      </c>
      <c r="S6" s="3" t="s">
        <v>421</v>
      </c>
      <c r="T6" s="4" t="s">
        <v>418</v>
      </c>
      <c r="U6" s="4" t="s">
        <v>419</v>
      </c>
      <c r="V6" s="4" t="s">
        <v>420</v>
      </c>
      <c r="W6" s="5" t="s">
        <v>421</v>
      </c>
      <c r="X6" s="13" t="s">
        <v>418</v>
      </c>
      <c r="Y6" s="13" t="s">
        <v>419</v>
      </c>
      <c r="Z6" s="13" t="s">
        <v>420</v>
      </c>
      <c r="AA6" s="13" t="s">
        <v>421</v>
      </c>
      <c r="AB6" s="91"/>
      <c r="AC6" s="3" t="s">
        <v>418</v>
      </c>
      <c r="AD6" s="3" t="s">
        <v>419</v>
      </c>
      <c r="AE6" s="3" t="s">
        <v>420</v>
      </c>
      <c r="AF6" s="3" t="s">
        <v>421</v>
      </c>
      <c r="AG6" s="4" t="s">
        <v>418</v>
      </c>
      <c r="AH6" s="4" t="s">
        <v>419</v>
      </c>
      <c r="AI6" s="4" t="s">
        <v>420</v>
      </c>
      <c r="AJ6" s="5" t="s">
        <v>421</v>
      </c>
      <c r="AK6" s="13" t="s">
        <v>418</v>
      </c>
      <c r="AL6" s="13" t="s">
        <v>419</v>
      </c>
      <c r="AM6" s="13" t="s">
        <v>420</v>
      </c>
      <c r="AN6" s="13" t="s">
        <v>421</v>
      </c>
      <c r="AO6" s="91"/>
      <c r="AP6" s="18" t="s">
        <v>418</v>
      </c>
      <c r="AQ6" s="18" t="s">
        <v>419</v>
      </c>
      <c r="AR6" s="18" t="s">
        <v>420</v>
      </c>
      <c r="AS6" s="18" t="s">
        <v>421</v>
      </c>
      <c r="AT6" s="4" t="s">
        <v>418</v>
      </c>
      <c r="AU6" s="4" t="s">
        <v>419</v>
      </c>
      <c r="AV6" s="4" t="s">
        <v>420</v>
      </c>
      <c r="AW6" s="5" t="s">
        <v>421</v>
      </c>
      <c r="AX6" s="13" t="s">
        <v>418</v>
      </c>
      <c r="AY6" s="13" t="s">
        <v>419</v>
      </c>
      <c r="AZ6" s="13" t="s">
        <v>420</v>
      </c>
      <c r="BA6" s="13" t="s">
        <v>421</v>
      </c>
      <c r="BB6" s="91"/>
      <c r="BC6" s="17" t="s">
        <v>418</v>
      </c>
      <c r="BD6" s="17" t="s">
        <v>419</v>
      </c>
      <c r="BE6" s="17" t="s">
        <v>420</v>
      </c>
      <c r="BF6" s="17" t="s">
        <v>421</v>
      </c>
      <c r="BG6" s="14" t="s">
        <v>418</v>
      </c>
      <c r="BH6" s="14" t="s">
        <v>419</v>
      </c>
      <c r="BI6" s="14" t="s">
        <v>420</v>
      </c>
      <c r="BJ6" s="15" t="s">
        <v>421</v>
      </c>
      <c r="BK6" s="13" t="s">
        <v>418</v>
      </c>
      <c r="BL6" s="13" t="s">
        <v>419</v>
      </c>
      <c r="BM6" s="13" t="s">
        <v>420</v>
      </c>
      <c r="BN6" s="13" t="s">
        <v>421</v>
      </c>
      <c r="BO6" s="91"/>
      <c r="BP6" s="17" t="s">
        <v>418</v>
      </c>
      <c r="BQ6" s="17" t="s">
        <v>419</v>
      </c>
      <c r="BR6" s="17" t="s">
        <v>420</v>
      </c>
      <c r="BS6" s="17" t="s">
        <v>421</v>
      </c>
      <c r="BT6" s="88"/>
    </row>
    <row r="7" spans="1:72">
      <c r="A7">
        <v>1</v>
      </c>
      <c r="B7" s="16" t="str">
        <f>N7</f>
        <v>Low</v>
      </c>
      <c r="C7" s="16" t="str">
        <f>A7&amp;B7&amp;J7&amp;E7</f>
        <v>1LowYesTelecom-AT&amp;T</v>
      </c>
      <c r="D7" s="11">
        <v>3312</v>
      </c>
      <c r="E7" s="11" t="s">
        <v>484</v>
      </c>
      <c r="F7" s="11" t="s">
        <v>6</v>
      </c>
      <c r="G7" s="11" t="s">
        <v>7</v>
      </c>
      <c r="H7" s="11">
        <v>171</v>
      </c>
      <c r="I7" s="11" t="s">
        <v>8</v>
      </c>
      <c r="J7" s="11" t="s">
        <v>9</v>
      </c>
      <c r="K7" s="11">
        <v>1</v>
      </c>
      <c r="L7" s="11">
        <v>1</v>
      </c>
      <c r="M7" s="12">
        <v>0.19621044244234601</v>
      </c>
      <c r="N7" s="27" t="str">
        <f>IF(M7="","",IF(M7&lt;0%,"Critical",IF(AND(M7&gt;=0%,M7&lt;=10%),"Medium",IF(M7&gt;10%,"Low"))))</f>
        <v>Low</v>
      </c>
      <c r="O7" s="11">
        <v>1</v>
      </c>
      <c r="P7" s="6">
        <v>156.90722518321701</v>
      </c>
      <c r="Q7" s="6">
        <v>160.9650118216685</v>
      </c>
      <c r="R7" s="6">
        <v>163.41342943590129</v>
      </c>
      <c r="S7" s="6">
        <v>162.53022317428949</v>
      </c>
      <c r="T7" s="6">
        <v>144</v>
      </c>
      <c r="U7" s="6">
        <v>146.80000000000001</v>
      </c>
      <c r="V7" s="6">
        <v>149</v>
      </c>
      <c r="W7" s="6">
        <v>0</v>
      </c>
      <c r="X7" s="10">
        <f t="shared" ref="X7:X38" si="0">IFERROR(((P7-T7)/P7),"")</f>
        <v>8.2260234786164468E-2</v>
      </c>
      <c r="Y7" s="10">
        <f t="shared" ref="Y7:Y38" si="1">IFERROR(((Q7-U7)/Q7),"")</f>
        <v>8.8000563981952537E-2</v>
      </c>
      <c r="Z7" s="10">
        <f t="shared" ref="Z7:Z38" si="2">IFERROR(((R7-V7)/R7),"")</f>
        <v>8.8202233351665521E-2</v>
      </c>
      <c r="AA7" s="10">
        <f t="shared" ref="AA7:AA38" si="3">IFERROR(((S7-W7)/S7),"")</f>
        <v>1</v>
      </c>
      <c r="AB7" s="2">
        <f>IFERROR(AVERAGEIF(X7:AA7,"&lt;&gt;100%",X7:AA7),"NA")</f>
        <v>8.61543440399275E-2</v>
      </c>
      <c r="AC7" s="6">
        <v>147.14047792278512</v>
      </c>
      <c r="AD7" s="6">
        <v>102.53424265506028</v>
      </c>
      <c r="AE7" s="6">
        <v>110.01532391951747</v>
      </c>
      <c r="AF7" s="6">
        <v>139.64069864860335</v>
      </c>
      <c r="AG7" s="6">
        <v>146.25</v>
      </c>
      <c r="AH7" s="6">
        <v>105.4</v>
      </c>
      <c r="AI7" s="6">
        <v>107</v>
      </c>
      <c r="AJ7" s="6">
        <v>0</v>
      </c>
      <c r="AK7" s="10">
        <f t="shared" ref="AK7:AK38" si="4">IFERROR(((AC7-AG7)/AC7),"")</f>
        <v>6.0518895640152776E-3</v>
      </c>
      <c r="AL7" s="10">
        <f t="shared" ref="AL7:AL38" si="5">IFERROR(((AD7-AH7)/AD7),"")</f>
        <v>-2.7949271099417361E-2</v>
      </c>
      <c r="AM7" s="10">
        <f t="shared" ref="AM7:AM38" si="6">IFERROR(((AE7-AI7)/AE7),"")</f>
        <v>2.7408217438175734E-2</v>
      </c>
      <c r="AN7" s="10">
        <f t="shared" ref="AN7:AN38" si="7">IFERROR(((AF7-AJ7)/AF7),"")</f>
        <v>1</v>
      </c>
      <c r="AO7" s="2">
        <f>IFERROR(AVERAGEIF(AK7:AN7,"&lt;&gt;100%",AK7:AN7),"NA")</f>
        <v>1.8369453009245498E-3</v>
      </c>
      <c r="AP7" s="2">
        <v>0.75000000034208369</v>
      </c>
      <c r="AQ7" s="2">
        <v>0.75000000034208369</v>
      </c>
      <c r="AR7" s="2">
        <v>0.75000000034208369</v>
      </c>
      <c r="AS7" s="2">
        <v>0.75000000034208369</v>
      </c>
      <c r="AT7" s="2">
        <v>0.75</v>
      </c>
      <c r="AU7" s="2">
        <v>0.75</v>
      </c>
      <c r="AV7" s="2">
        <v>0.75</v>
      </c>
      <c r="AW7" s="2">
        <v>0</v>
      </c>
      <c r="AX7" s="10">
        <f t="shared" ref="AX7:AX38" si="8">IFERROR(((AP7-AT7)/AP7),"")</f>
        <v>4.5611159273108573E-10</v>
      </c>
      <c r="AY7" s="10">
        <f t="shared" ref="AY7:AY38" si="9">IFERROR(((AQ7-AU7)/AQ7),"")</f>
        <v>4.5611159273108573E-10</v>
      </c>
      <c r="AZ7" s="10">
        <f t="shared" ref="AZ7:AZ38" si="10">IFERROR(((AR7-AV7)/AR7),"")</f>
        <v>4.5611159273108573E-10</v>
      </c>
      <c r="BA7" s="10">
        <f t="shared" ref="BA7:BA38" si="11">IFERROR(((AS7-AW7)/AS7),"")</f>
        <v>1</v>
      </c>
      <c r="BB7" s="2">
        <f>IFERROR(AVERAGEIF(AX7:BA7,"&lt;&gt;100%",AX7:BA7),"NA")</f>
        <v>4.5611159273108573E-10</v>
      </c>
      <c r="BC7" s="6">
        <v>62386.725301376311</v>
      </c>
      <c r="BD7" s="6">
        <v>44923.066569926697</v>
      </c>
      <c r="BE7" s="6">
        <v>44469.0639474122</v>
      </c>
      <c r="BF7" s="6">
        <v>58417.4367474889</v>
      </c>
      <c r="BG7" s="6">
        <v>59378</v>
      </c>
      <c r="BH7" s="6">
        <v>52461</v>
      </c>
      <c r="BI7" s="6">
        <v>10697</v>
      </c>
      <c r="BJ7" s="6">
        <v>0</v>
      </c>
      <c r="BK7" s="10">
        <f t="shared" ref="BK7:BK38" si="12">IFERROR(((BC7-BG7)/BC7),"")</f>
        <v>4.8227011224612808E-2</v>
      </c>
      <c r="BL7" s="10">
        <f t="shared" ref="BL7:BL38" si="13">IFERROR(((BD7-BH7)/BD7),"")</f>
        <v>-0.16779650201171925</v>
      </c>
      <c r="BM7" s="10">
        <f t="shared" ref="BM7:BM38" si="14">IFERROR(((BE7-BI7)/BE7),"")</f>
        <v>0.75945074956716074</v>
      </c>
      <c r="BN7" s="10">
        <f t="shared" ref="BN7:BN38" si="15">IFERROR(((BF7-BJ7)/BF7),"")</f>
        <v>1</v>
      </c>
      <c r="BO7" s="2">
        <f>IFERROR(AVERAGEIF(BK7:BN7,"&lt;&gt;100%",BK7:BN7),"NA")</f>
        <v>0.21329375292668476</v>
      </c>
      <c r="BP7" s="10">
        <v>3.3032862528720619E-2</v>
      </c>
      <c r="BQ7" s="10">
        <v>-2.2350193772043225E-2</v>
      </c>
      <c r="BR7" s="10">
        <v>-2.4889175759937543E-2</v>
      </c>
      <c r="BS7" s="10">
        <v>-2.392438033669203E-2</v>
      </c>
      <c r="BT7" s="11">
        <v>0</v>
      </c>
    </row>
    <row r="8" spans="1:72">
      <c r="A8">
        <f>COUNTIFS($J$7:J8,J8,$N$7:N8,N8,$E$7:E8,E8)</f>
        <v>1</v>
      </c>
      <c r="B8" s="16" t="str">
        <f t="shared" ref="B8:B71" si="16">N8</f>
        <v>Low</v>
      </c>
      <c r="C8" s="16" t="str">
        <f t="shared" ref="C8:C71" si="17">A8&amp;B8&amp;J8&amp;E8</f>
        <v>1LowNoRetail</v>
      </c>
      <c r="D8" s="1">
        <v>10000</v>
      </c>
      <c r="E8" s="1" t="s">
        <v>10</v>
      </c>
      <c r="F8" s="1" t="s">
        <v>11</v>
      </c>
      <c r="G8" s="1" t="s">
        <v>12</v>
      </c>
      <c r="H8" s="1">
        <v>998</v>
      </c>
      <c r="I8" s="1" t="s">
        <v>13</v>
      </c>
      <c r="J8" s="1" t="s">
        <v>27</v>
      </c>
      <c r="K8" s="1">
        <v>3</v>
      </c>
      <c r="L8" s="1">
        <v>2</v>
      </c>
      <c r="M8" s="2">
        <v>0.81390062620769066</v>
      </c>
      <c r="N8" s="27" t="str">
        <f t="shared" ref="N8:N71" si="18">IF(M8="","",IF(M8&lt;0%,"Critical",IF(AND(M8&gt;=0%,M8&lt;=10%),"Medium",IF(M8&gt;10%,"Low"))))</f>
        <v>Low</v>
      </c>
      <c r="O8" s="1">
        <v>2</v>
      </c>
      <c r="P8" s="6">
        <v>843.17374305306384</v>
      </c>
      <c r="Q8" s="6">
        <v>902.92571485033864</v>
      </c>
      <c r="R8" s="6">
        <v>1020.9939887149238</v>
      </c>
      <c r="S8" s="6">
        <v>1318.8178144291578</v>
      </c>
      <c r="T8" s="6">
        <v>707.25</v>
      </c>
      <c r="U8" s="6">
        <v>946.80000000000007</v>
      </c>
      <c r="V8" s="6">
        <v>1270.25</v>
      </c>
      <c r="W8" s="6">
        <v>1267.5</v>
      </c>
      <c r="X8" s="10">
        <f t="shared" si="0"/>
        <v>0.16120490488816097</v>
      </c>
      <c r="Y8" s="10">
        <f t="shared" si="1"/>
        <v>-4.8591245578750254E-2</v>
      </c>
      <c r="Z8" s="10">
        <f t="shared" si="2"/>
        <v>-0.24413073342263528</v>
      </c>
      <c r="AA8" s="10">
        <f t="shared" si="3"/>
        <v>3.8911981524430962E-2</v>
      </c>
      <c r="AB8" s="2">
        <f t="shared" ref="AB8:AB71" si="19">IFERROR(AVERAGEIF(X8:AA8,"&lt;&gt;100%",X8:AA8),"NA")</f>
        <v>-2.3151273147198399E-2</v>
      </c>
      <c r="AC8" s="6">
        <v>649.9551423357774</v>
      </c>
      <c r="AD8" s="6">
        <v>756.77622202071586</v>
      </c>
      <c r="AE8" s="6">
        <v>916.45315078322369</v>
      </c>
      <c r="AF8" s="6">
        <v>1184.0671126659572</v>
      </c>
      <c r="AG8" s="6">
        <v>667.25</v>
      </c>
      <c r="AH8" s="6">
        <v>841.8</v>
      </c>
      <c r="AI8" s="6">
        <v>1073.25</v>
      </c>
      <c r="AJ8" s="6">
        <v>1168</v>
      </c>
      <c r="AK8" s="10">
        <f t="shared" si="4"/>
        <v>-2.6609309685694894E-2</v>
      </c>
      <c r="AL8" s="10">
        <f t="shared" si="5"/>
        <v>-0.11234995961191374</v>
      </c>
      <c r="AM8" s="10">
        <f t="shared" si="6"/>
        <v>-0.17109095984096276</v>
      </c>
      <c r="AN8" s="10">
        <f t="shared" si="7"/>
        <v>1.3569427352628432E-2</v>
      </c>
      <c r="AO8" s="2">
        <f t="shared" ref="AO8:AO71" si="20">IFERROR(AVERAGEIF(AK8:AN8,"&lt;&gt;100%",AK8:AN8),"NA")</f>
        <v>-7.4120200446485734E-2</v>
      </c>
      <c r="AP8" s="2">
        <v>0</v>
      </c>
      <c r="AQ8" s="2">
        <v>0</v>
      </c>
      <c r="AR8" s="2">
        <v>0</v>
      </c>
      <c r="AS8" s="2">
        <v>0</v>
      </c>
      <c r="AT8" s="2">
        <v>0.85458333333333336</v>
      </c>
      <c r="AU8" s="2">
        <v>0.8563333333333335</v>
      </c>
      <c r="AV8" s="2">
        <v>0.87791666666666679</v>
      </c>
      <c r="AW8" s="2">
        <v>0.91041666666666676</v>
      </c>
      <c r="AX8" s="10" t="str">
        <f t="shared" si="8"/>
        <v/>
      </c>
      <c r="AY8" s="10" t="str">
        <f t="shared" si="9"/>
        <v/>
      </c>
      <c r="AZ8" s="10" t="str">
        <f t="shared" si="10"/>
        <v/>
      </c>
      <c r="BA8" s="10" t="str">
        <f t="shared" si="11"/>
        <v/>
      </c>
      <c r="BB8" s="2" t="str">
        <f t="shared" ref="BB8:BB71" si="21">IFERROR(AVERAGEIF(AX8:BA8,"&lt;&gt;100%",AX8:BA8),"NA")</f>
        <v>NA</v>
      </c>
      <c r="BC8" s="6">
        <v>740983.83395999996</v>
      </c>
      <c r="BD8" s="6">
        <v>790043.17443300004</v>
      </c>
      <c r="BE8" s="6">
        <v>948107.58070399996</v>
      </c>
      <c r="BF8" s="6">
        <v>1251625.6184990003</v>
      </c>
      <c r="BG8" s="6">
        <v>543296</v>
      </c>
      <c r="BH8" s="6">
        <v>779217</v>
      </c>
      <c r="BI8" s="6">
        <v>971800</v>
      </c>
      <c r="BJ8" s="6">
        <v>1382974</v>
      </c>
      <c r="BK8" s="10">
        <f t="shared" si="12"/>
        <v>0.2667910214768216</v>
      </c>
      <c r="BL8" s="10">
        <f t="shared" si="13"/>
        <v>1.3703269369765507E-2</v>
      </c>
      <c r="BM8" s="10">
        <f t="shared" si="14"/>
        <v>-2.498916766218414E-2</v>
      </c>
      <c r="BN8" s="10">
        <f t="shared" si="15"/>
        <v>-0.10494222837857692</v>
      </c>
      <c r="BO8" s="2">
        <f t="shared" ref="BO8:BO71" si="22">IFERROR(AVERAGEIF(BK8:BN8,"&lt;&gt;100%",BK8:BN8),"NA")</f>
        <v>3.7640723701456519E-2</v>
      </c>
      <c r="BP8" s="10">
        <v>-0.14111611320165429</v>
      </c>
      <c r="BQ8" s="10">
        <v>0</v>
      </c>
      <c r="BR8" s="10">
        <v>0</v>
      </c>
      <c r="BS8" s="10">
        <v>0</v>
      </c>
      <c r="BT8" s="11" t="s">
        <v>458</v>
      </c>
    </row>
    <row r="9" spans="1:72">
      <c r="A9">
        <f>COUNTIFS($J$7:J9,J9,$N$7:N9,N9,$E$7:E9,E9)</f>
        <v>2</v>
      </c>
      <c r="B9" s="16" t="str">
        <f t="shared" si="16"/>
        <v>Low</v>
      </c>
      <c r="C9" s="16" t="str">
        <f t="shared" si="17"/>
        <v>2LowNoRetail</v>
      </c>
      <c r="D9" s="1">
        <v>10006</v>
      </c>
      <c r="E9" s="1" t="s">
        <v>10</v>
      </c>
      <c r="F9" s="1" t="s">
        <v>11</v>
      </c>
      <c r="G9" s="1" t="s">
        <v>14</v>
      </c>
      <c r="H9" s="1">
        <v>304</v>
      </c>
      <c r="I9" s="1" t="s">
        <v>13</v>
      </c>
      <c r="J9" s="1" t="s">
        <v>27</v>
      </c>
      <c r="K9" s="1">
        <v>2</v>
      </c>
      <c r="L9" s="1">
        <v>1</v>
      </c>
      <c r="M9" s="2">
        <v>0.32484905573263351</v>
      </c>
      <c r="N9" s="27" t="str">
        <f t="shared" si="18"/>
        <v>Low</v>
      </c>
      <c r="O9" s="1">
        <v>1</v>
      </c>
      <c r="P9" s="6">
        <v>367.14021340667171</v>
      </c>
      <c r="Q9" s="6">
        <v>468.44755797988358</v>
      </c>
      <c r="R9" s="6">
        <v>526.19026266585047</v>
      </c>
      <c r="S9" s="6">
        <v>786.57141335271649</v>
      </c>
      <c r="T9" s="6">
        <v>257.25</v>
      </c>
      <c r="U9" s="6">
        <v>387.4</v>
      </c>
      <c r="V9" s="6">
        <v>492.25</v>
      </c>
      <c r="W9" s="6">
        <v>476.5</v>
      </c>
      <c r="X9" s="10">
        <f t="shared" si="0"/>
        <v>0.29931402062173224</v>
      </c>
      <c r="Y9" s="10">
        <f t="shared" si="1"/>
        <v>0.17301308673566404</v>
      </c>
      <c r="Z9" s="10">
        <f t="shared" si="2"/>
        <v>6.4501882824471307E-2</v>
      </c>
      <c r="AA9" s="10">
        <f t="shared" si="3"/>
        <v>0.3942063086567747</v>
      </c>
      <c r="AB9" s="2">
        <f t="shared" si="19"/>
        <v>0.23275882470966058</v>
      </c>
      <c r="AC9" s="6">
        <v>351.09825216785913</v>
      </c>
      <c r="AD9" s="6">
        <v>487.74230912923872</v>
      </c>
      <c r="AE9" s="6">
        <v>556.85812472338216</v>
      </c>
      <c r="AF9" s="6">
        <v>825.90060806376971</v>
      </c>
      <c r="AG9" s="6">
        <v>258.5</v>
      </c>
      <c r="AH9" s="6">
        <v>374.2</v>
      </c>
      <c r="AI9" s="6">
        <v>473.25</v>
      </c>
      <c r="AJ9" s="6">
        <v>454.75</v>
      </c>
      <c r="AK9" s="10">
        <f t="shared" si="4"/>
        <v>0.26373885827146798</v>
      </c>
      <c r="AL9" s="10">
        <f t="shared" si="5"/>
        <v>0.23279159302777042</v>
      </c>
      <c r="AM9" s="10">
        <f t="shared" si="6"/>
        <v>0.15014259649154671</v>
      </c>
      <c r="AN9" s="10">
        <f t="shared" si="7"/>
        <v>0.44938895121277389</v>
      </c>
      <c r="AO9" s="2">
        <f t="shared" si="20"/>
        <v>0.27401549975088979</v>
      </c>
      <c r="AP9" s="2">
        <v>0</v>
      </c>
      <c r="AQ9" s="2">
        <v>0</v>
      </c>
      <c r="AR9" s="2">
        <v>0</v>
      </c>
      <c r="AS9" s="2">
        <v>0</v>
      </c>
      <c r="AT9" s="2">
        <v>0.89874999999999994</v>
      </c>
      <c r="AU9" s="2">
        <v>0.873</v>
      </c>
      <c r="AV9" s="2">
        <v>0.89124999999999999</v>
      </c>
      <c r="AW9" s="2">
        <v>0.91125</v>
      </c>
      <c r="AX9" s="10" t="str">
        <f t="shared" si="8"/>
        <v/>
      </c>
      <c r="AY9" s="10" t="str">
        <f t="shared" si="9"/>
        <v/>
      </c>
      <c r="AZ9" s="10" t="str">
        <f t="shared" si="10"/>
        <v/>
      </c>
      <c r="BA9" s="10" t="str">
        <f t="shared" si="11"/>
        <v/>
      </c>
      <c r="BB9" s="2" t="str">
        <f t="shared" si="21"/>
        <v>NA</v>
      </c>
      <c r="BC9" s="6">
        <v>320450.81229999999</v>
      </c>
      <c r="BD9" s="6">
        <v>366815.23930000002</v>
      </c>
      <c r="BE9" s="6">
        <v>419201.90839999996</v>
      </c>
      <c r="BF9" s="6">
        <v>634373.31229999999</v>
      </c>
      <c r="BG9" s="6">
        <v>259149</v>
      </c>
      <c r="BH9" s="6">
        <v>333740</v>
      </c>
      <c r="BI9" s="6">
        <v>419609</v>
      </c>
      <c r="BJ9" s="6">
        <v>498214</v>
      </c>
      <c r="BK9" s="10">
        <f t="shared" si="12"/>
        <v>0.1912986640914188</v>
      </c>
      <c r="BL9" s="10">
        <f t="shared" si="13"/>
        <v>9.0168661921238819E-2</v>
      </c>
      <c r="BM9" s="10">
        <f t="shared" si="14"/>
        <v>-9.7111103705090724E-4</v>
      </c>
      <c r="BN9" s="10">
        <f t="shared" si="15"/>
        <v>0.21463594016327284</v>
      </c>
      <c r="BO9" s="2">
        <f t="shared" si="22"/>
        <v>0.12378303878471988</v>
      </c>
      <c r="BP9" s="10">
        <v>7.8474850259834639E-2</v>
      </c>
      <c r="BQ9" s="10">
        <v>0</v>
      </c>
      <c r="BR9" s="10">
        <v>0</v>
      </c>
      <c r="BS9" s="10">
        <v>0</v>
      </c>
      <c r="BT9" s="11" t="s">
        <v>458</v>
      </c>
    </row>
    <row r="10" spans="1:72">
      <c r="A10">
        <f>COUNTIFS($J$7:J10,J10,$N$7:N10,N10,$E$7:E10,E10)</f>
        <v>1</v>
      </c>
      <c r="B10" s="16" t="str">
        <f t="shared" si="16"/>
        <v>Medium</v>
      </c>
      <c r="C10" s="16" t="str">
        <f t="shared" si="17"/>
        <v>1MediumNoRetail</v>
      </c>
      <c r="D10" s="1">
        <v>10008</v>
      </c>
      <c r="E10" s="1" t="s">
        <v>10</v>
      </c>
      <c r="F10" s="1" t="s">
        <v>11</v>
      </c>
      <c r="G10" s="1" t="s">
        <v>15</v>
      </c>
      <c r="H10" s="1">
        <v>336</v>
      </c>
      <c r="I10" s="1" t="s">
        <v>16</v>
      </c>
      <c r="J10" s="1" t="s">
        <v>27</v>
      </c>
      <c r="K10" s="1">
        <v>1</v>
      </c>
      <c r="L10" s="1"/>
      <c r="M10" s="2">
        <v>0</v>
      </c>
      <c r="N10" s="27" t="str">
        <f t="shared" si="18"/>
        <v>Medium</v>
      </c>
      <c r="O10" s="1">
        <v>0</v>
      </c>
      <c r="P10" s="6">
        <v>0</v>
      </c>
      <c r="Q10" s="6">
        <v>0</v>
      </c>
      <c r="R10" s="6">
        <v>0</v>
      </c>
      <c r="S10" s="6">
        <v>0</v>
      </c>
      <c r="T10" s="6">
        <v>304.5</v>
      </c>
      <c r="U10" s="6">
        <v>323.2</v>
      </c>
      <c r="V10" s="6">
        <v>320</v>
      </c>
      <c r="W10" s="6">
        <v>306.5</v>
      </c>
      <c r="X10" s="10" t="str">
        <f t="shared" si="0"/>
        <v/>
      </c>
      <c r="Y10" s="10" t="str">
        <f t="shared" si="1"/>
        <v/>
      </c>
      <c r="Z10" s="10" t="str">
        <f t="shared" si="2"/>
        <v/>
      </c>
      <c r="AA10" s="10" t="str">
        <f t="shared" si="3"/>
        <v/>
      </c>
      <c r="AB10" s="2" t="str">
        <f t="shared" si="19"/>
        <v>NA</v>
      </c>
      <c r="AC10" s="6">
        <v>0</v>
      </c>
      <c r="AD10" s="6">
        <v>0</v>
      </c>
      <c r="AE10" s="6">
        <v>0</v>
      </c>
      <c r="AF10" s="6">
        <v>0</v>
      </c>
      <c r="AG10" s="6">
        <v>297.75</v>
      </c>
      <c r="AH10" s="6">
        <v>302.8</v>
      </c>
      <c r="AI10" s="6">
        <v>307.25</v>
      </c>
      <c r="AJ10" s="6">
        <v>305.75</v>
      </c>
      <c r="AK10" s="10" t="str">
        <f t="shared" si="4"/>
        <v/>
      </c>
      <c r="AL10" s="10" t="str">
        <f t="shared" si="5"/>
        <v/>
      </c>
      <c r="AM10" s="10" t="str">
        <f t="shared" si="6"/>
        <v/>
      </c>
      <c r="AN10" s="10" t="str">
        <f t="shared" si="7"/>
        <v/>
      </c>
      <c r="AO10" s="2" t="str">
        <f t="shared" si="20"/>
        <v>NA</v>
      </c>
      <c r="AP10" s="2">
        <v>0</v>
      </c>
      <c r="AQ10" s="2">
        <v>0</v>
      </c>
      <c r="AR10" s="2">
        <v>0</v>
      </c>
      <c r="AS10" s="2">
        <v>0</v>
      </c>
      <c r="AT10" s="2">
        <v>0.88416666666666666</v>
      </c>
      <c r="AU10" s="2">
        <v>0.88</v>
      </c>
      <c r="AV10" s="2">
        <v>0.88416666666666666</v>
      </c>
      <c r="AW10" s="2">
        <v>0.88666666666666671</v>
      </c>
      <c r="AX10" s="10" t="str">
        <f t="shared" si="8"/>
        <v/>
      </c>
      <c r="AY10" s="10" t="str">
        <f t="shared" si="9"/>
        <v/>
      </c>
      <c r="AZ10" s="10" t="str">
        <f t="shared" si="10"/>
        <v/>
      </c>
      <c r="BA10" s="10" t="str">
        <f t="shared" si="11"/>
        <v/>
      </c>
      <c r="BB10" s="2" t="str">
        <f t="shared" si="21"/>
        <v>NA</v>
      </c>
      <c r="BC10" s="6">
        <v>0</v>
      </c>
      <c r="BD10" s="6">
        <v>0</v>
      </c>
      <c r="BE10" s="6">
        <v>0</v>
      </c>
      <c r="BF10" s="6">
        <v>0</v>
      </c>
      <c r="BG10" s="6">
        <v>160575</v>
      </c>
      <c r="BH10" s="6">
        <v>203790</v>
      </c>
      <c r="BI10" s="6">
        <v>175237</v>
      </c>
      <c r="BJ10" s="6">
        <v>180421</v>
      </c>
      <c r="BK10" s="10" t="str">
        <f t="shared" si="12"/>
        <v/>
      </c>
      <c r="BL10" s="10" t="str">
        <f t="shared" si="13"/>
        <v/>
      </c>
      <c r="BM10" s="10" t="str">
        <f t="shared" si="14"/>
        <v/>
      </c>
      <c r="BN10" s="10" t="str">
        <f t="shared" si="15"/>
        <v/>
      </c>
      <c r="BO10" s="2" t="str">
        <f t="shared" si="22"/>
        <v>NA</v>
      </c>
      <c r="BP10" s="10">
        <v>0</v>
      </c>
      <c r="BQ10" s="10">
        <v>0</v>
      </c>
      <c r="BR10" s="10">
        <v>0</v>
      </c>
      <c r="BS10" s="10">
        <v>0</v>
      </c>
      <c r="BT10" s="11">
        <v>0</v>
      </c>
    </row>
    <row r="11" spans="1:72">
      <c r="A11">
        <f>COUNTIFS($J$7:J11,J11,$N$7:N11,N11,$E$7:E11,E11)</f>
        <v>2</v>
      </c>
      <c r="B11" s="16" t="str">
        <f t="shared" si="16"/>
        <v>Medium</v>
      </c>
      <c r="C11" s="16" t="str">
        <f t="shared" si="17"/>
        <v>2MediumNoRetail</v>
      </c>
      <c r="D11" s="1">
        <v>10009</v>
      </c>
      <c r="E11" s="1" t="s">
        <v>10</v>
      </c>
      <c r="F11" s="1" t="s">
        <v>11</v>
      </c>
      <c r="G11" s="1" t="s">
        <v>17</v>
      </c>
      <c r="H11" s="1">
        <v>537</v>
      </c>
      <c r="I11" s="1" t="s">
        <v>13</v>
      </c>
      <c r="J11" s="1" t="s">
        <v>27</v>
      </c>
      <c r="K11" s="1">
        <v>1</v>
      </c>
      <c r="L11" s="1"/>
      <c r="M11" s="2">
        <v>0</v>
      </c>
      <c r="N11" s="27" t="str">
        <f t="shared" si="18"/>
        <v>Medium</v>
      </c>
      <c r="O11" s="1">
        <v>0</v>
      </c>
      <c r="P11" s="6">
        <v>0</v>
      </c>
      <c r="Q11" s="6">
        <v>0</v>
      </c>
      <c r="R11" s="6">
        <v>0</v>
      </c>
      <c r="S11" s="6">
        <v>0</v>
      </c>
      <c r="T11" s="6">
        <v>772.75</v>
      </c>
      <c r="U11" s="6">
        <v>910.8</v>
      </c>
      <c r="V11" s="6">
        <v>816</v>
      </c>
      <c r="W11" s="6">
        <v>661.25</v>
      </c>
      <c r="X11" s="10" t="str">
        <f t="shared" si="0"/>
        <v/>
      </c>
      <c r="Y11" s="10" t="str">
        <f t="shared" si="1"/>
        <v/>
      </c>
      <c r="Z11" s="10" t="str">
        <f t="shared" si="2"/>
        <v/>
      </c>
      <c r="AA11" s="10" t="str">
        <f t="shared" si="3"/>
        <v/>
      </c>
      <c r="AB11" s="2" t="str">
        <f t="shared" si="19"/>
        <v>NA</v>
      </c>
      <c r="AC11" s="6">
        <v>0</v>
      </c>
      <c r="AD11" s="6">
        <v>0</v>
      </c>
      <c r="AE11" s="6">
        <v>0</v>
      </c>
      <c r="AF11" s="6">
        <v>0</v>
      </c>
      <c r="AG11" s="6">
        <v>686.75</v>
      </c>
      <c r="AH11" s="6">
        <v>976.2</v>
      </c>
      <c r="AI11" s="6">
        <v>685.5</v>
      </c>
      <c r="AJ11" s="6">
        <v>528.75</v>
      </c>
      <c r="AK11" s="10" t="str">
        <f t="shared" si="4"/>
        <v/>
      </c>
      <c r="AL11" s="10" t="str">
        <f t="shared" si="5"/>
        <v/>
      </c>
      <c r="AM11" s="10" t="str">
        <f t="shared" si="6"/>
        <v/>
      </c>
      <c r="AN11" s="10" t="str">
        <f t="shared" si="7"/>
        <v/>
      </c>
      <c r="AO11" s="2" t="str">
        <f t="shared" si="20"/>
        <v>NA</v>
      </c>
      <c r="AP11" s="2">
        <v>0</v>
      </c>
      <c r="AQ11" s="2">
        <v>0</v>
      </c>
      <c r="AR11" s="2">
        <v>0</v>
      </c>
      <c r="AS11" s="2">
        <v>0</v>
      </c>
      <c r="AT11" s="2">
        <v>0.85250000000000004</v>
      </c>
      <c r="AU11" s="2">
        <v>0.8846666666666666</v>
      </c>
      <c r="AV11" s="2">
        <v>0.85166666666666668</v>
      </c>
      <c r="AW11" s="2">
        <v>0.84249999999999992</v>
      </c>
      <c r="AX11" s="10" t="str">
        <f t="shared" si="8"/>
        <v/>
      </c>
      <c r="AY11" s="10" t="str">
        <f t="shared" si="9"/>
        <v/>
      </c>
      <c r="AZ11" s="10" t="str">
        <f t="shared" si="10"/>
        <v/>
      </c>
      <c r="BA11" s="10" t="str">
        <f t="shared" si="11"/>
        <v/>
      </c>
      <c r="BB11" s="2" t="str">
        <f t="shared" si="21"/>
        <v>NA</v>
      </c>
      <c r="BC11" s="6">
        <v>0</v>
      </c>
      <c r="BD11" s="6">
        <v>0</v>
      </c>
      <c r="BE11" s="6">
        <v>0</v>
      </c>
      <c r="BF11" s="6">
        <v>0</v>
      </c>
      <c r="BG11" s="6">
        <v>677553</v>
      </c>
      <c r="BH11" s="6">
        <v>1404514</v>
      </c>
      <c r="BI11" s="6">
        <v>745340</v>
      </c>
      <c r="BJ11" s="6">
        <v>580806</v>
      </c>
      <c r="BK11" s="10" t="str">
        <f t="shared" si="12"/>
        <v/>
      </c>
      <c r="BL11" s="10" t="str">
        <f t="shared" si="13"/>
        <v/>
      </c>
      <c r="BM11" s="10" t="str">
        <f t="shared" si="14"/>
        <v/>
      </c>
      <c r="BN11" s="10" t="str">
        <f t="shared" si="15"/>
        <v/>
      </c>
      <c r="BO11" s="2" t="str">
        <f t="shared" si="22"/>
        <v>NA</v>
      </c>
      <c r="BP11" s="10">
        <v>0</v>
      </c>
      <c r="BQ11" s="10">
        <v>0</v>
      </c>
      <c r="BR11" s="10">
        <v>0</v>
      </c>
      <c r="BS11" s="10">
        <v>0</v>
      </c>
      <c r="BT11" s="11">
        <v>0</v>
      </c>
    </row>
    <row r="12" spans="1:72">
      <c r="A12">
        <f>COUNTIFS($J$7:J12,J12,$N$7:N12,N12,$E$7:E12,E12)</f>
        <v>3</v>
      </c>
      <c r="B12" s="16" t="str">
        <f t="shared" si="16"/>
        <v>Medium</v>
      </c>
      <c r="C12" s="16" t="str">
        <f t="shared" si="17"/>
        <v>3MediumNoRetail</v>
      </c>
      <c r="D12" s="1">
        <v>10010</v>
      </c>
      <c r="E12" s="1" t="s">
        <v>10</v>
      </c>
      <c r="F12" s="1" t="s">
        <v>11</v>
      </c>
      <c r="G12" s="1" t="s">
        <v>18</v>
      </c>
      <c r="H12" s="1">
        <v>200</v>
      </c>
      <c r="I12" s="1" t="s">
        <v>13</v>
      </c>
      <c r="J12" s="1" t="s">
        <v>27</v>
      </c>
      <c r="K12" s="1">
        <v>2</v>
      </c>
      <c r="L12" s="1"/>
      <c r="M12" s="2">
        <v>0</v>
      </c>
      <c r="N12" s="27" t="str">
        <f t="shared" si="18"/>
        <v>Medium</v>
      </c>
      <c r="O12" s="1">
        <v>0</v>
      </c>
      <c r="P12" s="6">
        <v>0</v>
      </c>
      <c r="Q12" s="6">
        <v>0</v>
      </c>
      <c r="R12" s="6">
        <v>0</v>
      </c>
      <c r="S12" s="6">
        <v>0</v>
      </c>
      <c r="T12" s="6">
        <v>169.75</v>
      </c>
      <c r="U12" s="6">
        <v>188.39999999999998</v>
      </c>
      <c r="V12" s="6">
        <v>197</v>
      </c>
      <c r="W12" s="6">
        <v>196.25</v>
      </c>
      <c r="X12" s="10" t="str">
        <f t="shared" si="0"/>
        <v/>
      </c>
      <c r="Y12" s="10" t="str">
        <f t="shared" si="1"/>
        <v/>
      </c>
      <c r="Z12" s="10" t="str">
        <f t="shared" si="2"/>
        <v/>
      </c>
      <c r="AA12" s="10" t="str">
        <f t="shared" si="3"/>
        <v/>
      </c>
      <c r="AB12" s="2" t="str">
        <f t="shared" si="19"/>
        <v>NA</v>
      </c>
      <c r="AC12" s="6">
        <v>0</v>
      </c>
      <c r="AD12" s="6">
        <v>0</v>
      </c>
      <c r="AE12" s="6">
        <v>0</v>
      </c>
      <c r="AF12" s="6">
        <v>0</v>
      </c>
      <c r="AG12" s="6">
        <v>142.75</v>
      </c>
      <c r="AH12" s="6">
        <v>153.19999999999999</v>
      </c>
      <c r="AI12" s="6">
        <v>171</v>
      </c>
      <c r="AJ12" s="6">
        <v>178.75</v>
      </c>
      <c r="AK12" s="10" t="str">
        <f t="shared" si="4"/>
        <v/>
      </c>
      <c r="AL12" s="10" t="str">
        <f t="shared" si="5"/>
        <v/>
      </c>
      <c r="AM12" s="10" t="str">
        <f t="shared" si="6"/>
        <v/>
      </c>
      <c r="AN12" s="10" t="str">
        <f t="shared" si="7"/>
        <v/>
      </c>
      <c r="AO12" s="2" t="str">
        <f t="shared" si="20"/>
        <v>NA</v>
      </c>
      <c r="AP12" s="2">
        <v>0</v>
      </c>
      <c r="AQ12" s="2">
        <v>0</v>
      </c>
      <c r="AR12" s="2">
        <v>0</v>
      </c>
      <c r="AS12" s="2">
        <v>0</v>
      </c>
      <c r="AT12" s="2">
        <v>0.83374999999999988</v>
      </c>
      <c r="AU12" s="2">
        <v>0.82833333333333348</v>
      </c>
      <c r="AV12" s="2">
        <v>0.8570833333333332</v>
      </c>
      <c r="AW12" s="2">
        <v>0.86333333333333329</v>
      </c>
      <c r="AX12" s="10" t="str">
        <f t="shared" si="8"/>
        <v/>
      </c>
      <c r="AY12" s="10" t="str">
        <f t="shared" si="9"/>
        <v/>
      </c>
      <c r="AZ12" s="10" t="str">
        <f t="shared" si="10"/>
        <v/>
      </c>
      <c r="BA12" s="10" t="str">
        <f t="shared" si="11"/>
        <v/>
      </c>
      <c r="BB12" s="2" t="str">
        <f t="shared" si="21"/>
        <v>NA</v>
      </c>
      <c r="BC12" s="6">
        <v>0</v>
      </c>
      <c r="BD12" s="6">
        <v>0</v>
      </c>
      <c r="BE12" s="6">
        <v>0</v>
      </c>
      <c r="BF12" s="6">
        <v>0</v>
      </c>
      <c r="BG12" s="6">
        <v>98603</v>
      </c>
      <c r="BH12" s="6">
        <v>124978</v>
      </c>
      <c r="BI12" s="6">
        <v>128937</v>
      </c>
      <c r="BJ12" s="6">
        <v>151322</v>
      </c>
      <c r="BK12" s="10" t="str">
        <f t="shared" si="12"/>
        <v/>
      </c>
      <c r="BL12" s="10" t="str">
        <f t="shared" si="13"/>
        <v/>
      </c>
      <c r="BM12" s="10" t="str">
        <f t="shared" si="14"/>
        <v/>
      </c>
      <c r="BN12" s="10" t="str">
        <f t="shared" si="15"/>
        <v/>
      </c>
      <c r="BO12" s="2" t="str">
        <f t="shared" si="22"/>
        <v>NA</v>
      </c>
      <c r="BP12" s="10">
        <v>0</v>
      </c>
      <c r="BQ12" s="10">
        <v>0</v>
      </c>
      <c r="BR12" s="10">
        <v>0</v>
      </c>
      <c r="BS12" s="10">
        <v>0</v>
      </c>
      <c r="BT12" s="11">
        <v>0</v>
      </c>
    </row>
    <row r="13" spans="1:72">
      <c r="A13">
        <f>COUNTIFS($J$7:J13,J13,$N$7:N13,N13,$E$7:E13,E13)</f>
        <v>1</v>
      </c>
      <c r="B13" s="16" t="str">
        <f t="shared" si="16"/>
        <v>Critical</v>
      </c>
      <c r="C13" s="16" t="str">
        <f t="shared" si="17"/>
        <v>1CriticalNoRetail</v>
      </c>
      <c r="D13" s="1">
        <v>10011</v>
      </c>
      <c r="E13" s="1" t="s">
        <v>10</v>
      </c>
      <c r="F13" s="1" t="s">
        <v>11</v>
      </c>
      <c r="G13" s="1" t="s">
        <v>19</v>
      </c>
      <c r="H13" s="1">
        <v>231</v>
      </c>
      <c r="I13" s="1" t="s">
        <v>13</v>
      </c>
      <c r="J13" s="1" t="s">
        <v>27</v>
      </c>
      <c r="K13" s="45">
        <v>1</v>
      </c>
      <c r="L13" s="1">
        <v>1</v>
      </c>
      <c r="M13" s="2">
        <v>-4.178690143223987E-2</v>
      </c>
      <c r="N13" s="27" t="str">
        <f t="shared" si="18"/>
        <v>Critical</v>
      </c>
      <c r="O13" s="1">
        <v>1</v>
      </c>
      <c r="P13" s="6">
        <v>129.5925485452448</v>
      </c>
      <c r="Q13" s="6">
        <v>181.5788747370886</v>
      </c>
      <c r="R13" s="6">
        <v>134.0736683673091</v>
      </c>
      <c r="S13" s="6">
        <v>119.50951691118659</v>
      </c>
      <c r="T13" s="6">
        <v>409.75</v>
      </c>
      <c r="U13" s="6">
        <v>497</v>
      </c>
      <c r="V13" s="6">
        <v>348.25</v>
      </c>
      <c r="W13" s="6">
        <v>296.75</v>
      </c>
      <c r="X13" s="10">
        <f t="shared" si="0"/>
        <v>-2.1618330266646737</v>
      </c>
      <c r="Y13" s="10">
        <f t="shared" si="1"/>
        <v>-1.7371025441126644</v>
      </c>
      <c r="Z13" s="10">
        <f t="shared" si="2"/>
        <v>-1.5974526112460206</v>
      </c>
      <c r="AA13" s="10">
        <f t="shared" si="3"/>
        <v>-1.4830658483920534</v>
      </c>
      <c r="AB13" s="2">
        <f t="shared" si="19"/>
        <v>-1.744863507603853</v>
      </c>
      <c r="AC13" s="6">
        <v>126.44098631069784</v>
      </c>
      <c r="AD13" s="6">
        <v>220.64073558417451</v>
      </c>
      <c r="AE13" s="6">
        <v>125.04380151438974</v>
      </c>
      <c r="AF13" s="6">
        <v>85.615945218341736</v>
      </c>
      <c r="AG13" s="6">
        <v>130.75</v>
      </c>
      <c r="AH13" s="6">
        <v>196.2</v>
      </c>
      <c r="AI13" s="6">
        <v>150.5</v>
      </c>
      <c r="AJ13" s="6">
        <v>129.75</v>
      </c>
      <c r="AK13" s="10">
        <f t="shared" si="4"/>
        <v>-3.4079247679338828E-2</v>
      </c>
      <c r="AL13" s="10">
        <f t="shared" si="5"/>
        <v>0.1107716375195385</v>
      </c>
      <c r="AM13" s="10">
        <f t="shared" si="6"/>
        <v>-0.20357825159914719</v>
      </c>
      <c r="AN13" s="10">
        <f t="shared" si="7"/>
        <v>-0.51548872898740483</v>
      </c>
      <c r="AO13" s="2">
        <f t="shared" si="20"/>
        <v>-0.16059364768658807</v>
      </c>
      <c r="AP13" s="2">
        <v>0</v>
      </c>
      <c r="AQ13" s="2">
        <v>0</v>
      </c>
      <c r="AR13" s="2">
        <v>0</v>
      </c>
      <c r="AS13" s="2">
        <v>0</v>
      </c>
      <c r="AT13" s="2">
        <v>0.38250000000000001</v>
      </c>
      <c r="AU13" s="2">
        <v>0.41899999999999998</v>
      </c>
      <c r="AV13" s="2">
        <v>0.39124999999999999</v>
      </c>
      <c r="AW13" s="2">
        <v>0.38500000000000001</v>
      </c>
      <c r="AX13" s="10" t="str">
        <f t="shared" si="8"/>
        <v/>
      </c>
      <c r="AY13" s="10" t="str">
        <f t="shared" si="9"/>
        <v/>
      </c>
      <c r="AZ13" s="10" t="str">
        <f t="shared" si="10"/>
        <v/>
      </c>
      <c r="BA13" s="10" t="str">
        <f t="shared" si="11"/>
        <v/>
      </c>
      <c r="BB13" s="2" t="str">
        <f t="shared" si="21"/>
        <v>NA</v>
      </c>
      <c r="BC13" s="6">
        <v>132117</v>
      </c>
      <c r="BD13" s="6">
        <v>277011</v>
      </c>
      <c r="BE13" s="6">
        <v>164150</v>
      </c>
      <c r="BF13" s="6">
        <v>127906</v>
      </c>
      <c r="BG13" s="6">
        <v>327526</v>
      </c>
      <c r="BH13" s="6">
        <v>717893</v>
      </c>
      <c r="BI13" s="6">
        <v>369511</v>
      </c>
      <c r="BJ13" s="6">
        <v>314819</v>
      </c>
      <c r="BK13" s="10">
        <f t="shared" si="12"/>
        <v>-1.4790602269200783</v>
      </c>
      <c r="BL13" s="10">
        <f t="shared" si="13"/>
        <v>-1.5915685658692253</v>
      </c>
      <c r="BM13" s="10">
        <f t="shared" si="14"/>
        <v>-1.2510569600974719</v>
      </c>
      <c r="BN13" s="10">
        <f t="shared" si="15"/>
        <v>-1.461330977436555</v>
      </c>
      <c r="BO13" s="2">
        <f t="shared" si="22"/>
        <v>-1.4457541825808327</v>
      </c>
      <c r="BP13" s="10">
        <v>-0.25298431632437773</v>
      </c>
      <c r="BQ13" s="10">
        <v>-2.433351208965262E-2</v>
      </c>
      <c r="BR13" s="10">
        <v>-3.0846749443683985E-2</v>
      </c>
      <c r="BS13" s="10">
        <v>-3.7062461932263535E-2</v>
      </c>
      <c r="BT13" s="11" t="s">
        <v>458</v>
      </c>
    </row>
    <row r="14" spans="1:72">
      <c r="A14">
        <f>COUNTIFS($J$7:J14,J14,$N$7:N14,N14,$E$7:E14,E14)</f>
        <v>1</v>
      </c>
      <c r="B14" s="16" t="str">
        <f t="shared" si="16"/>
        <v>Critical</v>
      </c>
      <c r="C14" s="16" t="str">
        <f t="shared" si="17"/>
        <v>1CriticalYesBFIMG</v>
      </c>
      <c r="D14" s="1">
        <v>10026</v>
      </c>
      <c r="E14" s="1" t="s">
        <v>20</v>
      </c>
      <c r="F14" s="1" t="s">
        <v>21</v>
      </c>
      <c r="G14" s="1" t="s">
        <v>21</v>
      </c>
      <c r="H14" s="1">
        <v>103</v>
      </c>
      <c r="I14" s="1" t="s">
        <v>22</v>
      </c>
      <c r="J14" s="1" t="s">
        <v>9</v>
      </c>
      <c r="K14" s="1">
        <v>1</v>
      </c>
      <c r="L14" s="1">
        <v>1</v>
      </c>
      <c r="M14" s="2">
        <v>-5.007859400990846E-2</v>
      </c>
      <c r="N14" s="27" t="str">
        <f t="shared" si="18"/>
        <v>Critical</v>
      </c>
      <c r="O14" s="1">
        <v>1</v>
      </c>
      <c r="P14" s="6">
        <v>81.516744508611964</v>
      </c>
      <c r="Q14" s="6">
        <v>78.992862059888509</v>
      </c>
      <c r="R14" s="6">
        <v>84.577172354597209</v>
      </c>
      <c r="S14" s="6">
        <v>99.897745283984747</v>
      </c>
      <c r="T14" s="6">
        <v>99.25</v>
      </c>
      <c r="U14" s="6">
        <v>105.39999999999999</v>
      </c>
      <c r="V14" s="6">
        <v>103.75</v>
      </c>
      <c r="W14" s="6">
        <v>100</v>
      </c>
      <c r="X14" s="10">
        <f t="shared" si="0"/>
        <v>-0.21754126220674302</v>
      </c>
      <c r="Y14" s="10">
        <f t="shared" si="1"/>
        <v>-0.33429777389368281</v>
      </c>
      <c r="Z14" s="10">
        <f t="shared" si="2"/>
        <v>-0.22669033631225019</v>
      </c>
      <c r="AA14" s="10">
        <f t="shared" si="3"/>
        <v>-1.0235938331197333E-3</v>
      </c>
      <c r="AB14" s="2">
        <f t="shared" si="19"/>
        <v>-0.19488824156144896</v>
      </c>
      <c r="AC14" s="6">
        <v>90.922992263496411</v>
      </c>
      <c r="AD14" s="6">
        <v>83.242232454249617</v>
      </c>
      <c r="AE14" s="6">
        <v>83.741260673118376</v>
      </c>
      <c r="AF14" s="6">
        <v>86.536000950119444</v>
      </c>
      <c r="AG14" s="6">
        <v>88.5</v>
      </c>
      <c r="AH14" s="6">
        <v>87.2</v>
      </c>
      <c r="AI14" s="6">
        <v>81.25</v>
      </c>
      <c r="AJ14" s="6">
        <v>74</v>
      </c>
      <c r="AK14" s="10">
        <f t="shared" si="4"/>
        <v>2.6648839893814068E-2</v>
      </c>
      <c r="AL14" s="10">
        <f t="shared" si="5"/>
        <v>-4.7545187449478804E-2</v>
      </c>
      <c r="AM14" s="10">
        <f t="shared" si="6"/>
        <v>2.9749500462417693E-2</v>
      </c>
      <c r="AN14" s="10">
        <f t="shared" si="7"/>
        <v>0.14486457442545062</v>
      </c>
      <c r="AO14" s="2">
        <f t="shared" si="20"/>
        <v>3.8429431833050892E-2</v>
      </c>
      <c r="AP14" s="2">
        <v>0.56999999999999995</v>
      </c>
      <c r="AQ14" s="2">
        <v>0.56999999999999995</v>
      </c>
      <c r="AR14" s="2">
        <v>0.57127968838319354</v>
      </c>
      <c r="AS14" s="2">
        <v>0.57397338528767328</v>
      </c>
      <c r="AT14" s="2">
        <v>0.56999999999999995</v>
      </c>
      <c r="AU14" s="2">
        <v>0.56999999999999995</v>
      </c>
      <c r="AV14" s="2">
        <v>0.56999999999999995</v>
      </c>
      <c r="AW14" s="2">
        <v>0.56999999999999995</v>
      </c>
      <c r="AX14" s="10">
        <f t="shared" si="8"/>
        <v>0</v>
      </c>
      <c r="AY14" s="10">
        <f t="shared" si="9"/>
        <v>0</v>
      </c>
      <c r="AZ14" s="10">
        <f t="shared" si="10"/>
        <v>2.2400383021060968E-3</v>
      </c>
      <c r="BA14" s="10">
        <f t="shared" si="11"/>
        <v>6.9225950009544086E-3</v>
      </c>
      <c r="BB14" s="2">
        <f t="shared" si="21"/>
        <v>2.2906583257651263E-3</v>
      </c>
      <c r="BC14" s="6">
        <v>54994.500000000007</v>
      </c>
      <c r="BD14" s="6">
        <v>50379.000000000015</v>
      </c>
      <c r="BE14" s="6">
        <v>49600.999999999993</v>
      </c>
      <c r="BF14" s="6">
        <v>50696.000000000015</v>
      </c>
      <c r="BG14" s="6">
        <v>50377</v>
      </c>
      <c r="BH14" s="6">
        <v>61055</v>
      </c>
      <c r="BI14" s="6">
        <v>45882</v>
      </c>
      <c r="BJ14" s="6">
        <v>41726</v>
      </c>
      <c r="BK14" s="10">
        <f t="shared" si="12"/>
        <v>8.3962941748720446E-2</v>
      </c>
      <c r="BL14" s="10">
        <f t="shared" si="13"/>
        <v>-0.21191369419797898</v>
      </c>
      <c r="BM14" s="10">
        <f t="shared" si="14"/>
        <v>7.4978327049857726E-2</v>
      </c>
      <c r="BN14" s="10">
        <f t="shared" si="15"/>
        <v>0.17693703645258033</v>
      </c>
      <c r="BO14" s="2">
        <f t="shared" si="22"/>
        <v>3.0991152763294883E-2</v>
      </c>
      <c r="BP14" s="10">
        <v>6.3444490846293666E-2</v>
      </c>
      <c r="BQ14" s="10">
        <v>4.5619061949843442E-2</v>
      </c>
      <c r="BR14" s="10">
        <v>5.1418830589645914E-2</v>
      </c>
      <c r="BS14" s="10">
        <v>-0.11950847752694399</v>
      </c>
      <c r="BT14" s="11" t="s">
        <v>459</v>
      </c>
    </row>
    <row r="15" spans="1:72">
      <c r="A15">
        <f>COUNTIFS($J$7:J15,J15,$N$7:N15,N15,$E$7:E15,E15)</f>
        <v>1</v>
      </c>
      <c r="B15" s="16" t="str">
        <f t="shared" si="16"/>
        <v>Low</v>
      </c>
      <c r="C15" s="16" t="str">
        <f t="shared" si="17"/>
        <v>1LowNoTechnology</v>
      </c>
      <c r="D15" s="1">
        <v>10065</v>
      </c>
      <c r="E15" s="1" t="s">
        <v>23</v>
      </c>
      <c r="F15" s="1" t="s">
        <v>24</v>
      </c>
      <c r="G15" s="1" t="s">
        <v>25</v>
      </c>
      <c r="H15" s="1">
        <v>171</v>
      </c>
      <c r="I15" s="1" t="s">
        <v>26</v>
      </c>
      <c r="J15" s="1" t="s">
        <v>27</v>
      </c>
      <c r="K15" s="1">
        <v>2</v>
      </c>
      <c r="L15" s="1">
        <v>2</v>
      </c>
      <c r="M15" s="2">
        <v>0.72894666466775981</v>
      </c>
      <c r="N15" s="27" t="str">
        <f t="shared" si="18"/>
        <v>Low</v>
      </c>
      <c r="O15" s="1">
        <v>2</v>
      </c>
      <c r="P15" s="6">
        <v>123.7171462193464</v>
      </c>
      <c r="Q15" s="6">
        <v>118.3890181693553</v>
      </c>
      <c r="R15" s="6">
        <v>105.13840400910854</v>
      </c>
      <c r="S15" s="6">
        <v>99.14583996368286</v>
      </c>
      <c r="T15" s="6">
        <v>117.75</v>
      </c>
      <c r="U15" s="6">
        <v>115.6</v>
      </c>
      <c r="V15" s="6">
        <v>108.5</v>
      </c>
      <c r="W15" s="6">
        <v>103.75</v>
      </c>
      <c r="X15" s="10">
        <f t="shared" si="0"/>
        <v>4.8232168310501207E-2</v>
      </c>
      <c r="Y15" s="10">
        <f t="shared" si="1"/>
        <v>2.3558081758610547E-2</v>
      </c>
      <c r="Z15" s="10">
        <f t="shared" si="2"/>
        <v>-3.1973055160702563E-2</v>
      </c>
      <c r="AA15" s="10">
        <f t="shared" si="3"/>
        <v>-4.6438257399439499E-2</v>
      </c>
      <c r="AB15" s="2">
        <f t="shared" si="19"/>
        <v>-1.6552656227575759E-3</v>
      </c>
      <c r="AC15" s="6">
        <v>115.19491792929293</v>
      </c>
      <c r="AD15" s="6">
        <v>137.33847966269838</v>
      </c>
      <c r="AE15" s="6">
        <v>123.02014283459597</v>
      </c>
      <c r="AF15" s="6">
        <v>127.12496054292927</v>
      </c>
      <c r="AG15" s="6">
        <v>116.25</v>
      </c>
      <c r="AH15" s="6">
        <v>113.8</v>
      </c>
      <c r="AI15" s="6">
        <v>106.75</v>
      </c>
      <c r="AJ15" s="6">
        <v>100.75</v>
      </c>
      <c r="AK15" s="10">
        <f t="shared" si="4"/>
        <v>-9.1591025860592746E-3</v>
      </c>
      <c r="AL15" s="10">
        <f t="shared" si="5"/>
        <v>0.17139027401867704</v>
      </c>
      <c r="AM15" s="10">
        <f t="shared" si="6"/>
        <v>0.13225592540948058</v>
      </c>
      <c r="AN15" s="10">
        <f t="shared" si="7"/>
        <v>0.20747271370064749</v>
      </c>
      <c r="AO15" s="2">
        <f t="shared" si="20"/>
        <v>0.12548995263568646</v>
      </c>
      <c r="AP15" s="2">
        <v>0</v>
      </c>
      <c r="AQ15" s="2">
        <v>0</v>
      </c>
      <c r="AR15" s="2">
        <v>0</v>
      </c>
      <c r="AS15" s="2">
        <v>0</v>
      </c>
      <c r="AT15" s="2">
        <v>0.65749999999999997</v>
      </c>
      <c r="AU15" s="2">
        <v>0.65</v>
      </c>
      <c r="AV15" s="2">
        <v>0.65</v>
      </c>
      <c r="AW15" s="2">
        <v>0.65</v>
      </c>
      <c r="AX15" s="10" t="str">
        <f t="shared" si="8"/>
        <v/>
      </c>
      <c r="AY15" s="10" t="str">
        <f t="shared" si="9"/>
        <v/>
      </c>
      <c r="AZ15" s="10" t="str">
        <f t="shared" si="10"/>
        <v/>
      </c>
      <c r="BA15" s="10" t="str">
        <f t="shared" si="11"/>
        <v/>
      </c>
      <c r="BB15" s="2" t="str">
        <f t="shared" si="21"/>
        <v>NA</v>
      </c>
      <c r="BC15" s="6">
        <v>23356</v>
      </c>
      <c r="BD15" s="6">
        <v>27402</v>
      </c>
      <c r="BE15" s="6">
        <v>25714</v>
      </c>
      <c r="BF15" s="6">
        <v>26572</v>
      </c>
      <c r="BG15" s="6">
        <v>20800</v>
      </c>
      <c r="BH15" s="6">
        <v>24100</v>
      </c>
      <c r="BI15" s="6">
        <v>18100</v>
      </c>
      <c r="BJ15" s="6">
        <v>17200</v>
      </c>
      <c r="BK15" s="10">
        <f t="shared" si="12"/>
        <v>0.10943654735399898</v>
      </c>
      <c r="BL15" s="10">
        <f t="shared" si="13"/>
        <v>0.12050215312750893</v>
      </c>
      <c r="BM15" s="10">
        <f t="shared" si="14"/>
        <v>0.29610329003655594</v>
      </c>
      <c r="BN15" s="10">
        <f t="shared" si="15"/>
        <v>0.35270209242811984</v>
      </c>
      <c r="BO15" s="2">
        <f t="shared" si="22"/>
        <v>0.21968602073654592</v>
      </c>
      <c r="BP15" s="10">
        <v>-0.13253019353901418</v>
      </c>
      <c r="BQ15" s="10">
        <v>-1.5652366440617183E-3</v>
      </c>
      <c r="BR15" s="10">
        <v>-1.667908376223326E-3</v>
      </c>
      <c r="BS15" s="10">
        <v>-1.6139294046898511E-3</v>
      </c>
      <c r="BT15" s="11" t="s">
        <v>459</v>
      </c>
    </row>
    <row r="16" spans="1:72">
      <c r="A16">
        <f>COUNTIFS($J$7:J16,J16,$N$7:N16,N16,$E$7:E16,E16)</f>
        <v>2</v>
      </c>
      <c r="B16" s="16" t="str">
        <f t="shared" si="16"/>
        <v>Low</v>
      </c>
      <c r="C16" s="16" t="str">
        <f t="shared" si="17"/>
        <v>2LowNoTechnology</v>
      </c>
      <c r="D16" s="1">
        <v>10066</v>
      </c>
      <c r="E16" s="1" t="s">
        <v>23</v>
      </c>
      <c r="F16" s="1" t="s">
        <v>24</v>
      </c>
      <c r="G16" s="1" t="s">
        <v>28</v>
      </c>
      <c r="H16" s="1">
        <v>205</v>
      </c>
      <c r="I16" s="1" t="s">
        <v>26</v>
      </c>
      <c r="J16" s="1" t="s">
        <v>27</v>
      </c>
      <c r="K16" s="1">
        <v>1</v>
      </c>
      <c r="L16" s="1">
        <v>1</v>
      </c>
      <c r="M16" s="2">
        <v>0.25335603704662402</v>
      </c>
      <c r="N16" s="27" t="str">
        <f t="shared" si="18"/>
        <v>Low</v>
      </c>
      <c r="O16" s="1">
        <v>1</v>
      </c>
      <c r="P16" s="6">
        <v>158.9518559591277</v>
      </c>
      <c r="Q16" s="6">
        <v>143.59821270775251</v>
      </c>
      <c r="R16" s="6">
        <v>137.14100580542461</v>
      </c>
      <c r="S16" s="6">
        <v>122.4547669594434</v>
      </c>
      <c r="T16" s="6">
        <v>145.75</v>
      </c>
      <c r="U16" s="6">
        <v>144.6</v>
      </c>
      <c r="V16" s="6">
        <v>137</v>
      </c>
      <c r="W16" s="6">
        <v>127.75</v>
      </c>
      <c r="X16" s="10">
        <f t="shared" si="0"/>
        <v>8.3055689280673611E-2</v>
      </c>
      <c r="Y16" s="10">
        <f t="shared" si="1"/>
        <v>-6.9763214552419081E-3</v>
      </c>
      <c r="Z16" s="10">
        <f t="shared" si="2"/>
        <v>1.0281812109841962E-3</v>
      </c>
      <c r="AA16" s="10">
        <f t="shared" si="3"/>
        <v>-4.3242359379201289E-2</v>
      </c>
      <c r="AB16" s="2">
        <f t="shared" si="19"/>
        <v>8.4662974143036515E-3</v>
      </c>
      <c r="AC16" s="6">
        <v>137.71750710227272</v>
      </c>
      <c r="AD16" s="6">
        <v>130.26956225198413</v>
      </c>
      <c r="AE16" s="6">
        <v>123.9734256628788</v>
      </c>
      <c r="AF16" s="6">
        <v>111.396484375</v>
      </c>
      <c r="AG16" s="6">
        <v>139.75</v>
      </c>
      <c r="AH16" s="6">
        <v>132.6</v>
      </c>
      <c r="AI16" s="6">
        <v>120.5</v>
      </c>
      <c r="AJ16" s="6">
        <v>115</v>
      </c>
      <c r="AK16" s="10">
        <f t="shared" si="4"/>
        <v>-1.475842062852544E-2</v>
      </c>
      <c r="AL16" s="10">
        <f t="shared" si="5"/>
        <v>-1.7889349651056902E-2</v>
      </c>
      <c r="AM16" s="10">
        <f t="shared" si="6"/>
        <v>2.8017501688822329E-2</v>
      </c>
      <c r="AN16" s="10">
        <f t="shared" si="7"/>
        <v>-3.2348557903041988E-2</v>
      </c>
      <c r="AO16" s="2">
        <f t="shared" si="20"/>
        <v>-9.2447066234505014E-3</v>
      </c>
      <c r="AP16" s="2">
        <v>0</v>
      </c>
      <c r="AQ16" s="2">
        <v>0</v>
      </c>
      <c r="AR16" s="2">
        <v>0</v>
      </c>
      <c r="AS16" s="2">
        <v>0</v>
      </c>
      <c r="AT16" s="2">
        <v>0.69</v>
      </c>
      <c r="AU16" s="2">
        <v>0.68200000000000005</v>
      </c>
      <c r="AV16" s="2">
        <v>0.66</v>
      </c>
      <c r="AW16" s="2">
        <v>0.66</v>
      </c>
      <c r="AX16" s="10" t="str">
        <f t="shared" si="8"/>
        <v/>
      </c>
      <c r="AY16" s="10" t="str">
        <f t="shared" si="9"/>
        <v/>
      </c>
      <c r="AZ16" s="10" t="str">
        <f t="shared" si="10"/>
        <v/>
      </c>
      <c r="BA16" s="10" t="str">
        <f t="shared" si="11"/>
        <v/>
      </c>
      <c r="BB16" s="2" t="str">
        <f t="shared" si="21"/>
        <v>NA</v>
      </c>
      <c r="BC16" s="6">
        <v>54750</v>
      </c>
      <c r="BD16" s="6">
        <v>49435</v>
      </c>
      <c r="BE16" s="6">
        <v>49286</v>
      </c>
      <c r="BF16" s="6">
        <v>44286</v>
      </c>
      <c r="BG16" s="6">
        <v>57074</v>
      </c>
      <c r="BH16" s="6">
        <v>60903</v>
      </c>
      <c r="BI16" s="6">
        <v>43015</v>
      </c>
      <c r="BJ16" s="6">
        <v>40970</v>
      </c>
      <c r="BK16" s="10">
        <f t="shared" si="12"/>
        <v>-4.2447488584474884E-2</v>
      </c>
      <c r="BL16" s="10">
        <f t="shared" si="13"/>
        <v>-0.23198138970365126</v>
      </c>
      <c r="BM16" s="10">
        <f t="shared" si="14"/>
        <v>0.1272369435539504</v>
      </c>
      <c r="BN16" s="10">
        <f t="shared" si="15"/>
        <v>7.4876936277830472E-2</v>
      </c>
      <c r="BO16" s="2">
        <f t="shared" si="22"/>
        <v>-1.8078749614086311E-2</v>
      </c>
      <c r="BP16" s="10">
        <v>9.329470844647636E-3</v>
      </c>
      <c r="BQ16" s="10">
        <v>-1.5488031323925844E-2</v>
      </c>
      <c r="BR16" s="10">
        <v>-1.3471232491603369E-2</v>
      </c>
      <c r="BS16" s="10">
        <v>-3.8876688849809327E-4</v>
      </c>
      <c r="BT16" s="11" t="s">
        <v>459</v>
      </c>
    </row>
    <row r="17" spans="1:72">
      <c r="A17">
        <f>COUNTIFS($J$7:J17,J17,$N$7:N17,N17,$E$7:E17,E17)</f>
        <v>3</v>
      </c>
      <c r="B17" s="16" t="str">
        <f t="shared" si="16"/>
        <v>Low</v>
      </c>
      <c r="C17" s="16" t="str">
        <f t="shared" si="17"/>
        <v>3LowNoTechnology</v>
      </c>
      <c r="D17" s="1">
        <v>10069</v>
      </c>
      <c r="E17" s="1" t="s">
        <v>23</v>
      </c>
      <c r="F17" s="1" t="s">
        <v>24</v>
      </c>
      <c r="G17" s="1" t="s">
        <v>29</v>
      </c>
      <c r="H17" s="1">
        <v>164</v>
      </c>
      <c r="I17" s="1" t="s">
        <v>26</v>
      </c>
      <c r="J17" s="1" t="s">
        <v>27</v>
      </c>
      <c r="K17" s="1">
        <v>2</v>
      </c>
      <c r="L17" s="1">
        <v>2</v>
      </c>
      <c r="M17" s="2">
        <v>0.54809328770405807</v>
      </c>
      <c r="N17" s="27" t="str">
        <f t="shared" si="18"/>
        <v>Low</v>
      </c>
      <c r="O17" s="1">
        <v>2</v>
      </c>
      <c r="P17" s="6">
        <v>119.42505576675768</v>
      </c>
      <c r="Q17" s="6">
        <v>127.24456782460288</v>
      </c>
      <c r="R17" s="6">
        <v>102.29829542418639</v>
      </c>
      <c r="S17" s="6">
        <v>92.116812786854922</v>
      </c>
      <c r="T17" s="6">
        <v>125.75</v>
      </c>
      <c r="U17" s="6">
        <v>116.4</v>
      </c>
      <c r="V17" s="6">
        <v>111.5</v>
      </c>
      <c r="W17" s="6">
        <v>106.5</v>
      </c>
      <c r="X17" s="10">
        <f t="shared" si="0"/>
        <v>-5.2961618419464764E-2</v>
      </c>
      <c r="Y17" s="10">
        <f t="shared" si="1"/>
        <v>8.5226175152335784E-2</v>
      </c>
      <c r="Z17" s="10">
        <f t="shared" si="2"/>
        <v>-8.9949735111989448E-2</v>
      </c>
      <c r="AA17" s="10">
        <f t="shared" si="3"/>
        <v>-0.15614073889449159</v>
      </c>
      <c r="AB17" s="2">
        <f t="shared" si="19"/>
        <v>-5.3456479318402507E-2</v>
      </c>
      <c r="AC17" s="6">
        <v>105.80577639038609</v>
      </c>
      <c r="AD17" s="6">
        <v>88.443805288913993</v>
      </c>
      <c r="AE17" s="6">
        <v>77.561247978799869</v>
      </c>
      <c r="AF17" s="6">
        <v>93.436371496586418</v>
      </c>
      <c r="AG17" s="6">
        <v>118.75</v>
      </c>
      <c r="AH17" s="6">
        <v>101.4</v>
      </c>
      <c r="AI17" s="6">
        <v>97.5</v>
      </c>
      <c r="AJ17" s="6">
        <v>91.5</v>
      </c>
      <c r="AK17" s="10">
        <f t="shared" si="4"/>
        <v>-0.12233947948034787</v>
      </c>
      <c r="AL17" s="10">
        <f t="shared" si="5"/>
        <v>-0.14649069732767378</v>
      </c>
      <c r="AM17" s="10">
        <f t="shared" si="6"/>
        <v>-0.25707105727141044</v>
      </c>
      <c r="AN17" s="10">
        <f t="shared" si="7"/>
        <v>2.0723958620944099E-2</v>
      </c>
      <c r="AO17" s="2">
        <f t="shared" si="20"/>
        <v>-0.126294318864622</v>
      </c>
      <c r="AP17" s="2">
        <v>0</v>
      </c>
      <c r="AQ17" s="2">
        <v>0</v>
      </c>
      <c r="AR17" s="2">
        <v>0</v>
      </c>
      <c r="AS17" s="2">
        <v>0</v>
      </c>
      <c r="AT17" s="2">
        <v>0.58499999999999996</v>
      </c>
      <c r="AU17" s="2">
        <v>0.58399999999999996</v>
      </c>
      <c r="AV17" s="2">
        <v>0.57999999999999996</v>
      </c>
      <c r="AW17" s="2">
        <v>0.57999999999999996</v>
      </c>
      <c r="AX17" s="10" t="str">
        <f t="shared" si="8"/>
        <v/>
      </c>
      <c r="AY17" s="10" t="str">
        <f t="shared" si="9"/>
        <v/>
      </c>
      <c r="AZ17" s="10" t="str">
        <f t="shared" si="10"/>
        <v/>
      </c>
      <c r="BA17" s="10" t="str">
        <f t="shared" si="11"/>
        <v/>
      </c>
      <c r="BB17" s="2" t="str">
        <f t="shared" si="21"/>
        <v>NA</v>
      </c>
      <c r="BC17" s="6">
        <v>32657</v>
      </c>
      <c r="BD17" s="6">
        <v>28550</v>
      </c>
      <c r="BE17" s="6">
        <v>25913</v>
      </c>
      <c r="BF17" s="6">
        <v>31743</v>
      </c>
      <c r="BG17" s="6">
        <v>29878</v>
      </c>
      <c r="BH17" s="6">
        <v>31675</v>
      </c>
      <c r="BI17" s="6">
        <v>24551</v>
      </c>
      <c r="BJ17" s="6">
        <v>23076</v>
      </c>
      <c r="BK17" s="10">
        <f t="shared" si="12"/>
        <v>8.5096610221392047E-2</v>
      </c>
      <c r="BL17" s="10">
        <f t="shared" si="13"/>
        <v>-0.10945709281961472</v>
      </c>
      <c r="BM17" s="10">
        <f t="shared" si="14"/>
        <v>5.2560490873306831E-2</v>
      </c>
      <c r="BN17" s="10">
        <f t="shared" si="15"/>
        <v>0.27303657499291184</v>
      </c>
      <c r="BO17" s="2">
        <f t="shared" si="22"/>
        <v>7.5309145816999004E-2</v>
      </c>
      <c r="BP17" s="10">
        <v>-0.21662214596917817</v>
      </c>
      <c r="BQ17" s="10">
        <v>8.6702196807088794E-2</v>
      </c>
      <c r="BR17" s="10">
        <v>-7.6996459808204853E-2</v>
      </c>
      <c r="BS17" s="10">
        <v>-0.21618118914131079</v>
      </c>
      <c r="BT17" s="11" t="s">
        <v>459</v>
      </c>
    </row>
    <row r="18" spans="1:72">
      <c r="A18">
        <f>COUNTIFS($J$7:J18,J18,$N$7:N18,N18,$E$7:E18,E18)</f>
        <v>4</v>
      </c>
      <c r="B18" s="16" t="str">
        <f t="shared" si="16"/>
        <v>Low</v>
      </c>
      <c r="C18" s="16" t="str">
        <f t="shared" si="17"/>
        <v>4LowNoTechnology</v>
      </c>
      <c r="D18" s="1">
        <v>10070</v>
      </c>
      <c r="E18" s="1" t="s">
        <v>23</v>
      </c>
      <c r="F18" s="1" t="s">
        <v>24</v>
      </c>
      <c r="G18" s="1" t="s">
        <v>30</v>
      </c>
      <c r="H18" s="1">
        <v>404</v>
      </c>
      <c r="I18" s="1" t="s">
        <v>31</v>
      </c>
      <c r="J18" s="1" t="s">
        <v>27</v>
      </c>
      <c r="K18" s="1">
        <v>5</v>
      </c>
      <c r="L18" s="1">
        <v>3</v>
      </c>
      <c r="M18" s="2">
        <v>1.2830179578219061</v>
      </c>
      <c r="N18" s="27" t="str">
        <f t="shared" si="18"/>
        <v>Low</v>
      </c>
      <c r="O18" s="1">
        <v>3</v>
      </c>
      <c r="P18" s="6">
        <v>357.77168947070658</v>
      </c>
      <c r="Q18" s="6">
        <v>405.95986435319651</v>
      </c>
      <c r="R18" s="6">
        <v>405.59728110646745</v>
      </c>
      <c r="S18" s="6">
        <v>395.40887791031128</v>
      </c>
      <c r="T18" s="6">
        <v>400</v>
      </c>
      <c r="U18" s="6">
        <v>387.8</v>
      </c>
      <c r="V18" s="6">
        <v>354.5</v>
      </c>
      <c r="W18" s="6">
        <v>274</v>
      </c>
      <c r="X18" s="10">
        <f t="shared" si="0"/>
        <v>-0.11803144790960596</v>
      </c>
      <c r="Y18" s="10">
        <f t="shared" si="1"/>
        <v>4.4733152086672549E-2</v>
      </c>
      <c r="Z18" s="10">
        <f t="shared" si="2"/>
        <v>0.12598033440232714</v>
      </c>
      <c r="AA18" s="10">
        <f t="shared" si="3"/>
        <v>0.30704641370710417</v>
      </c>
      <c r="AB18" s="2">
        <f t="shared" si="19"/>
        <v>8.9932113071624478E-2</v>
      </c>
      <c r="AC18" s="6">
        <v>396</v>
      </c>
      <c r="AD18" s="6">
        <v>390</v>
      </c>
      <c r="AE18" s="6">
        <v>391.18</v>
      </c>
      <c r="AF18" s="6">
        <v>352.14</v>
      </c>
      <c r="AG18" s="6">
        <v>422</v>
      </c>
      <c r="AH18" s="6">
        <v>425.6</v>
      </c>
      <c r="AI18" s="6">
        <v>399.5</v>
      </c>
      <c r="AJ18" s="6">
        <v>264</v>
      </c>
      <c r="AK18" s="10">
        <f t="shared" si="4"/>
        <v>-6.5656565656565663E-2</v>
      </c>
      <c r="AL18" s="10">
        <f t="shared" si="5"/>
        <v>-9.1282051282051344E-2</v>
      </c>
      <c r="AM18" s="10">
        <f t="shared" si="6"/>
        <v>-2.1268981031750071E-2</v>
      </c>
      <c r="AN18" s="10">
        <f t="shared" si="7"/>
        <v>0.25029817686147554</v>
      </c>
      <c r="AO18" s="2">
        <f t="shared" si="20"/>
        <v>1.802264472277712E-2</v>
      </c>
      <c r="AP18" s="2">
        <v>0</v>
      </c>
      <c r="AQ18" s="2">
        <v>0</v>
      </c>
      <c r="AR18" s="2">
        <v>0</v>
      </c>
      <c r="AS18" s="2">
        <v>0</v>
      </c>
      <c r="AT18" s="2">
        <v>0.47638888888888886</v>
      </c>
      <c r="AU18" s="2">
        <v>0.47638888888888886</v>
      </c>
      <c r="AV18" s="2">
        <v>0.47638888888888886</v>
      </c>
      <c r="AW18" s="2">
        <v>0.47638888888888886</v>
      </c>
      <c r="AX18" s="10" t="str">
        <f t="shared" si="8"/>
        <v/>
      </c>
      <c r="AY18" s="10" t="str">
        <f t="shared" si="9"/>
        <v/>
      </c>
      <c r="AZ18" s="10" t="str">
        <f t="shared" si="10"/>
        <v/>
      </c>
      <c r="BA18" s="10" t="str">
        <f t="shared" si="11"/>
        <v/>
      </c>
      <c r="BB18" s="2" t="str">
        <f t="shared" si="21"/>
        <v>NA</v>
      </c>
      <c r="BC18" s="6">
        <v>230146.32251999999</v>
      </c>
      <c r="BD18" s="6">
        <v>243160.85385000001</v>
      </c>
      <c r="BE18" s="6">
        <v>222970.24492</v>
      </c>
      <c r="BF18" s="6">
        <v>220312.19212000002</v>
      </c>
      <c r="BG18" s="6">
        <v>232595</v>
      </c>
      <c r="BH18" s="6">
        <v>288664</v>
      </c>
      <c r="BI18" s="6">
        <v>229669</v>
      </c>
      <c r="BJ18" s="6">
        <v>172004</v>
      </c>
      <c r="BK18" s="10">
        <f t="shared" si="12"/>
        <v>-1.0639655038534104E-2</v>
      </c>
      <c r="BL18" s="10">
        <f t="shared" si="13"/>
        <v>-0.18713187352956806</v>
      </c>
      <c r="BM18" s="10">
        <f t="shared" si="14"/>
        <v>-3.0043269147430253E-2</v>
      </c>
      <c r="BN18" s="10">
        <f t="shared" si="15"/>
        <v>0.21927153306925218</v>
      </c>
      <c r="BO18" s="2">
        <f t="shared" si="22"/>
        <v>-2.1358161615700547E-3</v>
      </c>
      <c r="BP18" s="10">
        <v>0.34064618629483989</v>
      </c>
      <c r="BQ18" s="10">
        <v>0.11130698438638142</v>
      </c>
      <c r="BR18" s="10">
        <v>0.42989847098264666</v>
      </c>
      <c r="BS18" s="10">
        <v>0.30178613963859169</v>
      </c>
      <c r="BT18" s="11" t="s">
        <v>458</v>
      </c>
    </row>
    <row r="19" spans="1:72">
      <c r="A19">
        <f>COUNTIFS($J$7:J19,J19,$N$7:N19,N19,$E$7:E19,E19)</f>
        <v>5</v>
      </c>
      <c r="B19" s="16" t="str">
        <f t="shared" si="16"/>
        <v>Low</v>
      </c>
      <c r="C19" s="16" t="str">
        <f t="shared" si="17"/>
        <v>5LowNoTechnology</v>
      </c>
      <c r="D19" s="1">
        <v>10071</v>
      </c>
      <c r="E19" s="1" t="s">
        <v>23</v>
      </c>
      <c r="F19" s="1" t="s">
        <v>24</v>
      </c>
      <c r="G19" s="1" t="s">
        <v>32</v>
      </c>
      <c r="H19" s="1">
        <v>31</v>
      </c>
      <c r="I19" s="1" t="s">
        <v>26</v>
      </c>
      <c r="J19" s="1" t="s">
        <v>27</v>
      </c>
      <c r="K19" s="1">
        <v>1</v>
      </c>
      <c r="L19" s="1">
        <v>1</v>
      </c>
      <c r="M19" s="2">
        <v>0.3116746431118807</v>
      </c>
      <c r="N19" s="27" t="str">
        <f t="shared" si="18"/>
        <v>Low</v>
      </c>
      <c r="O19" s="1">
        <v>1</v>
      </c>
      <c r="P19" s="6">
        <v>27.841937329720629</v>
      </c>
      <c r="Q19" s="6">
        <v>35.912769414839069</v>
      </c>
      <c r="R19" s="6">
        <v>35.898909164360461</v>
      </c>
      <c r="S19" s="6">
        <v>34.372012049664683</v>
      </c>
      <c r="T19" s="6">
        <v>34.25</v>
      </c>
      <c r="U19" s="6">
        <v>31.2</v>
      </c>
      <c r="V19" s="6">
        <v>28.75</v>
      </c>
      <c r="W19" s="6">
        <v>28</v>
      </c>
      <c r="X19" s="10">
        <f t="shared" si="0"/>
        <v>-0.23015864860233382</v>
      </c>
      <c r="Y19" s="10">
        <f t="shared" si="1"/>
        <v>0.13122823696497671</v>
      </c>
      <c r="Z19" s="10">
        <f t="shared" si="2"/>
        <v>0.19914001095770673</v>
      </c>
      <c r="AA19" s="10">
        <f t="shared" si="3"/>
        <v>0.18538373722369406</v>
      </c>
      <c r="AB19" s="2">
        <f t="shared" si="19"/>
        <v>7.1398334136010919E-2</v>
      </c>
      <c r="AC19" s="6">
        <v>32.067053202479343</v>
      </c>
      <c r="AD19" s="6">
        <v>44.536173276128636</v>
      </c>
      <c r="AE19" s="6">
        <v>33.956855999114524</v>
      </c>
      <c r="AF19" s="6">
        <v>34.955566982733181</v>
      </c>
      <c r="AG19" s="6">
        <v>33</v>
      </c>
      <c r="AH19" s="6">
        <v>29.6</v>
      </c>
      <c r="AI19" s="6">
        <v>28</v>
      </c>
      <c r="AJ19" s="6">
        <v>27.5</v>
      </c>
      <c r="AK19" s="10">
        <f t="shared" si="4"/>
        <v>-2.9093624276287533E-2</v>
      </c>
      <c r="AL19" s="10">
        <f t="shared" si="5"/>
        <v>0.33537172544041666</v>
      </c>
      <c r="AM19" s="10">
        <f t="shared" si="6"/>
        <v>0.1754242500916415</v>
      </c>
      <c r="AN19" s="10">
        <f t="shared" si="7"/>
        <v>0.21328697046785047</v>
      </c>
      <c r="AO19" s="2">
        <f t="shared" si="20"/>
        <v>0.17374733043090529</v>
      </c>
      <c r="AP19" s="2">
        <v>0</v>
      </c>
      <c r="AQ19" s="2">
        <v>0</v>
      </c>
      <c r="AR19" s="2">
        <v>0</v>
      </c>
      <c r="AS19" s="2">
        <v>0</v>
      </c>
      <c r="AT19" s="2">
        <v>0.6925</v>
      </c>
      <c r="AU19" s="2">
        <v>0.68799999999999994</v>
      </c>
      <c r="AV19" s="2">
        <v>0.6875</v>
      </c>
      <c r="AW19" s="2">
        <v>0.6875</v>
      </c>
      <c r="AX19" s="10" t="str">
        <f t="shared" si="8"/>
        <v/>
      </c>
      <c r="AY19" s="10" t="str">
        <f t="shared" si="9"/>
        <v/>
      </c>
      <c r="AZ19" s="10" t="str">
        <f t="shared" si="10"/>
        <v/>
      </c>
      <c r="BA19" s="10" t="str">
        <f t="shared" si="11"/>
        <v/>
      </c>
      <c r="BB19" s="2" t="str">
        <f t="shared" si="21"/>
        <v>NA</v>
      </c>
      <c r="BC19" s="6">
        <v>24643</v>
      </c>
      <c r="BD19" s="6">
        <v>34598</v>
      </c>
      <c r="BE19" s="6">
        <v>26786</v>
      </c>
      <c r="BF19" s="6">
        <v>27679</v>
      </c>
      <c r="BG19" s="6">
        <v>29304</v>
      </c>
      <c r="BH19" s="6">
        <v>32343</v>
      </c>
      <c r="BI19" s="6">
        <v>24444</v>
      </c>
      <c r="BJ19" s="6">
        <v>24086</v>
      </c>
      <c r="BK19" s="10">
        <f t="shared" si="12"/>
        <v>-0.18914093251633324</v>
      </c>
      <c r="BL19" s="10">
        <f t="shared" si="13"/>
        <v>6.5177177871553263E-2</v>
      </c>
      <c r="BM19" s="10">
        <f t="shared" si="14"/>
        <v>8.7433734040170241E-2</v>
      </c>
      <c r="BN19" s="10">
        <f t="shared" si="15"/>
        <v>0.12980960294808339</v>
      </c>
      <c r="BO19" s="2">
        <f t="shared" si="22"/>
        <v>2.3319895585868413E-2</v>
      </c>
      <c r="BP19" s="10">
        <v>-8.2532314133397788E-3</v>
      </c>
      <c r="BQ19" s="10">
        <v>-4.366813514879575E-2</v>
      </c>
      <c r="BR19" s="10">
        <v>-5.5038777747453083E-2</v>
      </c>
      <c r="BS19" s="10">
        <v>-5.0052593877994433E-2</v>
      </c>
      <c r="BT19" s="11">
        <v>0</v>
      </c>
    </row>
    <row r="20" spans="1:72">
      <c r="A20">
        <f>COUNTIFS($J$7:J20,J20,$N$7:N20,N20,$E$7:E20,E20)</f>
        <v>6</v>
      </c>
      <c r="B20" s="16" t="str">
        <f t="shared" si="16"/>
        <v>Low</v>
      </c>
      <c r="C20" s="16" t="str">
        <f t="shared" si="17"/>
        <v>6LowNoTechnology</v>
      </c>
      <c r="D20" s="1">
        <v>10153</v>
      </c>
      <c r="E20" s="1" t="s">
        <v>23</v>
      </c>
      <c r="F20" s="1" t="s">
        <v>33</v>
      </c>
      <c r="G20" s="1" t="s">
        <v>34</v>
      </c>
      <c r="H20" s="1">
        <v>34</v>
      </c>
      <c r="I20" s="1" t="s">
        <v>35</v>
      </c>
      <c r="J20" s="1" t="s">
        <v>27</v>
      </c>
      <c r="K20" s="1">
        <v>2</v>
      </c>
      <c r="L20" s="1">
        <v>1</v>
      </c>
      <c r="M20" s="2">
        <v>0.31654126776478086</v>
      </c>
      <c r="N20" s="27" t="str">
        <f t="shared" si="18"/>
        <v>Low</v>
      </c>
      <c r="O20" s="1">
        <v>1</v>
      </c>
      <c r="P20" s="6">
        <v>38.513412079193387</v>
      </c>
      <c r="Q20" s="6">
        <v>37.058994111782212</v>
      </c>
      <c r="R20" s="6">
        <v>35.668036030161723</v>
      </c>
      <c r="S20" s="6">
        <v>37.378731627499853</v>
      </c>
      <c r="T20" s="6">
        <v>34.75</v>
      </c>
      <c r="U20" s="6">
        <v>36.799999999999997</v>
      </c>
      <c r="V20" s="6">
        <v>37.5</v>
      </c>
      <c r="W20" s="6">
        <v>40.25</v>
      </c>
      <c r="X20" s="10">
        <f t="shared" si="0"/>
        <v>9.7716921872693402E-2</v>
      </c>
      <c r="Y20" s="10">
        <f t="shared" si="1"/>
        <v>6.9886978313821171E-3</v>
      </c>
      <c r="Z20" s="10">
        <f t="shared" si="2"/>
        <v>-5.136150384868754E-2</v>
      </c>
      <c r="AA20" s="10">
        <f t="shared" si="3"/>
        <v>-7.6815564559920224E-2</v>
      </c>
      <c r="AB20" s="2">
        <f t="shared" si="19"/>
        <v>-5.867862176133061E-3</v>
      </c>
      <c r="AC20" s="6">
        <v>32.150641025641022</v>
      </c>
      <c r="AD20" s="6">
        <v>34.161858974358978</v>
      </c>
      <c r="AE20" s="6">
        <v>33.374053030303031</v>
      </c>
      <c r="AF20" s="6">
        <v>37.307528409090914</v>
      </c>
      <c r="AG20" s="6">
        <v>34.25</v>
      </c>
      <c r="AH20" s="6">
        <v>35.200000000000003</v>
      </c>
      <c r="AI20" s="6">
        <v>35.5</v>
      </c>
      <c r="AJ20" s="6">
        <v>36.5</v>
      </c>
      <c r="AK20" s="10">
        <f t="shared" si="4"/>
        <v>-6.5297577509719984E-2</v>
      </c>
      <c r="AL20" s="10">
        <f t="shared" si="5"/>
        <v>-3.0388891495050873E-2</v>
      </c>
      <c r="AM20" s="10">
        <f t="shared" si="6"/>
        <v>-6.3700593025565327E-2</v>
      </c>
      <c r="AN20" s="10">
        <f t="shared" si="7"/>
        <v>2.1645186468427082E-2</v>
      </c>
      <c r="AO20" s="2">
        <f t="shared" si="20"/>
        <v>-3.4435468890477279E-2</v>
      </c>
      <c r="AP20" s="2">
        <v>0</v>
      </c>
      <c r="AQ20" s="2">
        <v>0</v>
      </c>
      <c r="AR20" s="2">
        <v>0</v>
      </c>
      <c r="AS20" s="2">
        <v>0</v>
      </c>
      <c r="AT20" s="2">
        <v>0.67130000000000001</v>
      </c>
      <c r="AU20" s="2">
        <v>0.68</v>
      </c>
      <c r="AV20" s="2">
        <v>0.68130000000000002</v>
      </c>
      <c r="AW20" s="2">
        <v>0.68630000000000002</v>
      </c>
      <c r="AX20" s="10" t="str">
        <f t="shared" si="8"/>
        <v/>
      </c>
      <c r="AY20" s="10" t="str">
        <f t="shared" si="9"/>
        <v/>
      </c>
      <c r="AZ20" s="10" t="str">
        <f t="shared" si="10"/>
        <v/>
      </c>
      <c r="BA20" s="10" t="str">
        <f t="shared" si="11"/>
        <v/>
      </c>
      <c r="BB20" s="2" t="str">
        <f t="shared" si="21"/>
        <v>NA</v>
      </c>
      <c r="BC20" s="6">
        <v>9136</v>
      </c>
      <c r="BD20" s="6">
        <v>9751</v>
      </c>
      <c r="BE20" s="6">
        <v>8764</v>
      </c>
      <c r="BF20" s="6">
        <v>12087</v>
      </c>
      <c r="BG20" s="6">
        <v>8727</v>
      </c>
      <c r="BH20" s="6">
        <v>11947</v>
      </c>
      <c r="BI20" s="6">
        <v>10034</v>
      </c>
      <c r="BJ20" s="6">
        <v>10684</v>
      </c>
      <c r="BK20" s="10">
        <f t="shared" si="12"/>
        <v>4.4767950963222419E-2</v>
      </c>
      <c r="BL20" s="10">
        <f t="shared" si="13"/>
        <v>-0.22520767100810174</v>
      </c>
      <c r="BM20" s="10">
        <f t="shared" si="14"/>
        <v>-0.14491099954358741</v>
      </c>
      <c r="BN20" s="10">
        <f t="shared" si="15"/>
        <v>0.11607512203193514</v>
      </c>
      <c r="BO20" s="2">
        <f t="shared" si="22"/>
        <v>-5.2318899389132895E-2</v>
      </c>
      <c r="BP20" s="10">
        <v>-4.4594517420670776E-5</v>
      </c>
      <c r="BQ20" s="10">
        <v>-4.1893704732731685E-5</v>
      </c>
      <c r="BR20" s="10">
        <v>-4.210474325239133E-5</v>
      </c>
      <c r="BS20" s="10">
        <v>-3.8427366179760725E-5</v>
      </c>
      <c r="BT20" s="11">
        <v>0</v>
      </c>
    </row>
    <row r="21" spans="1:72">
      <c r="A21">
        <f>COUNTIFS($J$7:J21,J21,$N$7:N21,N21,$E$7:E21,E21)</f>
        <v>1</v>
      </c>
      <c r="B21" s="16" t="str">
        <f t="shared" si="16"/>
        <v>Medium</v>
      </c>
      <c r="C21" s="16" t="str">
        <f t="shared" si="17"/>
        <v>1MediumNoTechnology</v>
      </c>
      <c r="D21" s="1">
        <v>10194</v>
      </c>
      <c r="E21" s="1" t="s">
        <v>23</v>
      </c>
      <c r="F21" s="1" t="s">
        <v>36</v>
      </c>
      <c r="G21" s="1" t="s">
        <v>37</v>
      </c>
      <c r="H21" s="1">
        <v>270</v>
      </c>
      <c r="I21" s="1" t="s">
        <v>38</v>
      </c>
      <c r="J21" s="1" t="s">
        <v>27</v>
      </c>
      <c r="K21" s="1">
        <v>1</v>
      </c>
      <c r="L21" s="1"/>
      <c r="M21" s="2">
        <v>0</v>
      </c>
      <c r="N21" s="27" t="str">
        <f t="shared" si="18"/>
        <v>Medium</v>
      </c>
      <c r="O21" s="1">
        <v>0</v>
      </c>
      <c r="P21" s="6">
        <v>0</v>
      </c>
      <c r="Q21" s="6">
        <v>0</v>
      </c>
      <c r="R21" s="6">
        <v>0</v>
      </c>
      <c r="S21" s="6">
        <v>0</v>
      </c>
      <c r="T21" s="6">
        <v>230</v>
      </c>
      <c r="U21" s="6">
        <v>221.60000000000002</v>
      </c>
      <c r="V21" s="6">
        <v>212.25</v>
      </c>
      <c r="W21" s="6">
        <v>205.67000000000002</v>
      </c>
      <c r="X21" s="10" t="str">
        <f t="shared" si="0"/>
        <v/>
      </c>
      <c r="Y21" s="10" t="str">
        <f t="shared" si="1"/>
        <v/>
      </c>
      <c r="Z21" s="10" t="str">
        <f t="shared" si="2"/>
        <v/>
      </c>
      <c r="AA21" s="10" t="str">
        <f t="shared" si="3"/>
        <v/>
      </c>
      <c r="AB21" s="2" t="str">
        <f t="shared" si="19"/>
        <v>NA</v>
      </c>
      <c r="AC21" s="6">
        <v>0</v>
      </c>
      <c r="AD21" s="6">
        <v>0</v>
      </c>
      <c r="AE21" s="6">
        <v>0</v>
      </c>
      <c r="AF21" s="6">
        <v>0</v>
      </c>
      <c r="AG21" s="6">
        <v>213.5</v>
      </c>
      <c r="AH21" s="6">
        <v>201.8</v>
      </c>
      <c r="AI21" s="6">
        <v>205.25</v>
      </c>
      <c r="AJ21" s="6">
        <v>159</v>
      </c>
      <c r="AK21" s="10" t="str">
        <f t="shared" si="4"/>
        <v/>
      </c>
      <c r="AL21" s="10" t="str">
        <f t="shared" si="5"/>
        <v/>
      </c>
      <c r="AM21" s="10" t="str">
        <f t="shared" si="6"/>
        <v/>
      </c>
      <c r="AN21" s="10" t="str">
        <f t="shared" si="7"/>
        <v/>
      </c>
      <c r="AO21" s="2" t="str">
        <f t="shared" si="20"/>
        <v>NA</v>
      </c>
      <c r="AP21" s="2">
        <v>0</v>
      </c>
      <c r="AQ21" s="2">
        <v>0</v>
      </c>
      <c r="AR21" s="2">
        <v>0</v>
      </c>
      <c r="AS21" s="2">
        <v>0</v>
      </c>
      <c r="AT21" s="2">
        <v>0.77333333333333343</v>
      </c>
      <c r="AU21" s="2">
        <v>0.77333333333333343</v>
      </c>
      <c r="AV21" s="2">
        <v>0.77333333333333343</v>
      </c>
      <c r="AW21" s="2">
        <v>0.58000000000000007</v>
      </c>
      <c r="AX21" s="10" t="str">
        <f t="shared" si="8"/>
        <v/>
      </c>
      <c r="AY21" s="10" t="str">
        <f t="shared" si="9"/>
        <v/>
      </c>
      <c r="AZ21" s="10" t="str">
        <f t="shared" si="10"/>
        <v/>
      </c>
      <c r="BA21" s="10" t="str">
        <f t="shared" si="11"/>
        <v/>
      </c>
      <c r="BB21" s="2" t="str">
        <f t="shared" si="21"/>
        <v>NA</v>
      </c>
      <c r="BC21" s="6">
        <v>0</v>
      </c>
      <c r="BD21" s="6">
        <v>0</v>
      </c>
      <c r="BE21" s="6">
        <v>0</v>
      </c>
      <c r="BF21" s="6">
        <v>0</v>
      </c>
      <c r="BG21" s="6">
        <v>68951</v>
      </c>
      <c r="BH21" s="6">
        <v>83361</v>
      </c>
      <c r="BI21" s="6">
        <v>67800</v>
      </c>
      <c r="BJ21" s="6">
        <v>52686</v>
      </c>
      <c r="BK21" s="10" t="str">
        <f t="shared" si="12"/>
        <v/>
      </c>
      <c r="BL21" s="10" t="str">
        <f t="shared" si="13"/>
        <v/>
      </c>
      <c r="BM21" s="10" t="str">
        <f t="shared" si="14"/>
        <v/>
      </c>
      <c r="BN21" s="10" t="str">
        <f t="shared" si="15"/>
        <v/>
      </c>
      <c r="BO21" s="2" t="str">
        <f t="shared" si="22"/>
        <v>NA</v>
      </c>
      <c r="BP21" s="10">
        <v>0</v>
      </c>
      <c r="BQ21" s="10">
        <v>0</v>
      </c>
      <c r="BR21" s="10">
        <v>0</v>
      </c>
      <c r="BS21" s="10">
        <v>0</v>
      </c>
      <c r="BT21" s="11">
        <v>0</v>
      </c>
    </row>
    <row r="22" spans="1:72">
      <c r="A22">
        <f>COUNTIFS($J$7:J22,J22,$N$7:N22,N22,$E$7:E22,E22)</f>
        <v>1</v>
      </c>
      <c r="B22" s="16" t="str">
        <f t="shared" si="16"/>
        <v>Low</v>
      </c>
      <c r="C22" s="16" t="str">
        <f t="shared" si="17"/>
        <v>1LowYesTechnology</v>
      </c>
      <c r="D22" s="1">
        <v>10200</v>
      </c>
      <c r="E22" s="1" t="s">
        <v>23</v>
      </c>
      <c r="F22" s="1" t="s">
        <v>39</v>
      </c>
      <c r="G22" s="1" t="s">
        <v>40</v>
      </c>
      <c r="H22" s="1">
        <v>71</v>
      </c>
      <c r="I22" s="1" t="s">
        <v>41</v>
      </c>
      <c r="J22" s="1" t="s">
        <v>9</v>
      </c>
      <c r="K22" s="1">
        <v>2</v>
      </c>
      <c r="L22" s="1">
        <v>2</v>
      </c>
      <c r="M22" s="2">
        <v>0.39194849090532247</v>
      </c>
      <c r="N22" s="27" t="str">
        <f t="shared" si="18"/>
        <v>Low</v>
      </c>
      <c r="O22" s="1">
        <v>2</v>
      </c>
      <c r="P22" s="6">
        <v>78.623354398387917</v>
      </c>
      <c r="Q22" s="6">
        <v>81.290120608442479</v>
      </c>
      <c r="R22" s="6">
        <v>80.102520522312915</v>
      </c>
      <c r="S22" s="6">
        <v>81.866953503245213</v>
      </c>
      <c r="T22" s="6">
        <v>61.5</v>
      </c>
      <c r="U22" s="6">
        <v>59.2</v>
      </c>
      <c r="V22" s="6">
        <v>57</v>
      </c>
      <c r="W22" s="6">
        <v>55.5</v>
      </c>
      <c r="X22" s="10">
        <f t="shared" si="0"/>
        <v>0.21778966986861364</v>
      </c>
      <c r="Y22" s="10">
        <f t="shared" si="1"/>
        <v>0.27174422233725015</v>
      </c>
      <c r="Z22" s="10">
        <f t="shared" si="2"/>
        <v>0.28841190478990736</v>
      </c>
      <c r="AA22" s="10">
        <f t="shared" si="3"/>
        <v>0.32207077917220928</v>
      </c>
      <c r="AB22" s="2">
        <f t="shared" si="19"/>
        <v>0.27500414404199514</v>
      </c>
      <c r="AC22" s="6">
        <v>60.519186039477376</v>
      </c>
      <c r="AD22" s="6">
        <v>57.113640754373463</v>
      </c>
      <c r="AE22" s="6">
        <v>59.668566727872715</v>
      </c>
      <c r="AF22" s="6">
        <v>70.681194636083859</v>
      </c>
      <c r="AG22" s="6">
        <v>169.75</v>
      </c>
      <c r="AH22" s="6">
        <v>171</v>
      </c>
      <c r="AI22" s="6">
        <v>166.25</v>
      </c>
      <c r="AJ22" s="6">
        <v>173.75</v>
      </c>
      <c r="AK22" s="10">
        <f t="shared" si="4"/>
        <v>-1.8048956225100266</v>
      </c>
      <c r="AL22" s="10">
        <f t="shared" si="5"/>
        <v>-1.9940308084265441</v>
      </c>
      <c r="AM22" s="10">
        <f t="shared" si="6"/>
        <v>-1.7862241229659095</v>
      </c>
      <c r="AN22" s="10">
        <f t="shared" si="7"/>
        <v>-1.4582210430169766</v>
      </c>
      <c r="AO22" s="2">
        <f t="shared" si="20"/>
        <v>-1.7608428992298641</v>
      </c>
      <c r="AP22" s="2">
        <v>0.64303903620008274</v>
      </c>
      <c r="AQ22" s="2">
        <v>0.63379984388664135</v>
      </c>
      <c r="AR22" s="2">
        <v>0.64063162648856598</v>
      </c>
      <c r="AS22" s="2">
        <v>0.66493934129355459</v>
      </c>
      <c r="AT22" s="2">
        <v>0.63249999999999995</v>
      </c>
      <c r="AU22" s="2">
        <v>0.63</v>
      </c>
      <c r="AV22" s="2">
        <v>0.63249999999999995</v>
      </c>
      <c r="AW22" s="2">
        <v>0.63500000000000001</v>
      </c>
      <c r="AX22" s="10">
        <f t="shared" si="8"/>
        <v>1.6389419003799865E-2</v>
      </c>
      <c r="AY22" s="10">
        <f t="shared" si="9"/>
        <v>5.9953373660359627E-3</v>
      </c>
      <c r="AZ22" s="10">
        <f t="shared" si="10"/>
        <v>1.2693139321168306E-2</v>
      </c>
      <c r="BA22" s="10">
        <f t="shared" si="11"/>
        <v>4.5025672921249343E-2</v>
      </c>
      <c r="BB22" s="2">
        <f t="shared" si="21"/>
        <v>2.0025892153063371E-2</v>
      </c>
      <c r="BC22" s="6">
        <v>18113.230765199994</v>
      </c>
      <c r="BD22" s="6">
        <v>18801.675936171203</v>
      </c>
      <c r="BE22" s="6">
        <v>18495.662417447777</v>
      </c>
      <c r="BF22" s="6">
        <v>24435.737714962113</v>
      </c>
      <c r="BG22" s="6">
        <v>48497</v>
      </c>
      <c r="BH22" s="6">
        <v>61062</v>
      </c>
      <c r="BI22" s="6">
        <v>47236</v>
      </c>
      <c r="BJ22" s="6">
        <v>49596</v>
      </c>
      <c r="BK22" s="10">
        <f t="shared" si="12"/>
        <v>-1.6774351096533677</v>
      </c>
      <c r="BL22" s="10">
        <f t="shared" si="13"/>
        <v>-2.2476892063928822</v>
      </c>
      <c r="BM22" s="10">
        <f t="shared" si="14"/>
        <v>-1.5538960937911686</v>
      </c>
      <c r="BN22" s="10">
        <f t="shared" si="15"/>
        <v>-1.0296502024423082</v>
      </c>
      <c r="BO22" s="2">
        <f t="shared" si="22"/>
        <v>-1.6271676530699317</v>
      </c>
      <c r="BP22" s="10">
        <v>-5.1772632464617385E-2</v>
      </c>
      <c r="BQ22" s="10">
        <v>-8.1088086222782407E-2</v>
      </c>
      <c r="BR22" s="10">
        <v>-4.3110583486228982E-2</v>
      </c>
      <c r="BS22" s="10">
        <v>-7.1563101373124605E-2</v>
      </c>
      <c r="BT22" s="11" t="s">
        <v>459</v>
      </c>
    </row>
    <row r="23" spans="1:72">
      <c r="A23">
        <f>COUNTIFS($J$7:J23,J23,$N$7:N23,N23,$E$7:E23,E23)</f>
        <v>2</v>
      </c>
      <c r="B23" s="16" t="str">
        <f t="shared" si="16"/>
        <v>Low</v>
      </c>
      <c r="C23" s="16" t="str">
        <f t="shared" si="17"/>
        <v>2LowYesTechnology</v>
      </c>
      <c r="D23" s="1">
        <v>10210</v>
      </c>
      <c r="E23" s="1" t="s">
        <v>23</v>
      </c>
      <c r="F23" s="1" t="s">
        <v>39</v>
      </c>
      <c r="G23" s="1" t="s">
        <v>42</v>
      </c>
      <c r="H23" s="1">
        <v>53</v>
      </c>
      <c r="I23" s="1" t="s">
        <v>41</v>
      </c>
      <c r="J23" s="1" t="s">
        <v>9</v>
      </c>
      <c r="K23" s="1">
        <v>1</v>
      </c>
      <c r="L23" s="1">
        <v>1</v>
      </c>
      <c r="M23" s="2">
        <v>0.27922769017620347</v>
      </c>
      <c r="N23" s="27" t="str">
        <f t="shared" si="18"/>
        <v>Low</v>
      </c>
      <c r="O23" s="1">
        <v>1</v>
      </c>
      <c r="P23" s="6">
        <v>35.122437102398493</v>
      </c>
      <c r="Q23" s="6">
        <v>38.245486939097823</v>
      </c>
      <c r="R23" s="6">
        <v>37.722278200701773</v>
      </c>
      <c r="S23" s="6">
        <v>38.171049379539816</v>
      </c>
      <c r="T23" s="6">
        <v>43.5</v>
      </c>
      <c r="U23" s="6">
        <v>41.6</v>
      </c>
      <c r="V23" s="6">
        <v>39.75</v>
      </c>
      <c r="W23" s="6">
        <v>38.75</v>
      </c>
      <c r="X23" s="10">
        <f t="shared" si="0"/>
        <v>-0.23852453271328963</v>
      </c>
      <c r="Y23" s="10">
        <f t="shared" si="1"/>
        <v>-8.7710036644164324E-2</v>
      </c>
      <c r="Z23" s="10">
        <f t="shared" si="2"/>
        <v>-5.3753959093077897E-2</v>
      </c>
      <c r="AA23" s="10">
        <f t="shared" si="3"/>
        <v>-1.5167270218421311E-2</v>
      </c>
      <c r="AB23" s="2">
        <f t="shared" si="19"/>
        <v>-9.8788949667238293E-2</v>
      </c>
      <c r="AC23" s="6">
        <v>41.122796681353677</v>
      </c>
      <c r="AD23" s="6">
        <v>36.531475419631974</v>
      </c>
      <c r="AE23" s="6">
        <v>40.308820230875106</v>
      </c>
      <c r="AF23" s="6">
        <v>46.884464411137991</v>
      </c>
      <c r="AG23" s="6">
        <v>44.25</v>
      </c>
      <c r="AH23" s="6">
        <v>42.8</v>
      </c>
      <c r="AI23" s="6">
        <v>46</v>
      </c>
      <c r="AJ23" s="6">
        <v>48.75</v>
      </c>
      <c r="AK23" s="10">
        <f t="shared" si="4"/>
        <v>-7.604549230632196E-2</v>
      </c>
      <c r="AL23" s="10">
        <f t="shared" si="5"/>
        <v>-0.17159242840214783</v>
      </c>
      <c r="AM23" s="10">
        <f t="shared" si="6"/>
        <v>-0.14118944033905648</v>
      </c>
      <c r="AN23" s="10">
        <f t="shared" si="7"/>
        <v>-3.979005865360441E-2</v>
      </c>
      <c r="AO23" s="2">
        <f t="shared" si="20"/>
        <v>-0.10715435492528266</v>
      </c>
      <c r="AP23" s="2">
        <v>0.7</v>
      </c>
      <c r="AQ23" s="2">
        <v>0.7</v>
      </c>
      <c r="AR23" s="2">
        <v>0.7</v>
      </c>
      <c r="AS23" s="2">
        <v>0.7</v>
      </c>
      <c r="AT23" s="2">
        <v>0.7</v>
      </c>
      <c r="AU23" s="2">
        <v>0.7</v>
      </c>
      <c r="AV23" s="2">
        <v>0.7</v>
      </c>
      <c r="AW23" s="2">
        <v>0.7</v>
      </c>
      <c r="AX23" s="10">
        <f t="shared" si="8"/>
        <v>0</v>
      </c>
      <c r="AY23" s="10">
        <f t="shared" si="9"/>
        <v>0</v>
      </c>
      <c r="AZ23" s="10">
        <f t="shared" si="10"/>
        <v>0</v>
      </c>
      <c r="BA23" s="10">
        <f t="shared" si="11"/>
        <v>0</v>
      </c>
      <c r="BB23" s="2">
        <f t="shared" si="21"/>
        <v>0</v>
      </c>
      <c r="BC23" s="6">
        <v>29126.000000000007</v>
      </c>
      <c r="BD23" s="6">
        <v>28268.999999999985</v>
      </c>
      <c r="BE23" s="6">
        <v>29671.999999999996</v>
      </c>
      <c r="BF23" s="6">
        <v>35679.139573484797</v>
      </c>
      <c r="BG23" s="6">
        <v>26819</v>
      </c>
      <c r="BH23" s="6">
        <v>32571</v>
      </c>
      <c r="BI23" s="6">
        <v>27826</v>
      </c>
      <c r="BJ23" s="6">
        <v>29092</v>
      </c>
      <c r="BK23" s="10">
        <f t="shared" si="12"/>
        <v>7.9207580855593165E-2</v>
      </c>
      <c r="BL23" s="10">
        <f t="shared" si="13"/>
        <v>-0.15218083412925879</v>
      </c>
      <c r="BM23" s="10">
        <f t="shared" si="14"/>
        <v>6.2213534645456883E-2</v>
      </c>
      <c r="BN23" s="10">
        <f t="shared" si="15"/>
        <v>0.18462159267932785</v>
      </c>
      <c r="BO23" s="2">
        <f t="shared" si="22"/>
        <v>4.3465468512779777E-2</v>
      </c>
      <c r="BP23" s="10">
        <v>-5.3504357161487937E-3</v>
      </c>
      <c r="BQ23" s="10">
        <v>8.2636513988603166E-3</v>
      </c>
      <c r="BR23" s="10">
        <v>1.742643406521438E-2</v>
      </c>
      <c r="BS23" s="10">
        <v>-6.7408408960319965E-3</v>
      </c>
      <c r="BT23" s="11" t="s">
        <v>459</v>
      </c>
    </row>
    <row r="24" spans="1:72">
      <c r="A24">
        <f>COUNTIFS($J$7:J24,J24,$N$7:N24,N24,$E$7:E24,E24)</f>
        <v>3</v>
      </c>
      <c r="B24" s="16" t="str">
        <f t="shared" si="16"/>
        <v>Low</v>
      </c>
      <c r="C24" s="16" t="str">
        <f t="shared" si="17"/>
        <v>3LowYesTechnology</v>
      </c>
      <c r="D24" s="1">
        <v>10211</v>
      </c>
      <c r="E24" s="1" t="s">
        <v>23</v>
      </c>
      <c r="F24" s="1" t="s">
        <v>39</v>
      </c>
      <c r="G24" s="1" t="s">
        <v>43</v>
      </c>
      <c r="H24" s="1">
        <v>172</v>
      </c>
      <c r="I24" s="1" t="s">
        <v>44</v>
      </c>
      <c r="J24" s="1" t="s">
        <v>9</v>
      </c>
      <c r="K24" s="1">
        <v>3</v>
      </c>
      <c r="L24" s="1">
        <v>2</v>
      </c>
      <c r="M24" s="2">
        <v>0.607754268534765</v>
      </c>
      <c r="N24" s="27" t="str">
        <f t="shared" si="18"/>
        <v>Low</v>
      </c>
      <c r="O24" s="1">
        <v>2</v>
      </c>
      <c r="P24" s="6">
        <v>151.9212938567735</v>
      </c>
      <c r="Q24" s="6">
        <v>158.96456886425958</v>
      </c>
      <c r="R24" s="6">
        <v>155.00482701524743</v>
      </c>
      <c r="S24" s="6">
        <v>150.40169816848038</v>
      </c>
      <c r="T24" s="6">
        <v>107.75</v>
      </c>
      <c r="U24" s="6">
        <v>112.4</v>
      </c>
      <c r="V24" s="6">
        <v>130.75</v>
      </c>
      <c r="W24" s="6">
        <v>145.25</v>
      </c>
      <c r="X24" s="10">
        <f t="shared" si="0"/>
        <v>0.29075116947342994</v>
      </c>
      <c r="Y24" s="10">
        <f t="shared" si="1"/>
        <v>0.29292419812128845</v>
      </c>
      <c r="Z24" s="10">
        <f t="shared" si="2"/>
        <v>0.15647788189758466</v>
      </c>
      <c r="AA24" s="10">
        <f t="shared" si="3"/>
        <v>3.4252925540171987E-2</v>
      </c>
      <c r="AB24" s="2">
        <f t="shared" si="19"/>
        <v>0.19360154375811878</v>
      </c>
      <c r="AC24" s="6">
        <v>136.43445979512035</v>
      </c>
      <c r="AD24" s="6">
        <v>141.23684560125989</v>
      </c>
      <c r="AE24" s="6">
        <v>136.3121850223028</v>
      </c>
      <c r="AF24" s="6">
        <v>140.88404930467686</v>
      </c>
      <c r="AG24" s="6">
        <v>138.25</v>
      </c>
      <c r="AH24" s="6">
        <v>139.4</v>
      </c>
      <c r="AI24" s="6">
        <v>139.75</v>
      </c>
      <c r="AJ24" s="6">
        <v>141.75</v>
      </c>
      <c r="AK24" s="10">
        <f t="shared" si="4"/>
        <v>-1.3307050195427146E-2</v>
      </c>
      <c r="AL24" s="10">
        <f t="shared" si="5"/>
        <v>1.3005427821899018E-2</v>
      </c>
      <c r="AM24" s="10">
        <f t="shared" si="6"/>
        <v>-2.522015898384081E-2</v>
      </c>
      <c r="AN24" s="10">
        <f t="shared" si="7"/>
        <v>-6.1465488790035027E-3</v>
      </c>
      <c r="AO24" s="2">
        <f t="shared" si="20"/>
        <v>-7.917082559093111E-3</v>
      </c>
      <c r="AP24" s="2">
        <v>0.7</v>
      </c>
      <c r="AQ24" s="2">
        <v>0.7</v>
      </c>
      <c r="AR24" s="2">
        <v>0.7</v>
      </c>
      <c r="AS24" s="2">
        <v>0.7</v>
      </c>
      <c r="AT24" s="2">
        <v>0.7</v>
      </c>
      <c r="AU24" s="2">
        <v>0.7</v>
      </c>
      <c r="AV24" s="2">
        <v>0.7</v>
      </c>
      <c r="AW24" s="2">
        <v>0.7</v>
      </c>
      <c r="AX24" s="10">
        <f t="shared" si="8"/>
        <v>0</v>
      </c>
      <c r="AY24" s="10">
        <f t="shared" si="9"/>
        <v>0</v>
      </c>
      <c r="AZ24" s="10">
        <f t="shared" si="10"/>
        <v>0</v>
      </c>
      <c r="BA24" s="10">
        <f t="shared" si="11"/>
        <v>0</v>
      </c>
      <c r="BB24" s="2">
        <f t="shared" si="21"/>
        <v>0</v>
      </c>
      <c r="BC24" s="6">
        <v>33924.32052504411</v>
      </c>
      <c r="BD24" s="6">
        <v>36030.799999999988</v>
      </c>
      <c r="BE24" s="6">
        <v>33970.885607787379</v>
      </c>
      <c r="BF24" s="6">
        <v>36357.020153999998</v>
      </c>
      <c r="BG24" s="6">
        <v>32128</v>
      </c>
      <c r="BH24" s="6">
        <v>40352</v>
      </c>
      <c r="BI24" s="6">
        <v>32389</v>
      </c>
      <c r="BJ24" s="6">
        <v>32842</v>
      </c>
      <c r="BK24" s="10">
        <f t="shared" si="12"/>
        <v>5.2950818092819388E-2</v>
      </c>
      <c r="BL24" s="10">
        <f t="shared" si="13"/>
        <v>-0.11993072593447864</v>
      </c>
      <c r="BM24" s="10">
        <f t="shared" si="14"/>
        <v>4.6565921950081642E-2</v>
      </c>
      <c r="BN24" s="10">
        <f t="shared" si="15"/>
        <v>9.6680644868891316E-2</v>
      </c>
      <c r="BO24" s="2">
        <f t="shared" si="22"/>
        <v>1.9066664744328429E-2</v>
      </c>
      <c r="BP24" s="10">
        <v>-0.12416331222027305</v>
      </c>
      <c r="BQ24" s="10">
        <v>7.8073681276698004E-3</v>
      </c>
      <c r="BR24" s="10">
        <v>4.0362052269822202E-2</v>
      </c>
      <c r="BS24" s="10">
        <v>-5.3188051727431962E-2</v>
      </c>
      <c r="BT24" s="11" t="s">
        <v>459</v>
      </c>
    </row>
    <row r="25" spans="1:72">
      <c r="A25">
        <f>COUNTIFS($J$7:J25,J25,$N$7:N25,N25,$E$7:E25,E25)</f>
        <v>7</v>
      </c>
      <c r="B25" s="16" t="str">
        <f t="shared" si="16"/>
        <v>Low</v>
      </c>
      <c r="C25" s="16" t="str">
        <f t="shared" si="17"/>
        <v>7LowNoTechnology</v>
      </c>
      <c r="D25" s="1">
        <v>10212</v>
      </c>
      <c r="E25" s="1" t="s">
        <v>23</v>
      </c>
      <c r="F25" s="1" t="s">
        <v>39</v>
      </c>
      <c r="G25" s="1" t="s">
        <v>45</v>
      </c>
      <c r="H25" s="1">
        <v>58</v>
      </c>
      <c r="I25" s="1" t="s">
        <v>41</v>
      </c>
      <c r="J25" s="1" t="s">
        <v>27</v>
      </c>
      <c r="K25" s="1">
        <v>2</v>
      </c>
      <c r="L25" s="1">
        <v>2</v>
      </c>
      <c r="M25" s="2">
        <v>0.19499516012448409</v>
      </c>
      <c r="N25" s="27" t="str">
        <f t="shared" si="18"/>
        <v>Low</v>
      </c>
      <c r="O25" s="1">
        <v>2</v>
      </c>
      <c r="P25" s="6">
        <v>37.250553987743999</v>
      </c>
      <c r="Q25" s="6">
        <v>36.982707635729739</v>
      </c>
      <c r="R25" s="6">
        <v>36.204421266426202</v>
      </c>
      <c r="S25" s="6">
        <v>37.706039602911318</v>
      </c>
      <c r="T25" s="6">
        <v>48.75</v>
      </c>
      <c r="U25" s="6">
        <v>46.8</v>
      </c>
      <c r="V25" s="6">
        <v>45.25</v>
      </c>
      <c r="W25" s="6">
        <v>43.75</v>
      </c>
      <c r="X25" s="10">
        <f t="shared" si="0"/>
        <v>-0.30870536894671408</v>
      </c>
      <c r="Y25" s="10">
        <f t="shared" si="1"/>
        <v>-0.26545629003068383</v>
      </c>
      <c r="Z25" s="10">
        <f t="shared" si="2"/>
        <v>-0.24984735060416841</v>
      </c>
      <c r="AA25" s="10">
        <f t="shared" si="3"/>
        <v>-0.16029157293469831</v>
      </c>
      <c r="AB25" s="2">
        <f t="shared" si="19"/>
        <v>-0.24607514562906616</v>
      </c>
      <c r="AC25" s="6">
        <v>36.344211344211345</v>
      </c>
      <c r="AD25" s="6">
        <v>36.917480667480667</v>
      </c>
      <c r="AE25" s="6">
        <v>35.370532245532246</v>
      </c>
      <c r="AF25" s="6">
        <v>37.485431235431228</v>
      </c>
      <c r="AG25" s="6">
        <v>46.5</v>
      </c>
      <c r="AH25" s="6">
        <v>46.8</v>
      </c>
      <c r="AI25" s="6">
        <v>48.25</v>
      </c>
      <c r="AJ25" s="6">
        <v>47.75</v>
      </c>
      <c r="AK25" s="10">
        <f t="shared" si="4"/>
        <v>-0.2794334580438268</v>
      </c>
      <c r="AL25" s="10">
        <f t="shared" si="5"/>
        <v>-0.26769213808309783</v>
      </c>
      <c r="AM25" s="10">
        <f t="shared" si="6"/>
        <v>-0.36412988261138185</v>
      </c>
      <c r="AN25" s="10">
        <f t="shared" si="7"/>
        <v>-0.27382821609016733</v>
      </c>
      <c r="AO25" s="2">
        <f t="shared" si="20"/>
        <v>-0.29627092370711844</v>
      </c>
      <c r="AP25" s="2">
        <v>0</v>
      </c>
      <c r="AQ25" s="2">
        <v>0</v>
      </c>
      <c r="AR25" s="2">
        <v>0</v>
      </c>
      <c r="AS25" s="2">
        <v>0</v>
      </c>
      <c r="AT25" s="2">
        <v>0.65</v>
      </c>
      <c r="AU25" s="2">
        <v>0.65</v>
      </c>
      <c r="AV25" s="2">
        <v>0.65</v>
      </c>
      <c r="AW25" s="2">
        <v>0.65</v>
      </c>
      <c r="AX25" s="10" t="str">
        <f t="shared" si="8"/>
        <v/>
      </c>
      <c r="AY25" s="10" t="str">
        <f t="shared" si="9"/>
        <v/>
      </c>
      <c r="AZ25" s="10" t="str">
        <f t="shared" si="10"/>
        <v/>
      </c>
      <c r="BA25" s="10" t="str">
        <f t="shared" si="11"/>
        <v/>
      </c>
      <c r="BB25" s="2" t="str">
        <f t="shared" si="21"/>
        <v>NA</v>
      </c>
      <c r="BC25" s="6">
        <v>29936</v>
      </c>
      <c r="BD25" s="6">
        <v>29026</v>
      </c>
      <c r="BE25" s="6">
        <v>29134</v>
      </c>
      <c r="BF25" s="6">
        <v>30876</v>
      </c>
      <c r="BG25" s="6">
        <v>30645</v>
      </c>
      <c r="BH25" s="6">
        <v>38452</v>
      </c>
      <c r="BI25" s="6">
        <v>31716</v>
      </c>
      <c r="BJ25" s="6">
        <v>31328</v>
      </c>
      <c r="BK25" s="10">
        <f t="shared" si="12"/>
        <v>-2.36838588989845E-2</v>
      </c>
      <c r="BL25" s="10">
        <f t="shared" si="13"/>
        <v>-0.32474333356301249</v>
      </c>
      <c r="BM25" s="10">
        <f t="shared" si="14"/>
        <v>-8.8624974256881997E-2</v>
      </c>
      <c r="BN25" s="10">
        <f t="shared" si="15"/>
        <v>-1.4639201969166991E-2</v>
      </c>
      <c r="BO25" s="2">
        <f t="shared" si="22"/>
        <v>-0.1129228421720115</v>
      </c>
      <c r="BP25" s="10">
        <v>4.3162237272322768E-2</v>
      </c>
      <c r="BQ25" s="10">
        <v>7.7636552498452915E-2</v>
      </c>
      <c r="BR25" s="10">
        <v>-5.5028535720792138E-2</v>
      </c>
      <c r="BS25" s="10">
        <v>-7.7016144193474079E-2</v>
      </c>
      <c r="BT25" s="11" t="s">
        <v>459</v>
      </c>
    </row>
    <row r="26" spans="1:72">
      <c r="A26">
        <f>COUNTIFS($J$7:J26,J26,$N$7:N26,N26,$E$7:E26,E26)</f>
        <v>8</v>
      </c>
      <c r="B26" s="16" t="str">
        <f t="shared" si="16"/>
        <v>Low</v>
      </c>
      <c r="C26" s="16" t="str">
        <f t="shared" si="17"/>
        <v>8LowNoTechnology</v>
      </c>
      <c r="D26" s="1">
        <v>10213</v>
      </c>
      <c r="E26" s="1" t="s">
        <v>23</v>
      </c>
      <c r="F26" s="1" t="s">
        <v>39</v>
      </c>
      <c r="G26" s="1" t="s">
        <v>46</v>
      </c>
      <c r="H26" s="1">
        <v>74</v>
      </c>
      <c r="I26" s="1" t="s">
        <v>44</v>
      </c>
      <c r="J26" s="1" t="s">
        <v>27</v>
      </c>
      <c r="K26" s="1">
        <v>1</v>
      </c>
      <c r="L26" s="1">
        <v>1</v>
      </c>
      <c r="M26" s="2">
        <v>0.20972064276902264</v>
      </c>
      <c r="N26" s="27" t="str">
        <f t="shared" si="18"/>
        <v>Low</v>
      </c>
      <c r="O26" s="1">
        <v>1</v>
      </c>
      <c r="P26" s="6">
        <v>52.529966163156558</v>
      </c>
      <c r="Q26" s="6">
        <v>56.945687405900401</v>
      </c>
      <c r="R26" s="6">
        <v>56.194458066097162</v>
      </c>
      <c r="S26" s="6">
        <v>55.845985411555368</v>
      </c>
      <c r="T26" s="6">
        <v>40.75</v>
      </c>
      <c r="U26" s="6">
        <v>38.6</v>
      </c>
      <c r="V26" s="6">
        <v>36.75</v>
      </c>
      <c r="W26" s="6">
        <v>35.25</v>
      </c>
      <c r="X26" s="10">
        <f t="shared" si="0"/>
        <v>0.22425230822666672</v>
      </c>
      <c r="Y26" s="10">
        <f t="shared" si="1"/>
        <v>0.32216113706969701</v>
      </c>
      <c r="Z26" s="10">
        <f t="shared" si="2"/>
        <v>0.34602091977159316</v>
      </c>
      <c r="AA26" s="10">
        <f t="shared" si="3"/>
        <v>0.36879974916323621</v>
      </c>
      <c r="AB26" s="2">
        <f t="shared" si="19"/>
        <v>0.31530852855779828</v>
      </c>
      <c r="AC26" s="6">
        <v>52.310854853958304</v>
      </c>
      <c r="AD26" s="6">
        <v>56.960137183864603</v>
      </c>
      <c r="AE26" s="6">
        <v>55.793598961702415</v>
      </c>
      <c r="AF26" s="6">
        <v>55.610518153621598</v>
      </c>
      <c r="AG26" s="6">
        <v>35.5</v>
      </c>
      <c r="AH26" s="6">
        <v>36.4</v>
      </c>
      <c r="AI26" s="6">
        <v>36.75</v>
      </c>
      <c r="AJ26" s="6">
        <v>37</v>
      </c>
      <c r="AK26" s="10">
        <f t="shared" si="4"/>
        <v>0.32136456001131941</v>
      </c>
      <c r="AL26" s="10">
        <f t="shared" si="5"/>
        <v>0.36095659526762486</v>
      </c>
      <c r="AM26" s="10">
        <f t="shared" si="6"/>
        <v>0.34132228994179481</v>
      </c>
      <c r="AN26" s="10">
        <f t="shared" si="7"/>
        <v>0.33465824041075942</v>
      </c>
      <c r="AO26" s="2">
        <f t="shared" si="20"/>
        <v>0.33957542140787467</v>
      </c>
      <c r="AP26" s="2">
        <v>0</v>
      </c>
      <c r="AQ26" s="2">
        <v>0</v>
      </c>
      <c r="AR26" s="2">
        <v>0</v>
      </c>
      <c r="AS26" s="2">
        <v>0</v>
      </c>
      <c r="AT26" s="2">
        <v>0.625</v>
      </c>
      <c r="AU26" s="2">
        <v>0.64900000000000002</v>
      </c>
      <c r="AV26" s="2">
        <v>0.64749999999999996</v>
      </c>
      <c r="AW26" s="2">
        <v>0.64624999999999999</v>
      </c>
      <c r="AX26" s="10" t="str">
        <f t="shared" si="8"/>
        <v/>
      </c>
      <c r="AY26" s="10" t="str">
        <f t="shared" si="9"/>
        <v/>
      </c>
      <c r="AZ26" s="10" t="str">
        <f t="shared" si="10"/>
        <v/>
      </c>
      <c r="BA26" s="10" t="str">
        <f t="shared" si="11"/>
        <v/>
      </c>
      <c r="BB26" s="2" t="str">
        <f t="shared" si="21"/>
        <v>NA</v>
      </c>
      <c r="BC26" s="6">
        <v>26706</v>
      </c>
      <c r="BD26" s="6">
        <v>27685</v>
      </c>
      <c r="BE26" s="6">
        <v>28361</v>
      </c>
      <c r="BF26" s="6">
        <v>28274</v>
      </c>
      <c r="BG26" s="6">
        <v>14423</v>
      </c>
      <c r="BH26" s="6">
        <v>19737</v>
      </c>
      <c r="BI26" s="6">
        <v>16048</v>
      </c>
      <c r="BJ26" s="6">
        <v>16010</v>
      </c>
      <c r="BK26" s="10">
        <f t="shared" si="12"/>
        <v>0.45993409720662026</v>
      </c>
      <c r="BL26" s="10">
        <f t="shared" si="13"/>
        <v>0.28708687014628859</v>
      </c>
      <c r="BM26" s="10">
        <f t="shared" si="14"/>
        <v>0.43415253340855398</v>
      </c>
      <c r="BN26" s="10">
        <f t="shared" si="15"/>
        <v>0.43375539364787435</v>
      </c>
      <c r="BO26" s="2">
        <f t="shared" si="22"/>
        <v>0.40373222360233429</v>
      </c>
      <c r="BP26" s="10">
        <v>-5.3784201812652199E-2</v>
      </c>
      <c r="BQ26" s="10">
        <v>-2.7317256614202312E-2</v>
      </c>
      <c r="BR26" s="10">
        <v>-3.0959374672229423E-2</v>
      </c>
      <c r="BS26" s="10">
        <v>-3.0292841047616204E-2</v>
      </c>
      <c r="BT26" s="11" t="s">
        <v>459</v>
      </c>
    </row>
    <row r="27" spans="1:72">
      <c r="A27">
        <f>COUNTIFS($J$7:J27,J27,$N$7:N27,N27,$E$7:E27,E27)</f>
        <v>2</v>
      </c>
      <c r="B27" s="16" t="str">
        <f t="shared" si="16"/>
        <v>Medium</v>
      </c>
      <c r="C27" s="16" t="str">
        <f t="shared" si="17"/>
        <v>2MediumNoTechnology</v>
      </c>
      <c r="D27" s="1">
        <v>10216</v>
      </c>
      <c r="E27" s="1" t="s">
        <v>23</v>
      </c>
      <c r="F27" s="1" t="s">
        <v>39</v>
      </c>
      <c r="G27" s="1" t="s">
        <v>47</v>
      </c>
      <c r="H27" s="1">
        <v>33</v>
      </c>
      <c r="I27" s="1" t="s">
        <v>41</v>
      </c>
      <c r="J27" s="1" t="s">
        <v>27</v>
      </c>
      <c r="K27" s="1">
        <v>1</v>
      </c>
      <c r="L27" s="1"/>
      <c r="M27" s="2">
        <v>0</v>
      </c>
      <c r="N27" s="27" t="str">
        <f t="shared" si="18"/>
        <v>Medium</v>
      </c>
      <c r="O27" s="1">
        <v>1</v>
      </c>
      <c r="P27" s="6">
        <v>23.18912325125309</v>
      </c>
      <c r="Q27" s="6">
        <v>22.633159081980232</v>
      </c>
      <c r="R27" s="6">
        <v>21.81015363991003</v>
      </c>
      <c r="S27" s="6">
        <v>20.8824970219504</v>
      </c>
      <c r="T27" s="6">
        <v>16</v>
      </c>
      <c r="U27" s="6">
        <v>20.399999999999999</v>
      </c>
      <c r="V27" s="6">
        <v>19.75</v>
      </c>
      <c r="W27" s="6">
        <v>19</v>
      </c>
      <c r="X27" s="10">
        <f t="shared" si="0"/>
        <v>0.31002134808458554</v>
      </c>
      <c r="Y27" s="10">
        <f t="shared" si="1"/>
        <v>9.8667582103383875E-2</v>
      </c>
      <c r="Z27" s="10">
        <f t="shared" si="2"/>
        <v>9.4458465259969107E-2</v>
      </c>
      <c r="AA27" s="10">
        <f t="shared" si="3"/>
        <v>9.0147122730180884E-2</v>
      </c>
      <c r="AB27" s="2">
        <f t="shared" si="19"/>
        <v>0.14832362954452985</v>
      </c>
      <c r="AC27" s="6">
        <v>23.21590909090909</v>
      </c>
      <c r="AD27" s="6">
        <v>22.236772486772487</v>
      </c>
      <c r="AE27" s="6">
        <v>18.890747180366162</v>
      </c>
      <c r="AF27" s="6">
        <v>16.303030303030305</v>
      </c>
      <c r="AG27" s="6">
        <v>22.25</v>
      </c>
      <c r="AH27" s="6">
        <v>21.4</v>
      </c>
      <c r="AI27" s="6">
        <v>20.75</v>
      </c>
      <c r="AJ27" s="6">
        <v>18.5</v>
      </c>
      <c r="AK27" s="10">
        <f t="shared" si="4"/>
        <v>4.1605482134116453E-2</v>
      </c>
      <c r="AL27" s="10">
        <f t="shared" si="5"/>
        <v>3.7630123133662575E-2</v>
      </c>
      <c r="AM27" s="10">
        <f t="shared" si="6"/>
        <v>-9.8421348921879953E-2</v>
      </c>
      <c r="AN27" s="10">
        <f t="shared" si="7"/>
        <v>-0.13475836431226756</v>
      </c>
      <c r="AO27" s="2">
        <f t="shared" si="20"/>
        <v>-3.848602699159212E-2</v>
      </c>
      <c r="AP27" s="2">
        <v>0</v>
      </c>
      <c r="AQ27" s="2">
        <v>0</v>
      </c>
      <c r="AR27" s="2">
        <v>0</v>
      </c>
      <c r="AS27" s="2">
        <v>0</v>
      </c>
      <c r="AT27" s="2">
        <v>0.4</v>
      </c>
      <c r="AU27" s="2">
        <v>0.4</v>
      </c>
      <c r="AV27" s="2">
        <v>0.4</v>
      </c>
      <c r="AW27" s="2">
        <v>0.4</v>
      </c>
      <c r="AX27" s="10" t="str">
        <f t="shared" si="8"/>
        <v/>
      </c>
      <c r="AY27" s="10" t="str">
        <f t="shared" si="9"/>
        <v/>
      </c>
      <c r="AZ27" s="10" t="str">
        <f t="shared" si="10"/>
        <v/>
      </c>
      <c r="BA27" s="10" t="str">
        <f t="shared" si="11"/>
        <v/>
      </c>
      <c r="BB27" s="2" t="str">
        <f t="shared" si="21"/>
        <v>NA</v>
      </c>
      <c r="BC27" s="6">
        <v>2727</v>
      </c>
      <c r="BD27" s="6">
        <v>2455</v>
      </c>
      <c r="BE27" s="6">
        <v>2041.8943533700001</v>
      </c>
      <c r="BF27" s="6">
        <v>1632</v>
      </c>
      <c r="BG27" s="6">
        <v>2564</v>
      </c>
      <c r="BH27" s="6">
        <v>3077</v>
      </c>
      <c r="BI27" s="6">
        <v>2167</v>
      </c>
      <c r="BJ27" s="6">
        <v>0</v>
      </c>
      <c r="BK27" s="10">
        <f t="shared" si="12"/>
        <v>5.9772643931059771E-2</v>
      </c>
      <c r="BL27" s="10">
        <f t="shared" si="13"/>
        <v>-0.2533604887983707</v>
      </c>
      <c r="BM27" s="10">
        <f t="shared" si="14"/>
        <v>-6.1269402319234598E-2</v>
      </c>
      <c r="BN27" s="10">
        <f t="shared" si="15"/>
        <v>1</v>
      </c>
      <c r="BO27" s="2">
        <f t="shared" si="22"/>
        <v>-8.4952415728848499E-2</v>
      </c>
      <c r="BP27" s="10">
        <v>3.3548097427265555E-2</v>
      </c>
      <c r="BQ27" s="10">
        <v>3.9247696430719292E-2</v>
      </c>
      <c r="BR27" s="10">
        <v>4.3408413627366027E-2</v>
      </c>
      <c r="BS27" s="10">
        <v>-1.8897311369448444E-2</v>
      </c>
      <c r="BT27" s="11" t="s">
        <v>459</v>
      </c>
    </row>
    <row r="28" spans="1:72">
      <c r="A28">
        <f>COUNTIFS($J$7:J28,J28,$N$7:N28,N28,$E$7:E28,E28)</f>
        <v>9</v>
      </c>
      <c r="B28" s="16" t="str">
        <f t="shared" si="16"/>
        <v>Low</v>
      </c>
      <c r="C28" s="16" t="str">
        <f t="shared" si="17"/>
        <v>9LowNoTechnology</v>
      </c>
      <c r="D28" s="1">
        <v>10217</v>
      </c>
      <c r="E28" s="1" t="s">
        <v>23</v>
      </c>
      <c r="F28" s="1" t="s">
        <v>39</v>
      </c>
      <c r="G28" s="1" t="s">
        <v>48</v>
      </c>
      <c r="H28" s="1">
        <v>150</v>
      </c>
      <c r="I28" s="1" t="s">
        <v>41</v>
      </c>
      <c r="J28" s="1" t="s">
        <v>27</v>
      </c>
      <c r="K28" s="1">
        <v>2</v>
      </c>
      <c r="L28" s="1">
        <v>2</v>
      </c>
      <c r="M28" s="2">
        <v>0.72697165526177354</v>
      </c>
      <c r="N28" s="27" t="str">
        <f t="shared" si="18"/>
        <v>Low</v>
      </c>
      <c r="O28" s="1">
        <v>2</v>
      </c>
      <c r="P28" s="6">
        <v>140.8813903748113</v>
      </c>
      <c r="Q28" s="6">
        <v>138.0651355012987</v>
      </c>
      <c r="R28" s="6">
        <v>136.2295620300246</v>
      </c>
      <c r="S28" s="6">
        <v>143.44216427677389</v>
      </c>
      <c r="T28" s="6">
        <v>47.5</v>
      </c>
      <c r="U28" s="6">
        <v>57.6</v>
      </c>
      <c r="V28" s="6">
        <v>55.25</v>
      </c>
      <c r="W28" s="6">
        <v>53</v>
      </c>
      <c r="X28" s="10">
        <f t="shared" si="0"/>
        <v>0.66283694479712707</v>
      </c>
      <c r="Y28" s="10">
        <f t="shared" si="1"/>
        <v>0.58280560989665497</v>
      </c>
      <c r="Z28" s="10">
        <f t="shared" si="2"/>
        <v>0.59443457663158994</v>
      </c>
      <c r="AA28" s="10">
        <f t="shared" si="3"/>
        <v>0.63051310423805607</v>
      </c>
      <c r="AB28" s="2">
        <f t="shared" si="19"/>
        <v>0.61764755889085698</v>
      </c>
      <c r="AC28" s="6">
        <v>40</v>
      </c>
      <c r="AD28" s="6">
        <v>40</v>
      </c>
      <c r="AE28" s="6">
        <v>40</v>
      </c>
      <c r="AF28" s="6">
        <v>40</v>
      </c>
      <c r="AG28" s="6">
        <v>53.5</v>
      </c>
      <c r="AH28" s="6">
        <v>48.8</v>
      </c>
      <c r="AI28" s="6">
        <v>46.5</v>
      </c>
      <c r="AJ28" s="6">
        <v>45.5</v>
      </c>
      <c r="AK28" s="10">
        <f t="shared" si="4"/>
        <v>-0.33750000000000002</v>
      </c>
      <c r="AL28" s="10">
        <f t="shared" si="5"/>
        <v>-0.21999999999999992</v>
      </c>
      <c r="AM28" s="10">
        <f t="shared" si="6"/>
        <v>-0.16250000000000001</v>
      </c>
      <c r="AN28" s="10">
        <f t="shared" si="7"/>
        <v>-0.13750000000000001</v>
      </c>
      <c r="AO28" s="2">
        <f t="shared" si="20"/>
        <v>-0.21437499999999998</v>
      </c>
      <c r="AP28" s="2">
        <v>0.7</v>
      </c>
      <c r="AQ28" s="2">
        <v>0.7</v>
      </c>
      <c r="AR28" s="2">
        <v>0.7</v>
      </c>
      <c r="AS28" s="2">
        <v>0.7</v>
      </c>
      <c r="AT28" s="2">
        <v>0.52</v>
      </c>
      <c r="AU28" s="2">
        <v>0.50600000000000001</v>
      </c>
      <c r="AV28" s="2">
        <v>0.49880000000000002</v>
      </c>
      <c r="AW28" s="2">
        <v>0.4975</v>
      </c>
      <c r="AX28" s="10">
        <f t="shared" si="8"/>
        <v>0.25714285714285706</v>
      </c>
      <c r="AY28" s="10">
        <f t="shared" si="9"/>
        <v>0.27714285714285708</v>
      </c>
      <c r="AZ28" s="10">
        <f t="shared" si="10"/>
        <v>0.28742857142857137</v>
      </c>
      <c r="BA28" s="10">
        <f t="shared" si="11"/>
        <v>0.28928571428571426</v>
      </c>
      <c r="BB28" s="2">
        <f t="shared" si="21"/>
        <v>0.27774999999999994</v>
      </c>
      <c r="BC28" s="6">
        <v>20882.689900440582</v>
      </c>
      <c r="BD28" s="6">
        <v>20599.191573439803</v>
      </c>
      <c r="BE28" s="6">
        <v>21828.481180483039</v>
      </c>
      <c r="BF28" s="6">
        <v>23543.968460895008</v>
      </c>
      <c r="BG28" s="6">
        <v>8325</v>
      </c>
      <c r="BH28" s="6">
        <v>9389</v>
      </c>
      <c r="BI28" s="6">
        <v>7123</v>
      </c>
      <c r="BJ28" s="6">
        <v>6988</v>
      </c>
      <c r="BK28" s="10">
        <f t="shared" si="12"/>
        <v>0.60134446090566329</v>
      </c>
      <c r="BL28" s="10">
        <f t="shared" si="13"/>
        <v>0.54420541376458709</v>
      </c>
      <c r="BM28" s="10">
        <f t="shared" si="14"/>
        <v>0.6736832058490303</v>
      </c>
      <c r="BN28" s="10">
        <f t="shared" si="15"/>
        <v>0.70319362211147152</v>
      </c>
      <c r="BO28" s="2">
        <f t="shared" si="22"/>
        <v>0.63060667565768802</v>
      </c>
      <c r="BP28" s="10">
        <v>2.2606264492803674E-2</v>
      </c>
      <c r="BQ28" s="10">
        <v>4.7609567216756576E-2</v>
      </c>
      <c r="BR28" s="10">
        <v>2.7381331817021404E-2</v>
      </c>
      <c r="BS28" s="10">
        <v>-4.6091211537806487E-3</v>
      </c>
      <c r="BT28" s="11" t="s">
        <v>459</v>
      </c>
    </row>
    <row r="29" spans="1:72">
      <c r="A29">
        <f>COUNTIFS($J$7:J29,J29,$N$7:N29,N29,$E$7:E29,E29)</f>
        <v>10</v>
      </c>
      <c r="B29" s="16" t="str">
        <f t="shared" si="16"/>
        <v>Low</v>
      </c>
      <c r="C29" s="16" t="str">
        <f t="shared" si="17"/>
        <v>10LowNoTechnology</v>
      </c>
      <c r="D29" s="1">
        <v>10218</v>
      </c>
      <c r="E29" s="1" t="s">
        <v>23</v>
      </c>
      <c r="F29" s="1" t="s">
        <v>39</v>
      </c>
      <c r="G29" s="1" t="s">
        <v>49</v>
      </c>
      <c r="H29" s="1">
        <v>16</v>
      </c>
      <c r="I29" s="1" t="s">
        <v>41</v>
      </c>
      <c r="J29" s="1" t="s">
        <v>27</v>
      </c>
      <c r="K29" s="1">
        <v>2</v>
      </c>
      <c r="L29" s="1">
        <v>1</v>
      </c>
      <c r="M29" s="2">
        <v>0.14881064720297096</v>
      </c>
      <c r="N29" s="27" t="str">
        <f t="shared" si="18"/>
        <v>Low</v>
      </c>
      <c r="O29" s="1">
        <v>1</v>
      </c>
      <c r="P29" s="6">
        <v>44.584273711397017</v>
      </c>
      <c r="Q29" s="6">
        <v>42.351782466185902</v>
      </c>
      <c r="R29" s="6">
        <v>40.57336511872461</v>
      </c>
      <c r="S29" s="6">
        <v>40.677973749317069</v>
      </c>
      <c r="T29" s="6">
        <v>28.75</v>
      </c>
      <c r="U29" s="6">
        <v>30.4</v>
      </c>
      <c r="V29" s="6">
        <v>29.5</v>
      </c>
      <c r="W29" s="6">
        <v>28.5</v>
      </c>
      <c r="X29" s="10">
        <f t="shared" si="0"/>
        <v>0.35515378839398526</v>
      </c>
      <c r="Y29" s="10">
        <f t="shared" si="1"/>
        <v>0.28220258440664991</v>
      </c>
      <c r="Z29" s="10">
        <f t="shared" si="2"/>
        <v>0.27292202868364623</v>
      </c>
      <c r="AA29" s="10">
        <f t="shared" si="3"/>
        <v>0.299375131720309</v>
      </c>
      <c r="AB29" s="2">
        <f t="shared" si="19"/>
        <v>0.30241338330114759</v>
      </c>
      <c r="AC29" s="6">
        <v>40.512139891704379</v>
      </c>
      <c r="AD29" s="6">
        <v>41.568321878177727</v>
      </c>
      <c r="AE29" s="6">
        <v>36.237014309214366</v>
      </c>
      <c r="AF29" s="6">
        <v>34.457724754166485</v>
      </c>
      <c r="AG29" s="6">
        <v>40</v>
      </c>
      <c r="AH29" s="6">
        <v>39.799999999999997</v>
      </c>
      <c r="AI29" s="6">
        <v>40</v>
      </c>
      <c r="AJ29" s="6">
        <v>38.5</v>
      </c>
      <c r="AK29" s="10">
        <f t="shared" si="4"/>
        <v>1.2641640087969024E-2</v>
      </c>
      <c r="AL29" s="10">
        <f t="shared" si="5"/>
        <v>4.254013148185451E-2</v>
      </c>
      <c r="AM29" s="10">
        <f t="shared" si="6"/>
        <v>-0.10384370132361538</v>
      </c>
      <c r="AN29" s="10">
        <f t="shared" si="7"/>
        <v>-0.11731114792611895</v>
      </c>
      <c r="AO29" s="2">
        <f t="shared" si="20"/>
        <v>-4.1493269419977698E-2</v>
      </c>
      <c r="AP29" s="2">
        <v>0</v>
      </c>
      <c r="AQ29" s="2">
        <v>0</v>
      </c>
      <c r="AR29" s="2">
        <v>0</v>
      </c>
      <c r="AS29" s="2">
        <v>0</v>
      </c>
      <c r="AT29" s="2">
        <v>0.52</v>
      </c>
      <c r="AU29" s="2">
        <v>0.52</v>
      </c>
      <c r="AV29" s="2">
        <v>0.52</v>
      </c>
      <c r="AW29" s="2">
        <v>0.52</v>
      </c>
      <c r="AX29" s="10" t="str">
        <f t="shared" si="8"/>
        <v/>
      </c>
      <c r="AY29" s="10" t="str">
        <f t="shared" si="9"/>
        <v/>
      </c>
      <c r="AZ29" s="10" t="str">
        <f t="shared" si="10"/>
        <v/>
      </c>
      <c r="BA29" s="10" t="str">
        <f t="shared" si="11"/>
        <v/>
      </c>
      <c r="BB29" s="2" t="str">
        <f t="shared" si="21"/>
        <v>NA</v>
      </c>
      <c r="BC29" s="6">
        <v>8233.8808839484991</v>
      </c>
      <c r="BD29" s="6">
        <v>8075.4896549099003</v>
      </c>
      <c r="BE29" s="6">
        <v>7421.2650132287999</v>
      </c>
      <c r="BF29" s="6">
        <v>7083.0576546052998</v>
      </c>
      <c r="BG29" s="6">
        <v>5155</v>
      </c>
      <c r="BH29" s="6">
        <v>6395</v>
      </c>
      <c r="BI29" s="6">
        <v>5159</v>
      </c>
      <c r="BJ29" s="6">
        <v>4938</v>
      </c>
      <c r="BK29" s="10">
        <f t="shared" si="12"/>
        <v>0.37392827602723877</v>
      </c>
      <c r="BL29" s="10">
        <f t="shared" si="13"/>
        <v>0.20809755528423743</v>
      </c>
      <c r="BM29" s="10">
        <f t="shared" si="14"/>
        <v>0.30483549761343814</v>
      </c>
      <c r="BN29" s="10">
        <f t="shared" si="15"/>
        <v>0.30284345535583984</v>
      </c>
      <c r="BO29" s="2">
        <f t="shared" si="22"/>
        <v>0.29742619607018855</v>
      </c>
      <c r="BP29" s="10">
        <v>-2.7437717548677243E-2</v>
      </c>
      <c r="BQ29" s="10">
        <v>2.8351970711719965E-2</v>
      </c>
      <c r="BR29" s="10">
        <v>-0.16567246199616584</v>
      </c>
      <c r="BS29" s="10">
        <v>-0.10907139088440615</v>
      </c>
      <c r="BT29" s="11">
        <v>0</v>
      </c>
    </row>
    <row r="30" spans="1:72">
      <c r="A30">
        <f>COUNTIFS($J$7:J30,J30,$N$7:N30,N30,$E$7:E30,E30)</f>
        <v>11</v>
      </c>
      <c r="B30" s="16" t="str">
        <f t="shared" si="16"/>
        <v>Low</v>
      </c>
      <c r="C30" s="16" t="str">
        <f t="shared" si="17"/>
        <v>11LowNoTechnology</v>
      </c>
      <c r="D30" s="1">
        <v>10224</v>
      </c>
      <c r="E30" s="1" t="s">
        <v>23</v>
      </c>
      <c r="F30" s="1" t="s">
        <v>39</v>
      </c>
      <c r="G30" s="1" t="s">
        <v>50</v>
      </c>
      <c r="H30" s="1">
        <v>57</v>
      </c>
      <c r="I30" s="1" t="s">
        <v>44</v>
      </c>
      <c r="J30" s="1" t="s">
        <v>27</v>
      </c>
      <c r="K30" s="1">
        <v>1</v>
      </c>
      <c r="L30" s="1">
        <v>1</v>
      </c>
      <c r="M30" s="2">
        <v>0.17973362252245514</v>
      </c>
      <c r="N30" s="27" t="str">
        <f t="shared" si="18"/>
        <v>Low</v>
      </c>
      <c r="O30" s="1">
        <v>1</v>
      </c>
      <c r="P30" s="6">
        <v>47.450747794827748</v>
      </c>
      <c r="Q30" s="6">
        <v>48.886858035820282</v>
      </c>
      <c r="R30" s="6">
        <v>47.800891820569909</v>
      </c>
      <c r="S30" s="6">
        <v>45.767764756275348</v>
      </c>
      <c r="T30" s="6">
        <v>73.5</v>
      </c>
      <c r="U30" s="6">
        <v>73.400000000000006</v>
      </c>
      <c r="V30" s="6">
        <v>72.25</v>
      </c>
      <c r="W30" s="6">
        <v>68.75</v>
      </c>
      <c r="X30" s="10">
        <f t="shared" si="0"/>
        <v>-0.54897453498112592</v>
      </c>
      <c r="Y30" s="10">
        <f t="shared" si="1"/>
        <v>-0.50142600586477659</v>
      </c>
      <c r="Z30" s="10">
        <f t="shared" si="2"/>
        <v>-0.51147807599918116</v>
      </c>
      <c r="AA30" s="10">
        <f t="shared" si="3"/>
        <v>-0.50214895497105294</v>
      </c>
      <c r="AB30" s="2">
        <f t="shared" si="19"/>
        <v>-0.51600689295403412</v>
      </c>
      <c r="AC30" s="6">
        <v>54.619143394434793</v>
      </c>
      <c r="AD30" s="6">
        <v>56.577397502365841</v>
      </c>
      <c r="AE30" s="6">
        <v>44.296150306234885</v>
      </c>
      <c r="AF30" s="6">
        <v>44.153211484050779</v>
      </c>
      <c r="AG30" s="6">
        <v>82.75</v>
      </c>
      <c r="AH30" s="6">
        <v>81.400000000000006</v>
      </c>
      <c r="AI30" s="6">
        <v>80.5</v>
      </c>
      <c r="AJ30" s="6">
        <v>76.5</v>
      </c>
      <c r="AK30" s="10">
        <f t="shared" si="4"/>
        <v>-0.51503657613992337</v>
      </c>
      <c r="AL30" s="10">
        <f t="shared" si="5"/>
        <v>-0.43873708571689218</v>
      </c>
      <c r="AM30" s="10">
        <f t="shared" si="6"/>
        <v>-0.81731368174153174</v>
      </c>
      <c r="AN30" s="10">
        <f t="shared" si="7"/>
        <v>-0.73260330174700139</v>
      </c>
      <c r="AO30" s="2">
        <f t="shared" si="20"/>
        <v>-0.62592266133633712</v>
      </c>
      <c r="AP30" s="2">
        <v>0</v>
      </c>
      <c r="AQ30" s="2">
        <v>0</v>
      </c>
      <c r="AR30" s="2">
        <v>0</v>
      </c>
      <c r="AS30" s="2">
        <v>0</v>
      </c>
      <c r="AT30" s="2">
        <v>0.61</v>
      </c>
      <c r="AU30" s="2">
        <v>0.61</v>
      </c>
      <c r="AV30" s="2">
        <v>0.61</v>
      </c>
      <c r="AW30" s="2">
        <v>0.62450000000000006</v>
      </c>
      <c r="AX30" s="10" t="str">
        <f t="shared" si="8"/>
        <v/>
      </c>
      <c r="AY30" s="10" t="str">
        <f t="shared" si="9"/>
        <v/>
      </c>
      <c r="AZ30" s="10" t="str">
        <f t="shared" si="10"/>
        <v/>
      </c>
      <c r="BA30" s="10" t="str">
        <f t="shared" si="11"/>
        <v/>
      </c>
      <c r="BB30" s="2" t="str">
        <f t="shared" si="21"/>
        <v>NA</v>
      </c>
      <c r="BC30" s="6">
        <v>17517</v>
      </c>
      <c r="BD30" s="6">
        <v>17311</v>
      </c>
      <c r="BE30" s="6">
        <v>16564</v>
      </c>
      <c r="BF30" s="6">
        <v>16516</v>
      </c>
      <c r="BG30" s="6">
        <v>20055</v>
      </c>
      <c r="BH30" s="6">
        <v>24988</v>
      </c>
      <c r="BI30" s="6">
        <v>19891</v>
      </c>
      <c r="BJ30" s="6">
        <v>19588</v>
      </c>
      <c r="BK30" s="10">
        <f t="shared" si="12"/>
        <v>-0.14488782325740709</v>
      </c>
      <c r="BL30" s="10">
        <f t="shared" si="13"/>
        <v>-0.4434752469528046</v>
      </c>
      <c r="BM30" s="10">
        <f t="shared" si="14"/>
        <v>-0.20085728085003623</v>
      </c>
      <c r="BN30" s="10">
        <f t="shared" si="15"/>
        <v>-0.18600145313635263</v>
      </c>
      <c r="BO30" s="2">
        <f t="shared" si="22"/>
        <v>-0.24380545104915016</v>
      </c>
      <c r="BP30" s="10">
        <v>2.6964231097879654E-2</v>
      </c>
      <c r="BQ30" s="10">
        <v>-6.2927479385327389E-4</v>
      </c>
      <c r="BR30" s="10">
        <v>2.3186801809951252E-2</v>
      </c>
      <c r="BS30" s="10">
        <v>1.7197668348381101E-2</v>
      </c>
      <c r="BT30" s="11" t="s">
        <v>459</v>
      </c>
    </row>
    <row r="31" spans="1:72">
      <c r="A31">
        <f>COUNTIFS($J$7:J31,J31,$N$7:N31,N31,$E$7:E31,E31)</f>
        <v>1</v>
      </c>
      <c r="B31" s="16" t="str">
        <f t="shared" si="16"/>
        <v>Critical</v>
      </c>
      <c r="C31" s="16" t="str">
        <f t="shared" si="17"/>
        <v>1CriticalNoTechnology</v>
      </c>
      <c r="D31" s="1">
        <v>10282</v>
      </c>
      <c r="E31" s="1" t="s">
        <v>23</v>
      </c>
      <c r="F31" s="1" t="s">
        <v>51</v>
      </c>
      <c r="G31" s="1" t="s">
        <v>52</v>
      </c>
      <c r="H31" s="1">
        <v>95</v>
      </c>
      <c r="I31" s="1" t="s">
        <v>53</v>
      </c>
      <c r="J31" s="1" t="s">
        <v>27</v>
      </c>
      <c r="K31" s="1">
        <v>2</v>
      </c>
      <c r="L31" s="1">
        <v>2</v>
      </c>
      <c r="M31" s="2">
        <v>-0.49380572267562017</v>
      </c>
      <c r="N31" s="27" t="str">
        <f t="shared" si="18"/>
        <v>Critical</v>
      </c>
      <c r="O31" s="1">
        <v>2</v>
      </c>
      <c r="P31" s="6">
        <v>75.945488303236814</v>
      </c>
      <c r="Q31" s="6">
        <v>99.10649437175536</v>
      </c>
      <c r="R31" s="6">
        <v>101.02604416513779</v>
      </c>
      <c r="S31" s="6">
        <v>100.38378364331636</v>
      </c>
      <c r="T31" s="6">
        <v>54</v>
      </c>
      <c r="U31" s="6">
        <v>52.2</v>
      </c>
      <c r="V31" s="6">
        <v>50</v>
      </c>
      <c r="W31" s="6">
        <v>55.75</v>
      </c>
      <c r="X31" s="10">
        <f t="shared" si="0"/>
        <v>0.28896368689621676</v>
      </c>
      <c r="Y31" s="10">
        <f t="shared" si="1"/>
        <v>0.47329385091360243</v>
      </c>
      <c r="Z31" s="10">
        <f t="shared" si="2"/>
        <v>0.50507811710147044</v>
      </c>
      <c r="AA31" s="10">
        <f t="shared" si="3"/>
        <v>0.44463141379397608</v>
      </c>
      <c r="AB31" s="2">
        <f t="shared" si="19"/>
        <v>0.42799176717631648</v>
      </c>
      <c r="AC31" s="6">
        <v>74.153353292559146</v>
      </c>
      <c r="AD31" s="6">
        <v>99.923178417396628</v>
      </c>
      <c r="AE31" s="6">
        <v>101.24964817178241</v>
      </c>
      <c r="AF31" s="6">
        <v>100.29142464568559</v>
      </c>
      <c r="AG31" s="6">
        <v>52</v>
      </c>
      <c r="AH31" s="6">
        <v>94.2</v>
      </c>
      <c r="AI31" s="6">
        <v>101.25</v>
      </c>
      <c r="AJ31" s="6">
        <v>105.25</v>
      </c>
      <c r="AK31" s="10">
        <f t="shared" si="4"/>
        <v>0.29875052588865331</v>
      </c>
      <c r="AL31" s="10">
        <f t="shared" si="5"/>
        <v>5.7275784337943149E-2</v>
      </c>
      <c r="AM31" s="10">
        <f t="shared" si="6"/>
        <v>-3.4748586680718707E-6</v>
      </c>
      <c r="AN31" s="10">
        <f t="shared" si="7"/>
        <v>-4.9441668336373729E-2</v>
      </c>
      <c r="AO31" s="2">
        <f t="shared" si="20"/>
        <v>7.6645291757888673E-2</v>
      </c>
      <c r="AP31" s="2">
        <v>0</v>
      </c>
      <c r="AQ31" s="2">
        <v>0</v>
      </c>
      <c r="AR31" s="2">
        <v>0</v>
      </c>
      <c r="AS31" s="2">
        <v>0</v>
      </c>
      <c r="AT31" s="2">
        <v>0.68</v>
      </c>
      <c r="AU31" s="2">
        <v>0.68</v>
      </c>
      <c r="AV31" s="2">
        <v>0.68</v>
      </c>
      <c r="AW31" s="2">
        <v>0.68</v>
      </c>
      <c r="AX31" s="10" t="str">
        <f t="shared" si="8"/>
        <v/>
      </c>
      <c r="AY31" s="10" t="str">
        <f t="shared" si="9"/>
        <v/>
      </c>
      <c r="AZ31" s="10" t="str">
        <f t="shared" si="10"/>
        <v/>
      </c>
      <c r="BA31" s="10" t="str">
        <f t="shared" si="11"/>
        <v/>
      </c>
      <c r="BB31" s="2" t="str">
        <f t="shared" si="21"/>
        <v>NA</v>
      </c>
      <c r="BC31" s="6">
        <v>36770</v>
      </c>
      <c r="BD31" s="6">
        <v>46280</v>
      </c>
      <c r="BE31" s="6">
        <v>49545</v>
      </c>
      <c r="BF31" s="6">
        <v>48805</v>
      </c>
      <c r="BG31" s="6">
        <v>24961</v>
      </c>
      <c r="BH31" s="6">
        <v>56881</v>
      </c>
      <c r="BI31" s="6">
        <v>48613</v>
      </c>
      <c r="BJ31" s="6">
        <v>49357</v>
      </c>
      <c r="BK31" s="10">
        <f t="shared" si="12"/>
        <v>0.32115855316834374</v>
      </c>
      <c r="BL31" s="10">
        <f t="shared" si="13"/>
        <v>-0.22906222990492653</v>
      </c>
      <c r="BM31" s="10">
        <f t="shared" si="14"/>
        <v>1.8811181753961046E-2</v>
      </c>
      <c r="BN31" s="10">
        <f t="shared" si="15"/>
        <v>-1.1310316565925623E-2</v>
      </c>
      <c r="BO31" s="2">
        <f t="shared" si="22"/>
        <v>2.4899297112863157E-2</v>
      </c>
      <c r="BP31" s="10">
        <v>0.15487384759931999</v>
      </c>
      <c r="BQ31" s="10">
        <v>-2.5661291108135753E-2</v>
      </c>
      <c r="BR31" s="10">
        <v>-1.3911239040241274E-2</v>
      </c>
      <c r="BS31" s="10">
        <v>-2.917811496641276E-3</v>
      </c>
      <c r="BT31" s="11" t="s">
        <v>458</v>
      </c>
    </row>
    <row r="32" spans="1:72">
      <c r="A32">
        <f>COUNTIFS($J$7:J32,J32,$N$7:N32,N32,$E$7:E32,E32)</f>
        <v>12</v>
      </c>
      <c r="B32" s="16" t="str">
        <f t="shared" si="16"/>
        <v>Low</v>
      </c>
      <c r="C32" s="16" t="str">
        <f t="shared" si="17"/>
        <v>12LowNoTechnology</v>
      </c>
      <c r="D32" s="1">
        <v>10283</v>
      </c>
      <c r="E32" s="1" t="s">
        <v>23</v>
      </c>
      <c r="F32" s="1" t="s">
        <v>51</v>
      </c>
      <c r="G32" s="1" t="s">
        <v>54</v>
      </c>
      <c r="H32" s="1">
        <v>94</v>
      </c>
      <c r="I32" s="1" t="s">
        <v>53</v>
      </c>
      <c r="J32" s="1" t="s">
        <v>27</v>
      </c>
      <c r="K32" s="1">
        <v>2</v>
      </c>
      <c r="L32" s="1">
        <v>1</v>
      </c>
      <c r="M32" s="2">
        <v>0.23070635160270717</v>
      </c>
      <c r="N32" s="27" t="str">
        <f t="shared" si="18"/>
        <v>Low</v>
      </c>
      <c r="O32" s="1">
        <v>1</v>
      </c>
      <c r="P32" s="6">
        <v>79.947654766884185</v>
      </c>
      <c r="Q32" s="6">
        <v>106.79212500957981</v>
      </c>
      <c r="R32" s="6">
        <v>105.1068330170165</v>
      </c>
      <c r="S32" s="6">
        <v>100.2751798286284</v>
      </c>
      <c r="T32" s="6">
        <v>81.75</v>
      </c>
      <c r="U32" s="6">
        <v>83</v>
      </c>
      <c r="V32" s="6">
        <v>81.75</v>
      </c>
      <c r="W32" s="6">
        <v>80.5</v>
      </c>
      <c r="X32" s="10">
        <f t="shared" si="0"/>
        <v>-2.2544066344049665E-2</v>
      </c>
      <c r="Y32" s="10">
        <f t="shared" si="1"/>
        <v>0.22278913363176853</v>
      </c>
      <c r="Z32" s="10">
        <f t="shared" si="2"/>
        <v>0.22221992944298011</v>
      </c>
      <c r="AA32" s="10">
        <f t="shared" si="3"/>
        <v>0.19720911857175863</v>
      </c>
      <c r="AB32" s="2">
        <f t="shared" si="19"/>
        <v>0.15491852882561438</v>
      </c>
      <c r="AC32" s="6">
        <v>80.156017789448669</v>
      </c>
      <c r="AD32" s="6">
        <v>107.68430603827031</v>
      </c>
      <c r="AE32" s="6">
        <v>101.70854491440473</v>
      </c>
      <c r="AF32" s="6">
        <v>99.615468305023754</v>
      </c>
      <c r="AG32" s="6">
        <v>62.25</v>
      </c>
      <c r="AH32" s="6">
        <v>183.2</v>
      </c>
      <c r="AI32" s="6">
        <v>161</v>
      </c>
      <c r="AJ32" s="6">
        <v>169.25</v>
      </c>
      <c r="AK32" s="10">
        <f t="shared" si="4"/>
        <v>0.22338956304545515</v>
      </c>
      <c r="AL32" s="10">
        <f t="shared" si="5"/>
        <v>-0.70126926327492789</v>
      </c>
      <c r="AM32" s="10">
        <f t="shared" si="6"/>
        <v>-0.58295451120152608</v>
      </c>
      <c r="AN32" s="10">
        <f t="shared" si="7"/>
        <v>-0.69903332162987453</v>
      </c>
      <c r="AO32" s="2">
        <f t="shared" si="20"/>
        <v>-0.43996688326521832</v>
      </c>
      <c r="AP32" s="2">
        <v>0</v>
      </c>
      <c r="AQ32" s="2">
        <v>0</v>
      </c>
      <c r="AR32" s="2">
        <v>0</v>
      </c>
      <c r="AS32" s="2">
        <v>0</v>
      </c>
      <c r="AT32" s="2">
        <v>0.58666666666666678</v>
      </c>
      <c r="AU32" s="2">
        <v>0.58666666666666678</v>
      </c>
      <c r="AV32" s="2">
        <v>0.58666666666666678</v>
      </c>
      <c r="AW32" s="2">
        <v>0.58666666666666678</v>
      </c>
      <c r="AX32" s="10" t="str">
        <f t="shared" si="8"/>
        <v/>
      </c>
      <c r="AY32" s="10" t="str">
        <f t="shared" si="9"/>
        <v/>
      </c>
      <c r="AZ32" s="10" t="str">
        <f t="shared" si="10"/>
        <v/>
      </c>
      <c r="BA32" s="10" t="str">
        <f t="shared" si="11"/>
        <v/>
      </c>
      <c r="BB32" s="2" t="str">
        <f t="shared" si="21"/>
        <v>NA</v>
      </c>
      <c r="BC32" s="6">
        <v>34338</v>
      </c>
      <c r="BD32" s="6">
        <v>44430.799999999996</v>
      </c>
      <c r="BE32" s="6">
        <v>43762.8</v>
      </c>
      <c r="BF32" s="6">
        <v>42885.599999999999</v>
      </c>
      <c r="BG32" s="6">
        <v>28610</v>
      </c>
      <c r="BH32" s="6">
        <v>98038</v>
      </c>
      <c r="BI32" s="6">
        <v>71142</v>
      </c>
      <c r="BJ32" s="6">
        <v>71975</v>
      </c>
      <c r="BK32" s="10">
        <f t="shared" si="12"/>
        <v>0.1668122779428039</v>
      </c>
      <c r="BL32" s="10">
        <f t="shared" si="13"/>
        <v>-1.206532405448473</v>
      </c>
      <c r="BM32" s="10">
        <f t="shared" si="14"/>
        <v>-0.62562724505744594</v>
      </c>
      <c r="BN32" s="10">
        <f t="shared" si="15"/>
        <v>-0.67830227395675946</v>
      </c>
      <c r="BO32" s="2">
        <f t="shared" si="22"/>
        <v>-0.58591241162996865</v>
      </c>
      <c r="BP32" s="10">
        <v>-1.0560111408832229E-2</v>
      </c>
      <c r="BQ32" s="10">
        <v>-9.432964938743349E-3</v>
      </c>
      <c r="BR32" s="10">
        <v>-1.0000000000000009E-2</v>
      </c>
      <c r="BS32" s="10">
        <v>-9.9999999999998979E-3</v>
      </c>
      <c r="BT32" s="11">
        <v>0</v>
      </c>
    </row>
    <row r="33" spans="1:72">
      <c r="A33">
        <f>COUNTIFS($J$7:J33,J33,$N$7:N33,N33,$E$7:E33,E33)</f>
        <v>13</v>
      </c>
      <c r="B33" s="16" t="str">
        <f t="shared" si="16"/>
        <v>Low</v>
      </c>
      <c r="C33" s="16" t="str">
        <f t="shared" si="17"/>
        <v>13LowNoTechnology</v>
      </c>
      <c r="D33" s="1">
        <v>10288</v>
      </c>
      <c r="E33" s="1" t="s">
        <v>23</v>
      </c>
      <c r="F33" s="1" t="s">
        <v>51</v>
      </c>
      <c r="G33" s="1" t="s">
        <v>55</v>
      </c>
      <c r="H33" s="1">
        <v>12</v>
      </c>
      <c r="I33" s="1" t="s">
        <v>53</v>
      </c>
      <c r="J33" s="1" t="s">
        <v>27</v>
      </c>
      <c r="K33" s="1">
        <v>1</v>
      </c>
      <c r="L33" s="1">
        <v>1</v>
      </c>
      <c r="M33" s="2">
        <v>0.30794293741423961</v>
      </c>
      <c r="N33" s="27" t="str">
        <f t="shared" si="18"/>
        <v>Low</v>
      </c>
      <c r="O33" s="1">
        <v>1</v>
      </c>
      <c r="P33" s="6">
        <v>4.9999687499999999</v>
      </c>
      <c r="Q33" s="6">
        <v>4.999968749999999</v>
      </c>
      <c r="R33" s="6">
        <v>4.9999687499999999</v>
      </c>
      <c r="S33" s="6">
        <v>4.9999687499999999</v>
      </c>
      <c r="T33" s="6">
        <v>5</v>
      </c>
      <c r="U33" s="6">
        <v>5</v>
      </c>
      <c r="V33" s="6">
        <v>5</v>
      </c>
      <c r="W33" s="6">
        <v>4.25</v>
      </c>
      <c r="X33" s="10">
        <f t="shared" si="0"/>
        <v>-6.2500390627739856E-6</v>
      </c>
      <c r="Y33" s="10">
        <f t="shared" si="1"/>
        <v>-6.2500390629516236E-6</v>
      </c>
      <c r="Z33" s="10">
        <f t="shared" si="2"/>
        <v>-6.2500390627739856E-6</v>
      </c>
      <c r="AA33" s="10">
        <f t="shared" si="3"/>
        <v>0.14999468746679664</v>
      </c>
      <c r="AB33" s="2">
        <f t="shared" si="19"/>
        <v>3.7493984337402038E-2</v>
      </c>
      <c r="AC33" s="6">
        <v>6</v>
      </c>
      <c r="AD33" s="6">
        <v>5</v>
      </c>
      <c r="AE33" s="6">
        <v>5</v>
      </c>
      <c r="AF33" s="6">
        <v>5</v>
      </c>
      <c r="AG33" s="6">
        <v>6</v>
      </c>
      <c r="AH33" s="6">
        <v>6</v>
      </c>
      <c r="AI33" s="6">
        <v>6</v>
      </c>
      <c r="AJ33" s="6">
        <v>6</v>
      </c>
      <c r="AK33" s="10">
        <f t="shared" si="4"/>
        <v>0</v>
      </c>
      <c r="AL33" s="10">
        <f t="shared" si="5"/>
        <v>-0.2</v>
      </c>
      <c r="AM33" s="10">
        <f t="shared" si="6"/>
        <v>-0.2</v>
      </c>
      <c r="AN33" s="10">
        <f t="shared" si="7"/>
        <v>-0.2</v>
      </c>
      <c r="AO33" s="2">
        <f t="shared" si="20"/>
        <v>-0.15000000000000002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0" t="str">
        <f t="shared" si="8"/>
        <v/>
      </c>
      <c r="AY33" s="10" t="str">
        <f t="shared" si="9"/>
        <v/>
      </c>
      <c r="AZ33" s="10" t="str">
        <f t="shared" si="10"/>
        <v/>
      </c>
      <c r="BA33" s="10" t="str">
        <f t="shared" si="11"/>
        <v/>
      </c>
      <c r="BB33" s="2" t="str">
        <f t="shared" si="21"/>
        <v>NA</v>
      </c>
      <c r="BC33" s="6">
        <v>0</v>
      </c>
      <c r="BD33" s="6">
        <v>0</v>
      </c>
      <c r="BE33" s="6">
        <v>0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10" t="str">
        <f t="shared" si="12"/>
        <v/>
      </c>
      <c r="BL33" s="10" t="str">
        <f t="shared" si="13"/>
        <v/>
      </c>
      <c r="BM33" s="10" t="str">
        <f t="shared" si="14"/>
        <v/>
      </c>
      <c r="BN33" s="10" t="str">
        <f t="shared" si="15"/>
        <v/>
      </c>
      <c r="BO33" s="2" t="str">
        <f t="shared" si="22"/>
        <v>NA</v>
      </c>
      <c r="BP33" s="10">
        <v>-2.4025946951301447E-2</v>
      </c>
      <c r="BQ33" s="10">
        <v>-7.5613212943289598E-3</v>
      </c>
      <c r="BR33" s="10">
        <v>-1.0000000000000009E-2</v>
      </c>
      <c r="BS33" s="10">
        <v>-1.000000000000012E-2</v>
      </c>
      <c r="BT33" s="11" t="s">
        <v>460</v>
      </c>
    </row>
    <row r="34" spans="1:72">
      <c r="A34">
        <f>COUNTIFS($J$7:J34,J34,$N$7:N34,N34,$E$7:E34,E34)</f>
        <v>14</v>
      </c>
      <c r="B34" s="16" t="str">
        <f t="shared" si="16"/>
        <v>Low</v>
      </c>
      <c r="C34" s="16" t="str">
        <f t="shared" si="17"/>
        <v>14LowNoTechnology</v>
      </c>
      <c r="D34" s="1">
        <v>10290</v>
      </c>
      <c r="E34" s="1" t="s">
        <v>23</v>
      </c>
      <c r="F34" s="1" t="s">
        <v>51</v>
      </c>
      <c r="G34" s="1" t="s">
        <v>56</v>
      </c>
      <c r="H34" s="1">
        <v>21</v>
      </c>
      <c r="I34" s="1" t="s">
        <v>53</v>
      </c>
      <c r="J34" s="1" t="s">
        <v>27</v>
      </c>
      <c r="K34" s="1">
        <v>1</v>
      </c>
      <c r="L34" s="1">
        <v>1</v>
      </c>
      <c r="M34" s="2">
        <v>0.39224991036282342</v>
      </c>
      <c r="N34" s="27" t="str">
        <f t="shared" si="18"/>
        <v>Low</v>
      </c>
      <c r="O34" s="1">
        <v>1</v>
      </c>
      <c r="P34" s="6">
        <v>19.999500000000001</v>
      </c>
      <c r="Q34" s="6">
        <v>21.934935483870969</v>
      </c>
      <c r="R34" s="6">
        <v>21.99945</v>
      </c>
      <c r="S34" s="6">
        <v>21.99945</v>
      </c>
      <c r="T34" s="6">
        <v>17.5</v>
      </c>
      <c r="U34" s="6">
        <v>0</v>
      </c>
      <c r="V34" s="6">
        <v>0</v>
      </c>
      <c r="W34" s="6">
        <v>0</v>
      </c>
      <c r="X34" s="10">
        <f t="shared" si="0"/>
        <v>0.12497812445311138</v>
      </c>
      <c r="Y34" s="10">
        <f t="shared" si="1"/>
        <v>1</v>
      </c>
      <c r="Z34" s="10">
        <f t="shared" si="2"/>
        <v>1</v>
      </c>
      <c r="AA34" s="10">
        <f t="shared" si="3"/>
        <v>1</v>
      </c>
      <c r="AB34" s="2">
        <f t="shared" si="19"/>
        <v>0.12497812445311138</v>
      </c>
      <c r="AC34" s="6">
        <v>20</v>
      </c>
      <c r="AD34" s="6">
        <v>22</v>
      </c>
      <c r="AE34" s="6">
        <v>22</v>
      </c>
      <c r="AF34" s="6">
        <v>22</v>
      </c>
      <c r="AG34" s="6">
        <v>20</v>
      </c>
      <c r="AH34" s="6">
        <v>0</v>
      </c>
      <c r="AI34" s="6">
        <v>0</v>
      </c>
      <c r="AJ34" s="6">
        <v>0</v>
      </c>
      <c r="AK34" s="10">
        <f t="shared" si="4"/>
        <v>0</v>
      </c>
      <c r="AL34" s="10">
        <f t="shared" si="5"/>
        <v>1</v>
      </c>
      <c r="AM34" s="10">
        <f t="shared" si="6"/>
        <v>1</v>
      </c>
      <c r="AN34" s="10">
        <f t="shared" si="7"/>
        <v>1</v>
      </c>
      <c r="AO34" s="2">
        <f t="shared" si="20"/>
        <v>0</v>
      </c>
      <c r="AP34" s="2">
        <v>0</v>
      </c>
      <c r="AQ34" s="2">
        <v>0</v>
      </c>
      <c r="AR34" s="2">
        <v>0</v>
      </c>
      <c r="AS34" s="2">
        <v>0</v>
      </c>
      <c r="AT34" s="2">
        <v>0.7</v>
      </c>
      <c r="AU34" s="2">
        <v>0</v>
      </c>
      <c r="AV34" s="2">
        <v>0</v>
      </c>
      <c r="AW34" s="2">
        <v>0</v>
      </c>
      <c r="AX34" s="10" t="str">
        <f t="shared" si="8"/>
        <v/>
      </c>
      <c r="AY34" s="10" t="str">
        <f t="shared" si="9"/>
        <v/>
      </c>
      <c r="AZ34" s="10" t="str">
        <f t="shared" si="10"/>
        <v/>
      </c>
      <c r="BA34" s="10" t="str">
        <f t="shared" si="11"/>
        <v/>
      </c>
      <c r="BB34" s="2" t="str">
        <f t="shared" si="21"/>
        <v>NA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10" t="str">
        <f t="shared" si="12"/>
        <v/>
      </c>
      <c r="BL34" s="10" t="str">
        <f t="shared" si="13"/>
        <v/>
      </c>
      <c r="BM34" s="10" t="str">
        <f t="shared" si="14"/>
        <v/>
      </c>
      <c r="BN34" s="10" t="str">
        <f t="shared" si="15"/>
        <v/>
      </c>
      <c r="BO34" s="2" t="str">
        <f t="shared" si="22"/>
        <v>NA</v>
      </c>
      <c r="BP34" s="10">
        <v>-1.0000000000000009E-2</v>
      </c>
      <c r="BQ34" s="10">
        <v>-1.0000000000000009E-2</v>
      </c>
      <c r="BR34" s="10">
        <v>-1.0000000000000009E-2</v>
      </c>
      <c r="BS34" s="10">
        <v>-1.0000000000000009E-2</v>
      </c>
      <c r="BT34" s="11" t="s">
        <v>460</v>
      </c>
    </row>
    <row r="35" spans="1:72">
      <c r="A35">
        <f>COUNTIFS($J$7:J35,J35,$N$7:N35,N35,$E$7:E35,E35)</f>
        <v>15</v>
      </c>
      <c r="B35" s="16" t="str">
        <f t="shared" si="16"/>
        <v>Low</v>
      </c>
      <c r="C35" s="16" t="str">
        <f t="shared" si="17"/>
        <v>15LowNoTechnology</v>
      </c>
      <c r="D35" s="1">
        <v>10292</v>
      </c>
      <c r="E35" s="1" t="s">
        <v>23</v>
      </c>
      <c r="F35" s="1" t="s">
        <v>51</v>
      </c>
      <c r="G35" s="1" t="s">
        <v>57</v>
      </c>
      <c r="H35" s="1">
        <v>4</v>
      </c>
      <c r="I35" s="1" t="s">
        <v>53</v>
      </c>
      <c r="J35" s="1" t="s">
        <v>27</v>
      </c>
      <c r="K35" s="1">
        <v>1</v>
      </c>
      <c r="L35" s="1">
        <v>1</v>
      </c>
      <c r="M35" s="2">
        <v>0.32508520778112471</v>
      </c>
      <c r="N35" s="27" t="str">
        <f t="shared" si="18"/>
        <v>Low</v>
      </c>
      <c r="O35" s="1">
        <v>1</v>
      </c>
      <c r="P35" s="6">
        <v>5.4307772119662392</v>
      </c>
      <c r="Q35" s="6">
        <v>7.7017369207467121</v>
      </c>
      <c r="R35" s="6">
        <v>8.5175039081289068</v>
      </c>
      <c r="S35" s="6">
        <v>8.6648655674390955</v>
      </c>
      <c r="T35" s="6">
        <v>4</v>
      </c>
      <c r="U35" s="6">
        <v>3.6</v>
      </c>
      <c r="V35" s="6">
        <v>3</v>
      </c>
      <c r="W35" s="6">
        <v>3</v>
      </c>
      <c r="X35" s="10">
        <f t="shared" si="0"/>
        <v>0.26345717309368677</v>
      </c>
      <c r="Y35" s="10">
        <f t="shared" si="1"/>
        <v>0.53257297190943687</v>
      </c>
      <c r="Z35" s="10">
        <f t="shared" si="2"/>
        <v>0.64778413577986504</v>
      </c>
      <c r="AA35" s="10">
        <f t="shared" si="3"/>
        <v>0.65377420149789456</v>
      </c>
      <c r="AB35" s="2">
        <f t="shared" si="19"/>
        <v>0.52439712057022081</v>
      </c>
      <c r="AC35" s="6">
        <v>4.7596058625470388</v>
      </c>
      <c r="AD35" s="6">
        <v>7.7808901338313081</v>
      </c>
      <c r="AE35" s="6">
        <v>8.6650821944939587</v>
      </c>
      <c r="AF35" s="6">
        <v>8.6650821944939587</v>
      </c>
      <c r="AG35" s="6">
        <v>4</v>
      </c>
      <c r="AH35" s="6">
        <v>4</v>
      </c>
      <c r="AI35" s="6">
        <v>4</v>
      </c>
      <c r="AJ35" s="6">
        <v>4</v>
      </c>
      <c r="AK35" s="10">
        <f t="shared" si="4"/>
        <v>0.15959427828348499</v>
      </c>
      <c r="AL35" s="10">
        <f t="shared" si="5"/>
        <v>0.48591999999999985</v>
      </c>
      <c r="AM35" s="10">
        <f t="shared" si="6"/>
        <v>0.53837714285714278</v>
      </c>
      <c r="AN35" s="10">
        <f t="shared" si="7"/>
        <v>0.53837714285714278</v>
      </c>
      <c r="AO35" s="2">
        <f t="shared" si="20"/>
        <v>0.4305671409994426</v>
      </c>
      <c r="AP35" s="2">
        <v>0</v>
      </c>
      <c r="AQ35" s="2">
        <v>0</v>
      </c>
      <c r="AR35" s="2">
        <v>0</v>
      </c>
      <c r="AS35" s="2">
        <v>0</v>
      </c>
      <c r="AT35" s="2">
        <v>0.75</v>
      </c>
      <c r="AU35" s="2">
        <v>0.75</v>
      </c>
      <c r="AV35" s="2">
        <v>0.75</v>
      </c>
      <c r="AW35" s="2">
        <v>0.75</v>
      </c>
      <c r="AX35" s="10" t="str">
        <f t="shared" si="8"/>
        <v/>
      </c>
      <c r="AY35" s="10" t="str">
        <f t="shared" si="9"/>
        <v/>
      </c>
      <c r="AZ35" s="10" t="str">
        <f t="shared" si="10"/>
        <v/>
      </c>
      <c r="BA35" s="10" t="str">
        <f t="shared" si="11"/>
        <v/>
      </c>
      <c r="BB35" s="2" t="str">
        <f t="shared" si="21"/>
        <v>NA</v>
      </c>
      <c r="BC35" s="6">
        <v>769</v>
      </c>
      <c r="BD35" s="6">
        <v>1200</v>
      </c>
      <c r="BE35" s="6">
        <v>1400</v>
      </c>
      <c r="BF35" s="6">
        <v>1400</v>
      </c>
      <c r="BG35" s="6">
        <v>930</v>
      </c>
      <c r="BH35" s="6">
        <v>1136</v>
      </c>
      <c r="BI35" s="6">
        <v>928</v>
      </c>
      <c r="BJ35" s="6">
        <v>904</v>
      </c>
      <c r="BK35" s="10">
        <f t="shared" si="12"/>
        <v>-0.20936280884265279</v>
      </c>
      <c r="BL35" s="10">
        <f t="shared" si="13"/>
        <v>5.3333333333333337E-2</v>
      </c>
      <c r="BM35" s="10">
        <f t="shared" si="14"/>
        <v>0.33714285714285713</v>
      </c>
      <c r="BN35" s="10">
        <f t="shared" si="15"/>
        <v>0.35428571428571426</v>
      </c>
      <c r="BO35" s="2">
        <f t="shared" si="22"/>
        <v>0.13384977397981299</v>
      </c>
      <c r="BP35" s="10">
        <v>-9.9999999999999534E-3</v>
      </c>
      <c r="BQ35" s="10">
        <v>-1.0000000000000009E-2</v>
      </c>
      <c r="BR35" s="10">
        <v>-1.0000000000000009E-2</v>
      </c>
      <c r="BS35" s="10">
        <v>-1.000000000000012E-2</v>
      </c>
      <c r="BT35" s="11" t="s">
        <v>458</v>
      </c>
    </row>
    <row r="36" spans="1:72">
      <c r="A36">
        <f>COUNTIFS($J$7:J36,J36,$N$7:N36,N36,$E$7:E36,E36)</f>
        <v>16</v>
      </c>
      <c r="B36" s="16" t="str">
        <f t="shared" si="16"/>
        <v>Low</v>
      </c>
      <c r="C36" s="16" t="str">
        <f t="shared" si="17"/>
        <v>16LowNoTechnology</v>
      </c>
      <c r="D36" s="1">
        <v>10400</v>
      </c>
      <c r="E36" s="1" t="s">
        <v>23</v>
      </c>
      <c r="F36" s="1" t="s">
        <v>58</v>
      </c>
      <c r="G36" s="1" t="s">
        <v>59</v>
      </c>
      <c r="H36" s="1">
        <v>64</v>
      </c>
      <c r="I36" s="1" t="s">
        <v>35</v>
      </c>
      <c r="J36" s="1" t="s">
        <v>27</v>
      </c>
      <c r="K36" s="1">
        <v>3</v>
      </c>
      <c r="L36" s="1">
        <v>1</v>
      </c>
      <c r="M36" s="2">
        <v>0.23522535879778741</v>
      </c>
      <c r="N36" s="27" t="str">
        <f t="shared" si="18"/>
        <v>Low</v>
      </c>
      <c r="O36" s="1">
        <v>1</v>
      </c>
      <c r="P36" s="6">
        <v>54.998947265624999</v>
      </c>
      <c r="Q36" s="6">
        <v>53.792711589081037</v>
      </c>
      <c r="R36" s="6">
        <v>52.998985546875012</v>
      </c>
      <c r="S36" s="6">
        <v>52.998985546875012</v>
      </c>
      <c r="T36" s="6">
        <v>59.5</v>
      </c>
      <c r="U36" s="6">
        <v>56.5</v>
      </c>
      <c r="V36" s="6">
        <v>0</v>
      </c>
      <c r="W36" s="6">
        <v>0</v>
      </c>
      <c r="X36" s="10">
        <f t="shared" si="0"/>
        <v>-8.1838888890664513E-2</v>
      </c>
      <c r="Y36" s="10">
        <f t="shared" si="1"/>
        <v>-5.0328164001096652E-2</v>
      </c>
      <c r="Z36" s="10">
        <f t="shared" si="2"/>
        <v>1</v>
      </c>
      <c r="AA36" s="10">
        <f t="shared" si="3"/>
        <v>1</v>
      </c>
      <c r="AB36" s="2">
        <f t="shared" si="19"/>
        <v>-6.6083526445880586E-2</v>
      </c>
      <c r="AC36" s="6">
        <v>59</v>
      </c>
      <c r="AD36" s="6">
        <v>53</v>
      </c>
      <c r="AE36" s="6">
        <v>53</v>
      </c>
      <c r="AF36" s="6">
        <v>53</v>
      </c>
      <c r="AG36" s="6">
        <v>59</v>
      </c>
      <c r="AH36" s="6">
        <v>53</v>
      </c>
      <c r="AI36" s="6">
        <v>0</v>
      </c>
      <c r="AJ36" s="6">
        <v>0</v>
      </c>
      <c r="AK36" s="10">
        <f t="shared" si="4"/>
        <v>0</v>
      </c>
      <c r="AL36" s="10">
        <f t="shared" si="5"/>
        <v>0</v>
      </c>
      <c r="AM36" s="10">
        <f t="shared" si="6"/>
        <v>1</v>
      </c>
      <c r="AN36" s="10">
        <f t="shared" si="7"/>
        <v>1</v>
      </c>
      <c r="AO36" s="2">
        <f t="shared" si="20"/>
        <v>0</v>
      </c>
      <c r="AP36" s="2">
        <v>1</v>
      </c>
      <c r="AQ36" s="2">
        <v>1</v>
      </c>
      <c r="AR36" s="2">
        <v>1</v>
      </c>
      <c r="AS36" s="2">
        <v>1</v>
      </c>
      <c r="AT36" s="2">
        <v>0</v>
      </c>
      <c r="AU36" s="2">
        <v>0</v>
      </c>
      <c r="AV36" s="2">
        <v>0</v>
      </c>
      <c r="AW36" s="2">
        <v>0</v>
      </c>
      <c r="AX36" s="10">
        <f t="shared" si="8"/>
        <v>1</v>
      </c>
      <c r="AY36" s="10">
        <f t="shared" si="9"/>
        <v>1</v>
      </c>
      <c r="AZ36" s="10">
        <f t="shared" si="10"/>
        <v>1</v>
      </c>
      <c r="BA36" s="10">
        <f t="shared" si="11"/>
        <v>1</v>
      </c>
      <c r="BB36" s="2" t="str">
        <f t="shared" si="21"/>
        <v>NA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10" t="str">
        <f t="shared" si="12"/>
        <v/>
      </c>
      <c r="BL36" s="10" t="str">
        <f t="shared" si="13"/>
        <v/>
      </c>
      <c r="BM36" s="10" t="str">
        <f t="shared" si="14"/>
        <v/>
      </c>
      <c r="BN36" s="10" t="str">
        <f t="shared" si="15"/>
        <v/>
      </c>
      <c r="BO36" s="2" t="str">
        <f t="shared" si="22"/>
        <v>NA</v>
      </c>
      <c r="BP36" s="10">
        <v>-6.3641152087156039E-3</v>
      </c>
      <c r="BQ36" s="10">
        <v>3.2106667974587388E-3</v>
      </c>
      <c r="BR36" s="10">
        <v>-2.4453552387759814E-4</v>
      </c>
      <c r="BS36" s="10">
        <v>1.0762206279353315E-3</v>
      </c>
      <c r="BT36" s="11" t="s">
        <v>460</v>
      </c>
    </row>
    <row r="37" spans="1:72">
      <c r="A37">
        <f>COUNTIFS($J$7:J37,J37,$N$7:N37,N37,$E$7:E37,E37)</f>
        <v>17</v>
      </c>
      <c r="B37" s="16" t="str">
        <f t="shared" si="16"/>
        <v>Low</v>
      </c>
      <c r="C37" s="16" t="str">
        <f t="shared" si="17"/>
        <v>17LowNoTechnology</v>
      </c>
      <c r="D37" s="1">
        <v>10502</v>
      </c>
      <c r="E37" s="1" t="s">
        <v>23</v>
      </c>
      <c r="F37" s="1" t="s">
        <v>39</v>
      </c>
      <c r="G37" s="1" t="s">
        <v>60</v>
      </c>
      <c r="H37" s="1">
        <v>55</v>
      </c>
      <c r="I37" s="1" t="s">
        <v>44</v>
      </c>
      <c r="J37" s="1" t="s">
        <v>27</v>
      </c>
      <c r="K37" s="1">
        <v>1</v>
      </c>
      <c r="L37" s="1">
        <v>1</v>
      </c>
      <c r="M37" s="2">
        <v>0.33010331433823958</v>
      </c>
      <c r="N37" s="27" t="str">
        <f t="shared" si="18"/>
        <v>Low</v>
      </c>
      <c r="O37" s="1">
        <v>1</v>
      </c>
      <c r="P37" s="6">
        <v>54.505724838841473</v>
      </c>
      <c r="Q37" s="6">
        <v>56.174075374192157</v>
      </c>
      <c r="R37" s="6">
        <v>54.821660406764543</v>
      </c>
      <c r="S37" s="6">
        <v>53.692323891452887</v>
      </c>
      <c r="T37" s="6">
        <v>35</v>
      </c>
      <c r="U37" s="6">
        <v>42.2</v>
      </c>
      <c r="V37" s="6">
        <v>41.75</v>
      </c>
      <c r="W37" s="6">
        <v>40</v>
      </c>
      <c r="X37" s="10">
        <f t="shared" si="0"/>
        <v>0.3578656168047406</v>
      </c>
      <c r="Y37" s="10">
        <f t="shared" si="1"/>
        <v>0.2487637808207202</v>
      </c>
      <c r="Z37" s="10">
        <f t="shared" si="2"/>
        <v>0.23843970266087758</v>
      </c>
      <c r="AA37" s="10">
        <f t="shared" si="3"/>
        <v>0.25501455141211582</v>
      </c>
      <c r="AB37" s="2">
        <f t="shared" si="19"/>
        <v>0.27502091292461356</v>
      </c>
      <c r="AC37" s="6">
        <v>53.559679996461654</v>
      </c>
      <c r="AD37" s="6">
        <v>56.110140948674108</v>
      </c>
      <c r="AE37" s="6">
        <v>53.559679996461654</v>
      </c>
      <c r="AF37" s="6">
        <v>53.559679996461654</v>
      </c>
      <c r="AG37" s="6">
        <v>66.25</v>
      </c>
      <c r="AH37" s="6">
        <v>67</v>
      </c>
      <c r="AI37" s="6">
        <v>65</v>
      </c>
      <c r="AJ37" s="6">
        <v>69.5</v>
      </c>
      <c r="AK37" s="10">
        <f t="shared" si="4"/>
        <v>-0.23693793548386985</v>
      </c>
      <c r="AL37" s="10">
        <f t="shared" si="5"/>
        <v>-0.19408005161290229</v>
      </c>
      <c r="AM37" s="10">
        <f t="shared" si="6"/>
        <v>-0.21359948387096667</v>
      </c>
      <c r="AN37" s="10">
        <f t="shared" si="7"/>
        <v>-0.29761790967741819</v>
      </c>
      <c r="AO37" s="2">
        <f t="shared" si="20"/>
        <v>-0.23555884516128925</v>
      </c>
      <c r="AP37" s="2">
        <v>0</v>
      </c>
      <c r="AQ37" s="2">
        <v>0</v>
      </c>
      <c r="AR37" s="2">
        <v>0</v>
      </c>
      <c r="AS37" s="2">
        <v>0</v>
      </c>
      <c r="AT37" s="2">
        <v>0.7</v>
      </c>
      <c r="AU37" s="2">
        <v>0.7</v>
      </c>
      <c r="AV37" s="2">
        <v>0.7</v>
      </c>
      <c r="AW37" s="2">
        <v>0.7</v>
      </c>
      <c r="AX37" s="10" t="str">
        <f t="shared" si="8"/>
        <v/>
      </c>
      <c r="AY37" s="10" t="str">
        <f t="shared" si="9"/>
        <v/>
      </c>
      <c r="AZ37" s="10" t="str">
        <f t="shared" si="10"/>
        <v/>
      </c>
      <c r="BA37" s="10" t="str">
        <f t="shared" si="11"/>
        <v/>
      </c>
      <c r="BB37" s="2" t="str">
        <f t="shared" si="21"/>
        <v>NA</v>
      </c>
      <c r="BC37" s="6">
        <v>33935.4132457581</v>
      </c>
      <c r="BD37" s="6">
        <v>33935.4132457581</v>
      </c>
      <c r="BE37" s="6">
        <v>33935.4132457581</v>
      </c>
      <c r="BF37" s="6">
        <v>33935.4132457581</v>
      </c>
      <c r="BG37" s="6">
        <v>35569</v>
      </c>
      <c r="BH37" s="6">
        <v>44626</v>
      </c>
      <c r="BI37" s="6">
        <v>34868</v>
      </c>
      <c r="BJ37" s="6">
        <v>37262</v>
      </c>
      <c r="BK37" s="10">
        <f t="shared" si="12"/>
        <v>-4.8138112903224985E-2</v>
      </c>
      <c r="BL37" s="10">
        <f t="shared" si="13"/>
        <v>-0.31502745161290219</v>
      </c>
      <c r="BM37" s="10">
        <f t="shared" si="14"/>
        <v>-2.7481225806450807E-2</v>
      </c>
      <c r="BN37" s="10">
        <f t="shared" si="15"/>
        <v>-9.8026999999999143E-2</v>
      </c>
      <c r="BO37" s="2">
        <f t="shared" si="22"/>
        <v>-0.12216844758064428</v>
      </c>
      <c r="BP37" s="10">
        <v>-3.5394470706068937E-2</v>
      </c>
      <c r="BQ37" s="10">
        <v>5.3370300751480304E-2</v>
      </c>
      <c r="BR37" s="10">
        <v>4.0979328224236333E-2</v>
      </c>
      <c r="BS37" s="10">
        <v>-5.788277018175414E-3</v>
      </c>
      <c r="BT37" s="11" t="s">
        <v>459</v>
      </c>
    </row>
    <row r="38" spans="1:72">
      <c r="A38">
        <f>COUNTIFS($J$7:J38,J38,$N$7:N38,N38,$E$7:E38,E38)</f>
        <v>1</v>
      </c>
      <c r="B38" s="16" t="str">
        <f t="shared" si="16"/>
        <v>Medium</v>
      </c>
      <c r="C38" s="16" t="str">
        <f t="shared" si="17"/>
        <v>1MediumNoTelecom-Non AT&amp;T</v>
      </c>
      <c r="D38" s="1">
        <v>10525</v>
      </c>
      <c r="E38" s="1" t="s">
        <v>485</v>
      </c>
      <c r="F38" s="1" t="s">
        <v>61</v>
      </c>
      <c r="G38" s="1" t="s">
        <v>62</v>
      </c>
      <c r="H38" s="1">
        <v>99</v>
      </c>
      <c r="I38" s="1" t="s">
        <v>63</v>
      </c>
      <c r="J38" s="1" t="s">
        <v>27</v>
      </c>
      <c r="K38" s="1">
        <v>1</v>
      </c>
      <c r="L38" s="1">
        <v>1</v>
      </c>
      <c r="M38" s="2">
        <v>9.1109055983925921E-2</v>
      </c>
      <c r="N38" s="27" t="str">
        <f t="shared" si="18"/>
        <v>Medium</v>
      </c>
      <c r="O38" s="1">
        <v>1</v>
      </c>
      <c r="P38" s="6">
        <v>87.701269854201797</v>
      </c>
      <c r="Q38" s="6">
        <v>93.102731470981155</v>
      </c>
      <c r="R38" s="6">
        <v>99.12259094372962</v>
      </c>
      <c r="S38" s="6">
        <v>95.820911790346855</v>
      </c>
      <c r="T38" s="6">
        <v>84.25</v>
      </c>
      <c r="U38" s="6">
        <v>86.8</v>
      </c>
      <c r="V38" s="6">
        <v>0</v>
      </c>
      <c r="W38" s="6">
        <v>0</v>
      </c>
      <c r="X38" s="10">
        <f t="shared" si="0"/>
        <v>3.9352564221012194E-2</v>
      </c>
      <c r="Y38" s="10">
        <f t="shared" si="1"/>
        <v>6.7696525884910611E-2</v>
      </c>
      <c r="Z38" s="10">
        <f t="shared" si="2"/>
        <v>1</v>
      </c>
      <c r="AA38" s="10">
        <f t="shared" si="3"/>
        <v>1</v>
      </c>
      <c r="AB38" s="2">
        <f t="shared" si="19"/>
        <v>5.3524545052961406E-2</v>
      </c>
      <c r="AC38" s="6">
        <v>91.032045897891862</v>
      </c>
      <c r="AD38" s="6">
        <v>98.061315097903631</v>
      </c>
      <c r="AE38" s="6">
        <v>82.450370956248094</v>
      </c>
      <c r="AF38" s="6">
        <v>74.015662982412493</v>
      </c>
      <c r="AG38" s="6">
        <v>86.75</v>
      </c>
      <c r="AH38" s="6">
        <v>86.8</v>
      </c>
      <c r="AI38" s="6">
        <v>0</v>
      </c>
      <c r="AJ38" s="6">
        <v>0</v>
      </c>
      <c r="AK38" s="10">
        <f t="shared" si="4"/>
        <v>4.7038884556048703E-2</v>
      </c>
      <c r="AL38" s="10">
        <f t="shared" si="5"/>
        <v>0.11483952756151013</v>
      </c>
      <c r="AM38" s="10">
        <f t="shared" si="6"/>
        <v>1</v>
      </c>
      <c r="AN38" s="10">
        <f t="shared" si="7"/>
        <v>1</v>
      </c>
      <c r="AO38" s="2">
        <f t="shared" si="20"/>
        <v>8.0939206058779412E-2</v>
      </c>
      <c r="AP38" s="2">
        <v>0</v>
      </c>
      <c r="AQ38" s="2">
        <v>0</v>
      </c>
      <c r="AR38" s="2">
        <v>0</v>
      </c>
      <c r="AS38" s="2">
        <v>0</v>
      </c>
      <c r="AT38" s="2">
        <v>0.59499999999999997</v>
      </c>
      <c r="AU38" s="2">
        <v>0.59599999999999997</v>
      </c>
      <c r="AV38" s="2">
        <v>0</v>
      </c>
      <c r="AW38" s="2">
        <v>0</v>
      </c>
      <c r="AX38" s="10" t="str">
        <f t="shared" si="8"/>
        <v/>
      </c>
      <c r="AY38" s="10" t="str">
        <f t="shared" si="9"/>
        <v/>
      </c>
      <c r="AZ38" s="10" t="str">
        <f t="shared" si="10"/>
        <v/>
      </c>
      <c r="BA38" s="10" t="str">
        <f t="shared" si="11"/>
        <v/>
      </c>
      <c r="BB38" s="2" t="str">
        <f t="shared" si="21"/>
        <v>NA</v>
      </c>
      <c r="BC38" s="6">
        <v>43827</v>
      </c>
      <c r="BD38" s="6">
        <v>40940.845000000001</v>
      </c>
      <c r="BE38" s="6">
        <v>35964.18</v>
      </c>
      <c r="BF38" s="6">
        <v>32339.014999999999</v>
      </c>
      <c r="BG38" s="6">
        <v>36399</v>
      </c>
      <c r="BH38" s="6">
        <v>46167</v>
      </c>
      <c r="BI38" s="6">
        <v>0</v>
      </c>
      <c r="BJ38" s="6">
        <v>0</v>
      </c>
      <c r="BK38" s="10">
        <f t="shared" si="12"/>
        <v>0.16948456430967213</v>
      </c>
      <c r="BL38" s="10">
        <f t="shared" si="13"/>
        <v>-0.12765137114292582</v>
      </c>
      <c r="BM38" s="10">
        <f t="shared" si="14"/>
        <v>1</v>
      </c>
      <c r="BN38" s="10">
        <f t="shared" si="15"/>
        <v>1</v>
      </c>
      <c r="BO38" s="2">
        <f t="shared" si="22"/>
        <v>2.0916596583373151E-2</v>
      </c>
      <c r="BP38" s="10">
        <v>2.1835167791946108E-2</v>
      </c>
      <c r="BQ38" s="10">
        <v>-0.18001784629215267</v>
      </c>
      <c r="BR38" s="10">
        <v>-0.20639638565256258</v>
      </c>
      <c r="BS38" s="10">
        <v>-0.25332409688440066</v>
      </c>
      <c r="BT38" s="11" t="s">
        <v>458</v>
      </c>
    </row>
    <row r="39" spans="1:72">
      <c r="A39">
        <f>COUNTIFS($J$7:J39,J39,$N$7:N39,N39,$E$7:E39,E39)</f>
        <v>18</v>
      </c>
      <c r="B39" s="16" t="str">
        <f t="shared" si="16"/>
        <v>Low</v>
      </c>
      <c r="C39" s="16" t="str">
        <f t="shared" si="17"/>
        <v>18LowNoTechnology</v>
      </c>
      <c r="D39" s="1">
        <v>10581</v>
      </c>
      <c r="E39" s="1" t="s">
        <v>23</v>
      </c>
      <c r="F39" s="1" t="s">
        <v>64</v>
      </c>
      <c r="G39" s="1" t="s">
        <v>65</v>
      </c>
      <c r="H39" s="1">
        <v>17</v>
      </c>
      <c r="I39" s="1" t="s">
        <v>66</v>
      </c>
      <c r="J39" s="1" t="s">
        <v>27</v>
      </c>
      <c r="K39" s="1">
        <v>1</v>
      </c>
      <c r="L39" s="1">
        <v>1</v>
      </c>
      <c r="M39" s="2">
        <v>0.28763559918890602</v>
      </c>
      <c r="N39" s="27" t="str">
        <f t="shared" si="18"/>
        <v>Low</v>
      </c>
      <c r="O39" s="1">
        <v>1</v>
      </c>
      <c r="P39" s="6">
        <v>19.018114937639229</v>
      </c>
      <c r="Q39" s="6">
        <v>19.375870467596659</v>
      </c>
      <c r="R39" s="6">
        <v>18.876441882742171</v>
      </c>
      <c r="S39" s="6">
        <v>17.90811519967373</v>
      </c>
      <c r="T39" s="6">
        <v>0</v>
      </c>
      <c r="U39" s="6">
        <v>0</v>
      </c>
      <c r="V39" s="6">
        <v>0</v>
      </c>
      <c r="W39" s="6">
        <v>0</v>
      </c>
      <c r="X39" s="10">
        <f t="shared" ref="X39:X70" si="23">IFERROR(((P39-T39)/P39),"")</f>
        <v>1</v>
      </c>
      <c r="Y39" s="10">
        <f t="shared" ref="Y39:Y70" si="24">IFERROR(((Q39-U39)/Q39),"")</f>
        <v>1</v>
      </c>
      <c r="Z39" s="10">
        <f t="shared" ref="Z39:Z70" si="25">IFERROR(((R39-V39)/R39),"")</f>
        <v>1</v>
      </c>
      <c r="AA39" s="10">
        <f t="shared" ref="AA39:AA70" si="26">IFERROR(((S39-W39)/S39),"")</f>
        <v>1</v>
      </c>
      <c r="AB39" s="2" t="str">
        <f t="shared" si="19"/>
        <v>NA</v>
      </c>
      <c r="AC39" s="6">
        <v>19.021160010521886</v>
      </c>
      <c r="AD39" s="6">
        <v>19.339337760141092</v>
      </c>
      <c r="AE39" s="6">
        <v>17.459316976010104</v>
      </c>
      <c r="AF39" s="6">
        <v>17.120601073232326</v>
      </c>
      <c r="AG39" s="6">
        <v>0</v>
      </c>
      <c r="AH39" s="6">
        <v>0</v>
      </c>
      <c r="AI39" s="6">
        <v>0</v>
      </c>
      <c r="AJ39" s="6">
        <v>0</v>
      </c>
      <c r="AK39" s="10">
        <f t="shared" ref="AK39:AK70" si="27">IFERROR(((AC39-AG39)/AC39),"")</f>
        <v>1</v>
      </c>
      <c r="AL39" s="10">
        <f t="shared" ref="AL39:AL70" si="28">IFERROR(((AD39-AH39)/AD39),"")</f>
        <v>1</v>
      </c>
      <c r="AM39" s="10">
        <f t="shared" ref="AM39:AM70" si="29">IFERROR(((AE39-AI39)/AE39),"")</f>
        <v>1</v>
      </c>
      <c r="AN39" s="10">
        <f t="shared" ref="AN39:AN70" si="30">IFERROR(((AF39-AJ39)/AF39),"")</f>
        <v>1</v>
      </c>
      <c r="AO39" s="2" t="str">
        <f t="shared" si="20"/>
        <v>NA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10" t="str">
        <f t="shared" ref="AX39:AX70" si="31">IFERROR(((AP39-AT39)/AP39),"")</f>
        <v/>
      </c>
      <c r="AY39" s="10" t="str">
        <f t="shared" ref="AY39:AY70" si="32">IFERROR(((AQ39-AU39)/AQ39),"")</f>
        <v/>
      </c>
      <c r="AZ39" s="10" t="str">
        <f t="shared" ref="AZ39:AZ70" si="33">IFERROR(((AR39-AV39)/AR39),"")</f>
        <v/>
      </c>
      <c r="BA39" s="10" t="str">
        <f t="shared" ref="BA39:BA70" si="34">IFERROR(((AS39-AW39)/AS39),"")</f>
        <v/>
      </c>
      <c r="BB39" s="2" t="str">
        <f t="shared" si="21"/>
        <v>NA</v>
      </c>
      <c r="BC39" s="6">
        <v>17522.961199999998</v>
      </c>
      <c r="BD39" s="6">
        <v>17020.860800000002</v>
      </c>
      <c r="BE39" s="6">
        <v>16124.805200000001</v>
      </c>
      <c r="BF39" s="6">
        <v>15821.588</v>
      </c>
      <c r="BG39" s="6">
        <v>11771</v>
      </c>
      <c r="BH39" s="6">
        <v>13608</v>
      </c>
      <c r="BI39" s="6">
        <v>10173</v>
      </c>
      <c r="BJ39" s="6">
        <v>9423</v>
      </c>
      <c r="BK39" s="10">
        <f t="shared" ref="BK39:BK70" si="35">IFERROR(((BC39-BG39)/BC39),"")</f>
        <v>0.32825280695137293</v>
      </c>
      <c r="BL39" s="10">
        <f t="shared" ref="BL39:BL70" si="36">IFERROR(((BD39-BH39)/BD39),"")</f>
        <v>0.20051047006976297</v>
      </c>
      <c r="BM39" s="10">
        <f t="shared" ref="BM39:BM70" si="37">IFERROR(((BE39-BI39)/BE39),"")</f>
        <v>0.36910865751109978</v>
      </c>
      <c r="BN39" s="10">
        <f t="shared" ref="BN39:BN70" si="38">IFERROR(((BF39-BJ39)/BF39),"")</f>
        <v>0.40442135138394453</v>
      </c>
      <c r="BO39" s="2">
        <f t="shared" si="22"/>
        <v>0.32557332147904505</v>
      </c>
      <c r="BP39" s="10">
        <v>-3.55836419007316E-3</v>
      </c>
      <c r="BQ39" s="10">
        <v>0</v>
      </c>
      <c r="BR39" s="10">
        <v>0</v>
      </c>
      <c r="BS39" s="10">
        <v>0</v>
      </c>
      <c r="BT39" s="11" t="s">
        <v>459</v>
      </c>
    </row>
    <row r="40" spans="1:72">
      <c r="A40">
        <f>COUNTIFS($J$7:J40,J40,$N$7:N40,N40,$E$7:E40,E40)</f>
        <v>19</v>
      </c>
      <c r="B40" s="16" t="str">
        <f t="shared" si="16"/>
        <v>Low</v>
      </c>
      <c r="C40" s="16" t="str">
        <f t="shared" si="17"/>
        <v>19LowNoTechnology</v>
      </c>
      <c r="D40" s="1">
        <v>10583</v>
      </c>
      <c r="E40" s="1" t="s">
        <v>23</v>
      </c>
      <c r="F40" s="1" t="s">
        <v>64</v>
      </c>
      <c r="G40" s="1" t="s">
        <v>67</v>
      </c>
      <c r="H40" s="1">
        <v>87</v>
      </c>
      <c r="I40" s="1" t="s">
        <v>68</v>
      </c>
      <c r="J40" s="1" t="s">
        <v>27</v>
      </c>
      <c r="K40" s="1">
        <v>1</v>
      </c>
      <c r="L40" s="1">
        <v>1</v>
      </c>
      <c r="M40" s="2">
        <v>0.28563991831722341</v>
      </c>
      <c r="N40" s="27" t="str">
        <f t="shared" si="18"/>
        <v>Low</v>
      </c>
      <c r="O40" s="1">
        <v>1</v>
      </c>
      <c r="P40" s="6">
        <v>73.424593833035985</v>
      </c>
      <c r="Q40" s="6">
        <v>70.262415833331815</v>
      </c>
      <c r="R40" s="6">
        <v>67.254757910401779</v>
      </c>
      <c r="S40" s="6">
        <v>64.394194784854079</v>
      </c>
      <c r="T40" s="6">
        <v>72.25</v>
      </c>
      <c r="U40" s="6">
        <v>71.8</v>
      </c>
      <c r="V40" s="6">
        <v>68.25</v>
      </c>
      <c r="W40" s="6">
        <v>65.25</v>
      </c>
      <c r="X40" s="10">
        <f t="shared" si="23"/>
        <v>1.5997280634700618E-2</v>
      </c>
      <c r="Y40" s="10">
        <f t="shared" si="24"/>
        <v>-2.1883451464513509E-2</v>
      </c>
      <c r="Z40" s="10">
        <f t="shared" si="25"/>
        <v>-1.4798091919743496E-2</v>
      </c>
      <c r="AA40" s="10">
        <f t="shared" si="26"/>
        <v>-1.3290098866912325E-2</v>
      </c>
      <c r="AB40" s="2">
        <f t="shared" si="19"/>
        <v>-8.4935904041171777E-3</v>
      </c>
      <c r="AC40" s="6">
        <v>49.7776660272242</v>
      </c>
      <c r="AD40" s="6">
        <v>54.501576286442599</v>
      </c>
      <c r="AE40" s="6">
        <v>50.802759208816497</v>
      </c>
      <c r="AF40" s="6">
        <v>44.3320312318871</v>
      </c>
      <c r="AG40" s="6">
        <v>84</v>
      </c>
      <c r="AH40" s="6">
        <v>85.8</v>
      </c>
      <c r="AI40" s="6">
        <v>84.75</v>
      </c>
      <c r="AJ40" s="6">
        <v>79.75</v>
      </c>
      <c r="AK40" s="10">
        <f t="shared" si="27"/>
        <v>-0.68750378842710425</v>
      </c>
      <c r="AL40" s="10">
        <f t="shared" si="28"/>
        <v>-0.57426639459128737</v>
      </c>
      <c r="AM40" s="10">
        <f t="shared" si="29"/>
        <v>-0.6682164772123671</v>
      </c>
      <c r="AN40" s="10">
        <f t="shared" si="30"/>
        <v>-0.79892501615485412</v>
      </c>
      <c r="AO40" s="2">
        <f t="shared" si="20"/>
        <v>-0.68222791909640323</v>
      </c>
      <c r="AP40" s="2">
        <v>0</v>
      </c>
      <c r="AQ40" s="2">
        <v>0</v>
      </c>
      <c r="AR40" s="2">
        <v>0</v>
      </c>
      <c r="AS40" s="2">
        <v>0</v>
      </c>
      <c r="AT40" s="2">
        <v>0.58833333333333337</v>
      </c>
      <c r="AU40" s="2">
        <v>0.58733333333333337</v>
      </c>
      <c r="AV40" s="2">
        <v>0.58250000000000002</v>
      </c>
      <c r="AW40" s="2">
        <v>0.56499999999999995</v>
      </c>
      <c r="AX40" s="10" t="str">
        <f t="shared" si="31"/>
        <v/>
      </c>
      <c r="AY40" s="10" t="str">
        <f t="shared" si="32"/>
        <v/>
      </c>
      <c r="AZ40" s="10" t="str">
        <f t="shared" si="33"/>
        <v/>
      </c>
      <c r="BA40" s="10" t="str">
        <f t="shared" si="34"/>
        <v/>
      </c>
      <c r="BB40" s="2" t="str">
        <f t="shared" si="21"/>
        <v>NA</v>
      </c>
      <c r="BC40" s="6">
        <v>0</v>
      </c>
      <c r="BD40" s="6">
        <v>0</v>
      </c>
      <c r="BE40" s="6">
        <v>0</v>
      </c>
      <c r="BF40" s="6">
        <v>0</v>
      </c>
      <c r="BG40" s="6">
        <v>32001</v>
      </c>
      <c r="BH40" s="6">
        <v>38242</v>
      </c>
      <c r="BI40" s="6">
        <v>30124</v>
      </c>
      <c r="BJ40" s="6">
        <v>30466</v>
      </c>
      <c r="BK40" s="10" t="str">
        <f t="shared" si="35"/>
        <v/>
      </c>
      <c r="BL40" s="10" t="str">
        <f t="shared" si="36"/>
        <v/>
      </c>
      <c r="BM40" s="10" t="str">
        <f t="shared" si="37"/>
        <v/>
      </c>
      <c r="BN40" s="10" t="str">
        <f t="shared" si="38"/>
        <v/>
      </c>
      <c r="BO40" s="2" t="str">
        <f t="shared" si="22"/>
        <v>NA</v>
      </c>
      <c r="BP40" s="10">
        <v>-1.2769393469306722E-2</v>
      </c>
      <c r="BQ40" s="10">
        <v>5.77673895025832E-5</v>
      </c>
      <c r="BR40" s="10">
        <v>1.0160703311174468E-2</v>
      </c>
      <c r="BS40" s="10">
        <v>1.4182951994960669E-2</v>
      </c>
      <c r="BT40" s="11" t="s">
        <v>458</v>
      </c>
    </row>
    <row r="41" spans="1:72">
      <c r="A41">
        <f>COUNTIFS($J$7:J41,J41,$N$7:N41,N41,$E$7:E41,E41)</f>
        <v>4</v>
      </c>
      <c r="B41" s="16" t="str">
        <f t="shared" si="16"/>
        <v>Low</v>
      </c>
      <c r="C41" s="16" t="str">
        <f t="shared" si="17"/>
        <v>4LowYesTechnology</v>
      </c>
      <c r="D41" s="1">
        <v>10602</v>
      </c>
      <c r="E41" s="1" t="s">
        <v>23</v>
      </c>
      <c r="F41" s="1" t="s">
        <v>69</v>
      </c>
      <c r="G41" s="1" t="s">
        <v>70</v>
      </c>
      <c r="H41" s="1">
        <v>10</v>
      </c>
      <c r="I41" s="1" t="s">
        <v>71</v>
      </c>
      <c r="J41" s="1" t="s">
        <v>9</v>
      </c>
      <c r="K41" s="1">
        <v>1</v>
      </c>
      <c r="L41" s="1">
        <v>1</v>
      </c>
      <c r="M41" s="2">
        <v>0.57525739376927598</v>
      </c>
      <c r="N41" s="27" t="str">
        <f t="shared" si="18"/>
        <v>Low</v>
      </c>
      <c r="O41" s="1">
        <v>1</v>
      </c>
      <c r="P41" s="6">
        <v>8.8797433677502884</v>
      </c>
      <c r="Q41" s="6">
        <v>9.0682150351508088</v>
      </c>
      <c r="R41" s="6">
        <v>8.930123986778522</v>
      </c>
      <c r="S41" s="6">
        <v>9.0914439615477782</v>
      </c>
      <c r="T41" s="6">
        <v>10.25</v>
      </c>
      <c r="U41" s="6">
        <v>9.8000000000000007</v>
      </c>
      <c r="V41" s="6">
        <v>9.25</v>
      </c>
      <c r="W41" s="6">
        <v>10</v>
      </c>
      <c r="X41" s="10">
        <f t="shared" si="23"/>
        <v>-0.15431263894700489</v>
      </c>
      <c r="Y41" s="10">
        <f t="shared" si="24"/>
        <v>-8.0697795763840965E-2</v>
      </c>
      <c r="Z41" s="10">
        <f t="shared" si="25"/>
        <v>-3.5819884885704811E-2</v>
      </c>
      <c r="AA41" s="10">
        <f t="shared" si="26"/>
        <v>-9.9935284460307458E-2</v>
      </c>
      <c r="AB41" s="2">
        <f t="shared" si="19"/>
        <v>-9.2691401014214539E-2</v>
      </c>
      <c r="AC41" s="6">
        <v>10.508893090820312</v>
      </c>
      <c r="AD41" s="6">
        <v>10.219064485969033</v>
      </c>
      <c r="AE41" s="6">
        <v>9.8937630422378895</v>
      </c>
      <c r="AF41" s="6">
        <v>10.155134363833628</v>
      </c>
      <c r="AG41" s="6">
        <v>10</v>
      </c>
      <c r="AH41" s="6">
        <v>9</v>
      </c>
      <c r="AI41" s="6">
        <v>9</v>
      </c>
      <c r="AJ41" s="6">
        <v>9</v>
      </c>
      <c r="AK41" s="10">
        <f t="shared" si="27"/>
        <v>4.8424994566253425E-2</v>
      </c>
      <c r="AL41" s="10">
        <f t="shared" si="28"/>
        <v>0.11929315913827843</v>
      </c>
      <c r="AM41" s="10">
        <f t="shared" si="29"/>
        <v>9.033600647420878E-2</v>
      </c>
      <c r="AN41" s="10">
        <f t="shared" si="30"/>
        <v>0.11374880158627047</v>
      </c>
      <c r="AO41" s="2">
        <f t="shared" si="20"/>
        <v>9.2950740441252774E-2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10" t="str">
        <f t="shared" si="31"/>
        <v/>
      </c>
      <c r="AY41" s="10" t="str">
        <f t="shared" si="32"/>
        <v/>
      </c>
      <c r="AZ41" s="10" t="str">
        <f t="shared" si="33"/>
        <v/>
      </c>
      <c r="BA41" s="10" t="str">
        <f t="shared" si="34"/>
        <v/>
      </c>
      <c r="BB41" s="2" t="str">
        <f t="shared" si="21"/>
        <v>NA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10" t="str">
        <f t="shared" si="35"/>
        <v/>
      </c>
      <c r="BL41" s="10" t="str">
        <f t="shared" si="36"/>
        <v/>
      </c>
      <c r="BM41" s="10" t="str">
        <f t="shared" si="37"/>
        <v/>
      </c>
      <c r="BN41" s="10" t="str">
        <f t="shared" si="38"/>
        <v/>
      </c>
      <c r="BO41" s="2" t="str">
        <f t="shared" si="22"/>
        <v>NA</v>
      </c>
      <c r="BP41" s="10">
        <v>-5.7538743622450594E-3</v>
      </c>
      <c r="BQ41" s="10">
        <v>9.5728764554738888E-3</v>
      </c>
      <c r="BR41" s="10">
        <v>-3.7409832312420566E-3</v>
      </c>
      <c r="BS41" s="10">
        <v>1.0470830397672826E-2</v>
      </c>
      <c r="BT41" s="11" t="s">
        <v>460</v>
      </c>
    </row>
    <row r="42" spans="1:72">
      <c r="A42">
        <f>COUNTIFS($J$7:J42,J42,$N$7:N42,N42,$E$7:E42,E42)</f>
        <v>5</v>
      </c>
      <c r="B42" s="16" t="str">
        <f t="shared" si="16"/>
        <v>Low</v>
      </c>
      <c r="C42" s="16" t="str">
        <f t="shared" si="17"/>
        <v>5LowYesTechnology</v>
      </c>
      <c r="D42" s="1">
        <v>10603</v>
      </c>
      <c r="E42" s="1" t="s">
        <v>23</v>
      </c>
      <c r="F42" s="1" t="s">
        <v>69</v>
      </c>
      <c r="G42" s="1" t="s">
        <v>72</v>
      </c>
      <c r="H42" s="1">
        <v>7</v>
      </c>
      <c r="I42" s="1" t="s">
        <v>71</v>
      </c>
      <c r="J42" s="1" t="s">
        <v>9</v>
      </c>
      <c r="K42" s="1">
        <v>1</v>
      </c>
      <c r="L42" s="1">
        <v>1</v>
      </c>
      <c r="M42" s="2">
        <v>0.45978793526882145</v>
      </c>
      <c r="N42" s="27" t="str">
        <f t="shared" si="18"/>
        <v>Low</v>
      </c>
      <c r="O42" s="1">
        <v>1</v>
      </c>
      <c r="P42" s="6">
        <v>6.8522978779264578</v>
      </c>
      <c r="Q42" s="6">
        <v>6.8077600516857784</v>
      </c>
      <c r="R42" s="6">
        <v>6.7726509678629911</v>
      </c>
      <c r="S42" s="6">
        <v>6.7327986012282892</v>
      </c>
      <c r="T42" s="6">
        <v>6</v>
      </c>
      <c r="U42" s="6">
        <v>6</v>
      </c>
      <c r="V42" s="6">
        <v>5.75</v>
      </c>
      <c r="W42" s="6">
        <v>5.5</v>
      </c>
      <c r="X42" s="10">
        <f t="shared" si="23"/>
        <v>0.1243813233327165</v>
      </c>
      <c r="Y42" s="10">
        <f t="shared" si="24"/>
        <v>0.11865283816602143</v>
      </c>
      <c r="Z42" s="10">
        <f t="shared" si="25"/>
        <v>0.15099714612720894</v>
      </c>
      <c r="AA42" s="10">
        <f t="shared" si="26"/>
        <v>0.18310344245309598</v>
      </c>
      <c r="AB42" s="2">
        <f t="shared" si="19"/>
        <v>0.1442836875197607</v>
      </c>
      <c r="AC42" s="6">
        <v>6</v>
      </c>
      <c r="AD42" s="6">
        <v>6</v>
      </c>
      <c r="AE42" s="6">
        <v>6</v>
      </c>
      <c r="AF42" s="6">
        <v>6</v>
      </c>
      <c r="AG42" s="6">
        <v>6</v>
      </c>
      <c r="AH42" s="6">
        <v>6</v>
      </c>
      <c r="AI42" s="6">
        <v>6</v>
      </c>
      <c r="AJ42" s="6">
        <v>6</v>
      </c>
      <c r="AK42" s="10">
        <f t="shared" si="27"/>
        <v>0</v>
      </c>
      <c r="AL42" s="10">
        <f t="shared" si="28"/>
        <v>0</v>
      </c>
      <c r="AM42" s="10">
        <f t="shared" si="29"/>
        <v>0</v>
      </c>
      <c r="AN42" s="10">
        <f t="shared" si="30"/>
        <v>0</v>
      </c>
      <c r="AO42" s="2">
        <f t="shared" si="20"/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10" t="str">
        <f t="shared" si="31"/>
        <v/>
      </c>
      <c r="AY42" s="10" t="str">
        <f t="shared" si="32"/>
        <v/>
      </c>
      <c r="AZ42" s="10" t="str">
        <f t="shared" si="33"/>
        <v/>
      </c>
      <c r="BA42" s="10" t="str">
        <f t="shared" si="34"/>
        <v/>
      </c>
      <c r="BB42" s="2" t="str">
        <f t="shared" si="21"/>
        <v>NA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10" t="str">
        <f t="shared" si="35"/>
        <v/>
      </c>
      <c r="BL42" s="10" t="str">
        <f t="shared" si="36"/>
        <v/>
      </c>
      <c r="BM42" s="10" t="str">
        <f t="shared" si="37"/>
        <v/>
      </c>
      <c r="BN42" s="10" t="str">
        <f t="shared" si="38"/>
        <v/>
      </c>
      <c r="BO42" s="2" t="str">
        <f t="shared" si="22"/>
        <v>NA</v>
      </c>
      <c r="BP42" s="10">
        <v>-2.0818437109000332E-3</v>
      </c>
      <c r="BQ42" s="10">
        <v>-5.217507459292503E-3</v>
      </c>
      <c r="BR42" s="10">
        <v>1.334172769412989E-2</v>
      </c>
      <c r="BS42" s="10">
        <v>-2.285635541026676E-3</v>
      </c>
      <c r="BT42" s="11" t="s">
        <v>460</v>
      </c>
    </row>
    <row r="43" spans="1:72">
      <c r="A43">
        <f>COUNTIFS($J$7:J43,J43,$N$7:N43,N43,$E$7:E43,E43)</f>
        <v>6</v>
      </c>
      <c r="B43" s="16" t="str">
        <f t="shared" si="16"/>
        <v>Low</v>
      </c>
      <c r="C43" s="16" t="str">
        <f t="shared" si="17"/>
        <v>6LowYesTechnology</v>
      </c>
      <c r="D43" s="1">
        <v>10604</v>
      </c>
      <c r="E43" s="1" t="s">
        <v>23</v>
      </c>
      <c r="F43" s="1" t="s">
        <v>69</v>
      </c>
      <c r="G43" s="1" t="s">
        <v>73</v>
      </c>
      <c r="H43" s="1">
        <v>8</v>
      </c>
      <c r="I43" s="1" t="s">
        <v>71</v>
      </c>
      <c r="J43" s="1" t="s">
        <v>9</v>
      </c>
      <c r="K43" s="1">
        <v>1</v>
      </c>
      <c r="L43" s="1">
        <v>1</v>
      </c>
      <c r="M43" s="2">
        <v>0.47813969514386062</v>
      </c>
      <c r="N43" s="27" t="str">
        <f t="shared" si="18"/>
        <v>Low</v>
      </c>
      <c r="O43" s="1">
        <v>1</v>
      </c>
      <c r="P43" s="6">
        <v>8.9998277343749997</v>
      </c>
      <c r="Q43" s="6">
        <v>8.9998277343749997</v>
      </c>
      <c r="R43" s="6">
        <v>8.9998277343749997</v>
      </c>
      <c r="S43" s="6">
        <v>8.9998277343749997</v>
      </c>
      <c r="T43" s="6">
        <v>8</v>
      </c>
      <c r="U43" s="6">
        <v>8</v>
      </c>
      <c r="V43" s="6">
        <v>7.75</v>
      </c>
      <c r="W43" s="6">
        <v>8</v>
      </c>
      <c r="X43" s="10">
        <f t="shared" si="23"/>
        <v>0.1110940968965595</v>
      </c>
      <c r="Y43" s="10">
        <f t="shared" si="24"/>
        <v>0.1110940968965595</v>
      </c>
      <c r="Z43" s="10">
        <f t="shared" si="25"/>
        <v>0.13887240636854201</v>
      </c>
      <c r="AA43" s="10">
        <f t="shared" si="26"/>
        <v>0.1110940968965595</v>
      </c>
      <c r="AB43" s="2">
        <f t="shared" si="19"/>
        <v>0.11803867426455511</v>
      </c>
      <c r="AC43" s="6">
        <v>8</v>
      </c>
      <c r="AD43" s="6">
        <v>8</v>
      </c>
      <c r="AE43" s="6">
        <v>8</v>
      </c>
      <c r="AF43" s="6">
        <v>8</v>
      </c>
      <c r="AG43" s="6">
        <v>8</v>
      </c>
      <c r="AH43" s="6">
        <v>8</v>
      </c>
      <c r="AI43" s="6">
        <v>8</v>
      </c>
      <c r="AJ43" s="6">
        <v>8</v>
      </c>
      <c r="AK43" s="10">
        <f t="shared" si="27"/>
        <v>0</v>
      </c>
      <c r="AL43" s="10">
        <f t="shared" si="28"/>
        <v>0</v>
      </c>
      <c r="AM43" s="10">
        <f t="shared" si="29"/>
        <v>0</v>
      </c>
      <c r="AN43" s="10">
        <f t="shared" si="30"/>
        <v>0</v>
      </c>
      <c r="AO43" s="2">
        <f t="shared" si="20"/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10" t="str">
        <f t="shared" si="31"/>
        <v/>
      </c>
      <c r="AY43" s="10" t="str">
        <f t="shared" si="32"/>
        <v/>
      </c>
      <c r="AZ43" s="10" t="str">
        <f t="shared" si="33"/>
        <v/>
      </c>
      <c r="BA43" s="10" t="str">
        <f t="shared" si="34"/>
        <v/>
      </c>
      <c r="BB43" s="2" t="str">
        <f t="shared" si="21"/>
        <v>NA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  <c r="BK43" s="10" t="str">
        <f t="shared" si="35"/>
        <v/>
      </c>
      <c r="BL43" s="10" t="str">
        <f t="shared" si="36"/>
        <v/>
      </c>
      <c r="BM43" s="10" t="str">
        <f t="shared" si="37"/>
        <v/>
      </c>
      <c r="BN43" s="10" t="str">
        <f t="shared" si="38"/>
        <v/>
      </c>
      <c r="BO43" s="2" t="str">
        <f t="shared" si="22"/>
        <v>NA</v>
      </c>
      <c r="BP43" s="10">
        <v>-4.0778952462804385E-3</v>
      </c>
      <c r="BQ43" s="10">
        <v>5.888797953605307E-3</v>
      </c>
      <c r="BR43" s="10">
        <v>-3.8477065788898868E-3</v>
      </c>
      <c r="BS43" s="10">
        <v>-4.924810404725144E-3</v>
      </c>
      <c r="BT43" s="11" t="s">
        <v>460</v>
      </c>
    </row>
    <row r="44" spans="1:72">
      <c r="A44">
        <f>COUNTIFS($J$7:J44,J44,$N$7:N44,N44,$E$7:E44,E44)</f>
        <v>1</v>
      </c>
      <c r="B44" s="16" t="str">
        <f t="shared" si="16"/>
        <v>Low</v>
      </c>
      <c r="C44" s="16" t="str">
        <f t="shared" si="17"/>
        <v>1LowNoBFIMG</v>
      </c>
      <c r="D44" s="1">
        <v>10775</v>
      </c>
      <c r="E44" s="1" t="s">
        <v>20</v>
      </c>
      <c r="F44" s="1" t="s">
        <v>74</v>
      </c>
      <c r="G44" s="1" t="s">
        <v>74</v>
      </c>
      <c r="H44" s="1">
        <v>75</v>
      </c>
      <c r="I44" s="1" t="s">
        <v>75</v>
      </c>
      <c r="J44" s="1" t="s">
        <v>27</v>
      </c>
      <c r="K44" s="1">
        <v>1</v>
      </c>
      <c r="L44" s="1">
        <v>1</v>
      </c>
      <c r="M44" s="2">
        <v>0.11995590433301022</v>
      </c>
      <c r="N44" s="27" t="str">
        <f t="shared" si="18"/>
        <v>Low</v>
      </c>
      <c r="O44" s="1">
        <v>1</v>
      </c>
      <c r="P44" s="6">
        <v>63.01802088677659</v>
      </c>
      <c r="Q44" s="6">
        <v>62.619555387014088</v>
      </c>
      <c r="R44" s="6">
        <v>62.078189615594759</v>
      </c>
      <c r="S44" s="6">
        <v>62.000997584023693</v>
      </c>
      <c r="T44" s="6">
        <v>65.25</v>
      </c>
      <c r="U44" s="6">
        <v>25.6</v>
      </c>
      <c r="V44" s="6">
        <v>0</v>
      </c>
      <c r="W44" s="6">
        <v>0</v>
      </c>
      <c r="X44" s="10">
        <f t="shared" si="23"/>
        <v>-3.5418108690426331E-2</v>
      </c>
      <c r="Y44" s="10">
        <f t="shared" si="24"/>
        <v>0.59118202226474326</v>
      </c>
      <c r="Z44" s="10">
        <f t="shared" si="25"/>
        <v>1</v>
      </c>
      <c r="AA44" s="10">
        <f t="shared" si="26"/>
        <v>1</v>
      </c>
      <c r="AB44" s="2">
        <f t="shared" si="19"/>
        <v>0.27788195678715844</v>
      </c>
      <c r="AC44" s="6">
        <v>63</v>
      </c>
      <c r="AD44" s="6">
        <v>63</v>
      </c>
      <c r="AE44" s="6">
        <v>63</v>
      </c>
      <c r="AF44" s="6">
        <v>63</v>
      </c>
      <c r="AG44" s="6">
        <v>62.5</v>
      </c>
      <c r="AH44" s="6">
        <v>25.2</v>
      </c>
      <c r="AI44" s="6">
        <v>0</v>
      </c>
      <c r="AJ44" s="6">
        <v>0</v>
      </c>
      <c r="AK44" s="10">
        <f t="shared" si="27"/>
        <v>7.9365079365079361E-3</v>
      </c>
      <c r="AL44" s="10">
        <f t="shared" si="28"/>
        <v>0.6</v>
      </c>
      <c r="AM44" s="10">
        <f t="shared" si="29"/>
        <v>1</v>
      </c>
      <c r="AN44" s="10">
        <f t="shared" si="30"/>
        <v>1</v>
      </c>
      <c r="AO44" s="2">
        <f t="shared" si="20"/>
        <v>0.30396825396825394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10" t="str">
        <f t="shared" si="31"/>
        <v/>
      </c>
      <c r="AY44" s="10" t="str">
        <f t="shared" si="32"/>
        <v/>
      </c>
      <c r="AZ44" s="10" t="str">
        <f t="shared" si="33"/>
        <v/>
      </c>
      <c r="BA44" s="10" t="str">
        <f t="shared" si="34"/>
        <v/>
      </c>
      <c r="BB44" s="2" t="str">
        <f t="shared" si="21"/>
        <v>NA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  <c r="BK44" s="10" t="str">
        <f t="shared" si="35"/>
        <v/>
      </c>
      <c r="BL44" s="10" t="str">
        <f t="shared" si="36"/>
        <v/>
      </c>
      <c r="BM44" s="10" t="str">
        <f t="shared" si="37"/>
        <v/>
      </c>
      <c r="BN44" s="10" t="str">
        <f t="shared" si="38"/>
        <v/>
      </c>
      <c r="BO44" s="2" t="str">
        <f t="shared" si="22"/>
        <v>NA</v>
      </c>
      <c r="BP44" s="10">
        <v>-7.6224539988354323E-3</v>
      </c>
      <c r="BQ44" s="10">
        <v>-6.8077289376523575E-3</v>
      </c>
      <c r="BR44" s="10">
        <v>1.5529354380099392E-3</v>
      </c>
      <c r="BS44" s="10">
        <v>-8.4416678197110073E-3</v>
      </c>
      <c r="BT44" s="11" t="s">
        <v>460</v>
      </c>
    </row>
    <row r="45" spans="1:72">
      <c r="A45">
        <f>COUNTIFS($J$7:J45,J45,$N$7:N45,N45,$E$7:E45,E45)</f>
        <v>2</v>
      </c>
      <c r="B45" s="16" t="str">
        <f t="shared" si="16"/>
        <v>Low</v>
      </c>
      <c r="C45" s="16" t="str">
        <f t="shared" si="17"/>
        <v>2LowNoBFIMG</v>
      </c>
      <c r="D45" s="1">
        <v>10851</v>
      </c>
      <c r="E45" s="1" t="s">
        <v>20</v>
      </c>
      <c r="F45" s="1" t="s">
        <v>76</v>
      </c>
      <c r="G45" s="1" t="s">
        <v>77</v>
      </c>
      <c r="H45" s="1">
        <v>27</v>
      </c>
      <c r="I45" s="1" t="s">
        <v>78</v>
      </c>
      <c r="J45" s="1" t="s">
        <v>27</v>
      </c>
      <c r="K45" s="1">
        <v>1</v>
      </c>
      <c r="L45" s="1">
        <v>1</v>
      </c>
      <c r="M45" s="2">
        <v>0.27532697313382276</v>
      </c>
      <c r="N45" s="27" t="str">
        <f t="shared" si="18"/>
        <v>Low</v>
      </c>
      <c r="O45" s="1">
        <v>1</v>
      </c>
      <c r="P45" s="6">
        <v>16.402204617844841</v>
      </c>
      <c r="Q45" s="6">
        <v>16.00045765998415</v>
      </c>
      <c r="R45" s="6">
        <v>15.999375000000001</v>
      </c>
      <c r="S45" s="6">
        <v>15.999375000000001</v>
      </c>
      <c r="T45" s="6">
        <v>5</v>
      </c>
      <c r="U45" s="6">
        <v>5</v>
      </c>
      <c r="V45" s="6">
        <v>0</v>
      </c>
      <c r="W45" s="6">
        <v>0</v>
      </c>
      <c r="X45" s="10">
        <f t="shared" si="23"/>
        <v>0.69516292983199157</v>
      </c>
      <c r="Y45" s="10">
        <f t="shared" si="24"/>
        <v>0.68750893841589322</v>
      </c>
      <c r="Z45" s="10">
        <f t="shared" si="25"/>
        <v>1</v>
      </c>
      <c r="AA45" s="10">
        <f t="shared" si="26"/>
        <v>1</v>
      </c>
      <c r="AB45" s="2">
        <f t="shared" si="19"/>
        <v>0.69133593412394245</v>
      </c>
      <c r="AC45" s="6">
        <v>18</v>
      </c>
      <c r="AD45" s="6">
        <v>15</v>
      </c>
      <c r="AE45" s="6">
        <v>15</v>
      </c>
      <c r="AF45" s="6">
        <v>15</v>
      </c>
      <c r="AG45" s="6">
        <v>8</v>
      </c>
      <c r="AH45" s="6">
        <v>8</v>
      </c>
      <c r="AI45" s="6">
        <v>0</v>
      </c>
      <c r="AJ45" s="6">
        <v>0</v>
      </c>
      <c r="AK45" s="10">
        <f t="shared" si="27"/>
        <v>0.55555555555555558</v>
      </c>
      <c r="AL45" s="10">
        <f t="shared" si="28"/>
        <v>0.46666666666666667</v>
      </c>
      <c r="AM45" s="10">
        <f t="shared" si="29"/>
        <v>1</v>
      </c>
      <c r="AN45" s="10">
        <f t="shared" si="30"/>
        <v>1</v>
      </c>
      <c r="AO45" s="2">
        <f t="shared" si="20"/>
        <v>0.51111111111111107</v>
      </c>
      <c r="AP45" s="2">
        <v>1</v>
      </c>
      <c r="AQ45" s="2">
        <v>1</v>
      </c>
      <c r="AR45" s="2">
        <v>1</v>
      </c>
      <c r="AS45" s="2">
        <v>1</v>
      </c>
      <c r="AT45" s="2">
        <v>0</v>
      </c>
      <c r="AU45" s="2">
        <v>0</v>
      </c>
      <c r="AV45" s="2">
        <v>0</v>
      </c>
      <c r="AW45" s="2">
        <v>0</v>
      </c>
      <c r="AX45" s="10">
        <f t="shared" si="31"/>
        <v>1</v>
      </c>
      <c r="AY45" s="10">
        <f t="shared" si="32"/>
        <v>1</v>
      </c>
      <c r="AZ45" s="10">
        <f t="shared" si="33"/>
        <v>1</v>
      </c>
      <c r="BA45" s="10">
        <f t="shared" si="34"/>
        <v>1</v>
      </c>
      <c r="BB45" s="2" t="str">
        <f t="shared" si="21"/>
        <v>NA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10" t="str">
        <f t="shared" si="35"/>
        <v/>
      </c>
      <c r="BL45" s="10" t="str">
        <f t="shared" si="36"/>
        <v/>
      </c>
      <c r="BM45" s="10" t="str">
        <f t="shared" si="37"/>
        <v/>
      </c>
      <c r="BN45" s="10" t="str">
        <f t="shared" si="38"/>
        <v/>
      </c>
      <c r="BO45" s="2" t="str">
        <f t="shared" si="22"/>
        <v>NA</v>
      </c>
      <c r="BP45" s="10">
        <v>-3.3737566015701215E-2</v>
      </c>
      <c r="BQ45" s="10">
        <v>8.6984659779055784E-3</v>
      </c>
      <c r="BR45" s="10">
        <v>5.7054779815434165E-3</v>
      </c>
      <c r="BS45" s="10">
        <v>6.5473237186659539E-3</v>
      </c>
      <c r="BT45" s="11" t="s">
        <v>461</v>
      </c>
    </row>
    <row r="46" spans="1:72">
      <c r="A46">
        <f>COUNTIFS($J$7:J46,J46,$N$7:N46,N46,$E$7:E46,E46)</f>
        <v>1</v>
      </c>
      <c r="B46" s="16" t="str">
        <f t="shared" si="16"/>
        <v>Low</v>
      </c>
      <c r="C46" s="16" t="str">
        <f t="shared" si="17"/>
        <v>1LowNoTravel</v>
      </c>
      <c r="D46" s="1">
        <v>10879</v>
      </c>
      <c r="E46" s="1" t="s">
        <v>79</v>
      </c>
      <c r="F46" s="1" t="s">
        <v>80</v>
      </c>
      <c r="G46" s="1" t="s">
        <v>81</v>
      </c>
      <c r="H46" s="1">
        <v>12</v>
      </c>
      <c r="I46" s="1" t="s">
        <v>82</v>
      </c>
      <c r="J46" s="1" t="s">
        <v>27</v>
      </c>
      <c r="K46" s="1">
        <v>2</v>
      </c>
      <c r="L46" s="1">
        <v>1</v>
      </c>
      <c r="M46" s="2">
        <v>0.62232945857994626</v>
      </c>
      <c r="N46" s="27" t="str">
        <f t="shared" si="18"/>
        <v>Low</v>
      </c>
      <c r="O46" s="1">
        <v>0</v>
      </c>
      <c r="P46" s="6">
        <v>0</v>
      </c>
      <c r="Q46" s="6">
        <v>0</v>
      </c>
      <c r="R46" s="6">
        <v>0</v>
      </c>
      <c r="S46" s="6">
        <v>0</v>
      </c>
      <c r="T46" s="6" t="s">
        <v>422</v>
      </c>
      <c r="U46" s="6" t="s">
        <v>422</v>
      </c>
      <c r="V46" s="6" t="s">
        <v>422</v>
      </c>
      <c r="W46" s="6" t="s">
        <v>422</v>
      </c>
      <c r="X46" s="10" t="str">
        <f t="shared" si="23"/>
        <v/>
      </c>
      <c r="Y46" s="10" t="str">
        <f t="shared" si="24"/>
        <v/>
      </c>
      <c r="Z46" s="10" t="str">
        <f t="shared" si="25"/>
        <v/>
      </c>
      <c r="AA46" s="10" t="str">
        <f t="shared" si="26"/>
        <v/>
      </c>
      <c r="AB46" s="2" t="str">
        <f t="shared" si="19"/>
        <v>NA</v>
      </c>
      <c r="AC46" s="6">
        <v>0</v>
      </c>
      <c r="AD46" s="6">
        <v>0</v>
      </c>
      <c r="AE46" s="6">
        <v>0</v>
      </c>
      <c r="AF46" s="6">
        <v>0</v>
      </c>
      <c r="AG46" s="6" t="s">
        <v>422</v>
      </c>
      <c r="AH46" s="6" t="s">
        <v>422</v>
      </c>
      <c r="AI46" s="6" t="s">
        <v>422</v>
      </c>
      <c r="AJ46" s="6" t="s">
        <v>422</v>
      </c>
      <c r="AK46" s="10" t="str">
        <f t="shared" si="27"/>
        <v/>
      </c>
      <c r="AL46" s="10" t="str">
        <f t="shared" si="28"/>
        <v/>
      </c>
      <c r="AM46" s="10" t="str">
        <f t="shared" si="29"/>
        <v/>
      </c>
      <c r="AN46" s="10" t="str">
        <f t="shared" si="30"/>
        <v/>
      </c>
      <c r="AO46" s="2" t="str">
        <f t="shared" si="20"/>
        <v>NA</v>
      </c>
      <c r="AP46" s="2">
        <v>0</v>
      </c>
      <c r="AQ46" s="2">
        <v>0</v>
      </c>
      <c r="AR46" s="2">
        <v>0</v>
      </c>
      <c r="AS46" s="2">
        <v>0</v>
      </c>
      <c r="AT46" s="2" t="s">
        <v>422</v>
      </c>
      <c r="AU46" s="2" t="s">
        <v>422</v>
      </c>
      <c r="AV46" s="2" t="s">
        <v>422</v>
      </c>
      <c r="AW46" s="2" t="s">
        <v>422</v>
      </c>
      <c r="AX46" s="10" t="str">
        <f t="shared" si="31"/>
        <v/>
      </c>
      <c r="AY46" s="10" t="str">
        <f t="shared" si="32"/>
        <v/>
      </c>
      <c r="AZ46" s="10" t="str">
        <f t="shared" si="33"/>
        <v/>
      </c>
      <c r="BA46" s="10" t="str">
        <f t="shared" si="34"/>
        <v/>
      </c>
      <c r="BB46" s="2" t="str">
        <f t="shared" si="21"/>
        <v>NA</v>
      </c>
      <c r="BC46" s="6">
        <v>0</v>
      </c>
      <c r="BD46" s="6">
        <v>0</v>
      </c>
      <c r="BE46" s="6">
        <v>0</v>
      </c>
      <c r="BF46" s="6">
        <v>0</v>
      </c>
      <c r="BG46" s="6" t="s">
        <v>422</v>
      </c>
      <c r="BH46" s="6" t="s">
        <v>422</v>
      </c>
      <c r="BI46" s="6" t="s">
        <v>422</v>
      </c>
      <c r="BJ46" s="6" t="s">
        <v>422</v>
      </c>
      <c r="BK46" s="10" t="str">
        <f t="shared" si="35"/>
        <v/>
      </c>
      <c r="BL46" s="10" t="str">
        <f t="shared" si="36"/>
        <v/>
      </c>
      <c r="BM46" s="10" t="str">
        <f t="shared" si="37"/>
        <v/>
      </c>
      <c r="BN46" s="10" t="str">
        <f t="shared" si="38"/>
        <v/>
      </c>
      <c r="BO46" s="2" t="str">
        <f t="shared" si="22"/>
        <v>NA</v>
      </c>
      <c r="BP46" s="10">
        <v>-0.66973931075538617</v>
      </c>
      <c r="BQ46" s="10">
        <v>-0.62597619141799654</v>
      </c>
      <c r="BR46" s="10">
        <v>-0.6662947008066622</v>
      </c>
      <c r="BS46" s="10">
        <v>-0.78774839391241647</v>
      </c>
      <c r="BT46" s="11">
        <v>0</v>
      </c>
    </row>
    <row r="47" spans="1:72">
      <c r="A47">
        <f>COUNTIFS($J$7:J47,J47,$N$7:N47,N47,$E$7:E47,E47)</f>
        <v>2</v>
      </c>
      <c r="B47" s="16" t="str">
        <f t="shared" si="16"/>
        <v>Low</v>
      </c>
      <c r="C47" s="16" t="str">
        <f t="shared" si="17"/>
        <v>2LowNoTravel</v>
      </c>
      <c r="D47" s="1">
        <v>10882</v>
      </c>
      <c r="E47" s="1" t="s">
        <v>79</v>
      </c>
      <c r="F47" s="1" t="s">
        <v>80</v>
      </c>
      <c r="G47" s="1" t="s">
        <v>83</v>
      </c>
      <c r="H47" s="1">
        <v>935</v>
      </c>
      <c r="I47" s="1" t="s">
        <v>82</v>
      </c>
      <c r="J47" s="1" t="s">
        <v>27</v>
      </c>
      <c r="K47" s="1">
        <v>2</v>
      </c>
      <c r="L47" s="1">
        <v>1</v>
      </c>
      <c r="M47" s="2">
        <v>0.21489025647286281</v>
      </c>
      <c r="N47" s="27" t="str">
        <f t="shared" si="18"/>
        <v>Low</v>
      </c>
      <c r="O47" s="1">
        <v>2</v>
      </c>
      <c r="P47" s="6">
        <v>636.39388936965156</v>
      </c>
      <c r="Q47" s="6">
        <v>620.4687066551611</v>
      </c>
      <c r="R47" s="6">
        <v>610.57475548517289</v>
      </c>
      <c r="S47" s="6">
        <v>610.28891303598402</v>
      </c>
      <c r="T47" s="6" t="s">
        <v>422</v>
      </c>
      <c r="U47" s="6" t="s">
        <v>422</v>
      </c>
      <c r="V47" s="6" t="s">
        <v>422</v>
      </c>
      <c r="W47" s="6" t="s">
        <v>422</v>
      </c>
      <c r="X47" s="10" t="str">
        <f t="shared" si="23"/>
        <v/>
      </c>
      <c r="Y47" s="10" t="str">
        <f t="shared" si="24"/>
        <v/>
      </c>
      <c r="Z47" s="10" t="str">
        <f t="shared" si="25"/>
        <v/>
      </c>
      <c r="AA47" s="10" t="str">
        <f t="shared" si="26"/>
        <v/>
      </c>
      <c r="AB47" s="2" t="str">
        <f t="shared" si="19"/>
        <v>NA</v>
      </c>
      <c r="AC47" s="6">
        <v>576.01558122999995</v>
      </c>
      <c r="AD47" s="6">
        <v>582.01558122999995</v>
      </c>
      <c r="AE47" s="6">
        <v>616.49251367000011</v>
      </c>
      <c r="AF47" s="6">
        <v>577.79751241999998</v>
      </c>
      <c r="AG47" s="6" t="s">
        <v>422</v>
      </c>
      <c r="AH47" s="6" t="s">
        <v>422</v>
      </c>
      <c r="AI47" s="6" t="s">
        <v>422</v>
      </c>
      <c r="AJ47" s="6" t="s">
        <v>422</v>
      </c>
      <c r="AK47" s="10" t="str">
        <f t="shared" si="27"/>
        <v/>
      </c>
      <c r="AL47" s="10" t="str">
        <f t="shared" si="28"/>
        <v/>
      </c>
      <c r="AM47" s="10" t="str">
        <f t="shared" si="29"/>
        <v/>
      </c>
      <c r="AN47" s="10" t="str">
        <f t="shared" si="30"/>
        <v/>
      </c>
      <c r="AO47" s="2" t="str">
        <f t="shared" si="20"/>
        <v>NA</v>
      </c>
      <c r="AP47" s="2">
        <v>0</v>
      </c>
      <c r="AQ47" s="2">
        <v>0</v>
      </c>
      <c r="AR47" s="2">
        <v>0</v>
      </c>
      <c r="AS47" s="2">
        <v>0</v>
      </c>
      <c r="AT47" s="2" t="s">
        <v>422</v>
      </c>
      <c r="AU47" s="2" t="s">
        <v>422</v>
      </c>
      <c r="AV47" s="2" t="s">
        <v>422</v>
      </c>
      <c r="AW47" s="2" t="s">
        <v>422</v>
      </c>
      <c r="AX47" s="10" t="str">
        <f t="shared" si="31"/>
        <v/>
      </c>
      <c r="AY47" s="10" t="str">
        <f t="shared" si="32"/>
        <v/>
      </c>
      <c r="AZ47" s="10" t="str">
        <f t="shared" si="33"/>
        <v/>
      </c>
      <c r="BA47" s="10" t="str">
        <f t="shared" si="34"/>
        <v/>
      </c>
      <c r="BB47" s="2" t="str">
        <f t="shared" si="21"/>
        <v>NA</v>
      </c>
      <c r="BC47" s="6">
        <v>0</v>
      </c>
      <c r="BD47" s="6">
        <v>0</v>
      </c>
      <c r="BE47" s="6">
        <v>0</v>
      </c>
      <c r="BF47" s="6">
        <v>0</v>
      </c>
      <c r="BG47" s="6" t="s">
        <v>422</v>
      </c>
      <c r="BH47" s="6" t="s">
        <v>422</v>
      </c>
      <c r="BI47" s="6" t="s">
        <v>422</v>
      </c>
      <c r="BJ47" s="6" t="s">
        <v>422</v>
      </c>
      <c r="BK47" s="10" t="str">
        <f t="shared" si="35"/>
        <v/>
      </c>
      <c r="BL47" s="10" t="str">
        <f t="shared" si="36"/>
        <v/>
      </c>
      <c r="BM47" s="10" t="str">
        <f t="shared" si="37"/>
        <v/>
      </c>
      <c r="BN47" s="10" t="str">
        <f t="shared" si="38"/>
        <v/>
      </c>
      <c r="BO47" s="2" t="str">
        <f t="shared" si="22"/>
        <v>NA</v>
      </c>
      <c r="BP47" s="10">
        <v>0.88942499725459356</v>
      </c>
      <c r="BQ47" s="10">
        <v>0.82561690135573862</v>
      </c>
      <c r="BR47" s="10">
        <v>0.86491859020525996</v>
      </c>
      <c r="BS47" s="10">
        <v>0.7504789778657045</v>
      </c>
      <c r="BT47" s="11" t="s">
        <v>461</v>
      </c>
    </row>
    <row r="48" spans="1:72">
      <c r="A48">
        <f>COUNTIFS($J$7:J48,J48,$N$7:N48,N48,$E$7:E48,E48)</f>
        <v>1</v>
      </c>
      <c r="B48" s="16" t="str">
        <f t="shared" si="16"/>
        <v>Medium</v>
      </c>
      <c r="C48" s="16" t="str">
        <f t="shared" si="17"/>
        <v>1MediumNoTravel</v>
      </c>
      <c r="D48" s="1">
        <v>10884</v>
      </c>
      <c r="E48" s="1" t="s">
        <v>79</v>
      </c>
      <c r="F48" s="1" t="s">
        <v>80</v>
      </c>
      <c r="G48" s="1" t="s">
        <v>84</v>
      </c>
      <c r="H48" s="1">
        <v>181</v>
      </c>
      <c r="I48" s="1" t="s">
        <v>82</v>
      </c>
      <c r="J48" s="1" t="s">
        <v>27</v>
      </c>
      <c r="K48" s="1">
        <v>2</v>
      </c>
      <c r="L48" s="1"/>
      <c r="M48" s="2">
        <v>0</v>
      </c>
      <c r="N48" s="27" t="str">
        <f t="shared" si="18"/>
        <v>Medium</v>
      </c>
      <c r="O48" s="1">
        <v>2</v>
      </c>
      <c r="P48" s="6">
        <v>131.72224045764</v>
      </c>
      <c r="Q48" s="6">
        <v>125.57254882540261</v>
      </c>
      <c r="R48" s="6">
        <v>119.7873137522614</v>
      </c>
      <c r="S48" s="6">
        <v>116.56766353222652</v>
      </c>
      <c r="T48" s="6" t="s">
        <v>422</v>
      </c>
      <c r="U48" s="6" t="s">
        <v>422</v>
      </c>
      <c r="V48" s="6" t="s">
        <v>422</v>
      </c>
      <c r="W48" s="6" t="s">
        <v>422</v>
      </c>
      <c r="X48" s="10" t="str">
        <f t="shared" si="23"/>
        <v/>
      </c>
      <c r="Y48" s="10" t="str">
        <f t="shared" si="24"/>
        <v/>
      </c>
      <c r="Z48" s="10" t="str">
        <f t="shared" si="25"/>
        <v/>
      </c>
      <c r="AA48" s="10" t="str">
        <f t="shared" si="26"/>
        <v/>
      </c>
      <c r="AB48" s="2" t="str">
        <f t="shared" si="19"/>
        <v>NA</v>
      </c>
      <c r="AC48" s="6">
        <v>168.89078309999999</v>
      </c>
      <c r="AD48" s="6">
        <v>168.89078309999999</v>
      </c>
      <c r="AE48" s="6">
        <v>177.17129664999999</v>
      </c>
      <c r="AF48" s="6">
        <v>161.24335782</v>
      </c>
      <c r="AG48" s="6" t="s">
        <v>422</v>
      </c>
      <c r="AH48" s="6" t="s">
        <v>422</v>
      </c>
      <c r="AI48" s="6" t="s">
        <v>422</v>
      </c>
      <c r="AJ48" s="6" t="s">
        <v>422</v>
      </c>
      <c r="AK48" s="10" t="str">
        <f t="shared" si="27"/>
        <v/>
      </c>
      <c r="AL48" s="10" t="str">
        <f t="shared" si="28"/>
        <v/>
      </c>
      <c r="AM48" s="10" t="str">
        <f t="shared" si="29"/>
        <v/>
      </c>
      <c r="AN48" s="10" t="str">
        <f t="shared" si="30"/>
        <v/>
      </c>
      <c r="AO48" s="2" t="str">
        <f t="shared" si="20"/>
        <v>NA</v>
      </c>
      <c r="AP48" s="2">
        <v>0</v>
      </c>
      <c r="AQ48" s="2">
        <v>0</v>
      </c>
      <c r="AR48" s="2">
        <v>0</v>
      </c>
      <c r="AS48" s="2">
        <v>0</v>
      </c>
      <c r="AT48" s="2" t="s">
        <v>422</v>
      </c>
      <c r="AU48" s="2" t="s">
        <v>422</v>
      </c>
      <c r="AV48" s="2" t="s">
        <v>422</v>
      </c>
      <c r="AW48" s="2" t="s">
        <v>422</v>
      </c>
      <c r="AX48" s="10" t="str">
        <f t="shared" si="31"/>
        <v/>
      </c>
      <c r="AY48" s="10" t="str">
        <f t="shared" si="32"/>
        <v/>
      </c>
      <c r="AZ48" s="10" t="str">
        <f t="shared" si="33"/>
        <v/>
      </c>
      <c r="BA48" s="10" t="str">
        <f t="shared" si="34"/>
        <v/>
      </c>
      <c r="BB48" s="2" t="str">
        <f t="shared" si="21"/>
        <v>NA</v>
      </c>
      <c r="BC48" s="6">
        <v>0</v>
      </c>
      <c r="BD48" s="6">
        <v>0</v>
      </c>
      <c r="BE48" s="6">
        <v>0</v>
      </c>
      <c r="BF48" s="6">
        <v>0</v>
      </c>
      <c r="BG48" s="6" t="s">
        <v>422</v>
      </c>
      <c r="BH48" s="6" t="s">
        <v>422</v>
      </c>
      <c r="BI48" s="6" t="s">
        <v>422</v>
      </c>
      <c r="BJ48" s="6" t="s">
        <v>422</v>
      </c>
      <c r="BK48" s="10" t="str">
        <f t="shared" si="35"/>
        <v/>
      </c>
      <c r="BL48" s="10" t="str">
        <f t="shared" si="36"/>
        <v/>
      </c>
      <c r="BM48" s="10" t="str">
        <f t="shared" si="37"/>
        <v/>
      </c>
      <c r="BN48" s="10" t="str">
        <f t="shared" si="38"/>
        <v/>
      </c>
      <c r="BO48" s="2" t="str">
        <f t="shared" si="22"/>
        <v>NA</v>
      </c>
      <c r="BP48" s="10">
        <v>-1.1589626947200868</v>
      </c>
      <c r="BQ48" s="10">
        <v>-0.23592570638870852</v>
      </c>
      <c r="BR48" s="10">
        <v>-0.22045220154226119</v>
      </c>
      <c r="BS48" s="10">
        <v>-0.13129094455812385</v>
      </c>
      <c r="BT48" s="11" t="s">
        <v>461</v>
      </c>
    </row>
    <row r="49" spans="1:72">
      <c r="A49">
        <f>COUNTIFS($J$7:J49,J49,$N$7:N49,N49,$E$7:E49,E49)</f>
        <v>1</v>
      </c>
      <c r="B49" s="16" t="str">
        <f t="shared" si="16"/>
        <v>Critical</v>
      </c>
      <c r="C49" s="16" t="str">
        <f t="shared" si="17"/>
        <v>1CriticalNoTravel</v>
      </c>
      <c r="D49" s="1">
        <v>10886</v>
      </c>
      <c r="E49" s="1" t="s">
        <v>79</v>
      </c>
      <c r="F49" s="1" t="s">
        <v>80</v>
      </c>
      <c r="G49" s="1" t="s">
        <v>85</v>
      </c>
      <c r="H49" s="1">
        <v>77</v>
      </c>
      <c r="I49" s="1" t="s">
        <v>82</v>
      </c>
      <c r="J49" s="1" t="s">
        <v>27</v>
      </c>
      <c r="K49" s="1">
        <v>1</v>
      </c>
      <c r="L49" s="1">
        <v>1</v>
      </c>
      <c r="M49" s="2">
        <v>-0.43</v>
      </c>
      <c r="N49" s="27" t="str">
        <f t="shared" si="18"/>
        <v>Critical</v>
      </c>
      <c r="O49" s="1">
        <v>1</v>
      </c>
      <c r="P49" s="6">
        <v>53.923138195802473</v>
      </c>
      <c r="Q49" s="6">
        <v>53.923138195802473</v>
      </c>
      <c r="R49" s="6">
        <v>53.923138195802473</v>
      </c>
      <c r="S49" s="6">
        <v>53.923138195802473</v>
      </c>
      <c r="T49" s="6" t="s">
        <v>422</v>
      </c>
      <c r="U49" s="6" t="s">
        <v>422</v>
      </c>
      <c r="V49" s="6" t="s">
        <v>422</v>
      </c>
      <c r="W49" s="6" t="s">
        <v>422</v>
      </c>
      <c r="X49" s="10" t="str">
        <f t="shared" si="23"/>
        <v/>
      </c>
      <c r="Y49" s="10" t="str">
        <f t="shared" si="24"/>
        <v/>
      </c>
      <c r="Z49" s="10" t="str">
        <f t="shared" si="25"/>
        <v/>
      </c>
      <c r="AA49" s="10" t="str">
        <f t="shared" si="26"/>
        <v/>
      </c>
      <c r="AB49" s="2" t="str">
        <f t="shared" si="19"/>
        <v>NA</v>
      </c>
      <c r="AC49" s="6">
        <v>84.219282406999994</v>
      </c>
      <c r="AD49" s="6">
        <v>84.219282406999994</v>
      </c>
      <c r="AE49" s="6">
        <v>88.229724415000007</v>
      </c>
      <c r="AF49" s="6">
        <v>80.557574463999998</v>
      </c>
      <c r="AG49" s="6" t="s">
        <v>422</v>
      </c>
      <c r="AH49" s="6" t="s">
        <v>422</v>
      </c>
      <c r="AI49" s="6" t="s">
        <v>422</v>
      </c>
      <c r="AJ49" s="6" t="s">
        <v>422</v>
      </c>
      <c r="AK49" s="10" t="str">
        <f t="shared" si="27"/>
        <v/>
      </c>
      <c r="AL49" s="10" t="str">
        <f t="shared" si="28"/>
        <v/>
      </c>
      <c r="AM49" s="10" t="str">
        <f t="shared" si="29"/>
        <v/>
      </c>
      <c r="AN49" s="10" t="str">
        <f t="shared" si="30"/>
        <v/>
      </c>
      <c r="AO49" s="2" t="str">
        <f t="shared" si="20"/>
        <v>NA</v>
      </c>
      <c r="AP49" s="2">
        <v>0</v>
      </c>
      <c r="AQ49" s="2">
        <v>0</v>
      </c>
      <c r="AR49" s="2">
        <v>0</v>
      </c>
      <c r="AS49" s="2">
        <v>0</v>
      </c>
      <c r="AT49" s="2" t="s">
        <v>422</v>
      </c>
      <c r="AU49" s="2" t="s">
        <v>422</v>
      </c>
      <c r="AV49" s="2" t="s">
        <v>422</v>
      </c>
      <c r="AW49" s="2" t="s">
        <v>422</v>
      </c>
      <c r="AX49" s="10" t="str">
        <f t="shared" si="31"/>
        <v/>
      </c>
      <c r="AY49" s="10" t="str">
        <f t="shared" si="32"/>
        <v/>
      </c>
      <c r="AZ49" s="10" t="str">
        <f t="shared" si="33"/>
        <v/>
      </c>
      <c r="BA49" s="10" t="str">
        <f t="shared" si="34"/>
        <v/>
      </c>
      <c r="BB49" s="2" t="str">
        <f t="shared" si="21"/>
        <v>NA</v>
      </c>
      <c r="BC49" s="6">
        <v>0</v>
      </c>
      <c r="BD49" s="6">
        <v>0</v>
      </c>
      <c r="BE49" s="6">
        <v>0</v>
      </c>
      <c r="BF49" s="6">
        <v>0</v>
      </c>
      <c r="BG49" s="6" t="s">
        <v>422</v>
      </c>
      <c r="BH49" s="6" t="s">
        <v>422</v>
      </c>
      <c r="BI49" s="6" t="s">
        <v>422</v>
      </c>
      <c r="BJ49" s="6" t="s">
        <v>422</v>
      </c>
      <c r="BK49" s="10" t="str">
        <f t="shared" si="35"/>
        <v/>
      </c>
      <c r="BL49" s="10" t="str">
        <f t="shared" si="36"/>
        <v/>
      </c>
      <c r="BM49" s="10" t="str">
        <f t="shared" si="37"/>
        <v/>
      </c>
      <c r="BN49" s="10" t="str">
        <f t="shared" si="38"/>
        <v/>
      </c>
      <c r="BO49" s="2" t="str">
        <f t="shared" si="22"/>
        <v>NA</v>
      </c>
      <c r="BP49" s="10">
        <v>2.9084228530483536E-2</v>
      </c>
      <c r="BQ49" s="10">
        <v>-3.8729894169231061E-2</v>
      </c>
      <c r="BR49" s="10">
        <v>-4.9553495206178466E-2</v>
      </c>
      <c r="BS49" s="10">
        <v>-3.0233036604747743E-2</v>
      </c>
      <c r="BT49" s="11" t="s">
        <v>461</v>
      </c>
    </row>
    <row r="50" spans="1:72">
      <c r="A50">
        <f>COUNTIFS($J$7:J50,J50,$N$7:N50,N50,$E$7:E50,E50)</f>
        <v>1</v>
      </c>
      <c r="B50" s="16" t="str">
        <f t="shared" si="16"/>
        <v>Critical</v>
      </c>
      <c r="C50" s="16" t="str">
        <f t="shared" si="17"/>
        <v>1CriticalNoTelecom-Non AT&amp;T</v>
      </c>
      <c r="D50" s="1">
        <v>10887</v>
      </c>
      <c r="E50" s="1" t="s">
        <v>485</v>
      </c>
      <c r="F50" s="1" t="s">
        <v>86</v>
      </c>
      <c r="G50" s="1" t="s">
        <v>87</v>
      </c>
      <c r="H50" s="1">
        <v>34</v>
      </c>
      <c r="I50" s="1" t="s">
        <v>88</v>
      </c>
      <c r="J50" s="1" t="s">
        <v>27</v>
      </c>
      <c r="K50" s="1">
        <v>1</v>
      </c>
      <c r="L50" s="1">
        <v>1</v>
      </c>
      <c r="M50" s="2">
        <v>-0.27345887381015493</v>
      </c>
      <c r="N50" s="27" t="str">
        <f t="shared" si="18"/>
        <v>Critical</v>
      </c>
      <c r="O50" s="1">
        <v>1</v>
      </c>
      <c r="P50" s="6">
        <v>50</v>
      </c>
      <c r="Q50" s="6">
        <v>50</v>
      </c>
      <c r="R50" s="6">
        <v>50</v>
      </c>
      <c r="S50" s="6">
        <v>50</v>
      </c>
      <c r="T50" s="6" t="s">
        <v>422</v>
      </c>
      <c r="U50" s="6" t="s">
        <v>422</v>
      </c>
      <c r="V50" s="6" t="s">
        <v>422</v>
      </c>
      <c r="W50" s="6" t="s">
        <v>422</v>
      </c>
      <c r="X50" s="10" t="str">
        <f t="shared" si="23"/>
        <v/>
      </c>
      <c r="Y50" s="10" t="str">
        <f t="shared" si="24"/>
        <v/>
      </c>
      <c r="Z50" s="10" t="str">
        <f t="shared" si="25"/>
        <v/>
      </c>
      <c r="AA50" s="10" t="str">
        <f t="shared" si="26"/>
        <v/>
      </c>
      <c r="AB50" s="2" t="str">
        <f t="shared" si="19"/>
        <v>NA</v>
      </c>
      <c r="AC50" s="6">
        <v>50</v>
      </c>
      <c r="AD50" s="6">
        <v>50</v>
      </c>
      <c r="AE50" s="6">
        <v>50</v>
      </c>
      <c r="AF50" s="6">
        <v>50</v>
      </c>
      <c r="AG50" s="6" t="s">
        <v>422</v>
      </c>
      <c r="AH50" s="6" t="s">
        <v>422</v>
      </c>
      <c r="AI50" s="6" t="s">
        <v>422</v>
      </c>
      <c r="AJ50" s="6" t="s">
        <v>422</v>
      </c>
      <c r="AK50" s="10" t="str">
        <f t="shared" si="27"/>
        <v/>
      </c>
      <c r="AL50" s="10" t="str">
        <f t="shared" si="28"/>
        <v/>
      </c>
      <c r="AM50" s="10" t="str">
        <f t="shared" si="29"/>
        <v/>
      </c>
      <c r="AN50" s="10" t="str">
        <f t="shared" si="30"/>
        <v/>
      </c>
      <c r="AO50" s="2" t="str">
        <f t="shared" si="20"/>
        <v>NA</v>
      </c>
      <c r="AP50" s="2">
        <v>0</v>
      </c>
      <c r="AQ50" s="2">
        <v>0</v>
      </c>
      <c r="AR50" s="2">
        <v>0</v>
      </c>
      <c r="AS50" s="2">
        <v>0</v>
      </c>
      <c r="AT50" s="2" t="s">
        <v>422</v>
      </c>
      <c r="AU50" s="2" t="s">
        <v>422</v>
      </c>
      <c r="AV50" s="2" t="s">
        <v>422</v>
      </c>
      <c r="AW50" s="2" t="s">
        <v>422</v>
      </c>
      <c r="AX50" s="10" t="str">
        <f t="shared" si="31"/>
        <v/>
      </c>
      <c r="AY50" s="10" t="str">
        <f t="shared" si="32"/>
        <v/>
      </c>
      <c r="AZ50" s="10" t="str">
        <f t="shared" si="33"/>
        <v/>
      </c>
      <c r="BA50" s="10" t="str">
        <f t="shared" si="34"/>
        <v/>
      </c>
      <c r="BB50" s="2" t="str">
        <f t="shared" si="21"/>
        <v>NA</v>
      </c>
      <c r="BC50" s="6">
        <v>2670226.969</v>
      </c>
      <c r="BD50" s="6">
        <v>2670226.969</v>
      </c>
      <c r="BE50" s="6">
        <v>2670226.969</v>
      </c>
      <c r="BF50" s="6">
        <v>2670226.969</v>
      </c>
      <c r="BG50" s="6" t="s">
        <v>422</v>
      </c>
      <c r="BH50" s="6" t="s">
        <v>422</v>
      </c>
      <c r="BI50" s="6" t="s">
        <v>422</v>
      </c>
      <c r="BJ50" s="6" t="s">
        <v>422</v>
      </c>
      <c r="BK50" s="10" t="str">
        <f t="shared" si="35"/>
        <v/>
      </c>
      <c r="BL50" s="10" t="str">
        <f t="shared" si="36"/>
        <v/>
      </c>
      <c r="BM50" s="10" t="str">
        <f t="shared" si="37"/>
        <v/>
      </c>
      <c r="BN50" s="10" t="str">
        <f t="shared" si="38"/>
        <v/>
      </c>
      <c r="BO50" s="2" t="str">
        <f t="shared" si="22"/>
        <v>NA</v>
      </c>
      <c r="BP50" s="10">
        <v>0</v>
      </c>
      <c r="BQ50" s="10">
        <v>0</v>
      </c>
      <c r="BR50" s="10">
        <v>0</v>
      </c>
      <c r="BS50" s="10">
        <v>0</v>
      </c>
      <c r="BT50" s="11" t="s">
        <v>458</v>
      </c>
    </row>
    <row r="51" spans="1:72">
      <c r="A51">
        <f>COUNTIFS($J$7:J51,J51,$N$7:N51,N51,$E$7:E51,E51)</f>
        <v>2</v>
      </c>
      <c r="B51" s="16" t="str">
        <f t="shared" si="16"/>
        <v>Critical</v>
      </c>
      <c r="C51" s="16" t="str">
        <f t="shared" si="17"/>
        <v>2CriticalNoTelecom-Non AT&amp;T</v>
      </c>
      <c r="D51" s="1">
        <v>10888</v>
      </c>
      <c r="E51" s="1" t="s">
        <v>485</v>
      </c>
      <c r="F51" s="1" t="s">
        <v>86</v>
      </c>
      <c r="G51" s="1" t="s">
        <v>89</v>
      </c>
      <c r="H51" s="1">
        <v>308</v>
      </c>
      <c r="I51" s="1" t="s">
        <v>88</v>
      </c>
      <c r="J51" s="1" t="s">
        <v>27</v>
      </c>
      <c r="K51" s="1">
        <v>1</v>
      </c>
      <c r="L51" s="1">
        <v>1</v>
      </c>
      <c r="M51" s="2">
        <v>-0.11174315710570026</v>
      </c>
      <c r="N51" s="27" t="str">
        <f t="shared" si="18"/>
        <v>Critical</v>
      </c>
      <c r="O51" s="1">
        <v>1</v>
      </c>
      <c r="P51" s="6">
        <v>279.1916824851366</v>
      </c>
      <c r="Q51" s="6">
        <v>272.01894891954089</v>
      </c>
      <c r="R51" s="6">
        <v>265.66916460119631</v>
      </c>
      <c r="S51" s="6">
        <v>266.31217741935478</v>
      </c>
      <c r="T51" s="6">
        <v>176.75</v>
      </c>
      <c r="U51" s="6">
        <v>168.8</v>
      </c>
      <c r="V51" s="6">
        <v>157.75</v>
      </c>
      <c r="W51" s="6">
        <v>0</v>
      </c>
      <c r="X51" s="10">
        <f t="shared" si="23"/>
        <v>0.36692240103030399</v>
      </c>
      <c r="Y51" s="10">
        <f t="shared" si="24"/>
        <v>0.37945499506386038</v>
      </c>
      <c r="Z51" s="10">
        <f t="shared" si="25"/>
        <v>0.4062163735230504</v>
      </c>
      <c r="AA51" s="10">
        <f t="shared" si="26"/>
        <v>1</v>
      </c>
      <c r="AB51" s="2">
        <f t="shared" si="19"/>
        <v>0.38419792320573826</v>
      </c>
      <c r="AC51" s="6">
        <v>272</v>
      </c>
      <c r="AD51" s="6">
        <v>272</v>
      </c>
      <c r="AE51" s="6">
        <v>260</v>
      </c>
      <c r="AF51" s="6">
        <v>267</v>
      </c>
      <c r="AG51" s="6">
        <v>157</v>
      </c>
      <c r="AH51" s="6">
        <v>154.4</v>
      </c>
      <c r="AI51" s="6">
        <v>160.25</v>
      </c>
      <c r="AJ51" s="6">
        <v>0</v>
      </c>
      <c r="AK51" s="10">
        <f t="shared" si="27"/>
        <v>0.42279411764705882</v>
      </c>
      <c r="AL51" s="10">
        <f t="shared" si="28"/>
        <v>0.43235294117647055</v>
      </c>
      <c r="AM51" s="10">
        <f t="shared" si="29"/>
        <v>0.38365384615384618</v>
      </c>
      <c r="AN51" s="10">
        <f t="shared" si="30"/>
        <v>1</v>
      </c>
      <c r="AO51" s="2">
        <f t="shared" si="20"/>
        <v>0.41293363499245855</v>
      </c>
      <c r="AP51" s="2">
        <v>0</v>
      </c>
      <c r="AQ51" s="2">
        <v>0</v>
      </c>
      <c r="AR51" s="2">
        <v>0</v>
      </c>
      <c r="AS51" s="2">
        <v>0</v>
      </c>
      <c r="AT51" s="2">
        <v>0.52249999999999996</v>
      </c>
      <c r="AU51" s="2">
        <v>0.52</v>
      </c>
      <c r="AV51" s="2">
        <v>0.52</v>
      </c>
      <c r="AW51" s="2">
        <v>0</v>
      </c>
      <c r="AX51" s="10" t="str">
        <f t="shared" si="31"/>
        <v/>
      </c>
      <c r="AY51" s="10" t="str">
        <f t="shared" si="32"/>
        <v/>
      </c>
      <c r="AZ51" s="10" t="str">
        <f t="shared" si="33"/>
        <v/>
      </c>
      <c r="BA51" s="10" t="str">
        <f t="shared" si="34"/>
        <v/>
      </c>
      <c r="BB51" s="2" t="str">
        <f t="shared" si="21"/>
        <v>NA</v>
      </c>
      <c r="BC51" s="6">
        <v>873480.21567299997</v>
      </c>
      <c r="BD51" s="6">
        <v>888669.81994199997</v>
      </c>
      <c r="BE51" s="6">
        <v>896416.51818000001</v>
      </c>
      <c r="BF51" s="6">
        <v>935537.34416099987</v>
      </c>
      <c r="BG51" s="6">
        <v>175115</v>
      </c>
      <c r="BH51" s="6">
        <v>218569</v>
      </c>
      <c r="BI51" s="6">
        <v>183149</v>
      </c>
      <c r="BJ51" s="6">
        <v>0</v>
      </c>
      <c r="BK51" s="10">
        <f t="shared" si="35"/>
        <v>0.79952035906723173</v>
      </c>
      <c r="BL51" s="10">
        <f t="shared" si="36"/>
        <v>0.75404925980915483</v>
      </c>
      <c r="BM51" s="10">
        <f t="shared" si="37"/>
        <v>0.79568761141098943</v>
      </c>
      <c r="BN51" s="10">
        <f t="shared" si="38"/>
        <v>1</v>
      </c>
      <c r="BO51" s="2">
        <f t="shared" si="22"/>
        <v>0.78308574342912529</v>
      </c>
      <c r="BP51" s="10">
        <v>0</v>
      </c>
      <c r="BQ51" s="10">
        <v>0</v>
      </c>
      <c r="BR51" s="10">
        <v>0</v>
      </c>
      <c r="BS51" s="10">
        <v>0</v>
      </c>
      <c r="BT51" s="11" t="s">
        <v>458</v>
      </c>
    </row>
    <row r="52" spans="1:72">
      <c r="A52">
        <f>COUNTIFS($J$7:J52,J52,$N$7:N52,N52,$E$7:E52,E52)</f>
        <v>1</v>
      </c>
      <c r="B52" s="16" t="str">
        <f t="shared" si="16"/>
        <v>Low</v>
      </c>
      <c r="C52" s="16" t="str">
        <f t="shared" si="17"/>
        <v>1LowNoTelecom-Non AT&amp;T</v>
      </c>
      <c r="D52" s="1">
        <v>10889</v>
      </c>
      <c r="E52" s="1" t="s">
        <v>485</v>
      </c>
      <c r="F52" s="1" t="s">
        <v>86</v>
      </c>
      <c r="G52" s="1" t="s">
        <v>90</v>
      </c>
      <c r="H52" s="1">
        <v>79</v>
      </c>
      <c r="I52" s="1" t="s">
        <v>88</v>
      </c>
      <c r="J52" s="1" t="s">
        <v>27</v>
      </c>
      <c r="K52" s="1">
        <v>1</v>
      </c>
      <c r="L52" s="1">
        <v>1</v>
      </c>
      <c r="M52" s="2">
        <v>0.12249806518660952</v>
      </c>
      <c r="N52" s="27" t="str">
        <f t="shared" si="18"/>
        <v>Low</v>
      </c>
      <c r="O52" s="1">
        <v>1</v>
      </c>
      <c r="P52" s="6">
        <v>79.218403741335635</v>
      </c>
      <c r="Q52" s="6">
        <v>84.768406876406615</v>
      </c>
      <c r="R52" s="6">
        <v>84.685380968292975</v>
      </c>
      <c r="S52" s="6">
        <v>82.963059151088657</v>
      </c>
      <c r="T52" s="6">
        <v>53.25</v>
      </c>
      <c r="U52" s="6">
        <v>49.8</v>
      </c>
      <c r="V52" s="6">
        <v>46.5</v>
      </c>
      <c r="W52" s="6">
        <v>0</v>
      </c>
      <c r="X52" s="10">
        <f t="shared" si="23"/>
        <v>0.32780771279017196</v>
      </c>
      <c r="Y52" s="10">
        <f t="shared" si="24"/>
        <v>0.41251697613464633</v>
      </c>
      <c r="Z52" s="10">
        <f t="shared" si="25"/>
        <v>0.45090876998699397</v>
      </c>
      <c r="AA52" s="10">
        <f t="shared" si="26"/>
        <v>1</v>
      </c>
      <c r="AB52" s="2">
        <f t="shared" si="19"/>
        <v>0.39707781963727079</v>
      </c>
      <c r="AC52" s="6">
        <v>47.110168876262634</v>
      </c>
      <c r="AD52" s="6">
        <v>64.489007635882629</v>
      </c>
      <c r="AE52" s="6">
        <v>81.898200757575751</v>
      </c>
      <c r="AF52" s="6">
        <v>68.795092975206614</v>
      </c>
      <c r="AG52" s="6">
        <v>48.75</v>
      </c>
      <c r="AH52" s="6">
        <v>48.2</v>
      </c>
      <c r="AI52" s="6">
        <v>51</v>
      </c>
      <c r="AJ52" s="6">
        <v>0</v>
      </c>
      <c r="AK52" s="10">
        <f t="shared" si="27"/>
        <v>-3.4808432295041651E-2</v>
      </c>
      <c r="AL52" s="10">
        <f t="shared" si="28"/>
        <v>0.25258580079032233</v>
      </c>
      <c r="AM52" s="10">
        <f t="shared" si="29"/>
        <v>0.37727569680116085</v>
      </c>
      <c r="AN52" s="10">
        <f t="shared" si="30"/>
        <v>1</v>
      </c>
      <c r="AO52" s="2">
        <f t="shared" si="20"/>
        <v>0.1983510217654805</v>
      </c>
      <c r="AP52" s="2">
        <v>0</v>
      </c>
      <c r="AQ52" s="2">
        <v>0</v>
      </c>
      <c r="AR52" s="2">
        <v>0</v>
      </c>
      <c r="AS52" s="2">
        <v>0</v>
      </c>
      <c r="AT52" s="2">
        <v>0.57999999999999996</v>
      </c>
      <c r="AU52" s="2">
        <v>0.58199999999999996</v>
      </c>
      <c r="AV52" s="2">
        <v>0.57999999999999996</v>
      </c>
      <c r="AW52" s="2">
        <v>0</v>
      </c>
      <c r="AX52" s="10" t="str">
        <f t="shared" si="31"/>
        <v/>
      </c>
      <c r="AY52" s="10" t="str">
        <f t="shared" si="32"/>
        <v/>
      </c>
      <c r="AZ52" s="10" t="str">
        <f t="shared" si="33"/>
        <v/>
      </c>
      <c r="BA52" s="10" t="str">
        <f t="shared" si="34"/>
        <v/>
      </c>
      <c r="BB52" s="2" t="str">
        <f t="shared" si="21"/>
        <v>NA</v>
      </c>
      <c r="BC52" s="6">
        <v>74510</v>
      </c>
      <c r="BD52" s="6">
        <v>88633</v>
      </c>
      <c r="BE52" s="6">
        <v>81145</v>
      </c>
      <c r="BF52" s="6">
        <v>85203</v>
      </c>
      <c r="BG52" s="6">
        <v>67451</v>
      </c>
      <c r="BH52" s="6">
        <v>83803</v>
      </c>
      <c r="BI52" s="6">
        <v>70460</v>
      </c>
      <c r="BJ52" s="6">
        <v>0</v>
      </c>
      <c r="BK52" s="10">
        <f t="shared" si="35"/>
        <v>9.4738961213259962E-2</v>
      </c>
      <c r="BL52" s="10">
        <f t="shared" si="36"/>
        <v>5.4494375684000319E-2</v>
      </c>
      <c r="BM52" s="10">
        <f t="shared" si="37"/>
        <v>0.13167786061987799</v>
      </c>
      <c r="BN52" s="10">
        <f t="shared" si="38"/>
        <v>1</v>
      </c>
      <c r="BO52" s="2">
        <f t="shared" si="22"/>
        <v>9.3637065839046088E-2</v>
      </c>
      <c r="BP52" s="10">
        <v>0.12209617911256829</v>
      </c>
      <c r="BQ52" s="10">
        <v>1.4228029302632894E-2</v>
      </c>
      <c r="BR52" s="10">
        <v>0</v>
      </c>
      <c r="BS52" s="10">
        <v>0</v>
      </c>
      <c r="BT52" s="11" t="s">
        <v>459</v>
      </c>
    </row>
    <row r="53" spans="1:72">
      <c r="A53">
        <f>COUNTIFS($J$7:J53,J53,$N$7:N53,N53,$E$7:E53,E53)</f>
        <v>2</v>
      </c>
      <c r="B53" s="16" t="str">
        <f t="shared" si="16"/>
        <v>Critical</v>
      </c>
      <c r="C53" s="16" t="str">
        <f t="shared" si="17"/>
        <v>2CriticalNoTechnology</v>
      </c>
      <c r="D53" s="1">
        <v>10890</v>
      </c>
      <c r="E53" s="1" t="s">
        <v>23</v>
      </c>
      <c r="F53" s="1" t="s">
        <v>24</v>
      </c>
      <c r="G53" s="1" t="s">
        <v>91</v>
      </c>
      <c r="H53" s="1">
        <v>36</v>
      </c>
      <c r="I53" s="1" t="s">
        <v>26</v>
      </c>
      <c r="J53" s="1" t="s">
        <v>27</v>
      </c>
      <c r="K53" s="1">
        <v>1</v>
      </c>
      <c r="L53" s="1">
        <v>1</v>
      </c>
      <c r="M53" s="2">
        <v>-0.47325138867138583</v>
      </c>
      <c r="N53" s="27" t="str">
        <f t="shared" si="18"/>
        <v>Critical</v>
      </c>
      <c r="O53" s="1">
        <v>1</v>
      </c>
      <c r="P53" s="6">
        <v>35.925080425445962</v>
      </c>
      <c r="Q53" s="6">
        <v>34.377894489119598</v>
      </c>
      <c r="R53" s="6">
        <v>32.906311915313452</v>
      </c>
      <c r="S53" s="6">
        <v>31.506699673929429</v>
      </c>
      <c r="T53" s="6">
        <v>12.75</v>
      </c>
      <c r="U53" s="6">
        <v>11</v>
      </c>
      <c r="V53" s="6">
        <v>9.5</v>
      </c>
      <c r="W53" s="6">
        <v>8.75</v>
      </c>
      <c r="X53" s="10">
        <f t="shared" si="23"/>
        <v>0.64509474024812219</v>
      </c>
      <c r="Y53" s="10">
        <f t="shared" si="24"/>
        <v>0.68002694279367704</v>
      </c>
      <c r="Z53" s="10">
        <f t="shared" si="25"/>
        <v>0.71130158783977759</v>
      </c>
      <c r="AA53" s="10">
        <f t="shared" si="26"/>
        <v>0.72228128967629435</v>
      </c>
      <c r="AB53" s="2">
        <f t="shared" si="19"/>
        <v>0.68967614013946776</v>
      </c>
      <c r="AC53" s="6">
        <v>21.245953856749313</v>
      </c>
      <c r="AD53" s="6">
        <v>22.653646977016543</v>
      </c>
      <c r="AE53" s="6">
        <v>24.87194865319865</v>
      </c>
      <c r="AF53" s="6">
        <v>22.653646977016543</v>
      </c>
      <c r="AG53" s="6">
        <v>12.5</v>
      </c>
      <c r="AH53" s="6">
        <v>10.6</v>
      </c>
      <c r="AI53" s="6">
        <v>9</v>
      </c>
      <c r="AJ53" s="6">
        <v>8.25</v>
      </c>
      <c r="AK53" s="10">
        <f t="shared" si="27"/>
        <v>0.41165268058656451</v>
      </c>
      <c r="AL53" s="10">
        <f t="shared" si="28"/>
        <v>0.53208417122619045</v>
      </c>
      <c r="AM53" s="10">
        <f t="shared" si="29"/>
        <v>0.63814656722353125</v>
      </c>
      <c r="AN53" s="10">
        <f t="shared" si="30"/>
        <v>0.63582022760528978</v>
      </c>
      <c r="AO53" s="2">
        <f t="shared" si="20"/>
        <v>0.55442591166039401</v>
      </c>
      <c r="AP53" s="2">
        <v>1</v>
      </c>
      <c r="AQ53" s="2">
        <v>1</v>
      </c>
      <c r="AR53" s="2">
        <v>1</v>
      </c>
      <c r="AS53" s="2">
        <v>1</v>
      </c>
      <c r="AT53" s="2">
        <v>0.45750000000000002</v>
      </c>
      <c r="AU53" s="2">
        <v>0.41399999999999998</v>
      </c>
      <c r="AV53" s="2">
        <v>0.34749999999999998</v>
      </c>
      <c r="AW53" s="2">
        <v>0.26</v>
      </c>
      <c r="AX53" s="10">
        <f t="shared" si="31"/>
        <v>0.54249999999999998</v>
      </c>
      <c r="AY53" s="10">
        <f t="shared" si="32"/>
        <v>0.58600000000000008</v>
      </c>
      <c r="AZ53" s="10">
        <f t="shared" si="33"/>
        <v>0.65250000000000008</v>
      </c>
      <c r="BA53" s="10">
        <f t="shared" si="34"/>
        <v>0.74</v>
      </c>
      <c r="BB53" s="2">
        <f t="shared" si="21"/>
        <v>0.63024999999999998</v>
      </c>
      <c r="BC53" s="6">
        <v>4370</v>
      </c>
      <c r="BD53" s="6">
        <v>4429</v>
      </c>
      <c r="BE53" s="6">
        <v>4286</v>
      </c>
      <c r="BF53" s="6">
        <v>4429</v>
      </c>
      <c r="BG53" s="6">
        <v>2767</v>
      </c>
      <c r="BH53" s="6">
        <v>2692</v>
      </c>
      <c r="BI53" s="6">
        <v>1536</v>
      </c>
      <c r="BJ53" s="6">
        <v>1051</v>
      </c>
      <c r="BK53" s="10">
        <f t="shared" si="35"/>
        <v>0.3668192219679634</v>
      </c>
      <c r="BL53" s="10">
        <f t="shared" si="36"/>
        <v>0.39218785278843982</v>
      </c>
      <c r="BM53" s="10">
        <f t="shared" si="37"/>
        <v>0.64162389174055068</v>
      </c>
      <c r="BN53" s="10">
        <f t="shared" si="38"/>
        <v>0.76270038383382255</v>
      </c>
      <c r="BO53" s="2">
        <f t="shared" si="22"/>
        <v>0.54083283758269418</v>
      </c>
      <c r="BP53" s="10">
        <v>0.25792566612833073</v>
      </c>
      <c r="BQ53" s="10">
        <v>0</v>
      </c>
      <c r="BR53" s="10">
        <v>0</v>
      </c>
      <c r="BS53" s="10">
        <v>0</v>
      </c>
      <c r="BT53" s="11" t="s">
        <v>459</v>
      </c>
    </row>
    <row r="54" spans="1:72">
      <c r="A54">
        <f>COUNTIFS($J$7:J54,J54,$N$7:N54,N54,$E$7:E54,E54)</f>
        <v>1</v>
      </c>
      <c r="B54" s="16" t="str">
        <f t="shared" si="16"/>
        <v>Low</v>
      </c>
      <c r="C54" s="16" t="str">
        <f t="shared" si="17"/>
        <v>1LowNoTelecom-AT&amp;T</v>
      </c>
      <c r="D54" s="1">
        <v>10894</v>
      </c>
      <c r="E54" s="11" t="s">
        <v>484</v>
      </c>
      <c r="F54" s="1" t="s">
        <v>6</v>
      </c>
      <c r="G54" s="1" t="s">
        <v>92</v>
      </c>
      <c r="H54" s="1">
        <v>112</v>
      </c>
      <c r="I54" s="1" t="s">
        <v>93</v>
      </c>
      <c r="J54" s="1" t="s">
        <v>27</v>
      </c>
      <c r="K54" s="1">
        <v>2</v>
      </c>
      <c r="L54" s="1">
        <v>1</v>
      </c>
      <c r="M54" s="2">
        <v>0.27491239823590746</v>
      </c>
      <c r="N54" s="27" t="str">
        <f t="shared" si="18"/>
        <v>Low</v>
      </c>
      <c r="O54" s="1">
        <v>1</v>
      </c>
      <c r="P54" s="6">
        <v>97.487505818105134</v>
      </c>
      <c r="Q54" s="6">
        <v>96.145722846009335</v>
      </c>
      <c r="R54" s="6">
        <v>102.0656540208761</v>
      </c>
      <c r="S54" s="6">
        <v>108.00934935746911</v>
      </c>
      <c r="T54" s="6" t="s">
        <v>422</v>
      </c>
      <c r="U54" s="6" t="s">
        <v>422</v>
      </c>
      <c r="V54" s="6" t="s">
        <v>422</v>
      </c>
      <c r="W54" s="6" t="s">
        <v>422</v>
      </c>
      <c r="X54" s="10" t="str">
        <f t="shared" si="23"/>
        <v/>
      </c>
      <c r="Y54" s="10" t="str">
        <f t="shared" si="24"/>
        <v/>
      </c>
      <c r="Z54" s="10" t="str">
        <f t="shared" si="25"/>
        <v/>
      </c>
      <c r="AA54" s="10" t="str">
        <f t="shared" si="26"/>
        <v/>
      </c>
      <c r="AB54" s="2" t="str">
        <f t="shared" si="19"/>
        <v>NA</v>
      </c>
      <c r="AC54" s="6">
        <v>94</v>
      </c>
      <c r="AD54" s="6">
        <v>84</v>
      </c>
      <c r="AE54" s="6">
        <v>83</v>
      </c>
      <c r="AF54" s="6">
        <v>88</v>
      </c>
      <c r="AG54" s="6" t="s">
        <v>422</v>
      </c>
      <c r="AH54" s="6" t="s">
        <v>422</v>
      </c>
      <c r="AI54" s="6" t="s">
        <v>422</v>
      </c>
      <c r="AJ54" s="6" t="s">
        <v>422</v>
      </c>
      <c r="AK54" s="10" t="str">
        <f t="shared" si="27"/>
        <v/>
      </c>
      <c r="AL54" s="10" t="str">
        <f t="shared" si="28"/>
        <v/>
      </c>
      <c r="AM54" s="10" t="str">
        <f t="shared" si="29"/>
        <v/>
      </c>
      <c r="AN54" s="10" t="str">
        <f t="shared" si="30"/>
        <v/>
      </c>
      <c r="AO54" s="2" t="str">
        <f t="shared" si="20"/>
        <v>NA</v>
      </c>
      <c r="AP54" s="2">
        <v>0.79</v>
      </c>
      <c r="AQ54" s="2">
        <v>0.79</v>
      </c>
      <c r="AR54" s="2">
        <v>0.79</v>
      </c>
      <c r="AS54" s="2">
        <v>0.79</v>
      </c>
      <c r="AT54" s="2" t="s">
        <v>422</v>
      </c>
      <c r="AU54" s="2" t="s">
        <v>422</v>
      </c>
      <c r="AV54" s="2" t="s">
        <v>422</v>
      </c>
      <c r="AW54" s="2" t="s">
        <v>422</v>
      </c>
      <c r="AX54" s="10" t="str">
        <f t="shared" si="31"/>
        <v/>
      </c>
      <c r="AY54" s="10" t="str">
        <f t="shared" si="32"/>
        <v/>
      </c>
      <c r="AZ54" s="10" t="str">
        <f t="shared" si="33"/>
        <v/>
      </c>
      <c r="BA54" s="10" t="str">
        <f t="shared" si="34"/>
        <v/>
      </c>
      <c r="BB54" s="2" t="str">
        <f t="shared" si="21"/>
        <v>NA</v>
      </c>
      <c r="BC54" s="6">
        <v>33598</v>
      </c>
      <c r="BD54" s="6">
        <v>31186</v>
      </c>
      <c r="BE54" s="6">
        <v>29960</v>
      </c>
      <c r="BF54" s="6">
        <v>32534</v>
      </c>
      <c r="BG54" s="6" t="s">
        <v>422</v>
      </c>
      <c r="BH54" s="6" t="s">
        <v>422</v>
      </c>
      <c r="BI54" s="6" t="s">
        <v>422</v>
      </c>
      <c r="BJ54" s="6" t="s">
        <v>422</v>
      </c>
      <c r="BK54" s="10" t="str">
        <f t="shared" si="35"/>
        <v/>
      </c>
      <c r="BL54" s="10" t="str">
        <f t="shared" si="36"/>
        <v/>
      </c>
      <c r="BM54" s="10" t="str">
        <f t="shared" si="37"/>
        <v/>
      </c>
      <c r="BN54" s="10" t="str">
        <f t="shared" si="38"/>
        <v/>
      </c>
      <c r="BO54" s="2" t="str">
        <f t="shared" si="22"/>
        <v>NA</v>
      </c>
      <c r="BP54" s="10">
        <v>-2.3349604802727519E-2</v>
      </c>
      <c r="BQ54" s="10">
        <v>-3.4501508961397809E-2</v>
      </c>
      <c r="BR54" s="10">
        <v>6.9824782731943147E-2</v>
      </c>
      <c r="BS54" s="10">
        <v>0.10653971371665888</v>
      </c>
      <c r="BT54" s="11" t="s">
        <v>459</v>
      </c>
    </row>
    <row r="55" spans="1:72">
      <c r="A55">
        <f>COUNTIFS($J$7:J55,J55,$N$7:N55,N55,$E$7:E55,E55)</f>
        <v>2</v>
      </c>
      <c r="B55" s="16" t="str">
        <f t="shared" si="16"/>
        <v>Low</v>
      </c>
      <c r="C55" s="16" t="str">
        <f t="shared" si="17"/>
        <v>2LowNoTelecom-Non AT&amp;T</v>
      </c>
      <c r="D55" s="1">
        <v>10899</v>
      </c>
      <c r="E55" s="1" t="s">
        <v>485</v>
      </c>
      <c r="F55" s="1" t="s">
        <v>94</v>
      </c>
      <c r="G55" s="1" t="s">
        <v>95</v>
      </c>
      <c r="H55" s="1">
        <v>232</v>
      </c>
      <c r="I55" s="1" t="s">
        <v>88</v>
      </c>
      <c r="J55" s="1" t="s">
        <v>27</v>
      </c>
      <c r="K55" s="1">
        <v>1</v>
      </c>
      <c r="L55" s="1">
        <v>1</v>
      </c>
      <c r="M55" s="2">
        <v>0.17349107742740011</v>
      </c>
      <c r="N55" s="27" t="str">
        <f t="shared" si="18"/>
        <v>Low</v>
      </c>
      <c r="O55" s="1">
        <v>1</v>
      </c>
      <c r="P55" s="6">
        <v>274.20948481943498</v>
      </c>
      <c r="Q55" s="6">
        <v>316.14100500278249</v>
      </c>
      <c r="R55" s="6">
        <v>349.66845525847452</v>
      </c>
      <c r="S55" s="6">
        <v>391.00227514408618</v>
      </c>
      <c r="T55" s="6" t="s">
        <v>422</v>
      </c>
      <c r="U55" s="6" t="s">
        <v>422</v>
      </c>
      <c r="V55" s="6" t="s">
        <v>422</v>
      </c>
      <c r="W55" s="6" t="s">
        <v>422</v>
      </c>
      <c r="X55" s="10" t="str">
        <f t="shared" si="23"/>
        <v/>
      </c>
      <c r="Y55" s="10" t="str">
        <f t="shared" si="24"/>
        <v/>
      </c>
      <c r="Z55" s="10" t="str">
        <f t="shared" si="25"/>
        <v/>
      </c>
      <c r="AA55" s="10" t="str">
        <f t="shared" si="26"/>
        <v/>
      </c>
      <c r="AB55" s="2" t="str">
        <f t="shared" si="19"/>
        <v>NA</v>
      </c>
      <c r="AC55" s="6">
        <v>280</v>
      </c>
      <c r="AD55" s="6">
        <v>320</v>
      </c>
      <c r="AE55" s="6">
        <v>360</v>
      </c>
      <c r="AF55" s="6">
        <v>400</v>
      </c>
      <c r="AG55" s="6" t="s">
        <v>422</v>
      </c>
      <c r="AH55" s="6" t="s">
        <v>422</v>
      </c>
      <c r="AI55" s="6" t="s">
        <v>422</v>
      </c>
      <c r="AJ55" s="6" t="s">
        <v>422</v>
      </c>
      <c r="AK55" s="10" t="str">
        <f t="shared" si="27"/>
        <v/>
      </c>
      <c r="AL55" s="10" t="str">
        <f t="shared" si="28"/>
        <v/>
      </c>
      <c r="AM55" s="10" t="str">
        <f t="shared" si="29"/>
        <v/>
      </c>
      <c r="AN55" s="10" t="str">
        <f t="shared" si="30"/>
        <v/>
      </c>
      <c r="AO55" s="2" t="str">
        <f t="shared" si="20"/>
        <v>NA</v>
      </c>
      <c r="AP55" s="2">
        <v>0.85</v>
      </c>
      <c r="AQ55" s="2">
        <v>0.85</v>
      </c>
      <c r="AR55" s="2">
        <v>0.85</v>
      </c>
      <c r="AS55" s="2">
        <v>0.85</v>
      </c>
      <c r="AT55" s="2" t="s">
        <v>422</v>
      </c>
      <c r="AU55" s="2" t="s">
        <v>422</v>
      </c>
      <c r="AV55" s="2" t="s">
        <v>422</v>
      </c>
      <c r="AW55" s="2" t="s">
        <v>422</v>
      </c>
      <c r="AX55" s="10" t="str">
        <f t="shared" si="31"/>
        <v/>
      </c>
      <c r="AY55" s="10" t="str">
        <f t="shared" si="32"/>
        <v/>
      </c>
      <c r="AZ55" s="10" t="str">
        <f t="shared" si="33"/>
        <v/>
      </c>
      <c r="BA55" s="10" t="str">
        <f t="shared" si="34"/>
        <v/>
      </c>
      <c r="BB55" s="2" t="str">
        <f t="shared" si="21"/>
        <v>NA</v>
      </c>
      <c r="BC55" s="6">
        <v>0</v>
      </c>
      <c r="BD55" s="6">
        <v>0</v>
      </c>
      <c r="BE55" s="6">
        <v>0</v>
      </c>
      <c r="BF55" s="6">
        <v>0</v>
      </c>
      <c r="BG55" s="6" t="s">
        <v>422</v>
      </c>
      <c r="BH55" s="6" t="s">
        <v>422</v>
      </c>
      <c r="BI55" s="6" t="s">
        <v>422</v>
      </c>
      <c r="BJ55" s="6" t="s">
        <v>422</v>
      </c>
      <c r="BK55" s="10" t="str">
        <f t="shared" si="35"/>
        <v/>
      </c>
      <c r="BL55" s="10" t="str">
        <f t="shared" si="36"/>
        <v/>
      </c>
      <c r="BM55" s="10" t="str">
        <f t="shared" si="37"/>
        <v/>
      </c>
      <c r="BN55" s="10" t="str">
        <f t="shared" si="38"/>
        <v/>
      </c>
      <c r="BO55" s="2" t="str">
        <f t="shared" si="22"/>
        <v>NA</v>
      </c>
      <c r="BP55" s="10">
        <v>-2.2227397167070506E-2</v>
      </c>
      <c r="BQ55" s="10">
        <v>-2.5226256239490985E-2</v>
      </c>
      <c r="BR55" s="10">
        <v>-1.0230782727647214E-2</v>
      </c>
      <c r="BS55" s="10">
        <v>-2.2982326409051734E-3</v>
      </c>
      <c r="BT55" s="11" t="s">
        <v>461</v>
      </c>
    </row>
    <row r="56" spans="1:72">
      <c r="A56">
        <f>COUNTIFS($J$7:J56,J56,$N$7:N56,N56,$E$7:E56,E56)</f>
        <v>1</v>
      </c>
      <c r="B56" s="16" t="str">
        <f t="shared" si="16"/>
        <v>Medium</v>
      </c>
      <c r="C56" s="16" t="str">
        <f t="shared" si="17"/>
        <v>1MediumYesTravel</v>
      </c>
      <c r="D56" s="1">
        <v>10900</v>
      </c>
      <c r="E56" s="1" t="s">
        <v>79</v>
      </c>
      <c r="F56" s="1" t="s">
        <v>96</v>
      </c>
      <c r="G56" s="1" t="s">
        <v>97</v>
      </c>
      <c r="H56" s="1">
        <v>89</v>
      </c>
      <c r="I56" s="1" t="s">
        <v>98</v>
      </c>
      <c r="J56" s="1" t="s">
        <v>9</v>
      </c>
      <c r="K56" s="1">
        <v>1</v>
      </c>
      <c r="L56" s="1">
        <v>1</v>
      </c>
      <c r="M56" s="2">
        <v>8.0337499595220824E-2</v>
      </c>
      <c r="N56" s="27" t="str">
        <f t="shared" si="18"/>
        <v>Medium</v>
      </c>
      <c r="O56" s="1">
        <v>1</v>
      </c>
      <c r="P56" s="6">
        <v>87.997799999999998</v>
      </c>
      <c r="Q56" s="6">
        <v>88.023772709677417</v>
      </c>
      <c r="R56" s="6">
        <v>92.997675000000001</v>
      </c>
      <c r="S56" s="6">
        <v>93.997649999999979</v>
      </c>
      <c r="T56" s="6">
        <v>89.5</v>
      </c>
      <c r="U56" s="6">
        <v>89</v>
      </c>
      <c r="V56" s="6">
        <v>90.5</v>
      </c>
      <c r="W56" s="6">
        <v>91.5</v>
      </c>
      <c r="X56" s="10">
        <f t="shared" si="23"/>
        <v>-1.7070881317487505E-2</v>
      </c>
      <c r="Y56" s="10">
        <f t="shared" si="24"/>
        <v>-1.1090495899811122E-2</v>
      </c>
      <c r="Z56" s="10">
        <f t="shared" si="25"/>
        <v>2.685739186490416E-2</v>
      </c>
      <c r="AA56" s="10">
        <f t="shared" si="26"/>
        <v>2.6571408966074996E-2</v>
      </c>
      <c r="AB56" s="2">
        <f t="shared" si="19"/>
        <v>6.3168559034201327E-3</v>
      </c>
      <c r="AC56" s="6">
        <v>86</v>
      </c>
      <c r="AD56" s="6">
        <v>86</v>
      </c>
      <c r="AE56" s="6">
        <v>86</v>
      </c>
      <c r="AF56" s="6">
        <v>86</v>
      </c>
      <c r="AG56" s="6">
        <v>87</v>
      </c>
      <c r="AH56" s="6">
        <v>87.8</v>
      </c>
      <c r="AI56" s="6">
        <v>91</v>
      </c>
      <c r="AJ56" s="6">
        <v>91</v>
      </c>
      <c r="AK56" s="10">
        <f t="shared" si="27"/>
        <v>-1.1627906976744186E-2</v>
      </c>
      <c r="AL56" s="10">
        <f t="shared" si="28"/>
        <v>-2.0930232558139503E-2</v>
      </c>
      <c r="AM56" s="10">
        <f t="shared" si="29"/>
        <v>-5.8139534883720929E-2</v>
      </c>
      <c r="AN56" s="10">
        <f t="shared" si="30"/>
        <v>-5.8139534883720929E-2</v>
      </c>
      <c r="AO56" s="2">
        <f t="shared" si="20"/>
        <v>-3.7209302325581388E-2</v>
      </c>
      <c r="AP56" s="2">
        <v>1</v>
      </c>
      <c r="AQ56" s="2">
        <v>1</v>
      </c>
      <c r="AR56" s="2">
        <v>1</v>
      </c>
      <c r="AS56" s="2">
        <v>1</v>
      </c>
      <c r="AT56" s="2">
        <v>0</v>
      </c>
      <c r="AU56" s="2">
        <v>0</v>
      </c>
      <c r="AV56" s="2">
        <v>0</v>
      </c>
      <c r="AW56" s="2">
        <v>0</v>
      </c>
      <c r="AX56" s="10">
        <f t="shared" si="31"/>
        <v>1</v>
      </c>
      <c r="AY56" s="10">
        <f t="shared" si="32"/>
        <v>1</v>
      </c>
      <c r="AZ56" s="10">
        <f t="shared" si="33"/>
        <v>1</v>
      </c>
      <c r="BA56" s="10">
        <f t="shared" si="34"/>
        <v>1</v>
      </c>
      <c r="BB56" s="2" t="str">
        <f t="shared" si="21"/>
        <v>NA</v>
      </c>
      <c r="BC56" s="6">
        <v>0</v>
      </c>
      <c r="BD56" s="6">
        <v>0</v>
      </c>
      <c r="BE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  <c r="BK56" s="10" t="str">
        <f t="shared" si="35"/>
        <v/>
      </c>
      <c r="BL56" s="10" t="str">
        <f t="shared" si="36"/>
        <v/>
      </c>
      <c r="BM56" s="10" t="str">
        <f t="shared" si="37"/>
        <v/>
      </c>
      <c r="BN56" s="10" t="str">
        <f t="shared" si="38"/>
        <v/>
      </c>
      <c r="BO56" s="2" t="str">
        <f t="shared" si="22"/>
        <v>NA</v>
      </c>
      <c r="BP56" s="10">
        <v>-3.3368125629907097E-2</v>
      </c>
      <c r="BQ56" s="10">
        <v>-7.4889308805644594E-2</v>
      </c>
      <c r="BR56" s="10">
        <v>-3.580928340531242E-2</v>
      </c>
      <c r="BS56" s="10">
        <v>-2.4768479730828186E-2</v>
      </c>
      <c r="BT56" s="11" t="s">
        <v>460</v>
      </c>
    </row>
    <row r="57" spans="1:72">
      <c r="A57">
        <f>COUNTIFS($J$7:J57,J57,$N$7:N57,N57,$E$7:E57,E57)</f>
        <v>3</v>
      </c>
      <c r="B57" s="16" t="str">
        <f t="shared" si="16"/>
        <v>Critical</v>
      </c>
      <c r="C57" s="16" t="str">
        <f t="shared" si="17"/>
        <v>3CriticalNoTechnology</v>
      </c>
      <c r="D57" s="1">
        <v>10933</v>
      </c>
      <c r="E57" s="1" t="s">
        <v>23</v>
      </c>
      <c r="F57" s="1" t="s">
        <v>39</v>
      </c>
      <c r="G57" s="1" t="s">
        <v>99</v>
      </c>
      <c r="H57" s="1">
        <v>162</v>
      </c>
      <c r="I57" s="1" t="s">
        <v>44</v>
      </c>
      <c r="J57" s="1" t="s">
        <v>27</v>
      </c>
      <c r="K57" s="1">
        <v>1</v>
      </c>
      <c r="L57" s="1">
        <v>1</v>
      </c>
      <c r="M57" s="2">
        <v>-0.72142324996576734</v>
      </c>
      <c r="N57" s="27" t="str">
        <f t="shared" si="18"/>
        <v>Critical</v>
      </c>
      <c r="O57" s="1">
        <v>1</v>
      </c>
      <c r="P57" s="6">
        <v>131.39829067970629</v>
      </c>
      <c r="Q57" s="6">
        <v>123.76177614753649</v>
      </c>
      <c r="R57" s="6">
        <v>118.93210267190079</v>
      </c>
      <c r="S57" s="6">
        <v>111.4072093950281</v>
      </c>
      <c r="T57" s="6">
        <v>106.25</v>
      </c>
      <c r="U57" s="6">
        <v>102</v>
      </c>
      <c r="V57" s="6">
        <v>100.5</v>
      </c>
      <c r="W57" s="6">
        <v>106.75</v>
      </c>
      <c r="X57" s="10">
        <f t="shared" si="23"/>
        <v>0.19138978558714465</v>
      </c>
      <c r="Y57" s="10">
        <f t="shared" si="24"/>
        <v>0.1758360038530335</v>
      </c>
      <c r="Z57" s="10">
        <f t="shared" si="25"/>
        <v>0.15498004540245641</v>
      </c>
      <c r="AA57" s="10">
        <f t="shared" si="26"/>
        <v>4.1803483098787203E-2</v>
      </c>
      <c r="AB57" s="2">
        <f t="shared" si="19"/>
        <v>0.14100232948535546</v>
      </c>
      <c r="AC57" s="6">
        <v>132.97888364699688</v>
      </c>
      <c r="AD57" s="6">
        <v>122.44217973384656</v>
      </c>
      <c r="AE57" s="6">
        <v>103.12643480257117</v>
      </c>
      <c r="AF57" s="6">
        <v>103.12643480257117</v>
      </c>
      <c r="AG57" s="6">
        <v>101.75</v>
      </c>
      <c r="AH57" s="6">
        <v>99.8</v>
      </c>
      <c r="AI57" s="6">
        <v>96.25</v>
      </c>
      <c r="AJ57" s="6">
        <v>96.25</v>
      </c>
      <c r="AK57" s="10">
        <f t="shared" si="27"/>
        <v>0.23484092203613663</v>
      </c>
      <c r="AL57" s="10">
        <f t="shared" si="28"/>
        <v>0.18492140358056372</v>
      </c>
      <c r="AM57" s="10">
        <f t="shared" si="29"/>
        <v>6.6679652173913057E-2</v>
      </c>
      <c r="AN57" s="10">
        <f t="shared" si="30"/>
        <v>6.6679652173913057E-2</v>
      </c>
      <c r="AO57" s="2">
        <f t="shared" si="20"/>
        <v>0.1382804074911316</v>
      </c>
      <c r="AP57" s="2">
        <v>0</v>
      </c>
      <c r="AQ57" s="2">
        <v>0</v>
      </c>
      <c r="AR57" s="2">
        <v>0</v>
      </c>
      <c r="AS57" s="2">
        <v>0</v>
      </c>
      <c r="AT57" s="2">
        <v>0.60250000000000004</v>
      </c>
      <c r="AU57" s="2">
        <v>0.60099999999999998</v>
      </c>
      <c r="AV57" s="2">
        <v>0.6</v>
      </c>
      <c r="AW57" s="2">
        <v>0.59499999999999997</v>
      </c>
      <c r="AX57" s="10" t="str">
        <f t="shared" si="31"/>
        <v/>
      </c>
      <c r="AY57" s="10" t="str">
        <f t="shared" si="32"/>
        <v/>
      </c>
      <c r="AZ57" s="10" t="str">
        <f t="shared" si="33"/>
        <v/>
      </c>
      <c r="BA57" s="10" t="str">
        <f t="shared" si="34"/>
        <v/>
      </c>
      <c r="BB57" s="2" t="str">
        <f t="shared" si="21"/>
        <v>NA</v>
      </c>
      <c r="BC57" s="6">
        <v>29657.908078915501</v>
      </c>
      <c r="BD57" s="6">
        <v>26066.666666666701</v>
      </c>
      <c r="BE57" s="6">
        <v>23000</v>
      </c>
      <c r="BF57" s="6">
        <v>23000</v>
      </c>
      <c r="BG57" s="6">
        <v>22850</v>
      </c>
      <c r="BH57" s="6">
        <v>27982</v>
      </c>
      <c r="BI57" s="6">
        <v>21361</v>
      </c>
      <c r="BJ57" s="6">
        <v>20508</v>
      </c>
      <c r="BK57" s="10">
        <f t="shared" si="35"/>
        <v>0.2295478177624875</v>
      </c>
      <c r="BL57" s="10">
        <f t="shared" si="36"/>
        <v>-7.3478260869563813E-2</v>
      </c>
      <c r="BM57" s="10">
        <f t="shared" si="37"/>
        <v>7.1260869565217391E-2</v>
      </c>
      <c r="BN57" s="10">
        <f t="shared" si="38"/>
        <v>0.10834782608695652</v>
      </c>
      <c r="BO57" s="2">
        <f t="shared" si="22"/>
        <v>8.3919563136274397E-2</v>
      </c>
      <c r="BP57" s="10">
        <v>-1.5216157556205423E-3</v>
      </c>
      <c r="BQ57" s="10">
        <v>8.6466620311598519E-2</v>
      </c>
      <c r="BR57" s="10">
        <v>8.3385654538243509E-2</v>
      </c>
      <c r="BS57" s="10">
        <v>8.1047367837652234E-2</v>
      </c>
      <c r="BT57" s="11" t="s">
        <v>459</v>
      </c>
    </row>
    <row r="58" spans="1:72">
      <c r="A58">
        <f>COUNTIFS($J$7:J58,J58,$N$7:N58,N58,$E$7:E58,E58)</f>
        <v>1</v>
      </c>
      <c r="B58" s="16" t="str">
        <f t="shared" si="16"/>
        <v>Medium</v>
      </c>
      <c r="C58" s="16" t="str">
        <f t="shared" si="17"/>
        <v>1MediumNoBFIMG</v>
      </c>
      <c r="D58" s="1">
        <v>10934</v>
      </c>
      <c r="E58" s="1" t="s">
        <v>20</v>
      </c>
      <c r="F58" s="1" t="s">
        <v>100</v>
      </c>
      <c r="G58" s="1" t="s">
        <v>101</v>
      </c>
      <c r="H58" s="1">
        <v>51</v>
      </c>
      <c r="I58" s="1" t="s">
        <v>102</v>
      </c>
      <c r="J58" s="1" t="s">
        <v>27</v>
      </c>
      <c r="K58" s="1">
        <v>2</v>
      </c>
      <c r="L58" s="1"/>
      <c r="M58" s="2">
        <v>0</v>
      </c>
      <c r="N58" s="27" t="str">
        <f t="shared" si="18"/>
        <v>Medium</v>
      </c>
      <c r="O58" s="1">
        <v>0</v>
      </c>
      <c r="P58" s="6">
        <v>0</v>
      </c>
      <c r="Q58" s="6">
        <v>0</v>
      </c>
      <c r="R58" s="6">
        <v>0</v>
      </c>
      <c r="S58" s="6">
        <v>0</v>
      </c>
      <c r="T58" s="6">
        <v>48</v>
      </c>
      <c r="U58" s="6">
        <v>46.2</v>
      </c>
      <c r="V58" s="6">
        <v>22.25</v>
      </c>
      <c r="W58" s="6">
        <v>0</v>
      </c>
      <c r="X58" s="10" t="str">
        <f t="shared" si="23"/>
        <v/>
      </c>
      <c r="Y58" s="10" t="str">
        <f t="shared" si="24"/>
        <v/>
      </c>
      <c r="Z58" s="10" t="str">
        <f t="shared" si="25"/>
        <v/>
      </c>
      <c r="AA58" s="10" t="str">
        <f t="shared" si="26"/>
        <v/>
      </c>
      <c r="AB58" s="2" t="str">
        <f t="shared" si="19"/>
        <v>NA</v>
      </c>
      <c r="AC58" s="6">
        <v>0</v>
      </c>
      <c r="AD58" s="6">
        <v>0</v>
      </c>
      <c r="AE58" s="6">
        <v>0</v>
      </c>
      <c r="AF58" s="6">
        <v>0</v>
      </c>
      <c r="AG58" s="6">
        <v>50</v>
      </c>
      <c r="AH58" s="6">
        <v>50</v>
      </c>
      <c r="AI58" s="6">
        <v>25</v>
      </c>
      <c r="AJ58" s="6">
        <v>0</v>
      </c>
      <c r="AK58" s="10" t="str">
        <f t="shared" si="27"/>
        <v/>
      </c>
      <c r="AL58" s="10" t="str">
        <f t="shared" si="28"/>
        <v/>
      </c>
      <c r="AM58" s="10" t="str">
        <f t="shared" si="29"/>
        <v/>
      </c>
      <c r="AN58" s="10" t="str">
        <f t="shared" si="30"/>
        <v/>
      </c>
      <c r="AO58" s="2" t="str">
        <f t="shared" si="20"/>
        <v>NA</v>
      </c>
      <c r="AP58" s="2">
        <v>0</v>
      </c>
      <c r="AQ58" s="2">
        <v>0</v>
      </c>
      <c r="AR58" s="2">
        <v>0</v>
      </c>
      <c r="AS58" s="2">
        <v>0</v>
      </c>
      <c r="AT58" s="2">
        <v>0.85</v>
      </c>
      <c r="AU58" s="2">
        <v>0.85</v>
      </c>
      <c r="AV58" s="2">
        <v>0.42499999999999999</v>
      </c>
      <c r="AW58" s="2">
        <v>0</v>
      </c>
      <c r="AX58" s="10" t="str">
        <f t="shared" si="31"/>
        <v/>
      </c>
      <c r="AY58" s="10" t="str">
        <f t="shared" si="32"/>
        <v/>
      </c>
      <c r="AZ58" s="10" t="str">
        <f t="shared" si="33"/>
        <v/>
      </c>
      <c r="BA58" s="10" t="str">
        <f t="shared" si="34"/>
        <v/>
      </c>
      <c r="BB58" s="2" t="str">
        <f t="shared" si="21"/>
        <v>NA</v>
      </c>
      <c r="BC58" s="6">
        <v>0</v>
      </c>
      <c r="BD58" s="6">
        <v>0</v>
      </c>
      <c r="BE58" s="6">
        <v>0</v>
      </c>
      <c r="BF58" s="6">
        <v>0</v>
      </c>
      <c r="BG58" s="6">
        <v>6980</v>
      </c>
      <c r="BH58" s="6">
        <v>8725</v>
      </c>
      <c r="BI58" s="6">
        <v>3490</v>
      </c>
      <c r="BJ58" s="6">
        <v>0</v>
      </c>
      <c r="BK58" s="10" t="str">
        <f t="shared" si="35"/>
        <v/>
      </c>
      <c r="BL58" s="10" t="str">
        <f t="shared" si="36"/>
        <v/>
      </c>
      <c r="BM58" s="10" t="str">
        <f t="shared" si="37"/>
        <v/>
      </c>
      <c r="BN58" s="10" t="str">
        <f t="shared" si="38"/>
        <v/>
      </c>
      <c r="BO58" s="2" t="str">
        <f t="shared" si="22"/>
        <v>NA</v>
      </c>
      <c r="BP58" s="10">
        <v>2.088309922496201E-2</v>
      </c>
      <c r="BQ58" s="10">
        <v>0</v>
      </c>
      <c r="BR58" s="10">
        <v>0</v>
      </c>
      <c r="BS58" s="10">
        <v>0</v>
      </c>
      <c r="BT58" s="11">
        <v>0</v>
      </c>
    </row>
    <row r="59" spans="1:72">
      <c r="A59">
        <f>COUNTIFS($J$7:J59,J59,$N$7:N59,N59,$E$7:E59,E59)</f>
        <v>1</v>
      </c>
      <c r="B59" s="16" t="str">
        <f t="shared" si="16"/>
        <v>Critical</v>
      </c>
      <c r="C59" s="16" t="str">
        <f t="shared" si="17"/>
        <v>1CriticalNoBFIMG</v>
      </c>
      <c r="D59" s="1">
        <v>10936</v>
      </c>
      <c r="E59" s="1" t="s">
        <v>20</v>
      </c>
      <c r="F59" s="1" t="s">
        <v>103</v>
      </c>
      <c r="G59" s="1" t="s">
        <v>104</v>
      </c>
      <c r="H59" s="1">
        <v>17</v>
      </c>
      <c r="I59" s="1" t="s">
        <v>22</v>
      </c>
      <c r="J59" s="1" t="s">
        <v>27</v>
      </c>
      <c r="K59" s="1">
        <v>3</v>
      </c>
      <c r="L59" s="1">
        <v>2</v>
      </c>
      <c r="M59" s="2">
        <v>-4.6729732536229959E-2</v>
      </c>
      <c r="N59" s="27" t="str">
        <f t="shared" si="18"/>
        <v>Critical</v>
      </c>
      <c r="O59" s="1">
        <v>1</v>
      </c>
      <c r="P59" s="6">
        <v>5.3036915856529623</v>
      </c>
      <c r="Q59" s="6">
        <v>5.7329131892445435</v>
      </c>
      <c r="R59" s="6">
        <v>5.3678713308430206</v>
      </c>
      <c r="S59" s="6">
        <v>5.4731075553870401</v>
      </c>
      <c r="T59" s="6" t="s">
        <v>422</v>
      </c>
      <c r="U59" s="6" t="s">
        <v>422</v>
      </c>
      <c r="V59" s="6" t="s">
        <v>422</v>
      </c>
      <c r="W59" s="6" t="s">
        <v>422</v>
      </c>
      <c r="X59" s="10" t="str">
        <f t="shared" si="23"/>
        <v/>
      </c>
      <c r="Y59" s="10" t="str">
        <f t="shared" si="24"/>
        <v/>
      </c>
      <c r="Z59" s="10" t="str">
        <f t="shared" si="25"/>
        <v/>
      </c>
      <c r="AA59" s="10" t="str">
        <f t="shared" si="26"/>
        <v/>
      </c>
      <c r="AB59" s="2" t="str">
        <f t="shared" si="19"/>
        <v>NA</v>
      </c>
      <c r="AC59" s="6">
        <v>6</v>
      </c>
      <c r="AD59" s="6">
        <v>6</v>
      </c>
      <c r="AE59" s="6">
        <v>6</v>
      </c>
      <c r="AF59" s="6">
        <v>6</v>
      </c>
      <c r="AG59" s="6" t="s">
        <v>422</v>
      </c>
      <c r="AH59" s="6" t="s">
        <v>422</v>
      </c>
      <c r="AI59" s="6" t="s">
        <v>422</v>
      </c>
      <c r="AJ59" s="6" t="s">
        <v>422</v>
      </c>
      <c r="AK59" s="10" t="str">
        <f t="shared" si="27"/>
        <v/>
      </c>
      <c r="AL59" s="10" t="str">
        <f t="shared" si="28"/>
        <v/>
      </c>
      <c r="AM59" s="10" t="str">
        <f t="shared" si="29"/>
        <v/>
      </c>
      <c r="AN59" s="10" t="str">
        <f t="shared" si="30"/>
        <v/>
      </c>
      <c r="AO59" s="2" t="str">
        <f t="shared" si="20"/>
        <v>NA</v>
      </c>
      <c r="AP59" s="2">
        <v>1</v>
      </c>
      <c r="AQ59" s="2">
        <v>1</v>
      </c>
      <c r="AR59" s="2">
        <v>1</v>
      </c>
      <c r="AS59" s="2">
        <v>1</v>
      </c>
      <c r="AT59" s="2" t="s">
        <v>422</v>
      </c>
      <c r="AU59" s="2" t="s">
        <v>422</v>
      </c>
      <c r="AV59" s="2" t="s">
        <v>422</v>
      </c>
      <c r="AW59" s="2" t="s">
        <v>422</v>
      </c>
      <c r="AX59" s="10" t="str">
        <f t="shared" si="31"/>
        <v/>
      </c>
      <c r="AY59" s="10" t="str">
        <f t="shared" si="32"/>
        <v/>
      </c>
      <c r="AZ59" s="10" t="str">
        <f t="shared" si="33"/>
        <v/>
      </c>
      <c r="BA59" s="10" t="str">
        <f t="shared" si="34"/>
        <v/>
      </c>
      <c r="BB59" s="2" t="str">
        <f t="shared" si="21"/>
        <v>NA</v>
      </c>
      <c r="BC59" s="6">
        <v>0</v>
      </c>
      <c r="BD59" s="6">
        <v>0</v>
      </c>
      <c r="BE59" s="6">
        <v>0</v>
      </c>
      <c r="BF59" s="6">
        <v>0</v>
      </c>
      <c r="BG59" s="6" t="s">
        <v>422</v>
      </c>
      <c r="BH59" s="6" t="s">
        <v>422</v>
      </c>
      <c r="BI59" s="6" t="s">
        <v>422</v>
      </c>
      <c r="BJ59" s="6" t="s">
        <v>422</v>
      </c>
      <c r="BK59" s="10" t="str">
        <f t="shared" si="35"/>
        <v/>
      </c>
      <c r="BL59" s="10" t="str">
        <f t="shared" si="36"/>
        <v/>
      </c>
      <c r="BM59" s="10" t="str">
        <f t="shared" si="37"/>
        <v/>
      </c>
      <c r="BN59" s="10" t="str">
        <f t="shared" si="38"/>
        <v/>
      </c>
      <c r="BO59" s="2" t="str">
        <f t="shared" si="22"/>
        <v>NA</v>
      </c>
      <c r="BP59" s="10">
        <v>0.1540779615719553</v>
      </c>
      <c r="BQ59" s="10">
        <v>0.16400913499877651</v>
      </c>
      <c r="BR59" s="10">
        <v>0.16282796451960935</v>
      </c>
      <c r="BS59" s="10">
        <v>0.16282796451960935</v>
      </c>
      <c r="BT59" s="11" t="s">
        <v>460</v>
      </c>
    </row>
    <row r="60" spans="1:72">
      <c r="A60">
        <f>COUNTIFS($J$7:J60,J60,$N$7:N60,N60,$E$7:E60,E60)</f>
        <v>1</v>
      </c>
      <c r="B60" s="16" t="str">
        <f t="shared" si="16"/>
        <v>Critical</v>
      </c>
      <c r="C60" s="16" t="str">
        <f t="shared" si="17"/>
        <v>1CriticalYesTechnology</v>
      </c>
      <c r="D60" s="1">
        <v>10954</v>
      </c>
      <c r="E60" s="1" t="s">
        <v>23</v>
      </c>
      <c r="F60" s="1" t="s">
        <v>64</v>
      </c>
      <c r="G60" s="1" t="s">
        <v>105</v>
      </c>
      <c r="H60" s="1">
        <v>87</v>
      </c>
      <c r="I60" s="1" t="s">
        <v>66</v>
      </c>
      <c r="J60" s="1" t="s">
        <v>9</v>
      </c>
      <c r="K60" s="1">
        <v>1</v>
      </c>
      <c r="L60" s="1">
        <v>1</v>
      </c>
      <c r="M60" s="2">
        <v>-0.28459112639307066</v>
      </c>
      <c r="N60" s="27" t="str">
        <f t="shared" si="18"/>
        <v>Critical</v>
      </c>
      <c r="O60" s="1">
        <v>1</v>
      </c>
      <c r="P60" s="6">
        <v>87.776699999999991</v>
      </c>
      <c r="Q60" s="6">
        <v>87.656959677419351</v>
      </c>
      <c r="R60" s="6">
        <v>87.645690000000016</v>
      </c>
      <c r="S60" s="6">
        <v>87.635829032258073</v>
      </c>
      <c r="T60" s="6">
        <v>66</v>
      </c>
      <c r="U60" s="6">
        <v>77.2</v>
      </c>
      <c r="V60" s="6">
        <v>82.5</v>
      </c>
      <c r="W60" s="6">
        <v>79.5</v>
      </c>
      <c r="X60" s="10">
        <f t="shared" si="23"/>
        <v>0.24809203353509524</v>
      </c>
      <c r="Y60" s="10">
        <f t="shared" si="24"/>
        <v>0.11929411784188412</v>
      </c>
      <c r="Z60" s="10">
        <f t="shared" si="25"/>
        <v>5.8710131667626952E-2</v>
      </c>
      <c r="AA60" s="10">
        <f t="shared" si="26"/>
        <v>9.2836789725162946E-2</v>
      </c>
      <c r="AB60" s="2">
        <f t="shared" si="19"/>
        <v>0.12973326819244232</v>
      </c>
      <c r="AC60" s="6">
        <v>83</v>
      </c>
      <c r="AD60" s="6">
        <v>83</v>
      </c>
      <c r="AE60" s="6">
        <v>83</v>
      </c>
      <c r="AF60" s="6">
        <v>83</v>
      </c>
      <c r="AG60" s="6">
        <v>83</v>
      </c>
      <c r="AH60" s="6">
        <v>83</v>
      </c>
      <c r="AI60" s="6">
        <v>83</v>
      </c>
      <c r="AJ60" s="6">
        <v>83</v>
      </c>
      <c r="AK60" s="10">
        <f t="shared" si="27"/>
        <v>0</v>
      </c>
      <c r="AL60" s="10">
        <f t="shared" si="28"/>
        <v>0</v>
      </c>
      <c r="AM60" s="10">
        <f t="shared" si="29"/>
        <v>0</v>
      </c>
      <c r="AN60" s="10">
        <f t="shared" si="30"/>
        <v>0</v>
      </c>
      <c r="AO60" s="2">
        <f t="shared" si="20"/>
        <v>0</v>
      </c>
      <c r="AP60" s="2">
        <v>0</v>
      </c>
      <c r="AQ60" s="2">
        <v>0</v>
      </c>
      <c r="AR60" s="2">
        <v>0</v>
      </c>
      <c r="AS60" s="2">
        <v>0</v>
      </c>
      <c r="AT60" s="2">
        <v>0.57999999999999996</v>
      </c>
      <c r="AU60" s="2">
        <v>0.57999999999999996</v>
      </c>
      <c r="AV60" s="2">
        <v>0.57999999999999996</v>
      </c>
      <c r="AW60" s="2">
        <v>0.57999999999999996</v>
      </c>
      <c r="AX60" s="10" t="str">
        <f t="shared" si="31"/>
        <v/>
      </c>
      <c r="AY60" s="10" t="str">
        <f t="shared" si="32"/>
        <v/>
      </c>
      <c r="AZ60" s="10" t="str">
        <f t="shared" si="33"/>
        <v/>
      </c>
      <c r="BA60" s="10" t="str">
        <f t="shared" si="34"/>
        <v/>
      </c>
      <c r="BB60" s="2" t="str">
        <f t="shared" si="21"/>
        <v>NA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10" t="str">
        <f t="shared" si="35"/>
        <v/>
      </c>
      <c r="BL60" s="10" t="str">
        <f t="shared" si="36"/>
        <v/>
      </c>
      <c r="BM60" s="10" t="str">
        <f t="shared" si="37"/>
        <v/>
      </c>
      <c r="BN60" s="10" t="str">
        <f t="shared" si="38"/>
        <v/>
      </c>
      <c r="BO60" s="2" t="str">
        <f t="shared" si="22"/>
        <v>NA</v>
      </c>
      <c r="BP60" s="10">
        <v>-5.990903900556814E-2</v>
      </c>
      <c r="BQ60" s="10">
        <v>-0.18448089145652879</v>
      </c>
      <c r="BR60" s="10">
        <v>-8.0615450594777385E-2</v>
      </c>
      <c r="BS60" s="10">
        <v>-8.3595589167462681E-2</v>
      </c>
      <c r="BT60" s="11" t="s">
        <v>460</v>
      </c>
    </row>
    <row r="61" spans="1:72">
      <c r="A61">
        <f>COUNTIFS($J$7:J61,J61,$N$7:N61,N61,$E$7:E61,E61)</f>
        <v>3</v>
      </c>
      <c r="B61" s="16" t="str">
        <f t="shared" si="16"/>
        <v>Low</v>
      </c>
      <c r="C61" s="16" t="str">
        <f t="shared" si="17"/>
        <v>3LowNoBFIMG</v>
      </c>
      <c r="D61" s="1">
        <v>10957</v>
      </c>
      <c r="E61" s="1" t="s">
        <v>20</v>
      </c>
      <c r="F61" s="1" t="s">
        <v>106</v>
      </c>
      <c r="G61" s="1" t="s">
        <v>107</v>
      </c>
      <c r="H61" s="1">
        <v>17</v>
      </c>
      <c r="I61" s="1" t="s">
        <v>75</v>
      </c>
      <c r="J61" s="1" t="s">
        <v>27</v>
      </c>
      <c r="K61" s="1">
        <v>1</v>
      </c>
      <c r="L61" s="1">
        <v>1</v>
      </c>
      <c r="M61" s="2">
        <v>0.37905990151762126</v>
      </c>
      <c r="N61" s="27" t="str">
        <f t="shared" si="18"/>
        <v>Low</v>
      </c>
      <c r="O61" s="1">
        <v>1</v>
      </c>
      <c r="P61" s="6">
        <v>16.9997609375</v>
      </c>
      <c r="Q61" s="6">
        <v>16.9997609375</v>
      </c>
      <c r="R61" s="6">
        <v>16.9997609375</v>
      </c>
      <c r="S61" s="6">
        <v>16.9997609375</v>
      </c>
      <c r="T61" s="6">
        <v>18</v>
      </c>
      <c r="U61" s="6">
        <v>7.2</v>
      </c>
      <c r="V61" s="6">
        <v>0</v>
      </c>
      <c r="W61" s="6">
        <v>0</v>
      </c>
      <c r="X61" s="10">
        <f t="shared" si="23"/>
        <v>-5.8838419327036519E-2</v>
      </c>
      <c r="Y61" s="10">
        <f t="shared" si="24"/>
        <v>0.57646463226918543</v>
      </c>
      <c r="Z61" s="10">
        <f t="shared" si="25"/>
        <v>1</v>
      </c>
      <c r="AA61" s="10">
        <f t="shared" si="26"/>
        <v>1</v>
      </c>
      <c r="AB61" s="2">
        <f t="shared" si="19"/>
        <v>0.25881310647107447</v>
      </c>
      <c r="AC61" s="6">
        <v>17</v>
      </c>
      <c r="AD61" s="6">
        <v>17</v>
      </c>
      <c r="AE61" s="6">
        <v>17</v>
      </c>
      <c r="AF61" s="6">
        <v>17</v>
      </c>
      <c r="AG61" s="6">
        <v>17</v>
      </c>
      <c r="AH61" s="6">
        <v>6.8</v>
      </c>
      <c r="AI61" s="6">
        <v>0</v>
      </c>
      <c r="AJ61" s="6">
        <v>0</v>
      </c>
      <c r="AK61" s="10">
        <f t="shared" si="27"/>
        <v>0</v>
      </c>
      <c r="AL61" s="10">
        <f t="shared" si="28"/>
        <v>0.6</v>
      </c>
      <c r="AM61" s="10">
        <f t="shared" si="29"/>
        <v>1</v>
      </c>
      <c r="AN61" s="10">
        <f t="shared" si="30"/>
        <v>1</v>
      </c>
      <c r="AO61" s="2">
        <f t="shared" si="20"/>
        <v>0.3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10" t="str">
        <f t="shared" si="31"/>
        <v/>
      </c>
      <c r="AY61" s="10" t="str">
        <f t="shared" si="32"/>
        <v/>
      </c>
      <c r="AZ61" s="10" t="str">
        <f t="shared" si="33"/>
        <v/>
      </c>
      <c r="BA61" s="10" t="str">
        <f t="shared" si="34"/>
        <v/>
      </c>
      <c r="BB61" s="2" t="str">
        <f t="shared" si="21"/>
        <v>NA</v>
      </c>
      <c r="BC61" s="6">
        <v>0</v>
      </c>
      <c r="BD61" s="6">
        <v>0</v>
      </c>
      <c r="BE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  <c r="BK61" s="10" t="str">
        <f t="shared" si="35"/>
        <v/>
      </c>
      <c r="BL61" s="10" t="str">
        <f t="shared" si="36"/>
        <v/>
      </c>
      <c r="BM61" s="10" t="str">
        <f t="shared" si="37"/>
        <v/>
      </c>
      <c r="BN61" s="10" t="str">
        <f t="shared" si="38"/>
        <v/>
      </c>
      <c r="BO61" s="2" t="str">
        <f t="shared" si="22"/>
        <v>NA</v>
      </c>
      <c r="BP61" s="10">
        <v>-1.5287482528770768E-3</v>
      </c>
      <c r="BQ61" s="10">
        <v>-3.1604658101986871E-3</v>
      </c>
      <c r="BR61" s="10">
        <v>-5.3999944415369372E-3</v>
      </c>
      <c r="BS61" s="10">
        <v>-7.6593895708543247E-3</v>
      </c>
      <c r="BT61" s="11" t="s">
        <v>460</v>
      </c>
    </row>
    <row r="62" spans="1:72">
      <c r="A62">
        <f>COUNTIFS($J$7:J62,J62,$N$7:N62,N62,$E$7:E62,E62)</f>
        <v>20</v>
      </c>
      <c r="B62" s="16" t="str">
        <f t="shared" si="16"/>
        <v>Low</v>
      </c>
      <c r="C62" s="16" t="str">
        <f t="shared" si="17"/>
        <v>20LowNoTechnology</v>
      </c>
      <c r="D62" s="1">
        <v>10960</v>
      </c>
      <c r="E62" s="1" t="s">
        <v>23</v>
      </c>
      <c r="F62" s="1" t="s">
        <v>24</v>
      </c>
      <c r="G62" s="1" t="s">
        <v>108</v>
      </c>
      <c r="H62" s="1">
        <v>185</v>
      </c>
      <c r="I62" s="1" t="s">
        <v>26</v>
      </c>
      <c r="J62" s="1" t="s">
        <v>27</v>
      </c>
      <c r="K62" s="1">
        <v>2</v>
      </c>
      <c r="L62" s="1">
        <v>2</v>
      </c>
      <c r="M62" s="2">
        <v>0.43047986069077587</v>
      </c>
      <c r="N62" s="27" t="str">
        <f t="shared" si="18"/>
        <v>Low</v>
      </c>
      <c r="O62" s="1">
        <v>2</v>
      </c>
      <c r="P62" s="6">
        <v>114.73010284344721</v>
      </c>
      <c r="Q62" s="6">
        <v>113.49880641855077</v>
      </c>
      <c r="R62" s="6">
        <v>110.61970108625334</v>
      </c>
      <c r="S62" s="6">
        <v>106.75106890292302</v>
      </c>
      <c r="T62" s="6">
        <v>94.25</v>
      </c>
      <c r="U62" s="6">
        <v>83.2</v>
      </c>
      <c r="V62" s="6">
        <v>76.75</v>
      </c>
      <c r="W62" s="6">
        <v>73.75</v>
      </c>
      <c r="X62" s="10">
        <f t="shared" si="23"/>
        <v>0.17850679408344075</v>
      </c>
      <c r="Y62" s="10">
        <f t="shared" si="24"/>
        <v>0.26695264359712767</v>
      </c>
      <c r="Z62" s="10">
        <f t="shared" si="25"/>
        <v>0.30618145550623183</v>
      </c>
      <c r="AA62" s="10">
        <f t="shared" si="26"/>
        <v>0.30914040713665769</v>
      </c>
      <c r="AB62" s="2">
        <f t="shared" si="19"/>
        <v>0.26519532508086446</v>
      </c>
      <c r="AC62" s="6">
        <v>101.06371930626192</v>
      </c>
      <c r="AD62" s="6">
        <v>105.56666201853703</v>
      </c>
      <c r="AE62" s="6">
        <v>81.933639277389261</v>
      </c>
      <c r="AF62" s="6">
        <v>84.003707138032411</v>
      </c>
      <c r="AG62" s="6">
        <v>85</v>
      </c>
      <c r="AH62" s="6">
        <v>73</v>
      </c>
      <c r="AI62" s="6">
        <v>75.5</v>
      </c>
      <c r="AJ62" s="6">
        <v>69.25</v>
      </c>
      <c r="AK62" s="10">
        <f t="shared" si="27"/>
        <v>0.15894644899800958</v>
      </c>
      <c r="AL62" s="10">
        <f t="shared" si="28"/>
        <v>0.308493812306185</v>
      </c>
      <c r="AM62" s="10">
        <f t="shared" si="29"/>
        <v>7.8522562089643616E-2</v>
      </c>
      <c r="AN62" s="10">
        <f t="shared" si="30"/>
        <v>0.17563161961161494</v>
      </c>
      <c r="AO62" s="2">
        <f t="shared" si="20"/>
        <v>0.18039861075136326</v>
      </c>
      <c r="AP62" s="2">
        <v>0.82499999999999996</v>
      </c>
      <c r="AQ62" s="2">
        <v>0.82499999999999996</v>
      </c>
      <c r="AR62" s="2">
        <v>0.82499999999999996</v>
      </c>
      <c r="AS62" s="2">
        <v>0.82499999999999996</v>
      </c>
      <c r="AT62" s="2">
        <v>0.58750000000000002</v>
      </c>
      <c r="AU62" s="2">
        <v>0.57399999999999995</v>
      </c>
      <c r="AV62" s="2">
        <v>0.57750000000000001</v>
      </c>
      <c r="AW62" s="2">
        <v>0.57499999999999996</v>
      </c>
      <c r="AX62" s="10">
        <f t="shared" si="31"/>
        <v>0.28787878787878779</v>
      </c>
      <c r="AY62" s="10">
        <f t="shared" si="32"/>
        <v>0.30424242424242426</v>
      </c>
      <c r="AZ62" s="10">
        <f t="shared" si="33"/>
        <v>0.29999999999999993</v>
      </c>
      <c r="BA62" s="10">
        <f t="shared" si="34"/>
        <v>0.30303030303030304</v>
      </c>
      <c r="BB62" s="2">
        <f t="shared" si="21"/>
        <v>0.29878787878787877</v>
      </c>
      <c r="BC62" s="6">
        <v>34706</v>
      </c>
      <c r="BD62" s="6">
        <v>34116</v>
      </c>
      <c r="BE62" s="6">
        <v>26700</v>
      </c>
      <c r="BF62" s="6">
        <v>27494</v>
      </c>
      <c r="BG62" s="6">
        <v>25404</v>
      </c>
      <c r="BH62" s="6">
        <v>26321</v>
      </c>
      <c r="BI62" s="6">
        <v>22118</v>
      </c>
      <c r="BJ62" s="6">
        <v>20170</v>
      </c>
      <c r="BK62" s="10">
        <f t="shared" si="35"/>
        <v>0.26802282026162622</v>
      </c>
      <c r="BL62" s="10">
        <f t="shared" si="36"/>
        <v>0.22848516824950171</v>
      </c>
      <c r="BM62" s="10">
        <f t="shared" si="37"/>
        <v>0.17161048689138578</v>
      </c>
      <c r="BN62" s="10">
        <f t="shared" si="38"/>
        <v>0.26638539317669307</v>
      </c>
      <c r="BO62" s="2">
        <f t="shared" si="22"/>
        <v>0.23362596714480169</v>
      </c>
      <c r="BP62" s="10">
        <v>-3.9534471417699779E-2</v>
      </c>
      <c r="BQ62" s="10">
        <v>3.0869463435185651E-2</v>
      </c>
      <c r="BR62" s="10">
        <v>-0.18592758890998323</v>
      </c>
      <c r="BS62" s="10">
        <v>-0.15593988234251677</v>
      </c>
      <c r="BT62" s="11" t="s">
        <v>459</v>
      </c>
    </row>
    <row r="63" spans="1:72">
      <c r="A63">
        <f>COUNTIFS($J$7:J63,J63,$N$7:N63,N63,$E$7:E63,E63)</f>
        <v>4</v>
      </c>
      <c r="B63" s="16" t="str">
        <f t="shared" si="16"/>
        <v>Low</v>
      </c>
      <c r="C63" s="16" t="str">
        <f t="shared" si="17"/>
        <v>4LowNoBFIMG</v>
      </c>
      <c r="D63" s="1">
        <v>10965</v>
      </c>
      <c r="E63" s="1" t="s">
        <v>20</v>
      </c>
      <c r="F63" s="1" t="s">
        <v>109</v>
      </c>
      <c r="G63" s="1" t="s">
        <v>109</v>
      </c>
      <c r="H63" s="1">
        <v>29</v>
      </c>
      <c r="I63" s="1" t="s">
        <v>75</v>
      </c>
      <c r="J63" s="1" t="s">
        <v>27</v>
      </c>
      <c r="K63" s="1">
        <v>1</v>
      </c>
      <c r="L63" s="1">
        <v>1</v>
      </c>
      <c r="M63" s="2">
        <v>0.39765001670373562</v>
      </c>
      <c r="N63" s="27" t="str">
        <f t="shared" si="18"/>
        <v>Low</v>
      </c>
      <c r="O63" s="1">
        <v>1</v>
      </c>
      <c r="P63" s="6">
        <v>27.999606249999999</v>
      </c>
      <c r="Q63" s="6">
        <v>27.999606249999999</v>
      </c>
      <c r="R63" s="6">
        <v>27.999606249999999</v>
      </c>
      <c r="S63" s="6">
        <v>27.999606249999999</v>
      </c>
      <c r="T63" s="6">
        <v>32</v>
      </c>
      <c r="U63" s="6">
        <v>12.8</v>
      </c>
      <c r="V63" s="6">
        <v>0</v>
      </c>
      <c r="W63" s="6">
        <v>0</v>
      </c>
      <c r="X63" s="10">
        <f t="shared" si="23"/>
        <v>-0.14287321451172194</v>
      </c>
      <c r="Y63" s="10">
        <f t="shared" si="24"/>
        <v>0.54285071419531117</v>
      </c>
      <c r="Z63" s="10">
        <f t="shared" si="25"/>
        <v>1</v>
      </c>
      <c r="AA63" s="10">
        <f t="shared" si="26"/>
        <v>1</v>
      </c>
      <c r="AB63" s="2">
        <f t="shared" si="19"/>
        <v>0.1999887498417946</v>
      </c>
      <c r="AC63" s="6">
        <v>32</v>
      </c>
      <c r="AD63" s="6">
        <v>32</v>
      </c>
      <c r="AE63" s="6">
        <v>32</v>
      </c>
      <c r="AF63" s="6">
        <v>32</v>
      </c>
      <c r="AG63" s="6">
        <v>32</v>
      </c>
      <c r="AH63" s="6">
        <v>12.8</v>
      </c>
      <c r="AI63" s="6">
        <v>0</v>
      </c>
      <c r="AJ63" s="6">
        <v>0</v>
      </c>
      <c r="AK63" s="10">
        <f t="shared" si="27"/>
        <v>0</v>
      </c>
      <c r="AL63" s="10">
        <f t="shared" si="28"/>
        <v>0.6</v>
      </c>
      <c r="AM63" s="10">
        <f t="shared" si="29"/>
        <v>1</v>
      </c>
      <c r="AN63" s="10">
        <f t="shared" si="30"/>
        <v>1</v>
      </c>
      <c r="AO63" s="2">
        <f t="shared" si="20"/>
        <v>0.3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10" t="str">
        <f t="shared" si="31"/>
        <v/>
      </c>
      <c r="AY63" s="10" t="str">
        <f t="shared" si="32"/>
        <v/>
      </c>
      <c r="AZ63" s="10" t="str">
        <f t="shared" si="33"/>
        <v/>
      </c>
      <c r="BA63" s="10" t="str">
        <f t="shared" si="34"/>
        <v/>
      </c>
      <c r="BB63" s="2" t="str">
        <f t="shared" si="21"/>
        <v>NA</v>
      </c>
      <c r="BC63" s="6">
        <v>0</v>
      </c>
      <c r="BD63" s="6">
        <v>0</v>
      </c>
      <c r="BE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  <c r="BK63" s="10" t="str">
        <f t="shared" si="35"/>
        <v/>
      </c>
      <c r="BL63" s="10" t="str">
        <f t="shared" si="36"/>
        <v/>
      </c>
      <c r="BM63" s="10" t="str">
        <f t="shared" si="37"/>
        <v/>
      </c>
      <c r="BN63" s="10" t="str">
        <f t="shared" si="38"/>
        <v/>
      </c>
      <c r="BO63" s="2" t="str">
        <f t="shared" si="22"/>
        <v>NA</v>
      </c>
      <c r="BP63" s="10">
        <v>-1.9812553239124342E-2</v>
      </c>
      <c r="BQ63" s="10">
        <v>-2.0010575377813367E-2</v>
      </c>
      <c r="BR63" s="10">
        <v>-1.9987382763183903E-2</v>
      </c>
      <c r="BS63" s="10">
        <v>-2.5592913720093535E-2</v>
      </c>
      <c r="BT63" s="11" t="s">
        <v>460</v>
      </c>
    </row>
    <row r="64" spans="1:72">
      <c r="A64">
        <f>COUNTIFS($J$7:J64,J64,$N$7:N64,N64,$E$7:E64,E64)</f>
        <v>3</v>
      </c>
      <c r="B64" s="16" t="str">
        <f t="shared" si="16"/>
        <v>Low</v>
      </c>
      <c r="C64" s="16" t="str">
        <f t="shared" si="17"/>
        <v>3LowNoTravel</v>
      </c>
      <c r="D64" s="1">
        <v>10968</v>
      </c>
      <c r="E64" s="1" t="s">
        <v>79</v>
      </c>
      <c r="F64" s="1" t="s">
        <v>110</v>
      </c>
      <c r="G64" s="1" t="s">
        <v>111</v>
      </c>
      <c r="H64" s="1">
        <v>48</v>
      </c>
      <c r="I64" s="1" t="s">
        <v>98</v>
      </c>
      <c r="J64" s="1" t="s">
        <v>27</v>
      </c>
      <c r="K64" s="1">
        <v>1</v>
      </c>
      <c r="L64" s="1">
        <v>1</v>
      </c>
      <c r="M64" s="2">
        <v>0.24667683543824431</v>
      </c>
      <c r="N64" s="27" t="str">
        <f t="shared" si="18"/>
        <v>Low</v>
      </c>
      <c r="O64" s="1">
        <v>1</v>
      </c>
      <c r="P64" s="6">
        <v>53.261734007500003</v>
      </c>
      <c r="Q64" s="6">
        <v>51.614314838660867</v>
      </c>
      <c r="R64" s="6">
        <v>51.31558736249999</v>
      </c>
      <c r="S64" s="6">
        <v>51.243634012500003</v>
      </c>
      <c r="T64" s="6">
        <v>47.5</v>
      </c>
      <c r="U64" s="6">
        <v>60.2</v>
      </c>
      <c r="V64" s="6">
        <v>68.75</v>
      </c>
      <c r="W64" s="6">
        <v>73.5</v>
      </c>
      <c r="X64" s="10">
        <f t="shared" si="23"/>
        <v>0.10817773988899178</v>
      </c>
      <c r="Y64" s="10">
        <f t="shared" si="24"/>
        <v>-0.16634310051730392</v>
      </c>
      <c r="Z64" s="10">
        <f t="shared" si="25"/>
        <v>-0.33974886644755814</v>
      </c>
      <c r="AA64" s="10">
        <f t="shared" si="26"/>
        <v>-0.43432450520724075</v>
      </c>
      <c r="AB64" s="2">
        <f t="shared" si="19"/>
        <v>-0.20805968307077777</v>
      </c>
      <c r="AC64" s="6">
        <v>53</v>
      </c>
      <c r="AD64" s="6">
        <v>51</v>
      </c>
      <c r="AE64" s="6">
        <v>51</v>
      </c>
      <c r="AF64" s="6">
        <v>51</v>
      </c>
      <c r="AG64" s="6">
        <v>53</v>
      </c>
      <c r="AH64" s="6">
        <v>53</v>
      </c>
      <c r="AI64" s="6">
        <v>53</v>
      </c>
      <c r="AJ64" s="6">
        <v>53</v>
      </c>
      <c r="AK64" s="10">
        <f t="shared" si="27"/>
        <v>0</v>
      </c>
      <c r="AL64" s="10">
        <f t="shared" si="28"/>
        <v>-3.9215686274509803E-2</v>
      </c>
      <c r="AM64" s="10">
        <f t="shared" si="29"/>
        <v>-3.9215686274509803E-2</v>
      </c>
      <c r="AN64" s="10">
        <f t="shared" si="30"/>
        <v>-3.9215686274509803E-2</v>
      </c>
      <c r="AO64" s="2">
        <f t="shared" si="20"/>
        <v>-2.9411764705882353E-2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10" t="str">
        <f t="shared" si="31"/>
        <v/>
      </c>
      <c r="AY64" s="10" t="str">
        <f t="shared" si="32"/>
        <v/>
      </c>
      <c r="AZ64" s="10" t="str">
        <f t="shared" si="33"/>
        <v/>
      </c>
      <c r="BA64" s="10" t="str">
        <f t="shared" si="34"/>
        <v/>
      </c>
      <c r="BB64" s="2" t="str">
        <f t="shared" si="21"/>
        <v>NA</v>
      </c>
      <c r="BC64" s="6">
        <v>0</v>
      </c>
      <c r="BD64" s="6">
        <v>0</v>
      </c>
      <c r="BE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  <c r="BK64" s="10" t="str">
        <f t="shared" si="35"/>
        <v/>
      </c>
      <c r="BL64" s="10" t="str">
        <f t="shared" si="36"/>
        <v/>
      </c>
      <c r="BM64" s="10" t="str">
        <f t="shared" si="37"/>
        <v/>
      </c>
      <c r="BN64" s="10" t="str">
        <f t="shared" si="38"/>
        <v/>
      </c>
      <c r="BO64" s="2" t="str">
        <f t="shared" si="22"/>
        <v>NA</v>
      </c>
      <c r="BP64" s="10">
        <v>0.426761436687639</v>
      </c>
      <c r="BQ64" s="10">
        <v>0.29681347559087623</v>
      </c>
      <c r="BR64" s="10">
        <v>0.21482230147651543</v>
      </c>
      <c r="BS64" s="10">
        <v>0.11069772092554148</v>
      </c>
      <c r="BT64" s="11" t="s">
        <v>460</v>
      </c>
    </row>
    <row r="65" spans="1:72">
      <c r="A65">
        <f>COUNTIFS($J$7:J65,J65,$N$7:N65,N65,$E$7:E65,E65)</f>
        <v>2</v>
      </c>
      <c r="B65" s="16" t="str">
        <f t="shared" si="16"/>
        <v>Low</v>
      </c>
      <c r="C65" s="16" t="str">
        <f t="shared" si="17"/>
        <v>2LowYesTelecom-AT&amp;T</v>
      </c>
      <c r="D65" s="1">
        <v>10973</v>
      </c>
      <c r="E65" s="11" t="s">
        <v>484</v>
      </c>
      <c r="F65" s="1" t="s">
        <v>6</v>
      </c>
      <c r="G65" s="1" t="s">
        <v>112</v>
      </c>
      <c r="H65" s="1">
        <v>132</v>
      </c>
      <c r="I65" s="1" t="s">
        <v>113</v>
      </c>
      <c r="J65" s="1" t="s">
        <v>9</v>
      </c>
      <c r="K65" s="1">
        <v>1</v>
      </c>
      <c r="L65" s="1">
        <v>1</v>
      </c>
      <c r="M65" s="2">
        <v>0.18229220908654661</v>
      </c>
      <c r="N65" s="27" t="str">
        <f t="shared" si="18"/>
        <v>Low</v>
      </c>
      <c r="O65" s="1">
        <v>1</v>
      </c>
      <c r="P65" s="6">
        <v>125.97347855022019</v>
      </c>
      <c r="Q65" s="6">
        <v>138.57523185483871</v>
      </c>
      <c r="R65" s="6">
        <v>138.9945703125</v>
      </c>
      <c r="S65" s="6">
        <v>138.9945703125</v>
      </c>
      <c r="T65" s="6">
        <v>128</v>
      </c>
      <c r="U65" s="6">
        <v>126.8</v>
      </c>
      <c r="V65" s="6">
        <v>136.75</v>
      </c>
      <c r="W65" s="6">
        <v>135</v>
      </c>
      <c r="X65" s="10">
        <f t="shared" si="23"/>
        <v>-1.6086889662032474E-2</v>
      </c>
      <c r="Y65" s="10">
        <f t="shared" si="24"/>
        <v>8.4973567766955513E-2</v>
      </c>
      <c r="Z65" s="10">
        <f t="shared" si="25"/>
        <v>1.6148618665128851E-2</v>
      </c>
      <c r="AA65" s="10">
        <f t="shared" si="26"/>
        <v>2.8739038535959015E-2</v>
      </c>
      <c r="AB65" s="2">
        <f t="shared" si="19"/>
        <v>2.8443583826502729E-2</v>
      </c>
      <c r="AC65" s="6">
        <v>134.20000000000002</v>
      </c>
      <c r="AD65" s="6">
        <v>137.86000000000001</v>
      </c>
      <c r="AE65" s="6">
        <v>137.86000000000001</v>
      </c>
      <c r="AF65" s="6">
        <v>137.86000000000001</v>
      </c>
      <c r="AG65" s="6">
        <v>110</v>
      </c>
      <c r="AH65" s="6">
        <v>113</v>
      </c>
      <c r="AI65" s="6">
        <v>113</v>
      </c>
      <c r="AJ65" s="6">
        <v>113</v>
      </c>
      <c r="AK65" s="10">
        <f t="shared" si="27"/>
        <v>0.18032786885245913</v>
      </c>
      <c r="AL65" s="10">
        <f t="shared" si="28"/>
        <v>0.18032786885245911</v>
      </c>
      <c r="AM65" s="10">
        <f t="shared" si="29"/>
        <v>0.18032786885245911</v>
      </c>
      <c r="AN65" s="10">
        <f t="shared" si="30"/>
        <v>0.18032786885245911</v>
      </c>
      <c r="AO65" s="2">
        <f t="shared" si="20"/>
        <v>0.18032786885245911</v>
      </c>
      <c r="AP65" s="2">
        <v>0.9</v>
      </c>
      <c r="AQ65" s="2">
        <v>0.9</v>
      </c>
      <c r="AR65" s="2">
        <v>0.9</v>
      </c>
      <c r="AS65" s="2">
        <v>0.9</v>
      </c>
      <c r="AT65" s="2">
        <v>0.9</v>
      </c>
      <c r="AU65" s="2">
        <v>0.9</v>
      </c>
      <c r="AV65" s="2">
        <v>0.9</v>
      </c>
      <c r="AW65" s="2">
        <v>0.9</v>
      </c>
      <c r="AX65" s="10">
        <f t="shared" si="31"/>
        <v>0</v>
      </c>
      <c r="AY65" s="10">
        <f t="shared" si="32"/>
        <v>0</v>
      </c>
      <c r="AZ65" s="10">
        <f t="shared" si="33"/>
        <v>0</v>
      </c>
      <c r="BA65" s="10">
        <f t="shared" si="34"/>
        <v>0</v>
      </c>
      <c r="BB65" s="2">
        <f t="shared" si="21"/>
        <v>0</v>
      </c>
      <c r="BC65" s="6">
        <v>0</v>
      </c>
      <c r="BD65" s="6">
        <v>0</v>
      </c>
      <c r="BE65" s="6">
        <v>0</v>
      </c>
      <c r="BF65" s="6">
        <v>0</v>
      </c>
      <c r="BG65" s="6">
        <v>0</v>
      </c>
      <c r="BH65" s="6">
        <v>0</v>
      </c>
      <c r="BI65" s="6">
        <v>0</v>
      </c>
      <c r="BJ65" s="6">
        <v>0</v>
      </c>
      <c r="BK65" s="10" t="str">
        <f t="shared" si="35"/>
        <v/>
      </c>
      <c r="BL65" s="10" t="str">
        <f t="shared" si="36"/>
        <v/>
      </c>
      <c r="BM65" s="10" t="str">
        <f t="shared" si="37"/>
        <v/>
      </c>
      <c r="BN65" s="10" t="str">
        <f t="shared" si="38"/>
        <v/>
      </c>
      <c r="BO65" s="2" t="str">
        <f t="shared" si="22"/>
        <v>NA</v>
      </c>
      <c r="BP65" s="10">
        <v>-5.2089719175637261E-2</v>
      </c>
      <c r="BQ65" s="10">
        <v>-6.3031648654959804E-4</v>
      </c>
      <c r="BR65" s="10">
        <v>3.3736059707214494E-3</v>
      </c>
      <c r="BS65" s="10">
        <v>-5.9444030316968544E-4</v>
      </c>
      <c r="BT65" s="11" t="s">
        <v>461</v>
      </c>
    </row>
    <row r="66" spans="1:72">
      <c r="A66">
        <f>COUNTIFS($J$7:J66,J66,$N$7:N66,N66,$E$7:E66,E66)</f>
        <v>3</v>
      </c>
      <c r="B66" s="16" t="str">
        <f t="shared" si="16"/>
        <v>Low</v>
      </c>
      <c r="C66" s="16" t="str">
        <f t="shared" si="17"/>
        <v>3LowYesTelecom-AT&amp;T</v>
      </c>
      <c r="D66" s="1">
        <v>10976</v>
      </c>
      <c r="E66" s="11" t="s">
        <v>484</v>
      </c>
      <c r="F66" s="1" t="s">
        <v>6</v>
      </c>
      <c r="G66" s="1" t="s">
        <v>114</v>
      </c>
      <c r="H66" s="1">
        <v>246</v>
      </c>
      <c r="I66" s="1" t="s">
        <v>113</v>
      </c>
      <c r="J66" s="1" t="s">
        <v>9</v>
      </c>
      <c r="K66" s="1">
        <v>3</v>
      </c>
      <c r="L66" s="1">
        <v>2</v>
      </c>
      <c r="M66" s="2">
        <v>0.62728049001786446</v>
      </c>
      <c r="N66" s="27" t="str">
        <f t="shared" si="18"/>
        <v>Low</v>
      </c>
      <c r="O66" s="1">
        <v>2</v>
      </c>
      <c r="P66" s="6">
        <v>278.18219571640708</v>
      </c>
      <c r="Q66" s="6">
        <v>290.19685579170289</v>
      </c>
      <c r="R66" s="6">
        <v>279.02328877080038</v>
      </c>
      <c r="S66" s="6">
        <v>275.33974126593699</v>
      </c>
      <c r="T66" s="6">
        <v>125.75</v>
      </c>
      <c r="U66" s="6">
        <v>130.4</v>
      </c>
      <c r="V66" s="6">
        <v>123</v>
      </c>
      <c r="W66" s="6">
        <v>117.25</v>
      </c>
      <c r="X66" s="10">
        <f t="shared" si="23"/>
        <v>0.54795812982871173</v>
      </c>
      <c r="Y66" s="10">
        <f t="shared" si="24"/>
        <v>0.55064985234161756</v>
      </c>
      <c r="Z66" s="10">
        <f t="shared" si="25"/>
        <v>0.55917658148945204</v>
      </c>
      <c r="AA66" s="10">
        <f t="shared" si="26"/>
        <v>0.57416245304467672</v>
      </c>
      <c r="AB66" s="2">
        <f t="shared" si="19"/>
        <v>0.55798675417611454</v>
      </c>
      <c r="AC66" s="6">
        <v>303.46044272050312</v>
      </c>
      <c r="AD66" s="6">
        <v>299.30072548673485</v>
      </c>
      <c r="AE66" s="6">
        <v>300.74962838620348</v>
      </c>
      <c r="AF66" s="6">
        <v>293.92561919897054</v>
      </c>
      <c r="AG66" s="6">
        <v>171.75</v>
      </c>
      <c r="AH66" s="6">
        <v>171.4</v>
      </c>
      <c r="AI66" s="6">
        <v>170.5</v>
      </c>
      <c r="AJ66" s="6">
        <v>166.5</v>
      </c>
      <c r="AK66" s="10">
        <f t="shared" si="27"/>
        <v>0.43402837463666621</v>
      </c>
      <c r="AL66" s="10">
        <f t="shared" si="28"/>
        <v>0.42733182580408902</v>
      </c>
      <c r="AM66" s="10">
        <f t="shared" si="29"/>
        <v>0.43308325627902428</v>
      </c>
      <c r="AN66" s="10">
        <f t="shared" si="30"/>
        <v>0.43353015482706464</v>
      </c>
      <c r="AO66" s="2">
        <f t="shared" si="20"/>
        <v>0.43199340288671106</v>
      </c>
      <c r="AP66" s="2">
        <v>0.54999999999999993</v>
      </c>
      <c r="AQ66" s="2">
        <v>0.54999999999999993</v>
      </c>
      <c r="AR66" s="2">
        <v>0.54999999999999993</v>
      </c>
      <c r="AS66" s="2">
        <v>0.54999999999999993</v>
      </c>
      <c r="AT66" s="2">
        <v>0.7</v>
      </c>
      <c r="AU66" s="2">
        <v>0.7</v>
      </c>
      <c r="AV66" s="2">
        <v>0.7</v>
      </c>
      <c r="AW66" s="2">
        <v>0.7</v>
      </c>
      <c r="AX66" s="10">
        <f t="shared" si="31"/>
        <v>-0.27272727272727282</v>
      </c>
      <c r="AY66" s="10">
        <f t="shared" si="32"/>
        <v>-0.27272727272727282</v>
      </c>
      <c r="AZ66" s="10">
        <f t="shared" si="33"/>
        <v>-0.27272727272727282</v>
      </c>
      <c r="BA66" s="10">
        <f t="shared" si="34"/>
        <v>-0.27272727272727282</v>
      </c>
      <c r="BB66" s="2">
        <f t="shared" si="21"/>
        <v>-0.27272727272727282</v>
      </c>
      <c r="BC66" s="6">
        <v>67428.948466299713</v>
      </c>
      <c r="BD66" s="6">
        <v>67411.258770397792</v>
      </c>
      <c r="BE66" s="6">
        <v>67150.098236733582</v>
      </c>
      <c r="BF66" s="6">
        <v>67062.786030478674</v>
      </c>
      <c r="BG66" s="6">
        <v>34841</v>
      </c>
      <c r="BH66" s="6">
        <v>43581</v>
      </c>
      <c r="BI66" s="6">
        <v>34618</v>
      </c>
      <c r="BJ66" s="6">
        <v>33877</v>
      </c>
      <c r="BK66" s="10">
        <f t="shared" si="35"/>
        <v>0.48329314348698216</v>
      </c>
      <c r="BL66" s="10">
        <f t="shared" si="36"/>
        <v>0.3535056191661316</v>
      </c>
      <c r="BM66" s="10">
        <f t="shared" si="37"/>
        <v>0.48446836402299293</v>
      </c>
      <c r="BN66" s="10">
        <f t="shared" si="38"/>
        <v>0.49484651614975267</v>
      </c>
      <c r="BO66" s="2">
        <f t="shared" si="22"/>
        <v>0.45402841070646482</v>
      </c>
      <c r="BP66" s="10">
        <v>4.9715097170095146E-2</v>
      </c>
      <c r="BQ66" s="10">
        <v>0.10014381587274795</v>
      </c>
      <c r="BR66" s="10">
        <v>3.8487821714564996E-2</v>
      </c>
      <c r="BS66" s="10">
        <v>-5.7552699766510229E-2</v>
      </c>
      <c r="BT66" s="11">
        <v>0</v>
      </c>
    </row>
    <row r="67" spans="1:72">
      <c r="A67">
        <f>COUNTIFS($J$7:J67,J67,$N$7:N67,N67,$E$7:E67,E67)</f>
        <v>4</v>
      </c>
      <c r="B67" s="16" t="str">
        <f t="shared" si="16"/>
        <v>Low</v>
      </c>
      <c r="C67" s="16" t="str">
        <f t="shared" si="17"/>
        <v>4LowYesTelecom-AT&amp;T</v>
      </c>
      <c r="D67" s="1">
        <v>10979</v>
      </c>
      <c r="E67" s="11" t="s">
        <v>484</v>
      </c>
      <c r="F67" s="1" t="s">
        <v>6</v>
      </c>
      <c r="G67" s="1" t="s">
        <v>115</v>
      </c>
      <c r="H67" s="1">
        <v>78</v>
      </c>
      <c r="I67" s="1" t="s">
        <v>93</v>
      </c>
      <c r="J67" s="1" t="s">
        <v>9</v>
      </c>
      <c r="K67" s="1">
        <v>1</v>
      </c>
      <c r="L67" s="1">
        <v>1</v>
      </c>
      <c r="M67" s="2">
        <v>0.12079447597080389</v>
      </c>
      <c r="N67" s="27" t="str">
        <f t="shared" si="18"/>
        <v>Low</v>
      </c>
      <c r="O67" s="1">
        <v>1</v>
      </c>
      <c r="P67" s="6">
        <v>64.582243637848521</v>
      </c>
      <c r="Q67" s="6">
        <v>61.120309127970749</v>
      </c>
      <c r="R67" s="6">
        <v>60.679168399674268</v>
      </c>
      <c r="S67" s="6">
        <v>75.328467820232063</v>
      </c>
      <c r="T67" s="6">
        <v>106.5</v>
      </c>
      <c r="U67" s="6">
        <v>103</v>
      </c>
      <c r="V67" s="6">
        <v>103</v>
      </c>
      <c r="W67" s="6">
        <v>92</v>
      </c>
      <c r="X67" s="10">
        <f t="shared" si="23"/>
        <v>-0.64906008216762412</v>
      </c>
      <c r="Y67" s="10">
        <f t="shared" si="24"/>
        <v>-0.68520090080604101</v>
      </c>
      <c r="Z67" s="10">
        <f t="shared" si="25"/>
        <v>-0.69745239950508142</v>
      </c>
      <c r="AA67" s="10">
        <f t="shared" si="26"/>
        <v>-0.22131781864399239</v>
      </c>
      <c r="AB67" s="2">
        <f t="shared" si="19"/>
        <v>-0.56325780028068473</v>
      </c>
      <c r="AC67" s="6">
        <v>50</v>
      </c>
      <c r="AD67" s="6">
        <v>47</v>
      </c>
      <c r="AE67" s="6">
        <v>50</v>
      </c>
      <c r="AF67" s="6">
        <v>53</v>
      </c>
      <c r="AG67" s="6">
        <v>51</v>
      </c>
      <c r="AH67" s="6">
        <v>44.4</v>
      </c>
      <c r="AI67" s="6">
        <v>47.75</v>
      </c>
      <c r="AJ67" s="6">
        <v>48.75</v>
      </c>
      <c r="AK67" s="10">
        <f t="shared" si="27"/>
        <v>-0.02</v>
      </c>
      <c r="AL67" s="10">
        <f t="shared" si="28"/>
        <v>5.5319148936170244E-2</v>
      </c>
      <c r="AM67" s="10">
        <f t="shared" si="29"/>
        <v>4.4999999999999998E-2</v>
      </c>
      <c r="AN67" s="10">
        <f t="shared" si="30"/>
        <v>8.0188679245283015E-2</v>
      </c>
      <c r="AO67" s="2">
        <f t="shared" si="20"/>
        <v>4.0126957045363315E-2</v>
      </c>
      <c r="AP67" s="2">
        <v>0.79</v>
      </c>
      <c r="AQ67" s="2">
        <v>0.79</v>
      </c>
      <c r="AR67" s="2">
        <v>0.79</v>
      </c>
      <c r="AS67" s="2">
        <v>0.79</v>
      </c>
      <c r="AT67" s="2">
        <v>0.79</v>
      </c>
      <c r="AU67" s="2">
        <v>0.79</v>
      </c>
      <c r="AV67" s="2">
        <v>0.79</v>
      </c>
      <c r="AW67" s="2">
        <v>0.79</v>
      </c>
      <c r="AX67" s="10">
        <f t="shared" si="31"/>
        <v>0</v>
      </c>
      <c r="AY67" s="10">
        <f t="shared" si="32"/>
        <v>0</v>
      </c>
      <c r="AZ67" s="10">
        <f t="shared" si="33"/>
        <v>0</v>
      </c>
      <c r="BA67" s="10">
        <f t="shared" si="34"/>
        <v>0</v>
      </c>
      <c r="BB67" s="2">
        <f t="shared" si="21"/>
        <v>0</v>
      </c>
      <c r="BC67" s="6">
        <v>24078</v>
      </c>
      <c r="BD67" s="6">
        <v>23601</v>
      </c>
      <c r="BE67" s="6">
        <v>24760</v>
      </c>
      <c r="BF67" s="6">
        <v>24780</v>
      </c>
      <c r="BG67" s="6">
        <v>24920</v>
      </c>
      <c r="BH67" s="6">
        <v>26965</v>
      </c>
      <c r="BI67" s="6">
        <v>23030</v>
      </c>
      <c r="BJ67" s="6">
        <v>22384</v>
      </c>
      <c r="BK67" s="10">
        <f t="shared" si="35"/>
        <v>-3.4969681867264721E-2</v>
      </c>
      <c r="BL67" s="10">
        <f t="shared" si="36"/>
        <v>-0.14253633320622008</v>
      </c>
      <c r="BM67" s="10">
        <f t="shared" si="37"/>
        <v>6.987075928917609E-2</v>
      </c>
      <c r="BN67" s="10">
        <f t="shared" si="38"/>
        <v>9.6690879741727201E-2</v>
      </c>
      <c r="BO67" s="2">
        <f t="shared" si="22"/>
        <v>-2.7360940106453749E-3</v>
      </c>
      <c r="BP67" s="10">
        <v>-4.1434104944887973E-2</v>
      </c>
      <c r="BQ67" s="10">
        <v>2.7136496462504323E-2</v>
      </c>
      <c r="BR67" s="10">
        <v>-2.0126205185400925E-2</v>
      </c>
      <c r="BS67" s="10">
        <v>1.2915923797340467E-2</v>
      </c>
      <c r="BT67" s="11" t="s">
        <v>459</v>
      </c>
    </row>
    <row r="68" spans="1:72">
      <c r="A68">
        <f>COUNTIFS($J$7:J68,J68,$N$7:N68,N68,$E$7:E68,E68)</f>
        <v>5</v>
      </c>
      <c r="B68" s="16" t="str">
        <f t="shared" si="16"/>
        <v>Low</v>
      </c>
      <c r="C68" s="16" t="str">
        <f t="shared" si="17"/>
        <v>5LowYesTelecom-AT&amp;T</v>
      </c>
      <c r="D68" s="1">
        <v>10990</v>
      </c>
      <c r="E68" s="11" t="s">
        <v>484</v>
      </c>
      <c r="F68" s="1" t="s">
        <v>6</v>
      </c>
      <c r="G68" s="1" t="s">
        <v>116</v>
      </c>
      <c r="H68" s="1">
        <v>159</v>
      </c>
      <c r="I68" s="1" t="s">
        <v>93</v>
      </c>
      <c r="J68" s="1" t="s">
        <v>9</v>
      </c>
      <c r="K68" s="1">
        <v>1</v>
      </c>
      <c r="L68" s="1">
        <v>1</v>
      </c>
      <c r="M68" s="2">
        <v>0.19191479666249991</v>
      </c>
      <c r="N68" s="27" t="str">
        <f t="shared" si="18"/>
        <v>Low</v>
      </c>
      <c r="O68" s="1">
        <v>1</v>
      </c>
      <c r="P68" s="6">
        <v>145.74941992296809</v>
      </c>
      <c r="Q68" s="6">
        <v>150.5144814610218</v>
      </c>
      <c r="R68" s="6">
        <v>138.43223247528351</v>
      </c>
      <c r="S68" s="6">
        <v>138.83918295406929</v>
      </c>
      <c r="T68" s="6">
        <v>121.25</v>
      </c>
      <c r="U68" s="6">
        <v>134.19999999999999</v>
      </c>
      <c r="V68" s="6">
        <v>138.5</v>
      </c>
      <c r="W68" s="6">
        <v>147.75</v>
      </c>
      <c r="X68" s="10">
        <f t="shared" si="23"/>
        <v>0.16809274394310861</v>
      </c>
      <c r="Y68" s="10">
        <f t="shared" si="24"/>
        <v>0.10839144049568888</v>
      </c>
      <c r="Z68" s="10">
        <f t="shared" si="25"/>
        <v>-4.895357353179048E-4</v>
      </c>
      <c r="AA68" s="10">
        <f t="shared" si="26"/>
        <v>-6.4180851949255463E-2</v>
      </c>
      <c r="AB68" s="2">
        <f t="shared" si="19"/>
        <v>5.2953449188556038E-2</v>
      </c>
      <c r="AC68" s="6">
        <v>134</v>
      </c>
      <c r="AD68" s="6">
        <v>140</v>
      </c>
      <c r="AE68" s="6">
        <v>137</v>
      </c>
      <c r="AF68" s="6">
        <v>136</v>
      </c>
      <c r="AG68" s="6">
        <v>135</v>
      </c>
      <c r="AH68" s="6">
        <v>138.4</v>
      </c>
      <c r="AI68" s="6">
        <v>136.75</v>
      </c>
      <c r="AJ68" s="6">
        <v>136.5</v>
      </c>
      <c r="AK68" s="10">
        <f t="shared" si="27"/>
        <v>-7.462686567164179E-3</v>
      </c>
      <c r="AL68" s="10">
        <f t="shared" si="28"/>
        <v>1.1428571428571389E-2</v>
      </c>
      <c r="AM68" s="10">
        <f t="shared" si="29"/>
        <v>1.8248175182481751E-3</v>
      </c>
      <c r="AN68" s="10">
        <f t="shared" si="30"/>
        <v>-3.6764705882352941E-3</v>
      </c>
      <c r="AO68" s="2">
        <f t="shared" si="20"/>
        <v>5.285579478550228E-4</v>
      </c>
      <c r="AP68" s="2">
        <v>0.79</v>
      </c>
      <c r="AQ68" s="2">
        <v>0.79</v>
      </c>
      <c r="AR68" s="2">
        <v>0.79</v>
      </c>
      <c r="AS68" s="2">
        <v>0.79</v>
      </c>
      <c r="AT68" s="2">
        <v>0.79</v>
      </c>
      <c r="AU68" s="2">
        <v>0.79</v>
      </c>
      <c r="AV68" s="2">
        <v>0.79</v>
      </c>
      <c r="AW68" s="2">
        <v>0.79</v>
      </c>
      <c r="AX68" s="10">
        <f t="shared" si="31"/>
        <v>0</v>
      </c>
      <c r="AY68" s="10">
        <f t="shared" si="32"/>
        <v>0</v>
      </c>
      <c r="AZ68" s="10">
        <f t="shared" si="33"/>
        <v>0</v>
      </c>
      <c r="BA68" s="10">
        <f t="shared" si="34"/>
        <v>0</v>
      </c>
      <c r="BB68" s="2">
        <f t="shared" si="21"/>
        <v>0</v>
      </c>
      <c r="BC68" s="6">
        <v>51231</v>
      </c>
      <c r="BD68" s="6">
        <v>55070</v>
      </c>
      <c r="BE68" s="6">
        <v>52761</v>
      </c>
      <c r="BF68" s="6">
        <v>54038</v>
      </c>
      <c r="BG68" s="6">
        <v>48154</v>
      </c>
      <c r="BH68" s="6">
        <v>61870</v>
      </c>
      <c r="BI68" s="6">
        <v>48906</v>
      </c>
      <c r="BJ68" s="6">
        <v>48598</v>
      </c>
      <c r="BK68" s="10">
        <f t="shared" si="35"/>
        <v>6.0061291015205638E-2</v>
      </c>
      <c r="BL68" s="10">
        <f t="shared" si="36"/>
        <v>-0.12347920828037044</v>
      </c>
      <c r="BM68" s="10">
        <f t="shared" si="37"/>
        <v>7.3065332347756862E-2</v>
      </c>
      <c r="BN68" s="10">
        <f t="shared" si="38"/>
        <v>0.10066989895999112</v>
      </c>
      <c r="BO68" s="2">
        <f t="shared" si="22"/>
        <v>2.7579328510645797E-2</v>
      </c>
      <c r="BP68" s="10">
        <v>-8.2147620828194379E-2</v>
      </c>
      <c r="BQ68" s="10">
        <v>-0.2364106878618924</v>
      </c>
      <c r="BR68" s="10">
        <v>-0.15890846770663541</v>
      </c>
      <c r="BS68" s="10">
        <v>-0.13071788534271384</v>
      </c>
      <c r="BT68" s="11" t="s">
        <v>459</v>
      </c>
    </row>
    <row r="69" spans="1:72">
      <c r="A69">
        <f>COUNTIFS($J$7:J69,J69,$N$7:N69,N69,$E$7:E69,E69)</f>
        <v>6</v>
      </c>
      <c r="B69" s="16" t="str">
        <f t="shared" si="16"/>
        <v>Low</v>
      </c>
      <c r="C69" s="16" t="str">
        <f t="shared" si="17"/>
        <v>6LowYesTelecom-AT&amp;T</v>
      </c>
      <c r="D69" s="1">
        <v>10992</v>
      </c>
      <c r="E69" s="11" t="s">
        <v>484</v>
      </c>
      <c r="F69" s="1" t="s">
        <v>6</v>
      </c>
      <c r="G69" s="1" t="s">
        <v>117</v>
      </c>
      <c r="H69" s="1">
        <v>206</v>
      </c>
      <c r="I69" s="1" t="s">
        <v>118</v>
      </c>
      <c r="J69" s="1" t="s">
        <v>9</v>
      </c>
      <c r="K69" s="1">
        <v>1</v>
      </c>
      <c r="L69" s="1">
        <v>1</v>
      </c>
      <c r="M69" s="2">
        <v>0.1471774098271669</v>
      </c>
      <c r="N69" s="27" t="str">
        <f t="shared" si="18"/>
        <v>Low</v>
      </c>
      <c r="O69" s="1">
        <v>1</v>
      </c>
      <c r="P69" s="6">
        <v>145.40419507134371</v>
      </c>
      <c r="Q69" s="6">
        <v>141.7932615113323</v>
      </c>
      <c r="R69" s="6">
        <v>145.980454629403</v>
      </c>
      <c r="S69" s="6">
        <v>135.04410797594539</v>
      </c>
      <c r="T69" s="6">
        <v>143.5</v>
      </c>
      <c r="U69" s="6">
        <v>151</v>
      </c>
      <c r="V69" s="6">
        <v>141.25</v>
      </c>
      <c r="W69" s="6">
        <v>137.75</v>
      </c>
      <c r="X69" s="10">
        <f t="shared" si="23"/>
        <v>1.3095874368751185E-2</v>
      </c>
      <c r="Y69" s="10">
        <f t="shared" si="24"/>
        <v>-6.4930719489317071E-2</v>
      </c>
      <c r="Z69" s="10">
        <f t="shared" si="25"/>
        <v>3.2404712270639846E-2</v>
      </c>
      <c r="AA69" s="10">
        <f t="shared" si="26"/>
        <v>-2.0037097986804357E-2</v>
      </c>
      <c r="AB69" s="2">
        <f t="shared" si="19"/>
        <v>-9.8668077091825998E-3</v>
      </c>
      <c r="AC69" s="6">
        <v>188.2148339825965</v>
      </c>
      <c r="AD69" s="6">
        <v>201.84629605688022</v>
      </c>
      <c r="AE69" s="6">
        <v>162.85149073617092</v>
      </c>
      <c r="AF69" s="6">
        <v>148.23102696051313</v>
      </c>
      <c r="AG69" s="6">
        <v>138.75</v>
      </c>
      <c r="AH69" s="6">
        <v>202</v>
      </c>
      <c r="AI69" s="6">
        <v>157.5</v>
      </c>
      <c r="AJ69" s="6">
        <v>123.5</v>
      </c>
      <c r="AK69" s="10">
        <f t="shared" si="27"/>
        <v>0.2628104965795115</v>
      </c>
      <c r="AL69" s="10">
        <f t="shared" si="28"/>
        <v>-7.6149003535079009E-4</v>
      </c>
      <c r="AM69" s="10">
        <f t="shared" si="29"/>
        <v>3.2861171316145021E-2</v>
      </c>
      <c r="AN69" s="10">
        <f t="shared" si="30"/>
        <v>0.16684109573835149</v>
      </c>
      <c r="AO69" s="2">
        <f t="shared" si="20"/>
        <v>0.1154378183996643</v>
      </c>
      <c r="AP69" s="2">
        <v>0.79</v>
      </c>
      <c r="AQ69" s="2">
        <v>0.79</v>
      </c>
      <c r="AR69" s="2">
        <v>0.79</v>
      </c>
      <c r="AS69" s="2">
        <v>0.79</v>
      </c>
      <c r="AT69" s="2">
        <v>0.79</v>
      </c>
      <c r="AU69" s="2">
        <v>0.79</v>
      </c>
      <c r="AV69" s="2">
        <v>0.79</v>
      </c>
      <c r="AW69" s="2">
        <v>0.79</v>
      </c>
      <c r="AX69" s="10">
        <f t="shared" si="31"/>
        <v>0</v>
      </c>
      <c r="AY69" s="10">
        <f t="shared" si="32"/>
        <v>0</v>
      </c>
      <c r="AZ69" s="10">
        <f t="shared" si="33"/>
        <v>0</v>
      </c>
      <c r="BA69" s="10">
        <f t="shared" si="34"/>
        <v>0</v>
      </c>
      <c r="BB69" s="2">
        <f t="shared" si="21"/>
        <v>0</v>
      </c>
      <c r="BC69" s="6">
        <v>76623.716418413969</v>
      </c>
      <c r="BD69" s="6">
        <v>101162.11754931459</v>
      </c>
      <c r="BE69" s="6">
        <v>90133.825979610352</v>
      </c>
      <c r="BF69" s="6">
        <v>84409.023421216989</v>
      </c>
      <c r="BG69" s="6">
        <v>65575</v>
      </c>
      <c r="BH69" s="6">
        <v>103017</v>
      </c>
      <c r="BI69" s="6">
        <v>79823</v>
      </c>
      <c r="BJ69" s="6">
        <v>63103</v>
      </c>
      <c r="BK69" s="10">
        <f t="shared" si="35"/>
        <v>0.14419447313258715</v>
      </c>
      <c r="BL69" s="10">
        <f t="shared" si="36"/>
        <v>-1.833574163551089E-2</v>
      </c>
      <c r="BM69" s="10">
        <f t="shared" si="37"/>
        <v>0.11439463339704251</v>
      </c>
      <c r="BN69" s="10">
        <f t="shared" si="38"/>
        <v>0.25241404956074309</v>
      </c>
      <c r="BO69" s="2">
        <f t="shared" si="22"/>
        <v>0.12316685361371546</v>
      </c>
      <c r="BP69" s="10">
        <v>9.4109096809202764E-2</v>
      </c>
      <c r="BQ69" s="10">
        <v>-3.444918782125167E-2</v>
      </c>
      <c r="BR69" s="10">
        <v>0.10278241362419993</v>
      </c>
      <c r="BS69" s="10">
        <v>2.4093140428767257E-2</v>
      </c>
      <c r="BT69" s="11" t="s">
        <v>458</v>
      </c>
    </row>
    <row r="70" spans="1:72">
      <c r="A70">
        <f>COUNTIFS($J$7:J70,J70,$N$7:N70,N70,$E$7:E70,E70)</f>
        <v>7</v>
      </c>
      <c r="B70" s="16" t="str">
        <f t="shared" si="16"/>
        <v>Low</v>
      </c>
      <c r="C70" s="16" t="str">
        <f t="shared" si="17"/>
        <v>7LowYesTelecom-AT&amp;T</v>
      </c>
      <c r="D70" s="1">
        <v>10993</v>
      </c>
      <c r="E70" s="11" t="s">
        <v>484</v>
      </c>
      <c r="F70" s="1" t="s">
        <v>6</v>
      </c>
      <c r="G70" s="1" t="s">
        <v>119</v>
      </c>
      <c r="H70" s="1">
        <v>229</v>
      </c>
      <c r="I70" s="1" t="s">
        <v>93</v>
      </c>
      <c r="J70" s="1" t="s">
        <v>9</v>
      </c>
      <c r="K70" s="1">
        <v>2</v>
      </c>
      <c r="L70" s="1">
        <v>1</v>
      </c>
      <c r="M70" s="2">
        <v>0.37280581808469987</v>
      </c>
      <c r="N70" s="27" t="str">
        <f t="shared" si="18"/>
        <v>Low</v>
      </c>
      <c r="O70" s="1">
        <v>1</v>
      </c>
      <c r="P70" s="6">
        <v>191.08871624851039</v>
      </c>
      <c r="Q70" s="6">
        <v>180.84539573244729</v>
      </c>
      <c r="R70" s="6">
        <v>179.37030929421641</v>
      </c>
      <c r="S70" s="6">
        <v>203.61579609053081</v>
      </c>
      <c r="T70" s="6">
        <v>275.25</v>
      </c>
      <c r="U70" s="6">
        <v>288.8</v>
      </c>
      <c r="V70" s="6">
        <v>299.5</v>
      </c>
      <c r="W70" s="6">
        <v>312.25</v>
      </c>
      <c r="X70" s="10">
        <f t="shared" si="23"/>
        <v>-0.44043042103039759</v>
      </c>
      <c r="Y70" s="10">
        <f t="shared" si="24"/>
        <v>-0.5969441678640619</v>
      </c>
      <c r="Z70" s="10">
        <f t="shared" si="25"/>
        <v>-0.66973007505237669</v>
      </c>
      <c r="AA70" s="10">
        <f t="shared" si="26"/>
        <v>-0.53352542383877088</v>
      </c>
      <c r="AB70" s="2">
        <f t="shared" si="19"/>
        <v>-0.56015752194640178</v>
      </c>
      <c r="AC70" s="6">
        <v>210</v>
      </c>
      <c r="AD70" s="6">
        <v>201</v>
      </c>
      <c r="AE70" s="6">
        <v>196</v>
      </c>
      <c r="AF70" s="6">
        <v>198</v>
      </c>
      <c r="AG70" s="6">
        <v>268.5</v>
      </c>
      <c r="AH70" s="6">
        <v>251.6</v>
      </c>
      <c r="AI70" s="6">
        <v>248.5</v>
      </c>
      <c r="AJ70" s="6">
        <v>258</v>
      </c>
      <c r="AK70" s="10">
        <f t="shared" si="27"/>
        <v>-0.27857142857142858</v>
      </c>
      <c r="AL70" s="10">
        <f t="shared" si="28"/>
        <v>-0.25174129353233826</v>
      </c>
      <c r="AM70" s="10">
        <f t="shared" si="29"/>
        <v>-0.26785714285714285</v>
      </c>
      <c r="AN70" s="10">
        <f t="shared" si="30"/>
        <v>-0.30303030303030304</v>
      </c>
      <c r="AO70" s="2">
        <f t="shared" si="20"/>
        <v>-0.27530004199780317</v>
      </c>
      <c r="AP70" s="2">
        <v>0.82000000000000006</v>
      </c>
      <c r="AQ70" s="2">
        <v>0.82000000000000006</v>
      </c>
      <c r="AR70" s="2">
        <v>0.82000000000000006</v>
      </c>
      <c r="AS70" s="2">
        <v>0.82000000000000006</v>
      </c>
      <c r="AT70" s="2">
        <v>0.82000000000000006</v>
      </c>
      <c r="AU70" s="2">
        <v>0.82000000000000006</v>
      </c>
      <c r="AV70" s="2">
        <v>0.82000000000000006</v>
      </c>
      <c r="AW70" s="2">
        <v>0.82000000000000006</v>
      </c>
      <c r="AX70" s="10">
        <f t="shared" si="31"/>
        <v>0</v>
      </c>
      <c r="AY70" s="10">
        <f t="shared" si="32"/>
        <v>0</v>
      </c>
      <c r="AZ70" s="10">
        <f t="shared" si="33"/>
        <v>0</v>
      </c>
      <c r="BA70" s="10">
        <f t="shared" si="34"/>
        <v>0</v>
      </c>
      <c r="BB70" s="2">
        <f t="shared" si="21"/>
        <v>0</v>
      </c>
      <c r="BC70" s="6">
        <v>111180</v>
      </c>
      <c r="BD70" s="6">
        <v>107338</v>
      </c>
      <c r="BE70" s="6">
        <v>101030</v>
      </c>
      <c r="BF70" s="6">
        <v>107062</v>
      </c>
      <c r="BG70" s="6">
        <v>191366</v>
      </c>
      <c r="BH70" s="6">
        <v>222931</v>
      </c>
      <c r="BI70" s="6">
        <v>176542</v>
      </c>
      <c r="BJ70" s="6">
        <v>187415</v>
      </c>
      <c r="BK70" s="10">
        <f t="shared" si="35"/>
        <v>-0.72122683935959708</v>
      </c>
      <c r="BL70" s="10">
        <f t="shared" si="36"/>
        <v>-1.076906594123237</v>
      </c>
      <c r="BM70" s="10">
        <f t="shared" si="37"/>
        <v>-0.74742155795308329</v>
      </c>
      <c r="BN70" s="10">
        <f t="shared" si="38"/>
        <v>-0.75052773159477681</v>
      </c>
      <c r="BO70" s="2">
        <f t="shared" si="22"/>
        <v>-0.82402068075767354</v>
      </c>
      <c r="BP70" s="10">
        <v>-1.2542199324935277E-2</v>
      </c>
      <c r="BQ70" s="10">
        <v>-2.339798679533911E-2</v>
      </c>
      <c r="BR70" s="10">
        <v>1.8480273146269321E-2</v>
      </c>
      <c r="BS70" s="10">
        <v>5.5460682088465219E-2</v>
      </c>
      <c r="BT70" s="11" t="s">
        <v>459</v>
      </c>
    </row>
    <row r="71" spans="1:72">
      <c r="A71">
        <f>COUNTIFS($J$7:J71,J71,$N$7:N71,N71,$E$7:E71,E71)</f>
        <v>8</v>
      </c>
      <c r="B71" s="16" t="str">
        <f t="shared" si="16"/>
        <v>Low</v>
      </c>
      <c r="C71" s="16" t="str">
        <f t="shared" si="17"/>
        <v>8LowYesTelecom-AT&amp;T</v>
      </c>
      <c r="D71" s="1">
        <v>10998</v>
      </c>
      <c r="E71" s="11" t="s">
        <v>484</v>
      </c>
      <c r="F71" s="1" t="s">
        <v>6</v>
      </c>
      <c r="G71" s="1" t="s">
        <v>120</v>
      </c>
      <c r="H71" s="1">
        <v>241</v>
      </c>
      <c r="I71" s="1" t="s">
        <v>121</v>
      </c>
      <c r="J71" s="1" t="s">
        <v>9</v>
      </c>
      <c r="K71" s="1">
        <v>2</v>
      </c>
      <c r="L71" s="1">
        <v>1</v>
      </c>
      <c r="M71" s="2">
        <v>0.17611970562400339</v>
      </c>
      <c r="N71" s="27" t="str">
        <f t="shared" si="18"/>
        <v>Low</v>
      </c>
      <c r="O71" s="1">
        <v>1</v>
      </c>
      <c r="P71" s="6">
        <v>216.3341604687225</v>
      </c>
      <c r="Q71" s="6">
        <v>222.5013999229663</v>
      </c>
      <c r="R71" s="6">
        <v>211.6484203278504</v>
      </c>
      <c r="S71" s="6">
        <v>222.91881839358089</v>
      </c>
      <c r="T71" s="6">
        <v>178.25</v>
      </c>
      <c r="U71" s="6">
        <v>172</v>
      </c>
      <c r="V71" s="6">
        <v>168.75</v>
      </c>
      <c r="W71" s="6">
        <v>167.75</v>
      </c>
      <c r="X71" s="10">
        <f t="shared" ref="X71:X99" si="39">IFERROR(((P71-T71)/P71),"")</f>
        <v>0.17604321197450781</v>
      </c>
      <c r="Y71" s="10">
        <f t="shared" ref="Y71:Y99" si="40">IFERROR(((Q71-U71)/Q71),"")</f>
        <v>0.22697115586891017</v>
      </c>
      <c r="Z71" s="10">
        <f t="shared" ref="Z71:Z99" si="41">IFERROR(((R71-V71)/R71),"")</f>
        <v>0.20268717461438801</v>
      </c>
      <c r="AA71" s="10">
        <f t="shared" ref="AA71:AA99" si="42">IFERROR(((S71-W71)/S71),"")</f>
        <v>0.24748389925598815</v>
      </c>
      <c r="AB71" s="2">
        <f t="shared" si="19"/>
        <v>0.21329636042844854</v>
      </c>
      <c r="AC71" s="6">
        <v>179</v>
      </c>
      <c r="AD71" s="6">
        <v>168</v>
      </c>
      <c r="AE71" s="6">
        <v>183</v>
      </c>
      <c r="AF71" s="6">
        <v>181</v>
      </c>
      <c r="AG71" s="6">
        <v>169</v>
      </c>
      <c r="AH71" s="6">
        <v>170.2</v>
      </c>
      <c r="AI71" s="6">
        <v>168.25</v>
      </c>
      <c r="AJ71" s="6">
        <v>165.75</v>
      </c>
      <c r="AK71" s="10">
        <f t="shared" ref="AK71:AK99" si="43">IFERROR(((AC71-AG71)/AC71),"")</f>
        <v>5.5865921787709494E-2</v>
      </c>
      <c r="AL71" s="10">
        <f t="shared" ref="AL71:AL99" si="44">IFERROR(((AD71-AH71)/AD71),"")</f>
        <v>-1.3095238095238028E-2</v>
      </c>
      <c r="AM71" s="10">
        <f t="shared" ref="AM71:AM99" si="45">IFERROR(((AE71-AI71)/AE71),"")</f>
        <v>8.060109289617487E-2</v>
      </c>
      <c r="AN71" s="10">
        <f t="shared" ref="AN71:AN99" si="46">IFERROR(((AF71-AJ71)/AF71),"")</f>
        <v>8.4254143646408847E-2</v>
      </c>
      <c r="AO71" s="2">
        <f t="shared" si="20"/>
        <v>5.1906480058763797E-2</v>
      </c>
      <c r="AP71" s="2">
        <v>0.8</v>
      </c>
      <c r="AQ71" s="2">
        <v>0.8</v>
      </c>
      <c r="AR71" s="2">
        <v>0.8</v>
      </c>
      <c r="AS71" s="2">
        <v>0.8</v>
      </c>
      <c r="AT71" s="2">
        <v>0.8</v>
      </c>
      <c r="AU71" s="2">
        <v>0.8</v>
      </c>
      <c r="AV71" s="2">
        <v>0.8</v>
      </c>
      <c r="AW71" s="2">
        <v>0.8</v>
      </c>
      <c r="AX71" s="10">
        <f t="shared" ref="AX71:AX99" si="47">IFERROR(((AP71-AT71)/AP71),"")</f>
        <v>0</v>
      </c>
      <c r="AY71" s="10">
        <f t="shared" ref="AY71:AY99" si="48">IFERROR(((AQ71-AU71)/AQ71),"")</f>
        <v>0</v>
      </c>
      <c r="AZ71" s="10">
        <f t="shared" ref="AZ71:AZ99" si="49">IFERROR(((AR71-AV71)/AR71),"")</f>
        <v>0</v>
      </c>
      <c r="BA71" s="10">
        <f t="shared" ref="BA71:BA99" si="50">IFERROR(((AS71-AW71)/AS71),"")</f>
        <v>0</v>
      </c>
      <c r="BB71" s="2">
        <f t="shared" si="21"/>
        <v>0</v>
      </c>
      <c r="BC71" s="6">
        <v>95000</v>
      </c>
      <c r="BD71" s="6">
        <v>101686</v>
      </c>
      <c r="BE71" s="6">
        <v>93392</v>
      </c>
      <c r="BF71" s="6">
        <v>98140</v>
      </c>
      <c r="BG71" s="6">
        <v>86590</v>
      </c>
      <c r="BH71" s="6">
        <v>118183</v>
      </c>
      <c r="BI71" s="6">
        <v>84871</v>
      </c>
      <c r="BJ71" s="6">
        <v>88370</v>
      </c>
      <c r="BK71" s="10">
        <f t="shared" ref="BK71:BK99" si="51">IFERROR(((BC71-BG71)/BC71),"")</f>
        <v>8.8526315789473689E-2</v>
      </c>
      <c r="BL71" s="10">
        <f t="shared" ref="BL71:BL99" si="52">IFERROR(((BD71-BH71)/BD71),"")</f>
        <v>-0.16223472257734595</v>
      </c>
      <c r="BM71" s="10">
        <f t="shared" ref="BM71:BM99" si="53">IFERROR(((BE71-BI71)/BE71),"")</f>
        <v>9.1239078293643999E-2</v>
      </c>
      <c r="BN71" s="10">
        <f t="shared" ref="BN71:BN99" si="54">IFERROR(((BF71-BJ71)/BF71),"")</f>
        <v>9.9551660892602409E-2</v>
      </c>
      <c r="BO71" s="2">
        <f t="shared" si="22"/>
        <v>2.9270583099593538E-2</v>
      </c>
      <c r="BP71" s="10">
        <v>4.6613801355412043E-2</v>
      </c>
      <c r="BQ71" s="10">
        <v>-4.7010878966205594E-2</v>
      </c>
      <c r="BR71" s="10">
        <v>-2.3692513679164418E-2</v>
      </c>
      <c r="BS71" s="10">
        <v>4.6099748115804307E-2</v>
      </c>
      <c r="BT71" s="11">
        <v>0</v>
      </c>
    </row>
    <row r="72" spans="1:72">
      <c r="A72">
        <f>COUNTIFS($J$7:J72,J72,$N$7:N72,N72,$E$7:E72,E72)</f>
        <v>21</v>
      </c>
      <c r="B72" s="16" t="str">
        <f t="shared" ref="B72:B135" si="55">N72</f>
        <v>Low</v>
      </c>
      <c r="C72" s="16" t="str">
        <f t="shared" ref="C72:C135" si="56">A72&amp;B72&amp;J72&amp;E72</f>
        <v>21LowNoTechnology</v>
      </c>
      <c r="D72" s="1">
        <v>11000</v>
      </c>
      <c r="E72" s="1" t="s">
        <v>23</v>
      </c>
      <c r="F72" s="1" t="s">
        <v>24</v>
      </c>
      <c r="G72" s="1" t="s">
        <v>122</v>
      </c>
      <c r="H72" s="1">
        <v>92</v>
      </c>
      <c r="I72" s="1" t="s">
        <v>31</v>
      </c>
      <c r="J72" s="1" t="s">
        <v>27</v>
      </c>
      <c r="K72" s="1">
        <v>3</v>
      </c>
      <c r="L72" s="1">
        <v>2</v>
      </c>
      <c r="M72" s="2">
        <v>0.1380181993964536</v>
      </c>
      <c r="N72" s="27" t="str">
        <f t="shared" ref="N72:N135" si="57">IF(M72="","",IF(M72&lt;0%,"Critical",IF(AND(M72&gt;=0%,M72&lt;=10%),"Medium",IF(M72&gt;10%,"Low"))))</f>
        <v>Low</v>
      </c>
      <c r="O72" s="1">
        <v>2</v>
      </c>
      <c r="P72" s="6">
        <v>84.966104687860422</v>
      </c>
      <c r="Q72" s="6">
        <v>87.930160805859728</v>
      </c>
      <c r="R72" s="6">
        <v>88.964535546247845</v>
      </c>
      <c r="S72" s="6">
        <v>86.881937073078319</v>
      </c>
      <c r="T72" s="6">
        <v>77</v>
      </c>
      <c r="U72" s="6">
        <v>75.2</v>
      </c>
      <c r="V72" s="6">
        <v>55.25</v>
      </c>
      <c r="W72" s="6">
        <v>0</v>
      </c>
      <c r="X72" s="10">
        <f t="shared" si="39"/>
        <v>9.375626571472781E-2</v>
      </c>
      <c r="Y72" s="10">
        <f t="shared" si="40"/>
        <v>0.14477581627499286</v>
      </c>
      <c r="Z72" s="10">
        <f t="shared" si="41"/>
        <v>0.37896601538173019</v>
      </c>
      <c r="AA72" s="10">
        <f t="shared" si="42"/>
        <v>1</v>
      </c>
      <c r="AB72" s="2">
        <f t="shared" ref="AB72:AB98" si="58">IFERROR(AVERAGEIF(X72:AA72,"&lt;&gt;100%",X72:AA72),"NA")</f>
        <v>0.20583269912381696</v>
      </c>
      <c r="AC72" s="6">
        <v>90</v>
      </c>
      <c r="AD72" s="6">
        <v>90</v>
      </c>
      <c r="AE72" s="6">
        <v>95</v>
      </c>
      <c r="AF72" s="6">
        <v>78</v>
      </c>
      <c r="AG72" s="6">
        <v>85.25</v>
      </c>
      <c r="AH72" s="6">
        <v>85.2</v>
      </c>
      <c r="AI72" s="6">
        <v>62.5</v>
      </c>
      <c r="AJ72" s="6">
        <v>0</v>
      </c>
      <c r="AK72" s="10">
        <f t="shared" si="43"/>
        <v>5.2777777777777778E-2</v>
      </c>
      <c r="AL72" s="10">
        <f t="shared" si="44"/>
        <v>5.3333333333333302E-2</v>
      </c>
      <c r="AM72" s="10">
        <f t="shared" si="45"/>
        <v>0.34210526315789475</v>
      </c>
      <c r="AN72" s="10">
        <f t="shared" si="46"/>
        <v>1</v>
      </c>
      <c r="AO72" s="2">
        <f t="shared" ref="AO72:AO98" si="59">IFERROR(AVERAGEIF(AK72:AN72,"&lt;&gt;100%",AK72:AN72),"NA")</f>
        <v>0.14940545808966862</v>
      </c>
      <c r="AP72" s="2">
        <v>0</v>
      </c>
      <c r="AQ72" s="2">
        <v>0</v>
      </c>
      <c r="AR72" s="2">
        <v>0</v>
      </c>
      <c r="AS72" s="2">
        <v>0</v>
      </c>
      <c r="AT72" s="2">
        <v>0.85</v>
      </c>
      <c r="AU72" s="2">
        <v>0.85</v>
      </c>
      <c r="AV72" s="2">
        <v>0.85</v>
      </c>
      <c r="AW72" s="2">
        <v>0.85</v>
      </c>
      <c r="AX72" s="10" t="str">
        <f t="shared" si="47"/>
        <v/>
      </c>
      <c r="AY72" s="10" t="str">
        <f t="shared" si="48"/>
        <v/>
      </c>
      <c r="AZ72" s="10" t="str">
        <f t="shared" si="49"/>
        <v/>
      </c>
      <c r="BA72" s="10" t="str">
        <f t="shared" si="50"/>
        <v/>
      </c>
      <c r="BB72" s="2" t="str">
        <f t="shared" ref="BB72:BB98" si="60">IFERROR(AVERAGEIF(AX72:BA72,"&lt;&gt;100%",AX72:BA72),"NA")</f>
        <v>NA</v>
      </c>
      <c r="BC72" s="6">
        <v>64959.179180000006</v>
      </c>
      <c r="BD72" s="6">
        <v>64888.886460000002</v>
      </c>
      <c r="BE72" s="6">
        <v>66573.517030000003</v>
      </c>
      <c r="BF72" s="6">
        <v>57240.666389999999</v>
      </c>
      <c r="BG72" s="6">
        <v>56268</v>
      </c>
      <c r="BH72" s="6">
        <v>69681</v>
      </c>
      <c r="BI72" s="6">
        <v>40610</v>
      </c>
      <c r="BJ72" s="6">
        <v>0</v>
      </c>
      <c r="BK72" s="10">
        <f t="shared" si="51"/>
        <v>0.13379447354032908</v>
      </c>
      <c r="BL72" s="10">
        <f t="shared" si="52"/>
        <v>-7.3851067593123834E-2</v>
      </c>
      <c r="BM72" s="10">
        <f t="shared" si="53"/>
        <v>0.38999767757951065</v>
      </c>
      <c r="BN72" s="10">
        <f t="shared" si="54"/>
        <v>1</v>
      </c>
      <c r="BO72" s="2">
        <f t="shared" ref="BO72:BO98" si="61">IFERROR(AVERAGEIF(BK72:BN72,"&lt;&gt;100%",BK72:BN72),"NA")</f>
        <v>0.14998036117557198</v>
      </c>
      <c r="BP72" s="10">
        <v>0.30416132144027408</v>
      </c>
      <c r="BQ72" s="10">
        <v>8.8879095454896639E-2</v>
      </c>
      <c r="BR72" s="10">
        <v>0.28347344872796915</v>
      </c>
      <c r="BS72" s="10">
        <v>0.28091224349349236</v>
      </c>
      <c r="BT72" s="11">
        <v>0</v>
      </c>
    </row>
    <row r="73" spans="1:72">
      <c r="A73">
        <f>COUNTIFS($J$7:J73,J73,$N$7:N73,N73,$E$7:E73,E73)</f>
        <v>9</v>
      </c>
      <c r="B73" s="16" t="str">
        <f t="shared" si="55"/>
        <v>Low</v>
      </c>
      <c r="C73" s="16" t="str">
        <f t="shared" si="56"/>
        <v>9LowYesTelecom-AT&amp;T</v>
      </c>
      <c r="D73" s="1">
        <v>15031</v>
      </c>
      <c r="E73" s="11" t="s">
        <v>484</v>
      </c>
      <c r="F73" s="1" t="s">
        <v>6</v>
      </c>
      <c r="G73" s="1" t="s">
        <v>123</v>
      </c>
      <c r="H73" s="1">
        <v>551</v>
      </c>
      <c r="I73" s="1" t="s">
        <v>93</v>
      </c>
      <c r="J73" s="1" t="s">
        <v>9</v>
      </c>
      <c r="K73" s="1">
        <v>3</v>
      </c>
      <c r="L73" s="1">
        <v>2</v>
      </c>
      <c r="M73" s="2">
        <v>0.22512359841323609</v>
      </c>
      <c r="N73" s="27" t="str">
        <f t="shared" si="57"/>
        <v>Low</v>
      </c>
      <c r="O73" s="1">
        <v>2</v>
      </c>
      <c r="P73" s="6">
        <v>492.68096540691488</v>
      </c>
      <c r="Q73" s="6">
        <v>471.56336733635999</v>
      </c>
      <c r="R73" s="6">
        <v>458.46027145077255</v>
      </c>
      <c r="S73" s="6">
        <v>449.80889677145927</v>
      </c>
      <c r="T73" s="6">
        <v>295.75</v>
      </c>
      <c r="U73" s="6">
        <v>247.6</v>
      </c>
      <c r="V73" s="6">
        <v>236.5</v>
      </c>
      <c r="W73" s="6">
        <v>231.75</v>
      </c>
      <c r="X73" s="10">
        <f t="shared" si="39"/>
        <v>0.39971295672903812</v>
      </c>
      <c r="Y73" s="10">
        <f t="shared" si="40"/>
        <v>0.47493801013726722</v>
      </c>
      <c r="Z73" s="10">
        <f t="shared" si="41"/>
        <v>0.48414286967198134</v>
      </c>
      <c r="AA73" s="10">
        <f t="shared" si="42"/>
        <v>0.48478120005316727</v>
      </c>
      <c r="AB73" s="2">
        <f t="shared" si="58"/>
        <v>0.46089375914786351</v>
      </c>
      <c r="AC73" s="6">
        <v>405</v>
      </c>
      <c r="AD73" s="6">
        <v>360</v>
      </c>
      <c r="AE73" s="6">
        <v>353</v>
      </c>
      <c r="AF73" s="6">
        <v>343</v>
      </c>
      <c r="AG73" s="6">
        <v>288</v>
      </c>
      <c r="AH73" s="6">
        <v>211.4</v>
      </c>
      <c r="AI73" s="6">
        <v>195.25</v>
      </c>
      <c r="AJ73" s="6">
        <v>184.75</v>
      </c>
      <c r="AK73" s="10">
        <f t="shared" si="43"/>
        <v>0.28888888888888886</v>
      </c>
      <c r="AL73" s="10">
        <f t="shared" si="44"/>
        <v>0.41277777777777774</v>
      </c>
      <c r="AM73" s="10">
        <f t="shared" si="45"/>
        <v>0.44688385269121811</v>
      </c>
      <c r="AN73" s="10">
        <f t="shared" si="46"/>
        <v>0.46137026239067053</v>
      </c>
      <c r="AO73" s="2">
        <f t="shared" si="59"/>
        <v>0.40248019543713887</v>
      </c>
      <c r="AP73" s="2">
        <v>0.78800000000000003</v>
      </c>
      <c r="AQ73" s="2">
        <v>0.78800000000000003</v>
      </c>
      <c r="AR73" s="2">
        <v>0.78800000000000003</v>
      </c>
      <c r="AS73" s="2">
        <v>0.79</v>
      </c>
      <c r="AT73" s="2">
        <v>0.79</v>
      </c>
      <c r="AU73" s="2">
        <v>0.79</v>
      </c>
      <c r="AV73" s="2">
        <v>0.79</v>
      </c>
      <c r="AW73" s="2">
        <v>0.79</v>
      </c>
      <c r="AX73" s="10">
        <f t="shared" si="47"/>
        <v>-2.5380710659898497E-3</v>
      </c>
      <c r="AY73" s="10">
        <f t="shared" si="48"/>
        <v>-2.5380710659898497E-3</v>
      </c>
      <c r="AZ73" s="10">
        <f t="shared" si="49"/>
        <v>-2.5380710659898497E-3</v>
      </c>
      <c r="BA73" s="10">
        <f t="shared" si="50"/>
        <v>0</v>
      </c>
      <c r="BB73" s="2">
        <f t="shared" si="60"/>
        <v>-1.9035532994923872E-3</v>
      </c>
      <c r="BC73" s="6">
        <v>124976</v>
      </c>
      <c r="BD73" s="6">
        <v>109867</v>
      </c>
      <c r="BE73" s="6">
        <v>104563</v>
      </c>
      <c r="BF73" s="6">
        <v>105201</v>
      </c>
      <c r="BG73" s="6">
        <v>86402</v>
      </c>
      <c r="BH73" s="6">
        <v>79352</v>
      </c>
      <c r="BI73" s="6">
        <v>58490</v>
      </c>
      <c r="BJ73" s="6">
        <v>55489</v>
      </c>
      <c r="BK73" s="10">
        <f t="shared" si="51"/>
        <v>0.3086512610421201</v>
      </c>
      <c r="BL73" s="10">
        <f t="shared" si="52"/>
        <v>0.27774490975452137</v>
      </c>
      <c r="BM73" s="10">
        <f t="shared" si="53"/>
        <v>0.44062431261536106</v>
      </c>
      <c r="BN73" s="10">
        <f t="shared" si="54"/>
        <v>0.47254303666314956</v>
      </c>
      <c r="BO73" s="2">
        <f t="shared" si="61"/>
        <v>0.37489088001878801</v>
      </c>
      <c r="BP73" s="10">
        <v>-4.1639864762333834E-2</v>
      </c>
      <c r="BQ73" s="10">
        <v>-8.1485648332262794E-2</v>
      </c>
      <c r="BR73" s="10">
        <v>-0.18688254500944904</v>
      </c>
      <c r="BS73" s="10">
        <v>0.12782283477387801</v>
      </c>
      <c r="BT73" s="11" t="s">
        <v>459</v>
      </c>
    </row>
    <row r="74" spans="1:72">
      <c r="A74">
        <f>COUNTIFS($J$7:J74,J74,$N$7:N74,N74,$E$7:E74,E74)</f>
        <v>1</v>
      </c>
      <c r="B74" s="16" t="str">
        <f t="shared" si="55"/>
        <v>Medium</v>
      </c>
      <c r="C74" s="16" t="str">
        <f t="shared" si="56"/>
        <v>1MediumYesTelecom-AT&amp;T</v>
      </c>
      <c r="D74" s="1">
        <v>15039</v>
      </c>
      <c r="E74" s="11" t="s">
        <v>484</v>
      </c>
      <c r="F74" s="1" t="s">
        <v>6</v>
      </c>
      <c r="G74" s="1" t="s">
        <v>124</v>
      </c>
      <c r="H74" s="1">
        <v>31</v>
      </c>
      <c r="I74" s="1" t="s">
        <v>93</v>
      </c>
      <c r="J74" s="1" t="s">
        <v>9</v>
      </c>
      <c r="K74" s="1">
        <v>1</v>
      </c>
      <c r="L74" s="1">
        <v>1</v>
      </c>
      <c r="M74" s="2">
        <v>7.9424432817513019E-2</v>
      </c>
      <c r="N74" s="27" t="str">
        <f t="shared" si="57"/>
        <v>Medium</v>
      </c>
      <c r="O74" s="1">
        <v>1</v>
      </c>
      <c r="P74" s="6">
        <v>30.600002300260371</v>
      </c>
      <c r="Q74" s="6">
        <v>34.338033044235111</v>
      </c>
      <c r="R74" s="6">
        <v>37.595769446090138</v>
      </c>
      <c r="S74" s="6">
        <v>35.996699356545669</v>
      </c>
      <c r="T74" s="6">
        <v>74.25</v>
      </c>
      <c r="U74" s="6">
        <v>70.400000000000006</v>
      </c>
      <c r="V74" s="6">
        <v>67.25</v>
      </c>
      <c r="W74" s="6">
        <v>64.75</v>
      </c>
      <c r="X74" s="10">
        <f t="shared" si="39"/>
        <v>-1.426470405832885</v>
      </c>
      <c r="Y74" s="10">
        <f t="shared" si="40"/>
        <v>-1.0502047950536062</v>
      </c>
      <c r="Z74" s="10">
        <f t="shared" si="41"/>
        <v>-0.78876509221156066</v>
      </c>
      <c r="AA74" s="10">
        <f t="shared" si="42"/>
        <v>-0.79877603106479833</v>
      </c>
      <c r="AB74" s="2">
        <f t="shared" si="58"/>
        <v>-1.0160540810407126</v>
      </c>
      <c r="AC74" s="6">
        <v>45</v>
      </c>
      <c r="AD74" s="6">
        <v>48</v>
      </c>
      <c r="AE74" s="6">
        <v>45</v>
      </c>
      <c r="AF74" s="6">
        <v>43</v>
      </c>
      <c r="AG74" s="6">
        <v>21</v>
      </c>
      <c r="AH74" s="6">
        <v>23</v>
      </c>
      <c r="AI74" s="6">
        <v>22.25</v>
      </c>
      <c r="AJ74" s="6">
        <v>22</v>
      </c>
      <c r="AK74" s="10">
        <f t="shared" si="43"/>
        <v>0.53333333333333333</v>
      </c>
      <c r="AL74" s="10">
        <f t="shared" si="44"/>
        <v>0.52083333333333337</v>
      </c>
      <c r="AM74" s="10">
        <f t="shared" si="45"/>
        <v>0.50555555555555554</v>
      </c>
      <c r="AN74" s="10">
        <f t="shared" si="46"/>
        <v>0.48837209302325579</v>
      </c>
      <c r="AO74" s="2">
        <f t="shared" si="59"/>
        <v>0.51202357881136951</v>
      </c>
      <c r="AP74" s="2">
        <v>0.79</v>
      </c>
      <c r="AQ74" s="2">
        <v>0.79</v>
      </c>
      <c r="AR74" s="2">
        <v>0.79</v>
      </c>
      <c r="AS74" s="2">
        <v>0.79</v>
      </c>
      <c r="AT74" s="2">
        <v>0.76</v>
      </c>
      <c r="AU74" s="2">
        <v>0.76800000000000002</v>
      </c>
      <c r="AV74" s="2">
        <v>0.77</v>
      </c>
      <c r="AW74" s="2">
        <v>0.77</v>
      </c>
      <c r="AX74" s="10">
        <f t="shared" si="47"/>
        <v>3.7974683544303826E-2</v>
      </c>
      <c r="AY74" s="10">
        <f t="shared" si="48"/>
        <v>2.7848101265822808E-2</v>
      </c>
      <c r="AZ74" s="10">
        <f t="shared" si="49"/>
        <v>2.5316455696202552E-2</v>
      </c>
      <c r="BA74" s="10">
        <f t="shared" si="50"/>
        <v>2.5316455696202552E-2</v>
      </c>
      <c r="BB74" s="2">
        <f t="shared" si="60"/>
        <v>2.9113924050632935E-2</v>
      </c>
      <c r="BC74" s="6">
        <v>12983</v>
      </c>
      <c r="BD74" s="6">
        <v>11820</v>
      </c>
      <c r="BE74" s="6">
        <v>11702</v>
      </c>
      <c r="BF74" s="6">
        <v>11549</v>
      </c>
      <c r="BG74" s="6">
        <v>24662</v>
      </c>
      <c r="BH74" s="6">
        <v>28076</v>
      </c>
      <c r="BI74" s="6">
        <v>21689</v>
      </c>
      <c r="BJ74" s="6">
        <v>21224</v>
      </c>
      <c r="BK74" s="10">
        <f t="shared" si="51"/>
        <v>-0.89956096433798038</v>
      </c>
      <c r="BL74" s="10">
        <f t="shared" si="52"/>
        <v>-1.3752961082910322</v>
      </c>
      <c r="BM74" s="10">
        <f t="shared" si="53"/>
        <v>-0.85344385575115367</v>
      </c>
      <c r="BN74" s="10">
        <f t="shared" si="54"/>
        <v>-0.83773486881981118</v>
      </c>
      <c r="BO74" s="2">
        <f t="shared" si="61"/>
        <v>-0.99150894929999422</v>
      </c>
      <c r="BP74" s="10">
        <v>7.0687513042362482E-2</v>
      </c>
      <c r="BQ74" s="10">
        <v>0.2256675775133955</v>
      </c>
      <c r="BR74" s="10">
        <v>0.23024030940114937</v>
      </c>
      <c r="BS74" s="10">
        <v>0.26361404667608884</v>
      </c>
      <c r="BT74" s="11" t="s">
        <v>459</v>
      </c>
    </row>
    <row r="75" spans="1:72">
      <c r="A75">
        <f>COUNTIFS($J$7:J75,J75,$N$7:N75,N75,$E$7:E75,E75)</f>
        <v>3</v>
      </c>
      <c r="B75" s="16" t="str">
        <f t="shared" si="55"/>
        <v>Low</v>
      </c>
      <c r="C75" s="16" t="str">
        <f t="shared" si="56"/>
        <v>3LowNoTelecom-Non AT&amp;T</v>
      </c>
      <c r="D75" s="1">
        <v>15048</v>
      </c>
      <c r="E75" s="1" t="s">
        <v>485</v>
      </c>
      <c r="F75" s="1" t="s">
        <v>125</v>
      </c>
      <c r="G75" s="1" t="s">
        <v>126</v>
      </c>
      <c r="H75" s="1">
        <v>69</v>
      </c>
      <c r="I75" s="1" t="s">
        <v>127</v>
      </c>
      <c r="J75" s="1" t="s">
        <v>27</v>
      </c>
      <c r="K75" s="1">
        <v>2</v>
      </c>
      <c r="L75" s="1">
        <v>1</v>
      </c>
      <c r="M75" s="2">
        <v>0.12502851098729537</v>
      </c>
      <c r="N75" s="27" t="str">
        <f t="shared" si="57"/>
        <v>Low</v>
      </c>
      <c r="O75" s="1">
        <v>1</v>
      </c>
      <c r="P75" s="6">
        <v>62.008100407876007</v>
      </c>
      <c r="Q75" s="6">
        <v>62.975842343359886</v>
      </c>
      <c r="R75" s="6">
        <v>63.008100407876007</v>
      </c>
      <c r="S75" s="6">
        <v>63.008100407876022</v>
      </c>
      <c r="T75" s="6">
        <v>56</v>
      </c>
      <c r="U75" s="6">
        <v>56</v>
      </c>
      <c r="V75" s="6">
        <v>56</v>
      </c>
      <c r="W75" s="6">
        <v>56</v>
      </c>
      <c r="X75" s="10">
        <f t="shared" si="39"/>
        <v>9.6892186155615304E-2</v>
      </c>
      <c r="Y75" s="10">
        <f t="shared" si="40"/>
        <v>0.11077013158991771</v>
      </c>
      <c r="Z75" s="10">
        <f t="shared" si="41"/>
        <v>0.11122538788679297</v>
      </c>
      <c r="AA75" s="10">
        <f t="shared" si="42"/>
        <v>0.11122538788679318</v>
      </c>
      <c r="AB75" s="2">
        <f t="shared" si="58"/>
        <v>0.1075282733797798</v>
      </c>
      <c r="AC75" s="6">
        <v>61.8</v>
      </c>
      <c r="AD75" s="6">
        <v>62.75</v>
      </c>
      <c r="AE75" s="6">
        <v>62.75</v>
      </c>
      <c r="AF75" s="6">
        <v>62.75</v>
      </c>
      <c r="AG75" s="6">
        <v>48</v>
      </c>
      <c r="AH75" s="6">
        <v>48</v>
      </c>
      <c r="AI75" s="6">
        <v>48</v>
      </c>
      <c r="AJ75" s="6">
        <v>48</v>
      </c>
      <c r="AK75" s="10">
        <f t="shared" si="43"/>
        <v>0.22330097087378636</v>
      </c>
      <c r="AL75" s="10">
        <f t="shared" si="44"/>
        <v>0.23505976095617531</v>
      </c>
      <c r="AM75" s="10">
        <f t="shared" si="45"/>
        <v>0.23505976095617531</v>
      </c>
      <c r="AN75" s="10">
        <f t="shared" si="46"/>
        <v>0.23505976095617531</v>
      </c>
      <c r="AO75" s="2">
        <f t="shared" si="59"/>
        <v>0.23212006343557806</v>
      </c>
      <c r="AP75" s="2">
        <v>0.89</v>
      </c>
      <c r="AQ75" s="2">
        <v>0.89</v>
      </c>
      <c r="AR75" s="2">
        <v>0.89</v>
      </c>
      <c r="AS75" s="2">
        <v>0.89</v>
      </c>
      <c r="AT75" s="2">
        <v>0</v>
      </c>
      <c r="AU75" s="2">
        <v>0</v>
      </c>
      <c r="AV75" s="2">
        <v>0</v>
      </c>
      <c r="AW75" s="2">
        <v>0</v>
      </c>
      <c r="AX75" s="10">
        <f t="shared" si="47"/>
        <v>1</v>
      </c>
      <c r="AY75" s="10">
        <f t="shared" si="48"/>
        <v>1</v>
      </c>
      <c r="AZ75" s="10">
        <f t="shared" si="49"/>
        <v>1</v>
      </c>
      <c r="BA75" s="10">
        <f t="shared" si="50"/>
        <v>1</v>
      </c>
      <c r="BB75" s="2" t="str">
        <f t="shared" si="60"/>
        <v>NA</v>
      </c>
      <c r="BC75" s="6">
        <v>0</v>
      </c>
      <c r="BD75" s="6">
        <v>0</v>
      </c>
      <c r="BE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  <c r="BK75" s="10" t="str">
        <f t="shared" si="51"/>
        <v/>
      </c>
      <c r="BL75" s="10" t="str">
        <f t="shared" si="52"/>
        <v/>
      </c>
      <c r="BM75" s="10" t="str">
        <f t="shared" si="53"/>
        <v/>
      </c>
      <c r="BN75" s="10" t="str">
        <f t="shared" si="54"/>
        <v/>
      </c>
      <c r="BO75" s="2" t="str">
        <f t="shared" si="61"/>
        <v>NA</v>
      </c>
      <c r="BP75" s="10">
        <v>0</v>
      </c>
      <c r="BQ75" s="10">
        <v>0</v>
      </c>
      <c r="BR75" s="10">
        <v>0</v>
      </c>
      <c r="BS75" s="10">
        <v>0</v>
      </c>
      <c r="BT75" s="11" t="s">
        <v>461</v>
      </c>
    </row>
    <row r="76" spans="1:72">
      <c r="A76">
        <f>COUNTIFS($J$7:J76,J76,$N$7:N76,N76,$E$7:E76,E76)</f>
        <v>10</v>
      </c>
      <c r="B76" s="16" t="str">
        <f t="shared" si="55"/>
        <v>Low</v>
      </c>
      <c r="C76" s="16" t="str">
        <f t="shared" si="56"/>
        <v>10LowYesTelecom-AT&amp;T</v>
      </c>
      <c r="D76" s="1">
        <v>15085</v>
      </c>
      <c r="E76" s="11" t="s">
        <v>484</v>
      </c>
      <c r="F76" s="1" t="s">
        <v>6</v>
      </c>
      <c r="G76" s="1" t="s">
        <v>128</v>
      </c>
      <c r="H76" s="1">
        <v>73</v>
      </c>
      <c r="I76" s="1" t="s">
        <v>93</v>
      </c>
      <c r="J76" s="1" t="s">
        <v>9</v>
      </c>
      <c r="K76" s="1">
        <v>1</v>
      </c>
      <c r="L76" s="1">
        <v>1</v>
      </c>
      <c r="M76" s="2">
        <v>0.17567075558307704</v>
      </c>
      <c r="N76" s="27" t="str">
        <f t="shared" si="57"/>
        <v>Low</v>
      </c>
      <c r="O76" s="1">
        <v>1</v>
      </c>
      <c r="P76" s="6">
        <v>51.819040537867807</v>
      </c>
      <c r="Q76" s="6">
        <v>43.72519919503479</v>
      </c>
      <c r="R76" s="6">
        <v>43.947545353378167</v>
      </c>
      <c r="S76" s="6">
        <v>45.901881085990219</v>
      </c>
      <c r="T76" s="6">
        <v>17</v>
      </c>
      <c r="U76" s="6">
        <v>16.399999999999999</v>
      </c>
      <c r="V76" s="6">
        <v>16</v>
      </c>
      <c r="W76" s="6">
        <v>22.5</v>
      </c>
      <c r="X76" s="10">
        <f t="shared" si="39"/>
        <v>0.67193526117920099</v>
      </c>
      <c r="Y76" s="10">
        <f t="shared" si="40"/>
        <v>0.62493023926893165</v>
      </c>
      <c r="Z76" s="10">
        <f t="shared" si="41"/>
        <v>0.635929609461792</v>
      </c>
      <c r="AA76" s="10">
        <f t="shared" si="42"/>
        <v>0.50982401009122791</v>
      </c>
      <c r="AB76" s="2">
        <f t="shared" si="58"/>
        <v>0.61065478000028817</v>
      </c>
      <c r="AC76" s="6">
        <v>59</v>
      </c>
      <c r="AD76" s="6">
        <v>50</v>
      </c>
      <c r="AE76" s="6">
        <v>46</v>
      </c>
      <c r="AF76" s="6">
        <v>39</v>
      </c>
      <c r="AG76" s="6">
        <v>16.5</v>
      </c>
      <c r="AH76" s="6">
        <v>14</v>
      </c>
      <c r="AI76" s="6">
        <v>13.25</v>
      </c>
      <c r="AJ76" s="6">
        <v>14</v>
      </c>
      <c r="AK76" s="10">
        <f t="shared" si="43"/>
        <v>0.72033898305084743</v>
      </c>
      <c r="AL76" s="10">
        <f t="shared" si="44"/>
        <v>0.72</v>
      </c>
      <c r="AM76" s="10">
        <f t="shared" si="45"/>
        <v>0.71195652173913049</v>
      </c>
      <c r="AN76" s="10">
        <f t="shared" si="46"/>
        <v>0.64102564102564108</v>
      </c>
      <c r="AO76" s="2">
        <f t="shared" si="59"/>
        <v>0.69833028645390471</v>
      </c>
      <c r="AP76" s="2">
        <v>0.77</v>
      </c>
      <c r="AQ76" s="2">
        <v>0.77</v>
      </c>
      <c r="AR76" s="2">
        <v>0.77</v>
      </c>
      <c r="AS76" s="2">
        <v>0.77</v>
      </c>
      <c r="AT76" s="2">
        <v>0.75</v>
      </c>
      <c r="AU76" s="2">
        <v>0.75</v>
      </c>
      <c r="AV76" s="2">
        <v>0.75</v>
      </c>
      <c r="AW76" s="2">
        <v>0.75</v>
      </c>
      <c r="AX76" s="10">
        <f t="shared" si="47"/>
        <v>2.5974025974025997E-2</v>
      </c>
      <c r="AY76" s="10">
        <f t="shared" si="48"/>
        <v>2.5974025974025997E-2</v>
      </c>
      <c r="AZ76" s="10">
        <f t="shared" si="49"/>
        <v>2.5974025974025997E-2</v>
      </c>
      <c r="BA76" s="10">
        <f t="shared" si="50"/>
        <v>2.5974025974025997E-2</v>
      </c>
      <c r="BB76" s="2">
        <f t="shared" si="60"/>
        <v>2.5974025974025997E-2</v>
      </c>
      <c r="BC76" s="6">
        <v>23372</v>
      </c>
      <c r="BD76" s="6">
        <v>20949</v>
      </c>
      <c r="BE76" s="6">
        <v>18715</v>
      </c>
      <c r="BF76" s="6">
        <v>16816</v>
      </c>
      <c r="BG76" s="6">
        <v>7820</v>
      </c>
      <c r="BH76" s="6">
        <v>8393</v>
      </c>
      <c r="BI76" s="6">
        <v>6355</v>
      </c>
      <c r="BJ76" s="6">
        <v>6412</v>
      </c>
      <c r="BK76" s="10">
        <f t="shared" si="51"/>
        <v>0.66541160362827312</v>
      </c>
      <c r="BL76" s="10">
        <f t="shared" si="52"/>
        <v>0.59936035132941912</v>
      </c>
      <c r="BM76" s="10">
        <f t="shared" si="53"/>
        <v>0.66043280790809511</v>
      </c>
      <c r="BN76" s="10">
        <f t="shared" si="54"/>
        <v>0.6186964795432921</v>
      </c>
      <c r="BO76" s="2">
        <f t="shared" si="61"/>
        <v>0.63597531060226986</v>
      </c>
      <c r="BP76" s="10">
        <v>-0.1092143019755123</v>
      </c>
      <c r="BQ76" s="10">
        <v>-0.1473884385013132</v>
      </c>
      <c r="BR76" s="10">
        <v>-4.2370582058792128E-2</v>
      </c>
      <c r="BS76" s="10">
        <v>0.11649184605895235</v>
      </c>
      <c r="BT76" s="11" t="s">
        <v>459</v>
      </c>
    </row>
    <row r="77" spans="1:72">
      <c r="A77">
        <f>COUNTIFS($J$7:J77,J77,$N$7:N77,N77,$E$7:E77,E77)</f>
        <v>11</v>
      </c>
      <c r="B77" s="16" t="str">
        <f t="shared" si="55"/>
        <v>Low</v>
      </c>
      <c r="C77" s="16" t="str">
        <f t="shared" si="56"/>
        <v>11LowYesTelecom-AT&amp;T</v>
      </c>
      <c r="D77" s="1">
        <v>15090</v>
      </c>
      <c r="E77" s="11" t="s">
        <v>484</v>
      </c>
      <c r="F77" s="1" t="s">
        <v>6</v>
      </c>
      <c r="G77" s="1" t="s">
        <v>129</v>
      </c>
      <c r="H77" s="1">
        <v>283</v>
      </c>
      <c r="I77" s="1" t="s">
        <v>8</v>
      </c>
      <c r="J77" s="1" t="s">
        <v>9</v>
      </c>
      <c r="K77" s="1">
        <v>1</v>
      </c>
      <c r="L77" s="1">
        <v>1</v>
      </c>
      <c r="M77" s="2">
        <v>0.13584274036541985</v>
      </c>
      <c r="N77" s="27" t="str">
        <f t="shared" si="57"/>
        <v>Low</v>
      </c>
      <c r="O77" s="1">
        <v>1</v>
      </c>
      <c r="P77" s="6">
        <v>219.70446230866139</v>
      </c>
      <c r="Q77" s="6">
        <v>222.40168629109459</v>
      </c>
      <c r="R77" s="6">
        <v>224.17611696768</v>
      </c>
      <c r="S77" s="6">
        <v>219.87270126230391</v>
      </c>
      <c r="T77" s="6">
        <v>199</v>
      </c>
      <c r="U77" s="6">
        <v>197.8</v>
      </c>
      <c r="V77" s="6">
        <v>198</v>
      </c>
      <c r="W77" s="6">
        <v>0</v>
      </c>
      <c r="X77" s="10">
        <f t="shared" si="39"/>
        <v>9.4237786939319529E-2</v>
      </c>
      <c r="Y77" s="10">
        <f t="shared" si="40"/>
        <v>0.11061825430088783</v>
      </c>
      <c r="Z77" s="10">
        <f t="shared" si="41"/>
        <v>0.11676585945796301</v>
      </c>
      <c r="AA77" s="10">
        <f t="shared" si="42"/>
        <v>1</v>
      </c>
      <c r="AB77" s="2">
        <f t="shared" si="58"/>
        <v>0.10720730023272346</v>
      </c>
      <c r="AC77" s="6">
        <v>227.95396237728693</v>
      </c>
      <c r="AD77" s="6">
        <v>224.44047365994459</v>
      </c>
      <c r="AE77" s="6">
        <v>238.01993708801794</v>
      </c>
      <c r="AF77" s="6">
        <v>244.10768079078912</v>
      </c>
      <c r="AG77" s="6">
        <v>227.75</v>
      </c>
      <c r="AH77" s="6">
        <v>224.6</v>
      </c>
      <c r="AI77" s="6">
        <v>227</v>
      </c>
      <c r="AJ77" s="6">
        <v>0</v>
      </c>
      <c r="AK77" s="10">
        <f t="shared" si="43"/>
        <v>8.9475249809147536E-4</v>
      </c>
      <c r="AL77" s="10">
        <f t="shared" si="44"/>
        <v>-7.1077349576934956E-4</v>
      </c>
      <c r="AM77" s="10">
        <f t="shared" si="45"/>
        <v>4.629837829065072E-2</v>
      </c>
      <c r="AN77" s="10">
        <f t="shared" si="46"/>
        <v>1</v>
      </c>
      <c r="AO77" s="2">
        <f t="shared" si="59"/>
        <v>1.5494119097657614E-2</v>
      </c>
      <c r="AP77" s="2">
        <v>0.75</v>
      </c>
      <c r="AQ77" s="2">
        <v>0.75</v>
      </c>
      <c r="AR77" s="2">
        <v>0.75</v>
      </c>
      <c r="AS77" s="2">
        <v>0.75</v>
      </c>
      <c r="AT77" s="2">
        <v>0.75</v>
      </c>
      <c r="AU77" s="2">
        <v>0.75</v>
      </c>
      <c r="AV77" s="2">
        <v>0.75</v>
      </c>
      <c r="AW77" s="2">
        <v>0</v>
      </c>
      <c r="AX77" s="10">
        <f t="shared" si="47"/>
        <v>0</v>
      </c>
      <c r="AY77" s="10">
        <f t="shared" si="48"/>
        <v>0</v>
      </c>
      <c r="AZ77" s="10">
        <f t="shared" si="49"/>
        <v>0</v>
      </c>
      <c r="BA77" s="10">
        <f t="shared" si="50"/>
        <v>1</v>
      </c>
      <c r="BB77" s="2">
        <f t="shared" si="60"/>
        <v>0</v>
      </c>
      <c r="BC77" s="6">
        <v>123982.47116149984</v>
      </c>
      <c r="BD77" s="6">
        <v>130983.52817521893</v>
      </c>
      <c r="BE77" s="6">
        <v>124823.04746675632</v>
      </c>
      <c r="BF77" s="6">
        <v>124074.610673195</v>
      </c>
      <c r="BG77" s="6">
        <v>123704</v>
      </c>
      <c r="BH77" s="6">
        <v>152703</v>
      </c>
      <c r="BI77" s="6">
        <v>30819</v>
      </c>
      <c r="BJ77" s="6">
        <v>0</v>
      </c>
      <c r="BK77" s="10">
        <f t="shared" si="51"/>
        <v>2.2460526789879888E-3</v>
      </c>
      <c r="BL77" s="10">
        <f t="shared" si="52"/>
        <v>-0.16581834469847653</v>
      </c>
      <c r="BM77" s="10">
        <f t="shared" si="53"/>
        <v>0.75309848120630196</v>
      </c>
      <c r="BN77" s="10">
        <f t="shared" si="54"/>
        <v>1</v>
      </c>
      <c r="BO77" s="2">
        <f t="shared" si="61"/>
        <v>0.19650872972893782</v>
      </c>
      <c r="BP77" s="10">
        <v>2.0874926143112149E-2</v>
      </c>
      <c r="BQ77" s="10">
        <v>4.2517487879524807E-3</v>
      </c>
      <c r="BR77" s="10">
        <v>-3.1783342505519341E-2</v>
      </c>
      <c r="BS77" s="10">
        <v>2.727699294138286E-2</v>
      </c>
      <c r="BT77" s="11" t="s">
        <v>458</v>
      </c>
    </row>
    <row r="78" spans="1:72">
      <c r="A78">
        <f>COUNTIFS($J$7:J78,J78,$N$7:N78,N78,$E$7:E78,E78)</f>
        <v>12</v>
      </c>
      <c r="B78" s="16" t="str">
        <f t="shared" si="55"/>
        <v>Low</v>
      </c>
      <c r="C78" s="16" t="str">
        <f t="shared" si="56"/>
        <v>12LowYesTelecom-AT&amp;T</v>
      </c>
      <c r="D78" s="1">
        <v>15094</v>
      </c>
      <c r="E78" s="11" t="s">
        <v>484</v>
      </c>
      <c r="F78" s="1" t="s">
        <v>6</v>
      </c>
      <c r="G78" s="1" t="s">
        <v>130</v>
      </c>
      <c r="H78" s="1">
        <v>13</v>
      </c>
      <c r="I78" s="1" t="s">
        <v>93</v>
      </c>
      <c r="J78" s="1" t="s">
        <v>9</v>
      </c>
      <c r="K78" s="1">
        <v>1</v>
      </c>
      <c r="L78" s="1">
        <v>1</v>
      </c>
      <c r="M78" s="2">
        <v>0.38750990724006712</v>
      </c>
      <c r="N78" s="27" t="str">
        <f t="shared" si="57"/>
        <v>Low</v>
      </c>
      <c r="O78" s="1">
        <v>1</v>
      </c>
      <c r="P78" s="6">
        <v>14.30883621295632</v>
      </c>
      <c r="Q78" s="6">
        <v>13.8446854084957</v>
      </c>
      <c r="R78" s="6">
        <v>13.3983476962011</v>
      </c>
      <c r="S78" s="6">
        <v>15.63845592532866</v>
      </c>
      <c r="T78" s="6">
        <v>10.5</v>
      </c>
      <c r="U78" s="6">
        <v>9.8000000000000007</v>
      </c>
      <c r="V78" s="6">
        <v>9</v>
      </c>
      <c r="W78" s="6">
        <v>11.5</v>
      </c>
      <c r="X78" s="10">
        <f t="shared" si="39"/>
        <v>0.26618770082136428</v>
      </c>
      <c r="Y78" s="10">
        <f t="shared" si="40"/>
        <v>0.29214715171597216</v>
      </c>
      <c r="Z78" s="10">
        <f t="shared" si="41"/>
        <v>0.32827538110898447</v>
      </c>
      <c r="AA78" s="10">
        <f t="shared" si="42"/>
        <v>0.26463328253691937</v>
      </c>
      <c r="AB78" s="2">
        <f t="shared" si="58"/>
        <v>0.28781087904581004</v>
      </c>
      <c r="AC78" s="6">
        <v>7</v>
      </c>
      <c r="AD78" s="6">
        <v>6</v>
      </c>
      <c r="AE78" s="6">
        <v>6</v>
      </c>
      <c r="AF78" s="6">
        <v>6</v>
      </c>
      <c r="AG78" s="6">
        <v>6.75</v>
      </c>
      <c r="AH78" s="6">
        <v>6</v>
      </c>
      <c r="AI78" s="6">
        <v>6</v>
      </c>
      <c r="AJ78" s="6">
        <v>6</v>
      </c>
      <c r="AK78" s="10">
        <f t="shared" si="43"/>
        <v>3.5714285714285712E-2</v>
      </c>
      <c r="AL78" s="10">
        <f t="shared" si="44"/>
        <v>0</v>
      </c>
      <c r="AM78" s="10">
        <f t="shared" si="45"/>
        <v>0</v>
      </c>
      <c r="AN78" s="10">
        <f t="shared" si="46"/>
        <v>0</v>
      </c>
      <c r="AO78" s="2">
        <f t="shared" si="59"/>
        <v>8.9285714285714281E-3</v>
      </c>
      <c r="AP78" s="2">
        <v>0.79</v>
      </c>
      <c r="AQ78" s="2">
        <v>0.79</v>
      </c>
      <c r="AR78" s="2">
        <v>0.79</v>
      </c>
      <c r="AS78" s="2">
        <v>0.79</v>
      </c>
      <c r="AT78" s="2">
        <v>0.79</v>
      </c>
      <c r="AU78" s="2">
        <v>0.79</v>
      </c>
      <c r="AV78" s="2">
        <v>0.79</v>
      </c>
      <c r="AW78" s="2">
        <v>0.79</v>
      </c>
      <c r="AX78" s="10">
        <f t="shared" si="47"/>
        <v>0</v>
      </c>
      <c r="AY78" s="10">
        <f t="shared" si="48"/>
        <v>0</v>
      </c>
      <c r="AZ78" s="10">
        <f t="shared" si="49"/>
        <v>0</v>
      </c>
      <c r="BA78" s="10">
        <f t="shared" si="50"/>
        <v>0</v>
      </c>
      <c r="BB78" s="2">
        <f t="shared" si="60"/>
        <v>0</v>
      </c>
      <c r="BC78" s="6">
        <v>4296</v>
      </c>
      <c r="BD78" s="6">
        <v>3950</v>
      </c>
      <c r="BE78" s="6">
        <v>3700</v>
      </c>
      <c r="BF78" s="6">
        <v>3725</v>
      </c>
      <c r="BG78" s="6">
        <v>3950</v>
      </c>
      <c r="BH78" s="6">
        <v>4440</v>
      </c>
      <c r="BI78" s="6">
        <v>3445</v>
      </c>
      <c r="BJ78" s="6">
        <v>3364</v>
      </c>
      <c r="BK78" s="10">
        <f t="shared" si="51"/>
        <v>8.0540037243947857E-2</v>
      </c>
      <c r="BL78" s="10">
        <f t="shared" si="52"/>
        <v>-0.1240506329113924</v>
      </c>
      <c r="BM78" s="10">
        <f t="shared" si="53"/>
        <v>6.8918918918918923E-2</v>
      </c>
      <c r="BN78" s="10">
        <f t="shared" si="54"/>
        <v>9.6912751677852349E-2</v>
      </c>
      <c r="BO78" s="2">
        <f t="shared" si="61"/>
        <v>3.0580268732331682E-2</v>
      </c>
      <c r="BP78" s="10">
        <v>-2.8206945361138214E-2</v>
      </c>
      <c r="BQ78" s="10">
        <v>-3.912745000225204E-2</v>
      </c>
      <c r="BR78" s="10">
        <v>-4.0856262010104061E-2</v>
      </c>
      <c r="BS78" s="10">
        <v>-3.1024002944683993E-3</v>
      </c>
      <c r="BT78" s="11" t="s">
        <v>459</v>
      </c>
    </row>
    <row r="79" spans="1:72">
      <c r="A79">
        <f>COUNTIFS($J$7:J79,J79,$N$7:N79,N79,$E$7:E79,E79)</f>
        <v>13</v>
      </c>
      <c r="B79" s="16" t="str">
        <f t="shared" si="55"/>
        <v>Low</v>
      </c>
      <c r="C79" s="16" t="str">
        <f t="shared" si="56"/>
        <v>13LowYesTelecom-AT&amp;T</v>
      </c>
      <c r="D79" s="1">
        <v>15095</v>
      </c>
      <c r="E79" s="11" t="s">
        <v>484</v>
      </c>
      <c r="F79" s="1" t="s">
        <v>6</v>
      </c>
      <c r="G79" s="1" t="s">
        <v>131</v>
      </c>
      <c r="H79" s="1">
        <v>31</v>
      </c>
      <c r="I79" s="1" t="s">
        <v>93</v>
      </c>
      <c r="J79" s="1" t="s">
        <v>9</v>
      </c>
      <c r="K79" s="1">
        <v>1</v>
      </c>
      <c r="L79" s="1">
        <v>1</v>
      </c>
      <c r="M79" s="2">
        <v>0.37485508591480005</v>
      </c>
      <c r="N79" s="27" t="str">
        <f t="shared" si="57"/>
        <v>Low</v>
      </c>
      <c r="O79" s="1">
        <v>1</v>
      </c>
      <c r="P79" s="6">
        <v>19.716130686705199</v>
      </c>
      <c r="Q79" s="6">
        <v>18.659246481685681</v>
      </c>
      <c r="R79" s="6">
        <v>17.66499767430226</v>
      </c>
      <c r="S79" s="6">
        <v>22.015059413005631</v>
      </c>
      <c r="T79" s="6">
        <v>26.5</v>
      </c>
      <c r="U79" s="6">
        <v>25.4</v>
      </c>
      <c r="V79" s="6">
        <v>24.25</v>
      </c>
      <c r="W79" s="6">
        <v>29.25</v>
      </c>
      <c r="X79" s="10">
        <f t="shared" si="39"/>
        <v>-0.34407711234482929</v>
      </c>
      <c r="Y79" s="10">
        <f t="shared" si="40"/>
        <v>-0.36125539822470665</v>
      </c>
      <c r="Z79" s="10">
        <f t="shared" si="41"/>
        <v>-0.37277119686673482</v>
      </c>
      <c r="AA79" s="10">
        <f t="shared" si="42"/>
        <v>-0.32863597827586383</v>
      </c>
      <c r="AB79" s="2">
        <f t="shared" si="58"/>
        <v>-0.35168492142803365</v>
      </c>
      <c r="AC79" s="6">
        <v>24</v>
      </c>
      <c r="AD79" s="6">
        <v>22</v>
      </c>
      <c r="AE79" s="6">
        <v>22</v>
      </c>
      <c r="AF79" s="6">
        <v>20</v>
      </c>
      <c r="AG79" s="6">
        <v>25.75</v>
      </c>
      <c r="AH79" s="6">
        <v>23.8</v>
      </c>
      <c r="AI79" s="6">
        <v>22.75</v>
      </c>
      <c r="AJ79" s="6">
        <v>22</v>
      </c>
      <c r="AK79" s="10">
        <f t="shared" si="43"/>
        <v>-7.2916666666666671E-2</v>
      </c>
      <c r="AL79" s="10">
        <f t="shared" si="44"/>
        <v>-8.1818181818181845E-2</v>
      </c>
      <c r="AM79" s="10">
        <f t="shared" si="45"/>
        <v>-3.4090909090909088E-2</v>
      </c>
      <c r="AN79" s="10">
        <f t="shared" si="46"/>
        <v>-0.1</v>
      </c>
      <c r="AO79" s="2">
        <f t="shared" si="59"/>
        <v>-7.2206439393939406E-2</v>
      </c>
      <c r="AP79" s="2">
        <v>0.79</v>
      </c>
      <c r="AQ79" s="2">
        <v>0.79</v>
      </c>
      <c r="AR79" s="2">
        <v>0.79</v>
      </c>
      <c r="AS79" s="2">
        <v>0.79</v>
      </c>
      <c r="AT79" s="2">
        <v>0.79</v>
      </c>
      <c r="AU79" s="2">
        <v>0.79</v>
      </c>
      <c r="AV79" s="2">
        <v>0.79</v>
      </c>
      <c r="AW79" s="2">
        <v>0.79</v>
      </c>
      <c r="AX79" s="10">
        <f t="shared" si="47"/>
        <v>0</v>
      </c>
      <c r="AY79" s="10">
        <f t="shared" si="48"/>
        <v>0</v>
      </c>
      <c r="AZ79" s="10">
        <f t="shared" si="49"/>
        <v>0</v>
      </c>
      <c r="BA79" s="10">
        <f t="shared" si="50"/>
        <v>0</v>
      </c>
      <c r="BB79" s="2">
        <f t="shared" si="60"/>
        <v>0</v>
      </c>
      <c r="BC79" s="6">
        <v>14400</v>
      </c>
      <c r="BD79" s="6">
        <v>13550</v>
      </c>
      <c r="BE79" s="6">
        <v>12700</v>
      </c>
      <c r="BF79" s="6">
        <v>12525</v>
      </c>
      <c r="BG79" s="6">
        <v>13383</v>
      </c>
      <c r="BH79" s="6">
        <v>15231</v>
      </c>
      <c r="BI79" s="6">
        <v>11794</v>
      </c>
      <c r="BJ79" s="6">
        <v>11312</v>
      </c>
      <c r="BK79" s="10">
        <f t="shared" si="51"/>
        <v>7.0624999999999993E-2</v>
      </c>
      <c r="BL79" s="10">
        <f t="shared" si="52"/>
        <v>-0.1240590405904059</v>
      </c>
      <c r="BM79" s="10">
        <f t="shared" si="53"/>
        <v>7.1338582677165349E-2</v>
      </c>
      <c r="BN79" s="10">
        <f t="shared" si="54"/>
        <v>9.6846307385229535E-2</v>
      </c>
      <c r="BO79" s="2">
        <f t="shared" si="61"/>
        <v>2.8687712367997244E-2</v>
      </c>
      <c r="BP79" s="10">
        <v>-0.22450623200627634</v>
      </c>
      <c r="BQ79" s="10">
        <v>-0.22322100330602618</v>
      </c>
      <c r="BR79" s="10">
        <v>-0.23889450059887468</v>
      </c>
      <c r="BS79" s="10">
        <v>-0.26746156658847103</v>
      </c>
      <c r="BT79" s="11" t="s">
        <v>459</v>
      </c>
    </row>
    <row r="80" spans="1:72">
      <c r="A80">
        <f>COUNTIFS($J$7:J80,J80,$N$7:N80,N80,$E$7:E80,E80)</f>
        <v>7</v>
      </c>
      <c r="B80" s="16" t="str">
        <f t="shared" si="55"/>
        <v>Low</v>
      </c>
      <c r="C80" s="16" t="str">
        <f t="shared" si="56"/>
        <v>7LowYesTechnology</v>
      </c>
      <c r="D80" s="1">
        <v>15098</v>
      </c>
      <c r="E80" s="1" t="s">
        <v>23</v>
      </c>
      <c r="F80" s="1" t="s">
        <v>33</v>
      </c>
      <c r="G80" s="1" t="s">
        <v>132</v>
      </c>
      <c r="H80" s="1">
        <v>62</v>
      </c>
      <c r="I80" s="1" t="s">
        <v>133</v>
      </c>
      <c r="J80" s="1" t="s">
        <v>9</v>
      </c>
      <c r="K80" s="1">
        <v>1</v>
      </c>
      <c r="L80" s="1">
        <v>1</v>
      </c>
      <c r="M80" s="2">
        <v>0.10812979964699629</v>
      </c>
      <c r="N80" s="27" t="str">
        <f t="shared" si="57"/>
        <v>Low</v>
      </c>
      <c r="O80" s="1">
        <v>1</v>
      </c>
      <c r="P80" s="6">
        <v>47.910764824270842</v>
      </c>
      <c r="Q80" s="6">
        <v>47.907991841724801</v>
      </c>
      <c r="R80" s="6">
        <v>47.910649431966227</v>
      </c>
      <c r="S80" s="6">
        <v>50.88745595533512</v>
      </c>
      <c r="T80" s="6">
        <v>57.75</v>
      </c>
      <c r="U80" s="6">
        <v>56.599999999999994</v>
      </c>
      <c r="V80" s="6">
        <v>63.25</v>
      </c>
      <c r="W80" s="6">
        <v>67.75</v>
      </c>
      <c r="X80" s="10">
        <f t="shared" si="39"/>
        <v>-0.20536585487244727</v>
      </c>
      <c r="Y80" s="10">
        <f t="shared" si="40"/>
        <v>-0.18143127741591142</v>
      </c>
      <c r="Z80" s="10">
        <f t="shared" si="41"/>
        <v>-0.32016578255353978</v>
      </c>
      <c r="AA80" s="10">
        <f t="shared" si="42"/>
        <v>-0.33136936653829685</v>
      </c>
      <c r="AB80" s="2">
        <f t="shared" si="58"/>
        <v>-0.25958307034504879</v>
      </c>
      <c r="AC80" s="6">
        <v>39.373582766439903</v>
      </c>
      <c r="AD80" s="6">
        <v>44.867627200693008</v>
      </c>
      <c r="AE80" s="6">
        <v>44.870652755484215</v>
      </c>
      <c r="AF80" s="6">
        <v>46.963832411866115</v>
      </c>
      <c r="AG80" s="6">
        <v>96.75</v>
      </c>
      <c r="AH80" s="6">
        <v>110.2</v>
      </c>
      <c r="AI80" s="6">
        <v>122.25</v>
      </c>
      <c r="AJ80" s="6">
        <v>121</v>
      </c>
      <c r="AK80" s="10">
        <f t="shared" si="43"/>
        <v>-1.4572313008422724</v>
      </c>
      <c r="AL80" s="10">
        <f t="shared" si="44"/>
        <v>-1.4561138369781654</v>
      </c>
      <c r="AM80" s="10">
        <f t="shared" si="45"/>
        <v>-1.7244979177410844</v>
      </c>
      <c r="AN80" s="10">
        <f t="shared" si="46"/>
        <v>-1.5764507235876162</v>
      </c>
      <c r="AO80" s="2">
        <f t="shared" si="59"/>
        <v>-1.5535734447872844</v>
      </c>
      <c r="AP80" s="2">
        <v>0.73</v>
      </c>
      <c r="AQ80" s="2">
        <v>0.73</v>
      </c>
      <c r="AR80" s="2">
        <v>0.73</v>
      </c>
      <c r="AS80" s="2">
        <v>0.73</v>
      </c>
      <c r="AT80" s="2">
        <v>0.55833333333333324</v>
      </c>
      <c r="AU80" s="2">
        <v>0.58933333333333338</v>
      </c>
      <c r="AV80" s="2">
        <v>0.60833333333333339</v>
      </c>
      <c r="AW80" s="2">
        <v>0.59083333333333332</v>
      </c>
      <c r="AX80" s="10">
        <f t="shared" si="47"/>
        <v>0.2351598173515983</v>
      </c>
      <c r="AY80" s="10">
        <f t="shared" si="48"/>
        <v>0.19269406392694055</v>
      </c>
      <c r="AZ80" s="10">
        <f t="shared" si="49"/>
        <v>0.16666666666666657</v>
      </c>
      <c r="BA80" s="10">
        <f t="shared" si="50"/>
        <v>0.1906392694063927</v>
      </c>
      <c r="BB80" s="2">
        <f t="shared" si="60"/>
        <v>0.19628995433789953</v>
      </c>
      <c r="BC80" s="6">
        <v>10665</v>
      </c>
      <c r="BD80" s="6">
        <v>11322</v>
      </c>
      <c r="BE80" s="6">
        <v>11862</v>
      </c>
      <c r="BF80" s="6">
        <v>12455</v>
      </c>
      <c r="BG80" s="6">
        <v>20094</v>
      </c>
      <c r="BH80" s="6">
        <v>29874</v>
      </c>
      <c r="BI80" s="6">
        <v>27562</v>
      </c>
      <c r="BJ80" s="6">
        <v>26066</v>
      </c>
      <c r="BK80" s="10">
        <f t="shared" si="51"/>
        <v>-0.88410689170182843</v>
      </c>
      <c r="BL80" s="10">
        <f t="shared" si="52"/>
        <v>-1.638579756226815</v>
      </c>
      <c r="BM80" s="10">
        <f t="shared" si="53"/>
        <v>-1.3235542067105042</v>
      </c>
      <c r="BN80" s="10">
        <f t="shared" si="54"/>
        <v>-1.0928141308711361</v>
      </c>
      <c r="BO80" s="2">
        <f t="shared" si="61"/>
        <v>-1.2347637463775709</v>
      </c>
      <c r="BP80" s="10">
        <v>4.3674247893390583E-2</v>
      </c>
      <c r="BQ80" s="10">
        <v>-5.2178575250167114E-2</v>
      </c>
      <c r="BR80" s="10">
        <v>-4.9111185627034593E-2</v>
      </c>
      <c r="BS80" s="10">
        <v>-3.5717896383941961E-2</v>
      </c>
      <c r="BT80" s="11" t="s">
        <v>458</v>
      </c>
    </row>
    <row r="81" spans="1:72">
      <c r="A81">
        <f>COUNTIFS($J$7:J81,J81,$N$7:N81,N81,$E$7:E81,E81)</f>
        <v>14</v>
      </c>
      <c r="B81" s="16" t="str">
        <f t="shared" si="55"/>
        <v>Low</v>
      </c>
      <c r="C81" s="16" t="str">
        <f t="shared" si="56"/>
        <v>14LowYesTelecom-AT&amp;T</v>
      </c>
      <c r="D81" s="1">
        <v>15099</v>
      </c>
      <c r="E81" s="11" t="s">
        <v>484</v>
      </c>
      <c r="F81" s="1" t="s">
        <v>6</v>
      </c>
      <c r="G81" s="1" t="s">
        <v>134</v>
      </c>
      <c r="H81" s="1">
        <v>166</v>
      </c>
      <c r="I81" s="1" t="s">
        <v>93</v>
      </c>
      <c r="J81" s="1" t="s">
        <v>9</v>
      </c>
      <c r="K81" s="1">
        <v>1</v>
      </c>
      <c r="L81" s="1">
        <v>1</v>
      </c>
      <c r="M81" s="2">
        <v>0.37713313408152277</v>
      </c>
      <c r="N81" s="27" t="str">
        <f t="shared" si="57"/>
        <v>Low</v>
      </c>
      <c r="O81" s="1">
        <v>1</v>
      </c>
      <c r="P81" s="6">
        <v>126.37129411418771</v>
      </c>
      <c r="Q81" s="6">
        <v>113.10850325968261</v>
      </c>
      <c r="R81" s="6">
        <v>103.1802819842213</v>
      </c>
      <c r="S81" s="6">
        <v>117.6281589669761</v>
      </c>
      <c r="T81" s="6">
        <v>21</v>
      </c>
      <c r="U81" s="6">
        <v>20.399999999999999</v>
      </c>
      <c r="V81" s="6">
        <v>21.25</v>
      </c>
      <c r="W81" s="6">
        <v>20.5</v>
      </c>
      <c r="X81" s="10">
        <f t="shared" si="39"/>
        <v>0.83382302011543352</v>
      </c>
      <c r="Y81" s="10">
        <f t="shared" si="40"/>
        <v>0.81964220715427361</v>
      </c>
      <c r="Z81" s="10">
        <f t="shared" si="41"/>
        <v>0.79404979719623536</v>
      </c>
      <c r="AA81" s="10">
        <f t="shared" si="42"/>
        <v>0.82572200245219052</v>
      </c>
      <c r="AB81" s="2">
        <f t="shared" si="58"/>
        <v>0.81830925672953336</v>
      </c>
      <c r="AC81" s="6">
        <v>108</v>
      </c>
      <c r="AD81" s="6">
        <v>189.81928440709623</v>
      </c>
      <c r="AE81" s="6">
        <v>164.45177391562689</v>
      </c>
      <c r="AF81" s="6">
        <v>160.86968490790258</v>
      </c>
      <c r="AG81" s="6">
        <v>108.5</v>
      </c>
      <c r="AH81" s="6">
        <v>67.2</v>
      </c>
      <c r="AI81" s="6">
        <v>32</v>
      </c>
      <c r="AJ81" s="6">
        <v>18</v>
      </c>
      <c r="AK81" s="10">
        <f t="shared" si="43"/>
        <v>-4.6296296296296294E-3</v>
      </c>
      <c r="AL81" s="10">
        <f t="shared" si="44"/>
        <v>0.64597906788079862</v>
      </c>
      <c r="AM81" s="10">
        <f t="shared" si="45"/>
        <v>0.80541407831564149</v>
      </c>
      <c r="AN81" s="10">
        <f t="shared" si="46"/>
        <v>0.88810819135808627</v>
      </c>
      <c r="AO81" s="2">
        <f t="shared" si="59"/>
        <v>0.58371792698122416</v>
      </c>
      <c r="AP81" s="2">
        <v>0.79</v>
      </c>
      <c r="AQ81" s="2">
        <v>0</v>
      </c>
      <c r="AR81" s="2">
        <v>0</v>
      </c>
      <c r="AS81" s="2">
        <v>0</v>
      </c>
      <c r="AT81" s="2">
        <v>0.79</v>
      </c>
      <c r="AU81" s="2">
        <v>0.79</v>
      </c>
      <c r="AV81" s="2">
        <v>0.79</v>
      </c>
      <c r="AW81" s="2">
        <v>0.79</v>
      </c>
      <c r="AX81" s="10">
        <f t="shared" si="47"/>
        <v>0</v>
      </c>
      <c r="AY81" s="10" t="str">
        <f t="shared" si="48"/>
        <v/>
      </c>
      <c r="AZ81" s="10" t="str">
        <f t="shared" si="49"/>
        <v/>
      </c>
      <c r="BA81" s="10" t="str">
        <f t="shared" si="50"/>
        <v/>
      </c>
      <c r="BB81" s="2">
        <f t="shared" si="60"/>
        <v>0</v>
      </c>
      <c r="BC81" s="6">
        <v>67781</v>
      </c>
      <c r="BD81" s="6">
        <v>72779.16</v>
      </c>
      <c r="BE81" s="6">
        <v>66055.45</v>
      </c>
      <c r="BF81" s="6">
        <v>64616.63</v>
      </c>
      <c r="BG81" s="6">
        <v>56199</v>
      </c>
      <c r="BH81" s="6">
        <v>43123</v>
      </c>
      <c r="BI81" s="6">
        <v>16294</v>
      </c>
      <c r="BJ81" s="6">
        <v>9448</v>
      </c>
      <c r="BK81" s="10">
        <f t="shared" si="51"/>
        <v>0.17087384370251249</v>
      </c>
      <c r="BL81" s="10">
        <f t="shared" si="52"/>
        <v>0.40748148233642711</v>
      </c>
      <c r="BM81" s="10">
        <f t="shared" si="53"/>
        <v>0.75332845359466927</v>
      </c>
      <c r="BN81" s="10">
        <f t="shared" si="54"/>
        <v>0.85378377052470855</v>
      </c>
      <c r="BO81" s="2">
        <f t="shared" si="61"/>
        <v>0.54636688753957929</v>
      </c>
      <c r="BP81" s="10">
        <v>-9.9404059334603501E-3</v>
      </c>
      <c r="BQ81" s="10">
        <v>0</v>
      </c>
      <c r="BR81" s="10">
        <v>0</v>
      </c>
      <c r="BS81" s="10">
        <v>0</v>
      </c>
      <c r="BT81" s="11" t="s">
        <v>459</v>
      </c>
    </row>
    <row r="82" spans="1:72">
      <c r="A82">
        <f>COUNTIFS($J$7:J82,J82,$N$7:N82,N82,$E$7:E82,E82)</f>
        <v>2</v>
      </c>
      <c r="B82" s="16" t="str">
        <f t="shared" si="55"/>
        <v>Medium</v>
      </c>
      <c r="C82" s="16" t="str">
        <f t="shared" si="56"/>
        <v>2MediumNoBFIMG</v>
      </c>
      <c r="D82" s="1">
        <v>18008</v>
      </c>
      <c r="E82" s="1" t="s">
        <v>20</v>
      </c>
      <c r="F82" s="1" t="s">
        <v>135</v>
      </c>
      <c r="G82" s="1" t="s">
        <v>136</v>
      </c>
      <c r="H82" s="1">
        <v>202</v>
      </c>
      <c r="I82" s="1" t="s">
        <v>102</v>
      </c>
      <c r="J82" s="1" t="s">
        <v>27</v>
      </c>
      <c r="K82" s="1">
        <v>3</v>
      </c>
      <c r="L82" s="1"/>
      <c r="M82" s="2">
        <v>0</v>
      </c>
      <c r="N82" s="27" t="str">
        <f t="shared" si="57"/>
        <v>Medium</v>
      </c>
      <c r="O82" s="1">
        <v>0</v>
      </c>
      <c r="P82" s="6">
        <v>0</v>
      </c>
      <c r="Q82" s="6">
        <v>0</v>
      </c>
      <c r="R82" s="6">
        <v>0</v>
      </c>
      <c r="S82" s="6">
        <v>0</v>
      </c>
      <c r="T82" s="6">
        <v>119</v>
      </c>
      <c r="U82" s="6">
        <v>15.4</v>
      </c>
      <c r="V82" s="6">
        <v>14.75</v>
      </c>
      <c r="W82" s="6">
        <v>14</v>
      </c>
      <c r="X82" s="10" t="str">
        <f t="shared" si="39"/>
        <v/>
      </c>
      <c r="Y82" s="10" t="str">
        <f t="shared" si="40"/>
        <v/>
      </c>
      <c r="Z82" s="10" t="str">
        <f t="shared" si="41"/>
        <v/>
      </c>
      <c r="AA82" s="10" t="str">
        <f t="shared" si="42"/>
        <v/>
      </c>
      <c r="AB82" s="2" t="str">
        <f t="shared" si="58"/>
        <v>NA</v>
      </c>
      <c r="AC82" s="6">
        <v>0</v>
      </c>
      <c r="AD82" s="6">
        <v>0</v>
      </c>
      <c r="AE82" s="6">
        <v>0</v>
      </c>
      <c r="AF82" s="6">
        <v>0</v>
      </c>
      <c r="AG82" s="6">
        <v>140.5</v>
      </c>
      <c r="AH82" s="6">
        <v>19</v>
      </c>
      <c r="AI82" s="6">
        <v>19</v>
      </c>
      <c r="AJ82" s="6">
        <v>19</v>
      </c>
      <c r="AK82" s="10" t="str">
        <f t="shared" si="43"/>
        <v/>
      </c>
      <c r="AL82" s="10" t="str">
        <f t="shared" si="44"/>
        <v/>
      </c>
      <c r="AM82" s="10" t="str">
        <f t="shared" si="45"/>
        <v/>
      </c>
      <c r="AN82" s="10" t="str">
        <f t="shared" si="46"/>
        <v/>
      </c>
      <c r="AO82" s="2" t="str">
        <f t="shared" si="59"/>
        <v>NA</v>
      </c>
      <c r="AP82" s="2">
        <v>0</v>
      </c>
      <c r="AQ82" s="2">
        <v>0</v>
      </c>
      <c r="AR82" s="2">
        <v>0</v>
      </c>
      <c r="AS82" s="2">
        <v>0</v>
      </c>
      <c r="AT82" s="2">
        <v>0.66405000000000003</v>
      </c>
      <c r="AU82" s="2">
        <v>0.10625</v>
      </c>
      <c r="AV82" s="2">
        <v>0.10625</v>
      </c>
      <c r="AW82" s="2">
        <v>0.10625</v>
      </c>
      <c r="AX82" s="10" t="str">
        <f t="shared" si="47"/>
        <v/>
      </c>
      <c r="AY82" s="10" t="str">
        <f t="shared" si="48"/>
        <v/>
      </c>
      <c r="AZ82" s="10" t="str">
        <f t="shared" si="49"/>
        <v/>
      </c>
      <c r="BA82" s="10" t="str">
        <f t="shared" si="50"/>
        <v/>
      </c>
      <c r="BB82" s="2" t="str">
        <f t="shared" si="60"/>
        <v>NA</v>
      </c>
      <c r="BC82" s="6">
        <v>0</v>
      </c>
      <c r="BD82" s="6">
        <v>0</v>
      </c>
      <c r="BE82" s="6">
        <v>0</v>
      </c>
      <c r="BF82" s="6">
        <v>0</v>
      </c>
      <c r="BG82" s="6">
        <v>32722</v>
      </c>
      <c r="BH82" s="6">
        <v>40981</v>
      </c>
      <c r="BI82" s="6">
        <v>32934</v>
      </c>
      <c r="BJ82" s="6">
        <v>33096</v>
      </c>
      <c r="BK82" s="10" t="str">
        <f t="shared" si="51"/>
        <v/>
      </c>
      <c r="BL82" s="10" t="str">
        <f t="shared" si="52"/>
        <v/>
      </c>
      <c r="BM82" s="10" t="str">
        <f t="shared" si="53"/>
        <v/>
      </c>
      <c r="BN82" s="10" t="str">
        <f t="shared" si="54"/>
        <v/>
      </c>
      <c r="BO82" s="2" t="str">
        <f t="shared" si="61"/>
        <v>NA</v>
      </c>
      <c r="BP82" s="10">
        <v>0</v>
      </c>
      <c r="BQ82" s="10">
        <v>0</v>
      </c>
      <c r="BR82" s="10">
        <v>0</v>
      </c>
      <c r="BS82" s="10">
        <v>0</v>
      </c>
      <c r="BT82" s="11">
        <v>0</v>
      </c>
    </row>
    <row r="83" spans="1:72">
      <c r="A83">
        <f>COUNTIFS($J$7:J83,J83,$N$7:N83,N83,$E$7:E83,E83)</f>
        <v>4</v>
      </c>
      <c r="B83" s="16" t="str">
        <f t="shared" si="55"/>
        <v>Low</v>
      </c>
      <c r="C83" s="16" t="str">
        <f t="shared" si="56"/>
        <v>4LowNoTelecom-Non AT&amp;T</v>
      </c>
      <c r="D83" s="1">
        <v>20089</v>
      </c>
      <c r="E83" s="1" t="s">
        <v>485</v>
      </c>
      <c r="F83" s="1" t="s">
        <v>137</v>
      </c>
      <c r="G83" s="1" t="s">
        <v>137</v>
      </c>
      <c r="H83" s="1">
        <v>175</v>
      </c>
      <c r="I83" s="1" t="s">
        <v>138</v>
      </c>
      <c r="J83" s="1" t="s">
        <v>27</v>
      </c>
      <c r="K83" s="1">
        <v>1</v>
      </c>
      <c r="L83" s="1">
        <v>1</v>
      </c>
      <c r="M83" s="2">
        <v>0.13675977642855913</v>
      </c>
      <c r="N83" s="27" t="str">
        <f t="shared" si="57"/>
        <v>Low</v>
      </c>
      <c r="O83" s="1">
        <v>1</v>
      </c>
      <c r="P83" s="6">
        <v>141.97997304605249</v>
      </c>
      <c r="Q83" s="6">
        <v>141.49083449397969</v>
      </c>
      <c r="R83" s="6">
        <v>141.24942592495779</v>
      </c>
      <c r="S83" s="6">
        <v>138.81848037403171</v>
      </c>
      <c r="T83" s="6">
        <v>153</v>
      </c>
      <c r="U83" s="6">
        <v>166.2</v>
      </c>
      <c r="V83" s="6">
        <v>160.25</v>
      </c>
      <c r="W83" s="6">
        <v>154</v>
      </c>
      <c r="X83" s="10">
        <f t="shared" si="39"/>
        <v>-7.7616770291772497E-2</v>
      </c>
      <c r="Y83" s="10">
        <f t="shared" si="40"/>
        <v>-0.17463438953052221</v>
      </c>
      <c r="Z83" s="10">
        <f t="shared" si="41"/>
        <v>-0.13451788529842754</v>
      </c>
      <c r="AA83" s="10">
        <f t="shared" si="42"/>
        <v>-0.10936238161564148</v>
      </c>
      <c r="AB83" s="2">
        <f t="shared" si="58"/>
        <v>-0.12403285668409095</v>
      </c>
      <c r="AC83" s="6">
        <v>163.06238404452691</v>
      </c>
      <c r="AD83" s="6">
        <v>170.06802721088437</v>
      </c>
      <c r="AE83" s="6">
        <v>161.61294063079779</v>
      </c>
      <c r="AF83" s="6">
        <v>160.88821892393324</v>
      </c>
      <c r="AG83" s="6">
        <v>172.75</v>
      </c>
      <c r="AH83" s="6">
        <v>200.8</v>
      </c>
      <c r="AI83" s="6">
        <v>217.5</v>
      </c>
      <c r="AJ83" s="6">
        <v>200</v>
      </c>
      <c r="AK83" s="10">
        <f t="shared" si="43"/>
        <v>-5.9410488888888849E-2</v>
      </c>
      <c r="AL83" s="10">
        <f t="shared" si="44"/>
        <v>-0.18070399999999998</v>
      </c>
      <c r="AM83" s="10">
        <f t="shared" si="45"/>
        <v>-0.34580807174887873</v>
      </c>
      <c r="AN83" s="10">
        <f t="shared" si="46"/>
        <v>-0.24309909909909888</v>
      </c>
      <c r="AO83" s="2">
        <f t="shared" si="59"/>
        <v>-0.20725541493421662</v>
      </c>
      <c r="AP83" s="2">
        <v>0</v>
      </c>
      <c r="AQ83" s="2">
        <v>0</v>
      </c>
      <c r="AR83" s="2">
        <v>0</v>
      </c>
      <c r="AS83" s="2">
        <v>0</v>
      </c>
      <c r="AT83" s="2">
        <v>0.8</v>
      </c>
      <c r="AU83" s="2">
        <v>0.8</v>
      </c>
      <c r="AV83" s="2">
        <v>0.8</v>
      </c>
      <c r="AW83" s="2">
        <v>0.8</v>
      </c>
      <c r="AX83" s="10" t="str">
        <f t="shared" si="47"/>
        <v/>
      </c>
      <c r="AY83" s="10" t="str">
        <f t="shared" si="48"/>
        <v/>
      </c>
      <c r="AZ83" s="10" t="str">
        <f t="shared" si="49"/>
        <v/>
      </c>
      <c r="BA83" s="10" t="str">
        <f t="shared" si="50"/>
        <v/>
      </c>
      <c r="BB83" s="2" t="str">
        <f t="shared" si="60"/>
        <v>NA</v>
      </c>
      <c r="BC83" s="6">
        <v>90000</v>
      </c>
      <c r="BD83" s="6">
        <v>90000</v>
      </c>
      <c r="BE83" s="6">
        <v>90000</v>
      </c>
      <c r="BF83" s="6">
        <v>90000</v>
      </c>
      <c r="BG83" s="6">
        <v>81013</v>
      </c>
      <c r="BH83" s="6">
        <v>117676</v>
      </c>
      <c r="BI83" s="6">
        <v>102002</v>
      </c>
      <c r="BJ83" s="6">
        <v>93671</v>
      </c>
      <c r="BK83" s="10">
        <f t="shared" si="51"/>
        <v>9.9855555555555559E-2</v>
      </c>
      <c r="BL83" s="10">
        <f t="shared" si="52"/>
        <v>-0.30751111111111112</v>
      </c>
      <c r="BM83" s="10">
        <f t="shared" si="53"/>
        <v>-0.13335555555555556</v>
      </c>
      <c r="BN83" s="10">
        <f t="shared" si="54"/>
        <v>-4.0788888888888888E-2</v>
      </c>
      <c r="BO83" s="2">
        <f t="shared" si="61"/>
        <v>-9.5450000000000007E-2</v>
      </c>
      <c r="BP83" s="10">
        <v>-1.9899153749399906E-2</v>
      </c>
      <c r="BQ83" s="10">
        <v>-2.1141986085240871E-2</v>
      </c>
      <c r="BR83" s="10">
        <v>-2.0447153775372345E-2</v>
      </c>
      <c r="BS83" s="10">
        <v>-2.6563689242174476E-2</v>
      </c>
      <c r="BT83" s="11" t="s">
        <v>459</v>
      </c>
    </row>
    <row r="84" spans="1:72">
      <c r="A84">
        <f>COUNTIFS($J$7:J84,J84,$N$7:N84,N84,$E$7:E84,E84)</f>
        <v>3</v>
      </c>
      <c r="B84" s="16" t="str">
        <f t="shared" si="55"/>
        <v>Medium</v>
      </c>
      <c r="C84" s="16" t="str">
        <f t="shared" si="56"/>
        <v>3MediumNoBFIMG</v>
      </c>
      <c r="D84" s="1">
        <v>20108</v>
      </c>
      <c r="E84" s="1" t="s">
        <v>20</v>
      </c>
      <c r="F84" s="1" t="s">
        <v>139</v>
      </c>
      <c r="G84" s="1" t="s">
        <v>140</v>
      </c>
      <c r="H84" s="1">
        <v>72</v>
      </c>
      <c r="I84" s="1" t="s">
        <v>141</v>
      </c>
      <c r="J84" s="1" t="s">
        <v>27</v>
      </c>
      <c r="K84" s="1">
        <v>2</v>
      </c>
      <c r="L84" s="1">
        <v>1</v>
      </c>
      <c r="M84" s="2">
        <v>1.5241421510844304E-2</v>
      </c>
      <c r="N84" s="27" t="str">
        <f t="shared" si="57"/>
        <v>Medium</v>
      </c>
      <c r="O84" s="1">
        <v>1</v>
      </c>
      <c r="P84" s="6">
        <v>75.965539896814377</v>
      </c>
      <c r="Q84" s="6">
        <v>75.96627797201019</v>
      </c>
      <c r="R84" s="6">
        <v>75.966995527328109</v>
      </c>
      <c r="S84" s="6">
        <v>75.967693103999466</v>
      </c>
      <c r="T84" s="6">
        <v>64.75</v>
      </c>
      <c r="U84" s="6">
        <v>0</v>
      </c>
      <c r="V84" s="6">
        <v>0</v>
      </c>
      <c r="W84" s="6">
        <v>0</v>
      </c>
      <c r="X84" s="10">
        <f t="shared" si="39"/>
        <v>0.14763983658970484</v>
      </c>
      <c r="Y84" s="10">
        <f t="shared" si="40"/>
        <v>1</v>
      </c>
      <c r="Z84" s="10">
        <f t="shared" si="41"/>
        <v>1</v>
      </c>
      <c r="AA84" s="10">
        <f t="shared" si="42"/>
        <v>1</v>
      </c>
      <c r="AB84" s="2">
        <f t="shared" si="58"/>
        <v>0.14763983658970484</v>
      </c>
      <c r="AC84" s="6">
        <v>76</v>
      </c>
      <c r="AD84" s="6">
        <v>76</v>
      </c>
      <c r="AE84" s="6">
        <v>76</v>
      </c>
      <c r="AF84" s="6">
        <v>76</v>
      </c>
      <c r="AG84" s="6">
        <v>66.75</v>
      </c>
      <c r="AH84" s="6">
        <v>0</v>
      </c>
      <c r="AI84" s="6">
        <v>0</v>
      </c>
      <c r="AJ84" s="6">
        <v>0</v>
      </c>
      <c r="AK84" s="10">
        <f t="shared" si="43"/>
        <v>0.12171052631578948</v>
      </c>
      <c r="AL84" s="10">
        <f t="shared" si="44"/>
        <v>1</v>
      </c>
      <c r="AM84" s="10">
        <f t="shared" si="45"/>
        <v>1</v>
      </c>
      <c r="AN84" s="10">
        <f t="shared" si="46"/>
        <v>1</v>
      </c>
      <c r="AO84" s="2">
        <f t="shared" si="59"/>
        <v>0.12171052631578948</v>
      </c>
      <c r="AP84" s="2">
        <v>0.85</v>
      </c>
      <c r="AQ84" s="2">
        <v>0.85</v>
      </c>
      <c r="AR84" s="2">
        <v>0.85</v>
      </c>
      <c r="AS84" s="2">
        <v>0.85</v>
      </c>
      <c r="AT84" s="2">
        <v>0.64</v>
      </c>
      <c r="AU84" s="2">
        <v>0</v>
      </c>
      <c r="AV84" s="2">
        <v>0</v>
      </c>
      <c r="AW84" s="2">
        <v>0</v>
      </c>
      <c r="AX84" s="10">
        <f t="shared" si="47"/>
        <v>0.24705882352941172</v>
      </c>
      <c r="AY84" s="10">
        <f t="shared" si="48"/>
        <v>1</v>
      </c>
      <c r="AZ84" s="10">
        <f t="shared" si="49"/>
        <v>1</v>
      </c>
      <c r="BA84" s="10">
        <f t="shared" si="50"/>
        <v>1</v>
      </c>
      <c r="BB84" s="2">
        <f t="shared" si="60"/>
        <v>0.24705882352941172</v>
      </c>
      <c r="BC84" s="6">
        <v>0</v>
      </c>
      <c r="BD84" s="6">
        <v>0</v>
      </c>
      <c r="BE84" s="6">
        <v>0</v>
      </c>
      <c r="BF84" s="6">
        <v>0</v>
      </c>
      <c r="BG84" s="6">
        <v>46756</v>
      </c>
      <c r="BH84" s="6">
        <v>0</v>
      </c>
      <c r="BI84" s="6">
        <v>0</v>
      </c>
      <c r="BJ84" s="6">
        <v>0</v>
      </c>
      <c r="BK84" s="10" t="str">
        <f t="shared" si="51"/>
        <v/>
      </c>
      <c r="BL84" s="10" t="str">
        <f t="shared" si="52"/>
        <v/>
      </c>
      <c r="BM84" s="10" t="str">
        <f t="shared" si="53"/>
        <v/>
      </c>
      <c r="BN84" s="10" t="str">
        <f t="shared" si="54"/>
        <v/>
      </c>
      <c r="BO84" s="2" t="str">
        <f t="shared" si="61"/>
        <v>NA</v>
      </c>
      <c r="BP84" s="10">
        <v>0</v>
      </c>
      <c r="BQ84" s="10">
        <v>0</v>
      </c>
      <c r="BR84" s="10">
        <v>0</v>
      </c>
      <c r="BS84" s="10">
        <v>0</v>
      </c>
      <c r="BT84" s="11">
        <v>0</v>
      </c>
    </row>
    <row r="85" spans="1:72">
      <c r="A85">
        <f>COUNTIFS($J$7:J85,J85,$N$7:N85,N85,$E$7:E85,E85)</f>
        <v>22</v>
      </c>
      <c r="B85" s="16" t="str">
        <f t="shared" si="55"/>
        <v>Low</v>
      </c>
      <c r="C85" s="16" t="str">
        <f t="shared" si="56"/>
        <v>22LowNoTechnology</v>
      </c>
      <c r="D85" s="1">
        <v>20117</v>
      </c>
      <c r="E85" s="1" t="s">
        <v>23</v>
      </c>
      <c r="F85" s="1" t="s">
        <v>36</v>
      </c>
      <c r="G85" s="1" t="s">
        <v>142</v>
      </c>
      <c r="H85" s="1">
        <v>23</v>
      </c>
      <c r="I85" s="1" t="s">
        <v>38</v>
      </c>
      <c r="J85" s="1" t="s">
        <v>27</v>
      </c>
      <c r="K85" s="1">
        <v>1</v>
      </c>
      <c r="L85" s="1">
        <v>1</v>
      </c>
      <c r="M85" s="2">
        <v>0.25251081510839274</v>
      </c>
      <c r="N85" s="27" t="str">
        <f t="shared" si="57"/>
        <v>Low</v>
      </c>
      <c r="O85" s="1">
        <v>1</v>
      </c>
      <c r="P85" s="6">
        <v>39.157703368776993</v>
      </c>
      <c r="Q85" s="6">
        <v>47.483786932058521</v>
      </c>
      <c r="R85" s="6">
        <v>51.702161085467338</v>
      </c>
      <c r="S85" s="6">
        <v>48.964761308289582</v>
      </c>
      <c r="T85" s="6">
        <v>27.5</v>
      </c>
      <c r="U85" s="6">
        <v>27.4</v>
      </c>
      <c r="V85" s="6">
        <v>28.75</v>
      </c>
      <c r="W85" s="6">
        <v>28</v>
      </c>
      <c r="X85" s="10">
        <f t="shared" si="39"/>
        <v>0.29771162161855602</v>
      </c>
      <c r="Y85" s="10">
        <f t="shared" si="40"/>
        <v>0.42296093529345319</v>
      </c>
      <c r="Z85" s="10">
        <f t="shared" si="41"/>
        <v>0.4439304006562857</v>
      </c>
      <c r="AA85" s="10">
        <f t="shared" si="42"/>
        <v>0.42816018598134803</v>
      </c>
      <c r="AB85" s="2">
        <f t="shared" si="58"/>
        <v>0.39819078588741069</v>
      </c>
      <c r="AC85" s="6">
        <v>28.280908179387453</v>
      </c>
      <c r="AD85" s="6">
        <v>28.274356617647054</v>
      </c>
      <c r="AE85" s="6">
        <v>45.090518370958925</v>
      </c>
      <c r="AF85" s="6">
        <v>44.279062348079719</v>
      </c>
      <c r="AG85" s="6">
        <v>23</v>
      </c>
      <c r="AH85" s="6">
        <v>22.8</v>
      </c>
      <c r="AI85" s="6">
        <v>30.25</v>
      </c>
      <c r="AJ85" s="6">
        <v>24.25</v>
      </c>
      <c r="AK85" s="10">
        <f t="shared" si="43"/>
        <v>0.18673050193050178</v>
      </c>
      <c r="AL85" s="10">
        <f t="shared" si="44"/>
        <v>0.19361560341324649</v>
      </c>
      <c r="AM85" s="10">
        <f t="shared" si="45"/>
        <v>0.32912725129629766</v>
      </c>
      <c r="AN85" s="10">
        <f t="shared" si="46"/>
        <v>0.45233709310803266</v>
      </c>
      <c r="AO85" s="2">
        <f t="shared" si="59"/>
        <v>0.29045261243701964</v>
      </c>
      <c r="AP85" s="2">
        <v>0</v>
      </c>
      <c r="AQ85" s="2">
        <v>0</v>
      </c>
      <c r="AR85" s="2">
        <v>0</v>
      </c>
      <c r="AS85" s="2">
        <v>0</v>
      </c>
      <c r="AT85" s="2">
        <v>0.72</v>
      </c>
      <c r="AU85" s="2">
        <v>0.72</v>
      </c>
      <c r="AV85" s="2">
        <v>0.72</v>
      </c>
      <c r="AW85" s="2">
        <v>0</v>
      </c>
      <c r="AX85" s="10" t="str">
        <f t="shared" si="47"/>
        <v/>
      </c>
      <c r="AY85" s="10" t="str">
        <f t="shared" si="48"/>
        <v/>
      </c>
      <c r="AZ85" s="10" t="str">
        <f t="shared" si="49"/>
        <v/>
      </c>
      <c r="BA85" s="10" t="str">
        <f t="shared" si="50"/>
        <v/>
      </c>
      <c r="BB85" s="2" t="str">
        <f t="shared" si="60"/>
        <v>NA</v>
      </c>
      <c r="BC85" s="6">
        <v>14800</v>
      </c>
      <c r="BD85" s="6">
        <v>14124</v>
      </c>
      <c r="BE85" s="6">
        <v>20101</v>
      </c>
      <c r="BF85" s="6">
        <v>16655</v>
      </c>
      <c r="BG85" s="6">
        <v>14429</v>
      </c>
      <c r="BH85" s="6">
        <v>18102</v>
      </c>
      <c r="BI85" s="6">
        <v>19135</v>
      </c>
      <c r="BJ85" s="6">
        <v>15232</v>
      </c>
      <c r="BK85" s="10">
        <f t="shared" si="51"/>
        <v>2.5067567567567568E-2</v>
      </c>
      <c r="BL85" s="10">
        <f t="shared" si="52"/>
        <v>-0.28164825828377232</v>
      </c>
      <c r="BM85" s="10">
        <f t="shared" si="53"/>
        <v>4.8057310581563109E-2</v>
      </c>
      <c r="BN85" s="10">
        <f t="shared" si="54"/>
        <v>8.5439807865505854E-2</v>
      </c>
      <c r="BO85" s="2">
        <f t="shared" si="61"/>
        <v>-3.0770893067283953E-2</v>
      </c>
      <c r="BP85" s="10">
        <v>-0.13330368789907374</v>
      </c>
      <c r="BQ85" s="10">
        <v>0.10670722302725265</v>
      </c>
      <c r="BR85" s="10">
        <v>-0.19078271374430739</v>
      </c>
      <c r="BS85" s="10">
        <v>-0.10131522248244818</v>
      </c>
      <c r="BT85" s="11">
        <v>0</v>
      </c>
    </row>
    <row r="86" spans="1:72">
      <c r="A86">
        <f>COUNTIFS($J$7:J86,J86,$N$7:N86,N86,$E$7:E86,E86)</f>
        <v>1</v>
      </c>
      <c r="B86" s="16" t="str">
        <f t="shared" si="55"/>
        <v>Critical</v>
      </c>
      <c r="C86" s="16" t="str">
        <f t="shared" si="56"/>
        <v>1CriticalYesTelecom-AT&amp;T</v>
      </c>
      <c r="D86" s="1">
        <v>20124</v>
      </c>
      <c r="E86" s="11" t="s">
        <v>484</v>
      </c>
      <c r="F86" s="1" t="s">
        <v>6</v>
      </c>
      <c r="G86" s="1" t="s">
        <v>143</v>
      </c>
      <c r="H86" s="1">
        <v>33</v>
      </c>
      <c r="I86" s="1" t="s">
        <v>144</v>
      </c>
      <c r="J86" s="1" t="s">
        <v>9</v>
      </c>
      <c r="K86" s="1">
        <v>1</v>
      </c>
      <c r="L86" s="1">
        <v>1</v>
      </c>
      <c r="M86" s="2">
        <v>-5.1051759048291671E-2</v>
      </c>
      <c r="N86" s="27" t="str">
        <f t="shared" si="57"/>
        <v>Critical</v>
      </c>
      <c r="O86" s="1">
        <v>1</v>
      </c>
      <c r="P86" s="6">
        <v>24.01054985</v>
      </c>
      <c r="Q86" s="6">
        <v>24.01054985</v>
      </c>
      <c r="R86" s="6">
        <v>24.01054985</v>
      </c>
      <c r="S86" s="6">
        <v>24.01054985</v>
      </c>
      <c r="T86" s="6">
        <v>59</v>
      </c>
      <c r="U86" s="6">
        <v>47</v>
      </c>
      <c r="V86" s="6">
        <v>17.25</v>
      </c>
      <c r="W86" s="6">
        <v>10</v>
      </c>
      <c r="X86" s="10">
        <f t="shared" si="39"/>
        <v>-1.4572531811469531</v>
      </c>
      <c r="Y86" s="10">
        <f t="shared" si="40"/>
        <v>-0.95747287311706442</v>
      </c>
      <c r="Z86" s="10">
        <f t="shared" si="41"/>
        <v>0.28156580720703489</v>
      </c>
      <c r="AA86" s="10">
        <f t="shared" si="42"/>
        <v>0.58351640997509269</v>
      </c>
      <c r="AB86" s="2">
        <f t="shared" si="58"/>
        <v>-0.38741095927047248</v>
      </c>
      <c r="AC86" s="6">
        <v>26.536753588364043</v>
      </c>
      <c r="AD86" s="6">
        <v>36.269248185821034</v>
      </c>
      <c r="AE86" s="6">
        <v>34.667367515118592</v>
      </c>
      <c r="AF86" s="6">
        <v>34.667367515118592</v>
      </c>
      <c r="AG86" s="6">
        <v>52.5</v>
      </c>
      <c r="AH86" s="6">
        <v>37.799999999999997</v>
      </c>
      <c r="AI86" s="6">
        <v>11</v>
      </c>
      <c r="AJ86" s="6">
        <v>5</v>
      </c>
      <c r="AK86" s="10">
        <f t="shared" si="43"/>
        <v>-0.97838819376234631</v>
      </c>
      <c r="AL86" s="10">
        <f t="shared" si="44"/>
        <v>-4.2205225935104694E-2</v>
      </c>
      <c r="AM86" s="10">
        <f t="shared" si="45"/>
        <v>0.68269872250314789</v>
      </c>
      <c r="AN86" s="10">
        <f t="shared" si="46"/>
        <v>0.85577214659233991</v>
      </c>
      <c r="AO86" s="2">
        <f t="shared" si="59"/>
        <v>0.12946936234950918</v>
      </c>
      <c r="AP86" s="2">
        <v>0.65</v>
      </c>
      <c r="AQ86" s="2">
        <v>0</v>
      </c>
      <c r="AR86" s="2">
        <v>0</v>
      </c>
      <c r="AS86" s="2">
        <v>0</v>
      </c>
      <c r="AT86" s="2">
        <v>0.65</v>
      </c>
      <c r="AU86" s="2">
        <v>0.63</v>
      </c>
      <c r="AV86" s="2">
        <v>0.56669999999999998</v>
      </c>
      <c r="AW86" s="2">
        <v>0.55000000000000004</v>
      </c>
      <c r="AX86" s="10">
        <f t="shared" si="47"/>
        <v>0</v>
      </c>
      <c r="AY86" s="10" t="str">
        <f t="shared" si="48"/>
        <v/>
      </c>
      <c r="AZ86" s="10" t="str">
        <f t="shared" si="49"/>
        <v/>
      </c>
      <c r="BA86" s="10" t="str">
        <f t="shared" si="50"/>
        <v/>
      </c>
      <c r="BB86" s="2">
        <f t="shared" si="60"/>
        <v>0</v>
      </c>
      <c r="BC86" s="6">
        <v>12692.142275695825</v>
      </c>
      <c r="BD86" s="6">
        <v>7582.559894</v>
      </c>
      <c r="BE86" s="6">
        <v>7531.9867275999995</v>
      </c>
      <c r="BF86" s="6">
        <v>7563.6792452</v>
      </c>
      <c r="BG86" s="6">
        <v>23389</v>
      </c>
      <c r="BH86" s="6">
        <v>21959</v>
      </c>
      <c r="BI86" s="6">
        <v>5907</v>
      </c>
      <c r="BJ86" s="6">
        <v>3286</v>
      </c>
      <c r="BK86" s="10">
        <f t="shared" si="51"/>
        <v>-0.84279371377577295</v>
      </c>
      <c r="BL86" s="10">
        <f t="shared" si="52"/>
        <v>-1.8959876752672835</v>
      </c>
      <c r="BM86" s="10">
        <f t="shared" si="53"/>
        <v>0.21574476779751139</v>
      </c>
      <c r="BN86" s="10">
        <f t="shared" si="54"/>
        <v>0.56555534767218818</v>
      </c>
      <c r="BO86" s="2">
        <f t="shared" si="61"/>
        <v>-0.48937031839333922</v>
      </c>
      <c r="BP86" s="10">
        <v>0.13568055400208537</v>
      </c>
      <c r="BQ86" s="10">
        <v>0</v>
      </c>
      <c r="BR86" s="10">
        <v>0</v>
      </c>
      <c r="BS86" s="10">
        <v>0</v>
      </c>
      <c r="BT86" s="11" t="s">
        <v>458</v>
      </c>
    </row>
    <row r="87" spans="1:72">
      <c r="A87">
        <f>COUNTIFS($J$7:J87,J87,$N$7:N87,N87,$E$7:E87,E87)</f>
        <v>2</v>
      </c>
      <c r="B87" s="16" t="str">
        <f t="shared" si="55"/>
        <v>Critical</v>
      </c>
      <c r="C87" s="16" t="str">
        <f t="shared" si="56"/>
        <v>2CriticalYesTelecom-AT&amp;T</v>
      </c>
      <c r="D87" s="1">
        <v>20157</v>
      </c>
      <c r="E87" s="11" t="s">
        <v>484</v>
      </c>
      <c r="F87" s="1" t="s">
        <v>6</v>
      </c>
      <c r="G87" s="1" t="s">
        <v>145</v>
      </c>
      <c r="H87" s="1">
        <v>426</v>
      </c>
      <c r="I87" s="1" t="s">
        <v>8</v>
      </c>
      <c r="J87" s="1" t="s">
        <v>9</v>
      </c>
      <c r="K87" s="1">
        <v>2</v>
      </c>
      <c r="L87" s="1">
        <v>2</v>
      </c>
      <c r="M87" s="2">
        <v>-0.12789621174851926</v>
      </c>
      <c r="N87" s="27" t="str">
        <f t="shared" si="57"/>
        <v>Critical</v>
      </c>
      <c r="O87" s="1">
        <v>2</v>
      </c>
      <c r="P87" s="6">
        <v>386.98169341530979</v>
      </c>
      <c r="Q87" s="6">
        <v>385.99425696410992</v>
      </c>
      <c r="R87" s="6">
        <v>386.24482393510868</v>
      </c>
      <c r="S87" s="6">
        <v>389.25175546164314</v>
      </c>
      <c r="T87" s="6">
        <v>494.75</v>
      </c>
      <c r="U87" s="6">
        <v>396.6</v>
      </c>
      <c r="V87" s="6">
        <v>404</v>
      </c>
      <c r="W87" s="6">
        <v>0</v>
      </c>
      <c r="X87" s="10">
        <f t="shared" si="39"/>
        <v>-0.27848424981962383</v>
      </c>
      <c r="Y87" s="10">
        <f t="shared" si="40"/>
        <v>-2.7476427031079456E-2</v>
      </c>
      <c r="Z87" s="10">
        <f t="shared" si="41"/>
        <v>-4.5968709390068842E-2</v>
      </c>
      <c r="AA87" s="10">
        <f t="shared" si="42"/>
        <v>1</v>
      </c>
      <c r="AB87" s="2">
        <f t="shared" si="58"/>
        <v>-0.11730979541359071</v>
      </c>
      <c r="AC87" s="6">
        <v>398.54330314963465</v>
      </c>
      <c r="AD87" s="6">
        <v>385.18086922494297</v>
      </c>
      <c r="AE87" s="6">
        <v>393.34755684149184</v>
      </c>
      <c r="AF87" s="6">
        <v>388.34724926049375</v>
      </c>
      <c r="AG87" s="6">
        <v>495.5</v>
      </c>
      <c r="AH87" s="6">
        <v>384.4</v>
      </c>
      <c r="AI87" s="6">
        <v>381</v>
      </c>
      <c r="AJ87" s="6">
        <v>0</v>
      </c>
      <c r="AK87" s="10">
        <f t="shared" si="43"/>
        <v>-0.24327769676250857</v>
      </c>
      <c r="AL87" s="10">
        <f t="shared" si="44"/>
        <v>2.0272793571348615E-3</v>
      </c>
      <c r="AM87" s="10">
        <f t="shared" si="45"/>
        <v>3.1390958521874235E-2</v>
      </c>
      <c r="AN87" s="10">
        <f t="shared" si="46"/>
        <v>1</v>
      </c>
      <c r="AO87" s="2">
        <f t="shared" si="59"/>
        <v>-6.9953152961166484E-2</v>
      </c>
      <c r="AP87" s="2">
        <v>0.79772929340061904</v>
      </c>
      <c r="AQ87" s="2">
        <v>0.79772929340061904</v>
      </c>
      <c r="AR87" s="2">
        <v>0.79772929340061904</v>
      </c>
      <c r="AS87" s="2">
        <v>0.79772929340061904</v>
      </c>
      <c r="AT87" s="2">
        <v>0.4</v>
      </c>
      <c r="AU87" s="2">
        <v>0.4</v>
      </c>
      <c r="AV87" s="2">
        <v>0.4</v>
      </c>
      <c r="AW87" s="2">
        <v>0</v>
      </c>
      <c r="AX87" s="10">
        <f t="shared" si="47"/>
        <v>0.49857676869950379</v>
      </c>
      <c r="AY87" s="10">
        <f t="shared" si="48"/>
        <v>0.49857676869950379</v>
      </c>
      <c r="AZ87" s="10">
        <f t="shared" si="49"/>
        <v>0.49857676869950379</v>
      </c>
      <c r="BA87" s="10">
        <f t="shared" si="50"/>
        <v>1</v>
      </c>
      <c r="BB87" s="2">
        <f t="shared" si="60"/>
        <v>0.49857676869950379</v>
      </c>
      <c r="BC87" s="6">
        <v>189745.72067680093</v>
      </c>
      <c r="BD87" s="6">
        <v>189312.27682061328</v>
      </c>
      <c r="BE87" s="6">
        <v>180459.89634952444</v>
      </c>
      <c r="BF87" s="6">
        <v>184369.73879762774</v>
      </c>
      <c r="BG87" s="6">
        <v>226256</v>
      </c>
      <c r="BH87" s="6">
        <v>220466</v>
      </c>
      <c r="BI87" s="6">
        <v>43608</v>
      </c>
      <c r="BJ87" s="6">
        <v>0</v>
      </c>
      <c r="BK87" s="10">
        <f t="shared" si="51"/>
        <v>-0.19241687872048518</v>
      </c>
      <c r="BL87" s="10">
        <f t="shared" si="52"/>
        <v>-0.16456261422975263</v>
      </c>
      <c r="BM87" s="10">
        <f t="shared" si="53"/>
        <v>0.75835074228604415</v>
      </c>
      <c r="BN87" s="10">
        <f t="shared" si="54"/>
        <v>1</v>
      </c>
      <c r="BO87" s="2">
        <f t="shared" si="61"/>
        <v>0.13379041644526879</v>
      </c>
      <c r="BP87" s="10">
        <v>-7.5088293685069737E-2</v>
      </c>
      <c r="BQ87" s="10">
        <v>-7.16131272241598E-2</v>
      </c>
      <c r="BR87" s="10">
        <v>-7.3029802374881603E-2</v>
      </c>
      <c r="BS87" s="10">
        <v>-7.0167909000330805E-2</v>
      </c>
      <c r="BT87" s="11" t="s">
        <v>458</v>
      </c>
    </row>
    <row r="88" spans="1:72">
      <c r="A88">
        <f>COUNTIFS($J$7:J88,J88,$N$7:N88,N88,$E$7:E88,E88)</f>
        <v>2</v>
      </c>
      <c r="B88" s="16" t="str">
        <f t="shared" si="55"/>
        <v>Critical</v>
      </c>
      <c r="C88" s="16" t="str">
        <f t="shared" si="56"/>
        <v>2CriticalNoBFIMG</v>
      </c>
      <c r="D88" s="1">
        <v>20164</v>
      </c>
      <c r="E88" s="1" t="s">
        <v>20</v>
      </c>
      <c r="F88" s="1" t="s">
        <v>100</v>
      </c>
      <c r="G88" s="1" t="s">
        <v>100</v>
      </c>
      <c r="H88" s="1">
        <v>16</v>
      </c>
      <c r="I88" s="1" t="s">
        <v>102</v>
      </c>
      <c r="J88" s="1" t="s">
        <v>27</v>
      </c>
      <c r="K88" s="1">
        <v>1</v>
      </c>
      <c r="L88" s="1">
        <v>1</v>
      </c>
      <c r="M88" s="2">
        <v>-0.3330251535182609</v>
      </c>
      <c r="N88" s="27" t="str">
        <f t="shared" si="57"/>
        <v>Critical</v>
      </c>
      <c r="O88" s="1">
        <v>1</v>
      </c>
      <c r="P88" s="6">
        <v>18.999257812500002</v>
      </c>
      <c r="Q88" s="6">
        <v>18.999257812500002</v>
      </c>
      <c r="R88" s="6">
        <v>18.999257812500002</v>
      </c>
      <c r="S88" s="6">
        <v>18.999257812500002</v>
      </c>
      <c r="T88" s="6">
        <v>16</v>
      </c>
      <c r="U88" s="6">
        <v>15.2</v>
      </c>
      <c r="V88" s="6">
        <v>15</v>
      </c>
      <c r="W88" s="6">
        <v>0</v>
      </c>
      <c r="X88" s="10">
        <f t="shared" si="39"/>
        <v>0.15786184082026236</v>
      </c>
      <c r="Y88" s="10">
        <f t="shared" si="40"/>
        <v>0.19996874877924931</v>
      </c>
      <c r="Z88" s="10">
        <f t="shared" si="41"/>
        <v>0.21049547576899597</v>
      </c>
      <c r="AA88" s="10">
        <f t="shared" si="42"/>
        <v>1</v>
      </c>
      <c r="AB88" s="2">
        <f t="shared" si="58"/>
        <v>0.18944202178950253</v>
      </c>
      <c r="AC88" s="6">
        <v>16</v>
      </c>
      <c r="AD88" s="6">
        <v>16</v>
      </c>
      <c r="AE88" s="6">
        <v>16</v>
      </c>
      <c r="AF88" s="6">
        <v>16</v>
      </c>
      <c r="AG88" s="6">
        <v>16</v>
      </c>
      <c r="AH88" s="6">
        <v>16</v>
      </c>
      <c r="AI88" s="6">
        <v>16</v>
      </c>
      <c r="AJ88" s="6">
        <v>0</v>
      </c>
      <c r="AK88" s="10">
        <f t="shared" si="43"/>
        <v>0</v>
      </c>
      <c r="AL88" s="10">
        <f t="shared" si="44"/>
        <v>0</v>
      </c>
      <c r="AM88" s="10">
        <f t="shared" si="45"/>
        <v>0</v>
      </c>
      <c r="AN88" s="10">
        <f t="shared" si="46"/>
        <v>1</v>
      </c>
      <c r="AO88" s="2">
        <f t="shared" si="59"/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10" t="str">
        <f t="shared" si="47"/>
        <v/>
      </c>
      <c r="AY88" s="10" t="str">
        <f t="shared" si="48"/>
        <v/>
      </c>
      <c r="AZ88" s="10" t="str">
        <f t="shared" si="49"/>
        <v/>
      </c>
      <c r="BA88" s="10" t="str">
        <f t="shared" si="50"/>
        <v/>
      </c>
      <c r="BB88" s="2" t="str">
        <f t="shared" si="60"/>
        <v>NA</v>
      </c>
      <c r="BC88" s="6">
        <v>0</v>
      </c>
      <c r="BD88" s="6">
        <v>0</v>
      </c>
      <c r="BE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10" t="str">
        <f t="shared" si="51"/>
        <v/>
      </c>
      <c r="BL88" s="10" t="str">
        <f t="shared" si="52"/>
        <v/>
      </c>
      <c r="BM88" s="10" t="str">
        <f t="shared" si="53"/>
        <v/>
      </c>
      <c r="BN88" s="10" t="str">
        <f t="shared" si="54"/>
        <v/>
      </c>
      <c r="BO88" s="2" t="str">
        <f t="shared" si="61"/>
        <v>NA</v>
      </c>
      <c r="BP88" s="10">
        <v>2.5229811903157429E-3</v>
      </c>
      <c r="BQ88" s="10">
        <v>2.4574961775801041E-2</v>
      </c>
      <c r="BR88" s="10">
        <v>2.5482600750924456E-2</v>
      </c>
      <c r="BS88" s="10">
        <v>2.7903653867679318E-2</v>
      </c>
      <c r="BT88" s="11" t="s">
        <v>460</v>
      </c>
    </row>
    <row r="89" spans="1:72">
      <c r="A89">
        <f>COUNTIFS($J$7:J89,J89,$N$7:N89,N89,$E$7:E89,E89)</f>
        <v>3</v>
      </c>
      <c r="B89" s="16" t="str">
        <f t="shared" si="55"/>
        <v>Critical</v>
      </c>
      <c r="C89" s="16" t="str">
        <f t="shared" si="56"/>
        <v>3CriticalNoBFIMG</v>
      </c>
      <c r="D89" s="1">
        <v>20220</v>
      </c>
      <c r="E89" s="1" t="s">
        <v>20</v>
      </c>
      <c r="F89" s="1" t="s">
        <v>146</v>
      </c>
      <c r="G89" s="1" t="s">
        <v>146</v>
      </c>
      <c r="H89" s="1">
        <v>28</v>
      </c>
      <c r="I89" s="1" t="s">
        <v>22</v>
      </c>
      <c r="J89" s="1" t="s">
        <v>27</v>
      </c>
      <c r="K89" s="1">
        <v>1</v>
      </c>
      <c r="L89" s="1">
        <v>1</v>
      </c>
      <c r="M89" s="2">
        <v>-0.25528003220032119</v>
      </c>
      <c r="N89" s="27" t="str">
        <f t="shared" si="57"/>
        <v>Critical</v>
      </c>
      <c r="O89" s="1">
        <v>1</v>
      </c>
      <c r="P89" s="6">
        <v>25.414810378920819</v>
      </c>
      <c r="Q89" s="6">
        <v>24.862861454555169</v>
      </c>
      <c r="R89" s="6">
        <v>24.32625774788886</v>
      </c>
      <c r="S89" s="6">
        <v>23.80459451411339</v>
      </c>
      <c r="T89" s="6">
        <v>22</v>
      </c>
      <c r="U89" s="6">
        <v>21.2</v>
      </c>
      <c r="V89" s="6">
        <v>20.25</v>
      </c>
      <c r="W89" s="6">
        <v>19.5</v>
      </c>
      <c r="X89" s="10">
        <f t="shared" si="39"/>
        <v>0.13436300834072251</v>
      </c>
      <c r="Y89" s="10">
        <f t="shared" si="40"/>
        <v>0.14732260247881043</v>
      </c>
      <c r="Z89" s="10">
        <f t="shared" si="41"/>
        <v>0.16756616616226619</v>
      </c>
      <c r="AA89" s="10">
        <f t="shared" si="42"/>
        <v>0.18083040698556155</v>
      </c>
      <c r="AB89" s="2">
        <f t="shared" si="58"/>
        <v>0.15752054599184015</v>
      </c>
      <c r="AC89" s="6">
        <v>28</v>
      </c>
      <c r="AD89" s="6">
        <v>28</v>
      </c>
      <c r="AE89" s="6">
        <v>28</v>
      </c>
      <c r="AF89" s="6">
        <v>28</v>
      </c>
      <c r="AG89" s="6">
        <v>21.75</v>
      </c>
      <c r="AH89" s="6">
        <v>22.6</v>
      </c>
      <c r="AI89" s="6">
        <v>21.25</v>
      </c>
      <c r="AJ89" s="6">
        <v>20.25</v>
      </c>
      <c r="AK89" s="10">
        <f t="shared" si="43"/>
        <v>0.22321428571428573</v>
      </c>
      <c r="AL89" s="10">
        <f t="shared" si="44"/>
        <v>0.19285714285714281</v>
      </c>
      <c r="AM89" s="10">
        <f t="shared" si="45"/>
        <v>0.24107142857142858</v>
      </c>
      <c r="AN89" s="10">
        <f t="shared" si="46"/>
        <v>0.2767857142857143</v>
      </c>
      <c r="AO89" s="2">
        <f t="shared" si="59"/>
        <v>0.23348214285714286</v>
      </c>
      <c r="AP89" s="2">
        <v>1</v>
      </c>
      <c r="AQ89" s="2">
        <v>1</v>
      </c>
      <c r="AR89" s="2">
        <v>1</v>
      </c>
      <c r="AS89" s="2">
        <v>1</v>
      </c>
      <c r="AT89" s="2">
        <v>0.71500000000000008</v>
      </c>
      <c r="AU89" s="2">
        <v>0.71500000000000008</v>
      </c>
      <c r="AV89" s="2">
        <v>0.71375</v>
      </c>
      <c r="AW89" s="2">
        <v>0.71375</v>
      </c>
      <c r="AX89" s="10">
        <f t="shared" si="47"/>
        <v>0.28499999999999992</v>
      </c>
      <c r="AY89" s="10">
        <f t="shared" si="48"/>
        <v>0.28499999999999992</v>
      </c>
      <c r="AZ89" s="10">
        <f t="shared" si="49"/>
        <v>0.28625</v>
      </c>
      <c r="BA89" s="10">
        <f t="shared" si="50"/>
        <v>0.28625</v>
      </c>
      <c r="BB89" s="2">
        <f t="shared" si="60"/>
        <v>0.28562499999999996</v>
      </c>
      <c r="BC89" s="6">
        <v>21250</v>
      </c>
      <c r="BD89" s="6">
        <v>21250</v>
      </c>
      <c r="BE89" s="6">
        <v>21250</v>
      </c>
      <c r="BF89" s="6">
        <v>21250</v>
      </c>
      <c r="BG89" s="6">
        <v>30581</v>
      </c>
      <c r="BH89" s="6">
        <v>33700</v>
      </c>
      <c r="BI89" s="6">
        <v>25472</v>
      </c>
      <c r="BJ89" s="6">
        <v>24333</v>
      </c>
      <c r="BK89" s="10">
        <f t="shared" si="51"/>
        <v>-0.43910588235294118</v>
      </c>
      <c r="BL89" s="10">
        <f t="shared" si="52"/>
        <v>-0.58588235294117652</v>
      </c>
      <c r="BM89" s="10">
        <f t="shared" si="53"/>
        <v>-0.19868235294117648</v>
      </c>
      <c r="BN89" s="10">
        <f t="shared" si="54"/>
        <v>-0.14508235294117647</v>
      </c>
      <c r="BO89" s="2">
        <f t="shared" si="61"/>
        <v>-0.34218823529411768</v>
      </c>
      <c r="BP89" s="10">
        <v>0</v>
      </c>
      <c r="BQ89" s="10">
        <v>0</v>
      </c>
      <c r="BR89" s="10">
        <v>0</v>
      </c>
      <c r="BS89" s="10">
        <v>0</v>
      </c>
      <c r="BT89" s="11" t="s">
        <v>458</v>
      </c>
    </row>
    <row r="90" spans="1:72">
      <c r="A90">
        <f>COUNTIFS($J$7:J90,J90,$N$7:N90,N90,$E$7:E90,E90)</f>
        <v>4</v>
      </c>
      <c r="B90" s="16" t="str">
        <f t="shared" si="55"/>
        <v>Critical</v>
      </c>
      <c r="C90" s="16" t="str">
        <f t="shared" si="56"/>
        <v>4CriticalNoTechnology</v>
      </c>
      <c r="D90" s="1">
        <v>20221</v>
      </c>
      <c r="E90" s="1" t="s">
        <v>23</v>
      </c>
      <c r="F90" s="1" t="s">
        <v>33</v>
      </c>
      <c r="G90" s="1" t="s">
        <v>147</v>
      </c>
      <c r="H90" s="1">
        <v>67</v>
      </c>
      <c r="I90" s="1" t="s">
        <v>35</v>
      </c>
      <c r="J90" s="1" t="s">
        <v>27</v>
      </c>
      <c r="K90" s="1">
        <v>2</v>
      </c>
      <c r="L90" s="1">
        <v>1</v>
      </c>
      <c r="M90" s="2">
        <v>-0.19772112831064501</v>
      </c>
      <c r="N90" s="27" t="str">
        <f t="shared" si="57"/>
        <v>Critical</v>
      </c>
      <c r="O90" s="1">
        <v>1</v>
      </c>
      <c r="P90" s="6">
        <v>52</v>
      </c>
      <c r="Q90" s="6">
        <v>60</v>
      </c>
      <c r="R90" s="6">
        <v>63</v>
      </c>
      <c r="S90" s="6">
        <v>80</v>
      </c>
      <c r="T90" s="6">
        <v>81</v>
      </c>
      <c r="U90" s="6">
        <v>96.8</v>
      </c>
      <c r="V90" s="6">
        <v>102.75</v>
      </c>
      <c r="W90" s="6">
        <v>157.25</v>
      </c>
      <c r="X90" s="10">
        <f t="shared" si="39"/>
        <v>-0.55769230769230771</v>
      </c>
      <c r="Y90" s="10">
        <f t="shared" si="40"/>
        <v>-0.61333333333333329</v>
      </c>
      <c r="Z90" s="10">
        <f t="shared" si="41"/>
        <v>-0.63095238095238093</v>
      </c>
      <c r="AA90" s="10">
        <f t="shared" si="42"/>
        <v>-0.96562499999999996</v>
      </c>
      <c r="AB90" s="2">
        <f t="shared" si="58"/>
        <v>-0.69190075549450547</v>
      </c>
      <c r="AC90" s="6">
        <v>60</v>
      </c>
      <c r="AD90" s="6">
        <v>66</v>
      </c>
      <c r="AE90" s="6">
        <v>70</v>
      </c>
      <c r="AF90" s="6">
        <v>88</v>
      </c>
      <c r="AG90" s="6">
        <v>89.25</v>
      </c>
      <c r="AH90" s="6">
        <v>104.6</v>
      </c>
      <c r="AI90" s="6">
        <v>117.25</v>
      </c>
      <c r="AJ90" s="6">
        <v>132</v>
      </c>
      <c r="AK90" s="10">
        <f t="shared" si="43"/>
        <v>-0.48749999999999999</v>
      </c>
      <c r="AL90" s="10">
        <f t="shared" si="44"/>
        <v>-0.58484848484848473</v>
      </c>
      <c r="AM90" s="10">
        <f t="shared" si="45"/>
        <v>-0.67500000000000004</v>
      </c>
      <c r="AN90" s="10">
        <f t="shared" si="46"/>
        <v>-0.5</v>
      </c>
      <c r="AO90" s="2">
        <f t="shared" si="59"/>
        <v>-0.56183712121212115</v>
      </c>
      <c r="AP90" s="2">
        <v>1</v>
      </c>
      <c r="AQ90" s="2">
        <v>1</v>
      </c>
      <c r="AR90" s="2">
        <v>1</v>
      </c>
      <c r="AS90" s="2">
        <v>1</v>
      </c>
      <c r="AT90" s="2">
        <v>0.65437500000000004</v>
      </c>
      <c r="AU90" s="2">
        <v>0.70700000000000007</v>
      </c>
      <c r="AV90" s="2">
        <v>0.63750000000000007</v>
      </c>
      <c r="AW90" s="2">
        <v>0.67375000000000007</v>
      </c>
      <c r="AX90" s="10">
        <f t="shared" si="47"/>
        <v>0.34562499999999996</v>
      </c>
      <c r="AY90" s="10">
        <f t="shared" si="48"/>
        <v>0.29299999999999993</v>
      </c>
      <c r="AZ90" s="10">
        <f t="shared" si="49"/>
        <v>0.36249999999999993</v>
      </c>
      <c r="BA90" s="10">
        <f t="shared" si="50"/>
        <v>0.32624999999999993</v>
      </c>
      <c r="BB90" s="2">
        <f t="shared" si="60"/>
        <v>0.33184374999999994</v>
      </c>
      <c r="BC90" s="6">
        <v>12703</v>
      </c>
      <c r="BD90" s="6">
        <v>18187</v>
      </c>
      <c r="BE90" s="6">
        <v>17344</v>
      </c>
      <c r="BF90" s="6">
        <v>21246</v>
      </c>
      <c r="BG90" s="6">
        <v>29719</v>
      </c>
      <c r="BH90" s="6">
        <v>46505</v>
      </c>
      <c r="BI90" s="6">
        <v>31440</v>
      </c>
      <c r="BJ90" s="6">
        <v>40759</v>
      </c>
      <c r="BK90" s="10">
        <f t="shared" si="51"/>
        <v>-1.3395260961977487</v>
      </c>
      <c r="BL90" s="10">
        <f t="shared" si="52"/>
        <v>-1.5570462418210811</v>
      </c>
      <c r="BM90" s="10">
        <f t="shared" si="53"/>
        <v>-0.8127306273062731</v>
      </c>
      <c r="BN90" s="10">
        <f t="shared" si="54"/>
        <v>-0.91843170479149017</v>
      </c>
      <c r="BO90" s="2">
        <f t="shared" si="61"/>
        <v>-1.1569336675291482</v>
      </c>
      <c r="BP90" s="10">
        <v>-3.7631626515461217E-2</v>
      </c>
      <c r="BQ90" s="10">
        <v>-4.1829042268991673E-2</v>
      </c>
      <c r="BR90" s="10">
        <v>-3.3649090424720376E-2</v>
      </c>
      <c r="BS90" s="10">
        <v>-2.9662828752746298E-2</v>
      </c>
      <c r="BT90" s="11">
        <v>0</v>
      </c>
    </row>
    <row r="91" spans="1:72">
      <c r="A91">
        <f>COUNTIFS($J$7:J91,J91,$N$7:N91,N91,$E$7:E91,E91)</f>
        <v>3</v>
      </c>
      <c r="B91" s="16" t="str">
        <f t="shared" si="55"/>
        <v>Medium</v>
      </c>
      <c r="C91" s="16" t="str">
        <f t="shared" si="56"/>
        <v>3MediumNoTechnology</v>
      </c>
      <c r="D91" s="1">
        <v>20224</v>
      </c>
      <c r="E91" s="1" t="s">
        <v>23</v>
      </c>
      <c r="F91" s="1" t="s">
        <v>148</v>
      </c>
      <c r="G91" s="1" t="s">
        <v>149</v>
      </c>
      <c r="H91" s="1">
        <v>31</v>
      </c>
      <c r="I91" s="1" t="s">
        <v>133</v>
      </c>
      <c r="J91" s="1" t="s">
        <v>27</v>
      </c>
      <c r="K91" s="1">
        <v>1</v>
      </c>
      <c r="L91" s="1">
        <v>1</v>
      </c>
      <c r="M91" s="2">
        <v>7.1298331069938575E-2</v>
      </c>
      <c r="N91" s="27" t="str">
        <f t="shared" si="57"/>
        <v>Medium</v>
      </c>
      <c r="O91" s="1">
        <v>1</v>
      </c>
      <c r="P91" s="6">
        <v>29</v>
      </c>
      <c r="Q91" s="6">
        <v>28</v>
      </c>
      <c r="R91" s="6">
        <v>27</v>
      </c>
      <c r="S91" s="6">
        <v>26</v>
      </c>
      <c r="T91" s="6" t="s">
        <v>422</v>
      </c>
      <c r="U91" s="6" t="s">
        <v>422</v>
      </c>
      <c r="V91" s="6" t="s">
        <v>422</v>
      </c>
      <c r="W91" s="6" t="s">
        <v>422</v>
      </c>
      <c r="X91" s="10" t="str">
        <f t="shared" si="39"/>
        <v/>
      </c>
      <c r="Y91" s="10" t="str">
        <f t="shared" si="40"/>
        <v/>
      </c>
      <c r="Z91" s="10" t="str">
        <f t="shared" si="41"/>
        <v/>
      </c>
      <c r="AA91" s="10" t="str">
        <f t="shared" si="42"/>
        <v/>
      </c>
      <c r="AB91" s="2" t="str">
        <f t="shared" si="58"/>
        <v>NA</v>
      </c>
      <c r="AC91" s="6">
        <v>29</v>
      </c>
      <c r="AD91" s="6">
        <v>28</v>
      </c>
      <c r="AE91" s="6">
        <v>27</v>
      </c>
      <c r="AF91" s="6">
        <v>26</v>
      </c>
      <c r="AG91" s="6" t="s">
        <v>422</v>
      </c>
      <c r="AH91" s="6" t="s">
        <v>422</v>
      </c>
      <c r="AI91" s="6" t="s">
        <v>422</v>
      </c>
      <c r="AJ91" s="6" t="s">
        <v>422</v>
      </c>
      <c r="AK91" s="10" t="str">
        <f t="shared" si="43"/>
        <v/>
      </c>
      <c r="AL91" s="10" t="str">
        <f t="shared" si="44"/>
        <v/>
      </c>
      <c r="AM91" s="10" t="str">
        <f t="shared" si="45"/>
        <v/>
      </c>
      <c r="AN91" s="10" t="str">
        <f t="shared" si="46"/>
        <v/>
      </c>
      <c r="AO91" s="2" t="str">
        <f t="shared" si="59"/>
        <v>NA</v>
      </c>
      <c r="AP91" s="2">
        <v>1</v>
      </c>
      <c r="AQ91" s="2">
        <v>1</v>
      </c>
      <c r="AR91" s="2">
        <v>1</v>
      </c>
      <c r="AS91" s="2">
        <v>1</v>
      </c>
      <c r="AT91" s="2" t="s">
        <v>422</v>
      </c>
      <c r="AU91" s="2" t="s">
        <v>422</v>
      </c>
      <c r="AV91" s="2" t="s">
        <v>422</v>
      </c>
      <c r="AW91" s="2" t="s">
        <v>422</v>
      </c>
      <c r="AX91" s="10" t="str">
        <f t="shared" si="47"/>
        <v/>
      </c>
      <c r="AY91" s="10" t="str">
        <f t="shared" si="48"/>
        <v/>
      </c>
      <c r="AZ91" s="10" t="str">
        <f t="shared" si="49"/>
        <v/>
      </c>
      <c r="BA91" s="10" t="str">
        <f t="shared" si="50"/>
        <v/>
      </c>
      <c r="BB91" s="2" t="str">
        <f t="shared" si="60"/>
        <v>NA</v>
      </c>
      <c r="BC91" s="6">
        <v>0</v>
      </c>
      <c r="BD91" s="6">
        <v>0</v>
      </c>
      <c r="BE91" s="6">
        <v>0</v>
      </c>
      <c r="BF91" s="6">
        <v>0</v>
      </c>
      <c r="BG91" s="6" t="s">
        <v>422</v>
      </c>
      <c r="BH91" s="6" t="s">
        <v>422</v>
      </c>
      <c r="BI91" s="6" t="s">
        <v>422</v>
      </c>
      <c r="BJ91" s="6" t="s">
        <v>422</v>
      </c>
      <c r="BK91" s="10" t="str">
        <f t="shared" si="51"/>
        <v/>
      </c>
      <c r="BL91" s="10" t="str">
        <f t="shared" si="52"/>
        <v/>
      </c>
      <c r="BM91" s="10" t="str">
        <f t="shared" si="53"/>
        <v/>
      </c>
      <c r="BN91" s="10" t="str">
        <f t="shared" si="54"/>
        <v/>
      </c>
      <c r="BO91" s="2" t="str">
        <f t="shared" si="61"/>
        <v>NA</v>
      </c>
      <c r="BP91" s="10">
        <v>-4.6354507690014701E-2</v>
      </c>
      <c r="BQ91" s="10">
        <v>-4.4451050774288847E-2</v>
      </c>
      <c r="BR91" s="10">
        <v>-4.354595530538613E-2</v>
      </c>
      <c r="BS91" s="10">
        <v>-4.3722426964162675E-2</v>
      </c>
      <c r="BT91" s="11" t="s">
        <v>461</v>
      </c>
    </row>
    <row r="92" spans="1:72">
      <c r="A92">
        <f>COUNTIFS($J$7:J92,J92,$N$7:N92,N92,$E$7:E92,E92)</f>
        <v>2</v>
      </c>
      <c r="B92" s="16" t="str">
        <f t="shared" si="55"/>
        <v>Medium</v>
      </c>
      <c r="C92" s="16" t="str">
        <f t="shared" si="56"/>
        <v>2MediumYesTelecom-AT&amp;T</v>
      </c>
      <c r="D92" s="1">
        <v>20225</v>
      </c>
      <c r="E92" s="11" t="s">
        <v>484</v>
      </c>
      <c r="F92" s="1" t="s">
        <v>6</v>
      </c>
      <c r="G92" s="1" t="s">
        <v>150</v>
      </c>
      <c r="H92" s="1">
        <v>126</v>
      </c>
      <c r="I92" s="1" t="s">
        <v>8</v>
      </c>
      <c r="J92" s="1" t="s">
        <v>9</v>
      </c>
      <c r="K92" s="1">
        <v>1</v>
      </c>
      <c r="L92" s="1"/>
      <c r="M92" s="2">
        <v>0</v>
      </c>
      <c r="N92" s="27" t="str">
        <f t="shared" si="57"/>
        <v>Medium</v>
      </c>
      <c r="O92" s="1">
        <v>0</v>
      </c>
      <c r="P92" s="6">
        <v>0</v>
      </c>
      <c r="Q92" s="6">
        <v>0</v>
      </c>
      <c r="R92" s="6">
        <v>0</v>
      </c>
      <c r="S92" s="6">
        <v>0</v>
      </c>
      <c r="T92" s="6" t="s">
        <v>422</v>
      </c>
      <c r="U92" s="6" t="s">
        <v>422</v>
      </c>
      <c r="V92" s="6" t="s">
        <v>422</v>
      </c>
      <c r="W92" s="6" t="s">
        <v>422</v>
      </c>
      <c r="X92" s="10" t="str">
        <f t="shared" si="39"/>
        <v/>
      </c>
      <c r="Y92" s="10" t="str">
        <f t="shared" si="40"/>
        <v/>
      </c>
      <c r="Z92" s="10" t="str">
        <f t="shared" si="41"/>
        <v/>
      </c>
      <c r="AA92" s="10" t="str">
        <f t="shared" si="42"/>
        <v/>
      </c>
      <c r="AB92" s="2" t="str">
        <f t="shared" si="58"/>
        <v>NA</v>
      </c>
      <c r="AC92" s="6">
        <v>0</v>
      </c>
      <c r="AD92" s="6">
        <v>0</v>
      </c>
      <c r="AE92" s="6">
        <v>0</v>
      </c>
      <c r="AF92" s="6">
        <v>0</v>
      </c>
      <c r="AG92" s="6" t="s">
        <v>422</v>
      </c>
      <c r="AH92" s="6" t="s">
        <v>422</v>
      </c>
      <c r="AI92" s="6" t="s">
        <v>422</v>
      </c>
      <c r="AJ92" s="6" t="s">
        <v>422</v>
      </c>
      <c r="AK92" s="10" t="str">
        <f t="shared" si="43"/>
        <v/>
      </c>
      <c r="AL92" s="10" t="str">
        <f t="shared" si="44"/>
        <v/>
      </c>
      <c r="AM92" s="10" t="str">
        <f t="shared" si="45"/>
        <v/>
      </c>
      <c r="AN92" s="10" t="str">
        <f t="shared" si="46"/>
        <v/>
      </c>
      <c r="AO92" s="2" t="str">
        <f t="shared" si="59"/>
        <v>NA</v>
      </c>
      <c r="AP92" s="2">
        <v>0</v>
      </c>
      <c r="AQ92" s="2">
        <v>0</v>
      </c>
      <c r="AR92" s="2">
        <v>0</v>
      </c>
      <c r="AS92" s="2">
        <v>0</v>
      </c>
      <c r="AT92" s="2" t="s">
        <v>422</v>
      </c>
      <c r="AU92" s="2" t="s">
        <v>422</v>
      </c>
      <c r="AV92" s="2" t="s">
        <v>422</v>
      </c>
      <c r="AW92" s="2" t="s">
        <v>422</v>
      </c>
      <c r="AX92" s="10" t="str">
        <f t="shared" si="47"/>
        <v/>
      </c>
      <c r="AY92" s="10" t="str">
        <f t="shared" si="48"/>
        <v/>
      </c>
      <c r="AZ92" s="10" t="str">
        <f t="shared" si="49"/>
        <v/>
      </c>
      <c r="BA92" s="10" t="str">
        <f t="shared" si="50"/>
        <v/>
      </c>
      <c r="BB92" s="2" t="str">
        <f t="shared" si="60"/>
        <v>NA</v>
      </c>
      <c r="BC92" s="6">
        <v>92616</v>
      </c>
      <c r="BD92" s="6">
        <v>92777</v>
      </c>
      <c r="BE92" s="6">
        <v>86704</v>
      </c>
      <c r="BF92" s="6">
        <v>92246</v>
      </c>
      <c r="BG92" s="6" t="s">
        <v>422</v>
      </c>
      <c r="BH92" s="6" t="s">
        <v>422</v>
      </c>
      <c r="BI92" s="6" t="s">
        <v>422</v>
      </c>
      <c r="BJ92" s="6" t="s">
        <v>422</v>
      </c>
      <c r="BK92" s="10" t="str">
        <f t="shared" si="51"/>
        <v/>
      </c>
      <c r="BL92" s="10" t="str">
        <f t="shared" si="52"/>
        <v/>
      </c>
      <c r="BM92" s="10" t="str">
        <f t="shared" si="53"/>
        <v/>
      </c>
      <c r="BN92" s="10" t="str">
        <f t="shared" si="54"/>
        <v/>
      </c>
      <c r="BO92" s="2" t="str">
        <f t="shared" si="61"/>
        <v>NA</v>
      </c>
      <c r="BP92" s="10">
        <v>0</v>
      </c>
      <c r="BQ92" s="10">
        <v>0</v>
      </c>
      <c r="BR92" s="10">
        <v>0</v>
      </c>
      <c r="BS92" s="10">
        <v>0</v>
      </c>
      <c r="BT92" s="11" t="s">
        <v>458</v>
      </c>
    </row>
    <row r="93" spans="1:72">
      <c r="A93">
        <f>COUNTIFS($J$7:J93,J93,$N$7:N93,N93,$E$7:E93,E93)</f>
        <v>5</v>
      </c>
      <c r="B93" s="16" t="str">
        <f t="shared" si="55"/>
        <v>Low</v>
      </c>
      <c r="C93" s="16" t="str">
        <f t="shared" si="56"/>
        <v>5LowNoTelecom-Non AT&amp;T</v>
      </c>
      <c r="D93" s="1">
        <v>20237</v>
      </c>
      <c r="E93" s="1" t="s">
        <v>485</v>
      </c>
      <c r="F93" s="1" t="s">
        <v>151</v>
      </c>
      <c r="G93" s="1" t="s">
        <v>151</v>
      </c>
      <c r="H93" s="1">
        <v>41</v>
      </c>
      <c r="I93" s="1" t="s">
        <v>152</v>
      </c>
      <c r="J93" s="1" t="s">
        <v>27</v>
      </c>
      <c r="K93" s="1">
        <v>1</v>
      </c>
      <c r="L93" s="1">
        <v>1</v>
      </c>
      <c r="M93" s="2">
        <v>0.21122979522576066</v>
      </c>
      <c r="N93" s="27" t="str">
        <f t="shared" si="57"/>
        <v>Low</v>
      </c>
      <c r="O93" s="1">
        <v>1</v>
      </c>
      <c r="P93" s="6">
        <v>40.936035967206308</v>
      </c>
      <c r="Q93" s="6">
        <v>38.741657642303792</v>
      </c>
      <c r="R93" s="6">
        <v>42.786520034006003</v>
      </c>
      <c r="S93" s="6">
        <v>41.712474420334033</v>
      </c>
      <c r="T93" s="6">
        <v>42</v>
      </c>
      <c r="U93" s="6">
        <v>40.200000000000003</v>
      </c>
      <c r="V93" s="6">
        <v>38.5</v>
      </c>
      <c r="W93" s="6">
        <v>37</v>
      </c>
      <c r="X93" s="10">
        <f t="shared" si="39"/>
        <v>-2.5990890609096321E-2</v>
      </c>
      <c r="Y93" s="10">
        <f t="shared" si="40"/>
        <v>-3.7642745469511858E-2</v>
      </c>
      <c r="Z93" s="10">
        <f t="shared" si="41"/>
        <v>0.10018389040751968</v>
      </c>
      <c r="AA93" s="10">
        <f t="shared" si="42"/>
        <v>0.11297518274381708</v>
      </c>
      <c r="AB93" s="2">
        <f t="shared" si="58"/>
        <v>3.7381359268182146E-2</v>
      </c>
      <c r="AC93" s="6">
        <v>34.82744107744108</v>
      </c>
      <c r="AD93" s="6">
        <v>36.485890652557316</v>
      </c>
      <c r="AE93" s="6">
        <v>34.82744107744108</v>
      </c>
      <c r="AF93" s="6">
        <v>34.82744107744108</v>
      </c>
      <c r="AG93" s="6">
        <v>34.25</v>
      </c>
      <c r="AH93" s="6">
        <v>37</v>
      </c>
      <c r="AI93" s="6">
        <v>35</v>
      </c>
      <c r="AJ93" s="6">
        <v>36.333333333333336</v>
      </c>
      <c r="AK93" s="10">
        <f t="shared" si="43"/>
        <v>1.6580060422960789E-2</v>
      </c>
      <c r="AL93" s="10">
        <f t="shared" si="44"/>
        <v>-1.4090634441087701E-2</v>
      </c>
      <c r="AM93" s="10">
        <f t="shared" si="45"/>
        <v>-4.95468277945613E-3</v>
      </c>
      <c r="AN93" s="10">
        <f t="shared" si="46"/>
        <v>-4.3238670694864048E-2</v>
      </c>
      <c r="AO93" s="2">
        <f t="shared" si="59"/>
        <v>-1.1425981873111772E-2</v>
      </c>
      <c r="AP93" s="2">
        <v>0</v>
      </c>
      <c r="AQ93" s="2">
        <v>0</v>
      </c>
      <c r="AR93" s="2">
        <v>0</v>
      </c>
      <c r="AS93" s="2">
        <v>0</v>
      </c>
      <c r="AT93" s="2">
        <v>0.9</v>
      </c>
      <c r="AU93" s="2">
        <v>0.9</v>
      </c>
      <c r="AV93" s="2">
        <v>0.9</v>
      </c>
      <c r="AW93" s="2">
        <v>0.9</v>
      </c>
      <c r="AX93" s="10" t="str">
        <f t="shared" si="47"/>
        <v/>
      </c>
      <c r="AY93" s="10" t="str">
        <f t="shared" si="48"/>
        <v/>
      </c>
      <c r="AZ93" s="10" t="str">
        <f t="shared" si="49"/>
        <v/>
      </c>
      <c r="BA93" s="10" t="str">
        <f t="shared" si="50"/>
        <v/>
      </c>
      <c r="BB93" s="2" t="str">
        <f t="shared" si="60"/>
        <v>NA</v>
      </c>
      <c r="BC93" s="6">
        <v>33100</v>
      </c>
      <c r="BD93" s="6">
        <v>33100</v>
      </c>
      <c r="BE93" s="6">
        <v>33100</v>
      </c>
      <c r="BF93" s="6">
        <v>33100</v>
      </c>
      <c r="BG93" s="6">
        <v>33164</v>
      </c>
      <c r="BH93" s="6">
        <v>44662</v>
      </c>
      <c r="BI93" s="6">
        <v>34017</v>
      </c>
      <c r="BJ93" s="6">
        <v>26495</v>
      </c>
      <c r="BK93" s="10">
        <f t="shared" si="51"/>
        <v>-1.9335347432024169E-3</v>
      </c>
      <c r="BL93" s="10">
        <f t="shared" si="52"/>
        <v>-0.34930513595166163</v>
      </c>
      <c r="BM93" s="10">
        <f t="shared" si="53"/>
        <v>-2.7703927492447131E-2</v>
      </c>
      <c r="BN93" s="10">
        <f t="shared" si="54"/>
        <v>0.19954682779456193</v>
      </c>
      <c r="BO93" s="2">
        <f t="shared" si="61"/>
        <v>-4.4848942598187315E-2</v>
      </c>
      <c r="BP93" s="10">
        <v>0</v>
      </c>
      <c r="BQ93" s="10">
        <v>0</v>
      </c>
      <c r="BR93" s="10">
        <v>0</v>
      </c>
      <c r="BS93" s="10">
        <v>0</v>
      </c>
      <c r="BT93" s="11" t="s">
        <v>458</v>
      </c>
    </row>
    <row r="94" spans="1:72">
      <c r="A94">
        <f>COUNTIFS($J$7:J94,J94,$N$7:N94,N94,$E$7:E94,E94)</f>
        <v>2</v>
      </c>
      <c r="B94" s="16" t="str">
        <f t="shared" si="55"/>
        <v>Medium</v>
      </c>
      <c r="C94" s="16" t="str">
        <f t="shared" si="56"/>
        <v>2MediumNoTelecom-Non AT&amp;T</v>
      </c>
      <c r="D94" s="1">
        <v>20259</v>
      </c>
      <c r="E94" s="1" t="s">
        <v>485</v>
      </c>
      <c r="F94" s="1" t="s">
        <v>153</v>
      </c>
      <c r="G94" s="1" t="s">
        <v>154</v>
      </c>
      <c r="H94" s="1">
        <v>15</v>
      </c>
      <c r="I94" s="1" t="s">
        <v>138</v>
      </c>
      <c r="J94" s="1" t="s">
        <v>27</v>
      </c>
      <c r="K94" s="1">
        <v>1</v>
      </c>
      <c r="L94" s="1">
        <v>1</v>
      </c>
      <c r="M94" s="2">
        <v>7.3155910220432233E-2</v>
      </c>
      <c r="N94" s="27" t="str">
        <f t="shared" si="57"/>
        <v>Medium</v>
      </c>
      <c r="O94" s="1">
        <v>0</v>
      </c>
      <c r="P94" s="6">
        <v>0</v>
      </c>
      <c r="Q94" s="6">
        <v>0</v>
      </c>
      <c r="R94" s="6">
        <v>0</v>
      </c>
      <c r="S94" s="6">
        <v>0</v>
      </c>
      <c r="T94" s="6">
        <v>32.5</v>
      </c>
      <c r="U94" s="6">
        <v>25.2</v>
      </c>
      <c r="V94" s="6">
        <v>0</v>
      </c>
      <c r="W94" s="6">
        <v>0</v>
      </c>
      <c r="X94" s="10" t="str">
        <f t="shared" si="39"/>
        <v/>
      </c>
      <c r="Y94" s="10" t="str">
        <f t="shared" si="40"/>
        <v/>
      </c>
      <c r="Z94" s="10" t="str">
        <f t="shared" si="41"/>
        <v/>
      </c>
      <c r="AA94" s="10" t="str">
        <f t="shared" si="42"/>
        <v/>
      </c>
      <c r="AB94" s="2" t="str">
        <f t="shared" si="58"/>
        <v>NA</v>
      </c>
      <c r="AC94" s="6">
        <v>0</v>
      </c>
      <c r="AD94" s="6">
        <v>0</v>
      </c>
      <c r="AE94" s="6">
        <v>0</v>
      </c>
      <c r="AF94" s="6">
        <v>0</v>
      </c>
      <c r="AG94" s="6">
        <v>15.75</v>
      </c>
      <c r="AH94" s="6">
        <v>14.2</v>
      </c>
      <c r="AI94" s="6">
        <v>0</v>
      </c>
      <c r="AJ94" s="6">
        <v>0</v>
      </c>
      <c r="AK94" s="10" t="str">
        <f t="shared" si="43"/>
        <v/>
      </c>
      <c r="AL94" s="10" t="str">
        <f t="shared" si="44"/>
        <v/>
      </c>
      <c r="AM94" s="10" t="str">
        <f t="shared" si="45"/>
        <v/>
      </c>
      <c r="AN94" s="10" t="str">
        <f t="shared" si="46"/>
        <v/>
      </c>
      <c r="AO94" s="2" t="str">
        <f t="shared" si="59"/>
        <v>NA</v>
      </c>
      <c r="AP94" s="2">
        <v>0</v>
      </c>
      <c r="AQ94" s="2">
        <v>0</v>
      </c>
      <c r="AR94" s="2">
        <v>0</v>
      </c>
      <c r="AS94" s="2">
        <v>0</v>
      </c>
      <c r="AT94" s="2">
        <v>0.6</v>
      </c>
      <c r="AU94" s="2">
        <v>0.6</v>
      </c>
      <c r="AV94" s="2">
        <v>0</v>
      </c>
      <c r="AW94" s="2">
        <v>0</v>
      </c>
      <c r="AX94" s="10" t="str">
        <f t="shared" si="47"/>
        <v/>
      </c>
      <c r="AY94" s="10" t="str">
        <f t="shared" si="48"/>
        <v/>
      </c>
      <c r="AZ94" s="10" t="str">
        <f t="shared" si="49"/>
        <v/>
      </c>
      <c r="BA94" s="10" t="str">
        <f t="shared" si="50"/>
        <v/>
      </c>
      <c r="BB94" s="2" t="str">
        <f t="shared" si="60"/>
        <v>NA</v>
      </c>
      <c r="BC94" s="6">
        <v>0</v>
      </c>
      <c r="BD94" s="6">
        <v>0</v>
      </c>
      <c r="BE94" s="6">
        <v>0</v>
      </c>
      <c r="BF94" s="6">
        <v>0</v>
      </c>
      <c r="BG94" s="6">
        <v>5583</v>
      </c>
      <c r="BH94" s="6">
        <v>6931</v>
      </c>
      <c r="BI94" s="6">
        <v>0</v>
      </c>
      <c r="BJ94" s="6">
        <v>0</v>
      </c>
      <c r="BK94" s="10" t="str">
        <f t="shared" si="51"/>
        <v/>
      </c>
      <c r="BL94" s="10" t="str">
        <f t="shared" si="52"/>
        <v/>
      </c>
      <c r="BM94" s="10" t="str">
        <f t="shared" si="53"/>
        <v/>
      </c>
      <c r="BN94" s="10" t="str">
        <f t="shared" si="54"/>
        <v/>
      </c>
      <c r="BO94" s="2" t="str">
        <f t="shared" si="61"/>
        <v>NA</v>
      </c>
      <c r="BP94" s="10">
        <v>0</v>
      </c>
      <c r="BQ94" s="10">
        <v>0</v>
      </c>
      <c r="BR94" s="10">
        <v>0</v>
      </c>
      <c r="BS94" s="10">
        <v>0</v>
      </c>
      <c r="BT94" s="11" t="s">
        <v>461</v>
      </c>
    </row>
    <row r="95" spans="1:72">
      <c r="A95">
        <f>COUNTIFS($J$7:J95,J95,$N$7:N95,N95,$E$7:E95,E95)</f>
        <v>5</v>
      </c>
      <c r="B95" s="16" t="str">
        <f t="shared" si="55"/>
        <v>Critical</v>
      </c>
      <c r="C95" s="16" t="str">
        <f t="shared" si="56"/>
        <v>5CriticalNoTechnology</v>
      </c>
      <c r="D95" s="1">
        <v>20262</v>
      </c>
      <c r="E95" s="1" t="s">
        <v>23</v>
      </c>
      <c r="F95" s="1" t="s">
        <v>24</v>
      </c>
      <c r="G95" s="1" t="s">
        <v>155</v>
      </c>
      <c r="H95" s="1">
        <v>51</v>
      </c>
      <c r="I95" s="1" t="s">
        <v>156</v>
      </c>
      <c r="J95" s="1" t="s">
        <v>27</v>
      </c>
      <c r="K95" s="1">
        <v>2</v>
      </c>
      <c r="L95" s="1">
        <v>1</v>
      </c>
      <c r="M95" s="2">
        <v>-1.4251371872006524</v>
      </c>
      <c r="N95" s="27" t="str">
        <f t="shared" si="57"/>
        <v>Critical</v>
      </c>
      <c r="O95" s="1">
        <v>1</v>
      </c>
      <c r="P95" s="6">
        <v>31.07417466361483</v>
      </c>
      <c r="Q95" s="6">
        <v>31.459889696961479</v>
      </c>
      <c r="R95" s="6">
        <v>31.1055831406848</v>
      </c>
      <c r="S95" s="6">
        <v>30.109176522262072</v>
      </c>
      <c r="T95" s="6">
        <v>46.25</v>
      </c>
      <c r="U95" s="6">
        <v>44.6</v>
      </c>
      <c r="V95" s="6">
        <v>43.25</v>
      </c>
      <c r="W95" s="6">
        <v>41.75</v>
      </c>
      <c r="X95" s="10">
        <f t="shared" si="39"/>
        <v>-0.48837420464636666</v>
      </c>
      <c r="Y95" s="10">
        <f t="shared" si="40"/>
        <v>-0.4176782064276483</v>
      </c>
      <c r="Z95" s="10">
        <f t="shared" si="41"/>
        <v>-0.39042562887788501</v>
      </c>
      <c r="AA95" s="10">
        <f t="shared" si="42"/>
        <v>-0.38662045337344103</v>
      </c>
      <c r="AB95" s="2">
        <f t="shared" si="58"/>
        <v>-0.42077462333133525</v>
      </c>
      <c r="AC95" s="6">
        <v>37</v>
      </c>
      <c r="AD95" s="6">
        <v>39</v>
      </c>
      <c r="AE95" s="6">
        <v>33</v>
      </c>
      <c r="AF95" s="6">
        <v>24</v>
      </c>
      <c r="AG95" s="6">
        <v>80.5</v>
      </c>
      <c r="AH95" s="6">
        <v>56.4</v>
      </c>
      <c r="AI95" s="6">
        <v>33.75</v>
      </c>
      <c r="AJ95" s="6">
        <v>32</v>
      </c>
      <c r="AK95" s="10">
        <f t="shared" si="43"/>
        <v>-1.1756756756756757</v>
      </c>
      <c r="AL95" s="10">
        <f t="shared" si="44"/>
        <v>-0.44615384615384612</v>
      </c>
      <c r="AM95" s="10">
        <f t="shared" si="45"/>
        <v>-2.2727272727272728E-2</v>
      </c>
      <c r="AN95" s="10">
        <f t="shared" si="46"/>
        <v>-0.33333333333333331</v>
      </c>
      <c r="AO95" s="2">
        <f t="shared" si="59"/>
        <v>-0.49447253197253194</v>
      </c>
      <c r="AP95" s="2">
        <v>0</v>
      </c>
      <c r="AQ95" s="2">
        <v>0</v>
      </c>
      <c r="AR95" s="2">
        <v>0</v>
      </c>
      <c r="AS95" s="2">
        <v>0</v>
      </c>
      <c r="AT95" s="2">
        <v>0.85</v>
      </c>
      <c r="AU95" s="2">
        <v>0.85</v>
      </c>
      <c r="AV95" s="2">
        <v>0.85</v>
      </c>
      <c r="AW95" s="2">
        <v>0.85</v>
      </c>
      <c r="AX95" s="10" t="str">
        <f t="shared" si="47"/>
        <v/>
      </c>
      <c r="AY95" s="10" t="str">
        <f t="shared" si="48"/>
        <v/>
      </c>
      <c r="AZ95" s="10" t="str">
        <f t="shared" si="49"/>
        <v/>
      </c>
      <c r="BA95" s="10" t="str">
        <f t="shared" si="50"/>
        <v/>
      </c>
      <c r="BB95" s="2" t="str">
        <f t="shared" si="60"/>
        <v>NA</v>
      </c>
      <c r="BC95" s="6">
        <v>24341.82</v>
      </c>
      <c r="BD95" s="6">
        <v>19481.939999999999</v>
      </c>
      <c r="BE95" s="6">
        <v>10665.21</v>
      </c>
      <c r="BF95" s="6">
        <v>9771.59</v>
      </c>
      <c r="BG95" s="6">
        <v>26395</v>
      </c>
      <c r="BH95" s="6">
        <v>21931</v>
      </c>
      <c r="BI95" s="6">
        <v>10644</v>
      </c>
      <c r="BJ95" s="6">
        <v>9911</v>
      </c>
      <c r="BK95" s="10">
        <f t="shared" si="51"/>
        <v>-8.4347842519581537E-2</v>
      </c>
      <c r="BL95" s="10">
        <f t="shared" si="52"/>
        <v>-0.12570924661507024</v>
      </c>
      <c r="BM95" s="10">
        <f t="shared" si="53"/>
        <v>1.9887090830840769E-3</v>
      </c>
      <c r="BN95" s="10">
        <f t="shared" si="54"/>
        <v>-1.426686956779806E-2</v>
      </c>
      <c r="BO95" s="2">
        <f t="shared" si="61"/>
        <v>-5.5583812404841434E-2</v>
      </c>
      <c r="BP95" s="10">
        <v>0.23030704483959924</v>
      </c>
      <c r="BQ95" s="10">
        <v>0.51341904408949302</v>
      </c>
      <c r="BR95" s="10">
        <v>0.61679523567168726</v>
      </c>
      <c r="BS95" s="10">
        <v>0.36664948159488109</v>
      </c>
      <c r="BT95" s="11" t="s">
        <v>458</v>
      </c>
    </row>
    <row r="96" spans="1:72">
      <c r="A96">
        <f>COUNTIFS($J$7:J96,J96,$N$7:N96,N96,$E$7:E96,E96)</f>
        <v>23</v>
      </c>
      <c r="B96" s="16" t="str">
        <f t="shared" si="55"/>
        <v>Low</v>
      </c>
      <c r="C96" s="16" t="str">
        <f t="shared" si="56"/>
        <v>23LowNoTechnology</v>
      </c>
      <c r="D96" s="1">
        <v>20274</v>
      </c>
      <c r="E96" s="1" t="s">
        <v>23</v>
      </c>
      <c r="F96" s="1" t="s">
        <v>36</v>
      </c>
      <c r="G96" s="1" t="s">
        <v>157</v>
      </c>
      <c r="H96" s="1">
        <v>126</v>
      </c>
      <c r="I96" s="1" t="s">
        <v>38</v>
      </c>
      <c r="J96" s="1" t="s">
        <v>27</v>
      </c>
      <c r="K96" s="1">
        <v>1</v>
      </c>
      <c r="L96" s="1">
        <v>1</v>
      </c>
      <c r="M96" s="2">
        <v>0.13484654986094394</v>
      </c>
      <c r="N96" s="27" t="str">
        <f t="shared" si="57"/>
        <v>Low</v>
      </c>
      <c r="O96" s="1">
        <v>1</v>
      </c>
      <c r="P96" s="6">
        <v>107.0242158904944</v>
      </c>
      <c r="Q96" s="6">
        <v>110.3110892021454</v>
      </c>
      <c r="R96" s="6">
        <v>129.86534730012809</v>
      </c>
      <c r="S96" s="6">
        <v>122.5676737079277</v>
      </c>
      <c r="T96" s="6">
        <v>116.75</v>
      </c>
      <c r="U96" s="6">
        <v>147</v>
      </c>
      <c r="V96" s="6">
        <v>182</v>
      </c>
      <c r="W96" s="6">
        <v>0</v>
      </c>
      <c r="X96" s="10">
        <f t="shared" si="39"/>
        <v>-9.0874612148122397E-2</v>
      </c>
      <c r="Y96" s="10">
        <f t="shared" si="40"/>
        <v>-0.33259494637589943</v>
      </c>
      <c r="Z96" s="10">
        <f t="shared" si="41"/>
        <v>-0.40145160956128662</v>
      </c>
      <c r="AA96" s="10">
        <f t="shared" si="42"/>
        <v>1</v>
      </c>
      <c r="AB96" s="2">
        <f t="shared" si="58"/>
        <v>-0.27497372269510278</v>
      </c>
      <c r="AC96" s="6">
        <v>112.75811725834774</v>
      </c>
      <c r="AD96" s="6">
        <v>121.95222688104275</v>
      </c>
      <c r="AE96" s="6">
        <v>144.06983031830319</v>
      </c>
      <c r="AF96" s="6">
        <v>133.68417400076541</v>
      </c>
      <c r="AG96" s="6">
        <v>145.25</v>
      </c>
      <c r="AH96" s="6">
        <v>146</v>
      </c>
      <c r="AI96" s="6">
        <v>197.75</v>
      </c>
      <c r="AJ96" s="6">
        <v>120.75</v>
      </c>
      <c r="AK96" s="10">
        <f t="shared" si="43"/>
        <v>-0.28815559829903786</v>
      </c>
      <c r="AL96" s="10">
        <f t="shared" si="44"/>
        <v>-0.1971901107014179</v>
      </c>
      <c r="AM96" s="10">
        <f t="shared" si="45"/>
        <v>-0.37259827101272758</v>
      </c>
      <c r="AN96" s="10">
        <f t="shared" si="46"/>
        <v>9.6751721716075045E-2</v>
      </c>
      <c r="AO96" s="2">
        <f t="shared" si="59"/>
        <v>-0.19029806457427709</v>
      </c>
      <c r="AP96" s="2">
        <v>0</v>
      </c>
      <c r="AQ96" s="2">
        <v>0</v>
      </c>
      <c r="AR96" s="2">
        <v>0</v>
      </c>
      <c r="AS96" s="2">
        <v>0</v>
      </c>
      <c r="AT96" s="2">
        <v>0.84</v>
      </c>
      <c r="AU96" s="2">
        <v>0.84</v>
      </c>
      <c r="AV96" s="2">
        <v>0.84</v>
      </c>
      <c r="AW96" s="2">
        <v>0</v>
      </c>
      <c r="AX96" s="10" t="str">
        <f t="shared" si="47"/>
        <v/>
      </c>
      <c r="AY96" s="10" t="str">
        <f t="shared" si="48"/>
        <v/>
      </c>
      <c r="AZ96" s="10" t="str">
        <f t="shared" si="49"/>
        <v/>
      </c>
      <c r="BA96" s="10" t="str">
        <f t="shared" si="50"/>
        <v/>
      </c>
      <c r="BB96" s="2" t="str">
        <f t="shared" si="60"/>
        <v>NA</v>
      </c>
      <c r="BC96" s="6">
        <v>236107.96416512463</v>
      </c>
      <c r="BD96" s="6">
        <v>224198.7750386906</v>
      </c>
      <c r="BE96" s="6">
        <v>329018.76255619805</v>
      </c>
      <c r="BF96" s="6">
        <v>268664.50274282281</v>
      </c>
      <c r="BG96" s="6">
        <v>240252</v>
      </c>
      <c r="BH96" s="6">
        <v>302150</v>
      </c>
      <c r="BI96" s="6">
        <v>326652</v>
      </c>
      <c r="BJ96" s="6">
        <v>199575</v>
      </c>
      <c r="BK96" s="10">
        <f t="shared" si="51"/>
        <v>-1.7551444524663257E-2</v>
      </c>
      <c r="BL96" s="10">
        <f t="shared" si="52"/>
        <v>-0.3476880056452456</v>
      </c>
      <c r="BM96" s="10">
        <f t="shared" si="53"/>
        <v>7.1933969291304422E-3</v>
      </c>
      <c r="BN96" s="10">
        <f t="shared" si="54"/>
        <v>0.25715902933763546</v>
      </c>
      <c r="BO96" s="2">
        <f t="shared" si="61"/>
        <v>-2.5221755975785742E-2</v>
      </c>
      <c r="BP96" s="10">
        <v>4.133659069089643E-2</v>
      </c>
      <c r="BQ96" s="10">
        <v>1.6052611732257721E-2</v>
      </c>
      <c r="BR96" s="10">
        <v>-9.4679703545297922E-2</v>
      </c>
      <c r="BS96" s="10">
        <v>-3.5191343103467276E-3</v>
      </c>
      <c r="BT96" s="11" t="s">
        <v>459</v>
      </c>
    </row>
    <row r="97" spans="1:72">
      <c r="A97">
        <f>COUNTIFS($J$7:J97,J97,$N$7:N97,N97,$E$7:E97,E97)</f>
        <v>3</v>
      </c>
      <c r="B97" s="16" t="str">
        <f t="shared" si="55"/>
        <v>Medium</v>
      </c>
      <c r="C97" s="16" t="str">
        <f t="shared" si="56"/>
        <v>3MediumYesTelecom-AT&amp;T</v>
      </c>
      <c r="D97" s="1">
        <v>20279</v>
      </c>
      <c r="E97" s="11" t="s">
        <v>484</v>
      </c>
      <c r="F97" s="1" t="s">
        <v>6</v>
      </c>
      <c r="G97" s="1" t="s">
        <v>158</v>
      </c>
      <c r="H97" s="1">
        <v>227</v>
      </c>
      <c r="I97" s="1" t="s">
        <v>118</v>
      </c>
      <c r="J97" s="1" t="s">
        <v>9</v>
      </c>
      <c r="K97" s="1">
        <v>1</v>
      </c>
      <c r="L97" s="1">
        <v>1</v>
      </c>
      <c r="M97" s="2">
        <v>1.8899363775782718E-2</v>
      </c>
      <c r="N97" s="27" t="str">
        <f t="shared" si="57"/>
        <v>Medium</v>
      </c>
      <c r="O97" s="1">
        <v>1</v>
      </c>
      <c r="P97" s="6">
        <v>217.69131080851511</v>
      </c>
      <c r="Q97" s="6">
        <v>201.4927687945017</v>
      </c>
      <c r="R97" s="6">
        <v>186.58687173553719</v>
      </c>
      <c r="S97" s="6">
        <v>172.87113707965401</v>
      </c>
      <c r="T97" s="6">
        <v>164</v>
      </c>
      <c r="U97" s="6">
        <v>176</v>
      </c>
      <c r="V97" s="6">
        <v>183.5</v>
      </c>
      <c r="W97" s="6">
        <v>175</v>
      </c>
      <c r="X97" s="10">
        <f t="shared" si="39"/>
        <v>0.24663965965891435</v>
      </c>
      <c r="Y97" s="10">
        <f t="shared" si="40"/>
        <v>0.12651952200081804</v>
      </c>
      <c r="Z97" s="10">
        <f t="shared" si="41"/>
        <v>1.6543884930513383E-2</v>
      </c>
      <c r="AA97" s="10">
        <f t="shared" si="42"/>
        <v>-1.2314738922351604E-2</v>
      </c>
      <c r="AB97" s="2">
        <f t="shared" si="58"/>
        <v>9.4347081916973552E-2</v>
      </c>
      <c r="AC97" s="6">
        <v>146.02780032467527</v>
      </c>
      <c r="AD97" s="6">
        <v>161.57670454545448</v>
      </c>
      <c r="AE97" s="6">
        <v>165.72265624999994</v>
      </c>
      <c r="AF97" s="6">
        <v>157.8311011904762</v>
      </c>
      <c r="AG97" s="6">
        <v>141.25</v>
      </c>
      <c r="AH97" s="6">
        <v>158.4</v>
      </c>
      <c r="AI97" s="6">
        <v>167.25</v>
      </c>
      <c r="AJ97" s="6">
        <v>154</v>
      </c>
      <c r="AK97" s="10">
        <f t="shared" si="43"/>
        <v>3.2718429737710247E-2</v>
      </c>
      <c r="AL97" s="10">
        <f t="shared" si="44"/>
        <v>1.9660659340658884E-2</v>
      </c>
      <c r="AM97" s="10">
        <f t="shared" si="45"/>
        <v>-9.216263995286144E-3</v>
      </c>
      <c r="AN97" s="10">
        <f t="shared" si="46"/>
        <v>2.4273423688862782E-2</v>
      </c>
      <c r="AO97" s="2">
        <f t="shared" si="59"/>
        <v>1.685906219298644E-2</v>
      </c>
      <c r="AP97" s="2">
        <v>0.8</v>
      </c>
      <c r="AQ97" s="2">
        <v>0.8</v>
      </c>
      <c r="AR97" s="2">
        <v>0.8</v>
      </c>
      <c r="AS97" s="2">
        <v>0.8</v>
      </c>
      <c r="AT97" s="2">
        <v>0.8</v>
      </c>
      <c r="AU97" s="2">
        <v>0.8</v>
      </c>
      <c r="AV97" s="2">
        <v>0.8</v>
      </c>
      <c r="AW97" s="2">
        <v>0.8</v>
      </c>
      <c r="AX97" s="10">
        <f t="shared" si="47"/>
        <v>0</v>
      </c>
      <c r="AY97" s="10">
        <f t="shared" si="48"/>
        <v>0</v>
      </c>
      <c r="AZ97" s="10">
        <f t="shared" si="49"/>
        <v>0</v>
      </c>
      <c r="BA97" s="10">
        <f t="shared" si="50"/>
        <v>0</v>
      </c>
      <c r="BB97" s="2">
        <f t="shared" si="60"/>
        <v>0</v>
      </c>
      <c r="BC97" s="6">
        <v>246728.57142857142</v>
      </c>
      <c r="BD97" s="6">
        <v>260000</v>
      </c>
      <c r="BE97" s="6">
        <v>266671.42857142858</v>
      </c>
      <c r="BF97" s="6">
        <v>266671.42857142852</v>
      </c>
      <c r="BG97" s="6">
        <v>15913</v>
      </c>
      <c r="BH97" s="6">
        <v>21436</v>
      </c>
      <c r="BI97" s="6">
        <v>16971</v>
      </c>
      <c r="BJ97" s="6">
        <v>16511</v>
      </c>
      <c r="BK97" s="10">
        <f t="shared" si="51"/>
        <v>0.93550402408661915</v>
      </c>
      <c r="BL97" s="10">
        <f t="shared" si="52"/>
        <v>0.91755384615384616</v>
      </c>
      <c r="BM97" s="10">
        <f t="shared" si="53"/>
        <v>0.93635988643059942</v>
      </c>
      <c r="BN97" s="10">
        <f t="shared" si="54"/>
        <v>0.93808485562757804</v>
      </c>
      <c r="BO97" s="2">
        <f t="shared" si="61"/>
        <v>0.93187565307466069</v>
      </c>
      <c r="BP97" s="10">
        <v>2.9548207014439054E-2</v>
      </c>
      <c r="BQ97" s="10">
        <v>3.2237714465775835E-2</v>
      </c>
      <c r="BR97" s="10">
        <v>-3.8922534499610861E-2</v>
      </c>
      <c r="BS97" s="10">
        <v>3.5558467776424074E-2</v>
      </c>
      <c r="BT97" s="11" t="s">
        <v>459</v>
      </c>
    </row>
    <row r="98" spans="1:72">
      <c r="A98">
        <f>COUNTIFS($J$7:J98,J98,$N$7:N98,N98,$E$7:E98,E98)</f>
        <v>4</v>
      </c>
      <c r="B98" s="16" t="str">
        <f t="shared" si="55"/>
        <v>Medium</v>
      </c>
      <c r="C98" s="16" t="str">
        <f t="shared" si="56"/>
        <v>4MediumNoTechnology</v>
      </c>
      <c r="D98" s="1">
        <v>20280</v>
      </c>
      <c r="E98" s="1" t="s">
        <v>23</v>
      </c>
      <c r="F98" s="1" t="s">
        <v>36</v>
      </c>
      <c r="G98" s="1" t="s">
        <v>159</v>
      </c>
      <c r="H98" s="1">
        <v>311</v>
      </c>
      <c r="I98" s="1" t="s">
        <v>160</v>
      </c>
      <c r="J98" s="1" t="s">
        <v>27</v>
      </c>
      <c r="K98" s="1">
        <v>5</v>
      </c>
      <c r="L98" s="1">
        <v>1</v>
      </c>
      <c r="M98" s="2">
        <v>9.2539641364800737E-2</v>
      </c>
      <c r="N98" s="27" t="str">
        <f t="shared" si="57"/>
        <v>Medium</v>
      </c>
      <c r="O98" s="1">
        <v>1</v>
      </c>
      <c r="P98" s="6">
        <v>200.76106382478619</v>
      </c>
      <c r="Q98" s="6">
        <v>202.55261608883791</v>
      </c>
      <c r="R98" s="6">
        <v>221.034331421812</v>
      </c>
      <c r="S98" s="6">
        <v>254.82860774836249</v>
      </c>
      <c r="T98" s="6">
        <v>254.25</v>
      </c>
      <c r="U98" s="6">
        <v>329.2</v>
      </c>
      <c r="V98" s="6">
        <v>411.75</v>
      </c>
      <c r="W98" s="6">
        <v>420</v>
      </c>
      <c r="X98" s="10">
        <f t="shared" si="39"/>
        <v>-0.26643082655656858</v>
      </c>
      <c r="Y98" s="10">
        <f t="shared" si="40"/>
        <v>-0.6252567177686591</v>
      </c>
      <c r="Z98" s="10">
        <f t="shared" si="41"/>
        <v>-0.86283278869577407</v>
      </c>
      <c r="AA98" s="10">
        <f t="shared" si="42"/>
        <v>-0.64816659993975456</v>
      </c>
      <c r="AB98" s="2">
        <f t="shared" si="58"/>
        <v>-0.60067173324018908</v>
      </c>
      <c r="AC98" s="6">
        <v>220.48618932645221</v>
      </c>
      <c r="AD98" s="6">
        <v>222.45376473253137</v>
      </c>
      <c r="AE98" s="6">
        <v>242.75134090766139</v>
      </c>
      <c r="AF98" s="6">
        <v>279.86596396419822</v>
      </c>
      <c r="AG98" s="6">
        <v>231</v>
      </c>
      <c r="AH98" s="6">
        <v>254.2</v>
      </c>
      <c r="AI98" s="6">
        <v>356.25</v>
      </c>
      <c r="AJ98" s="6">
        <v>365.5</v>
      </c>
      <c r="AK98" s="10">
        <f t="shared" si="43"/>
        <v>-4.7684667713953868E-2</v>
      </c>
      <c r="AL98" s="10">
        <f t="shared" si="44"/>
        <v>-0.1427093639239547</v>
      </c>
      <c r="AM98" s="10">
        <f t="shared" si="45"/>
        <v>-0.46755111081141931</v>
      </c>
      <c r="AN98" s="10">
        <f t="shared" si="46"/>
        <v>-0.30598231675916299</v>
      </c>
      <c r="AO98" s="2">
        <f t="shared" si="59"/>
        <v>-0.24098186480212272</v>
      </c>
      <c r="AP98" s="2">
        <v>0</v>
      </c>
      <c r="AQ98" s="2">
        <v>0</v>
      </c>
      <c r="AR98" s="2">
        <v>0</v>
      </c>
      <c r="AS98" s="2">
        <v>0</v>
      </c>
      <c r="AT98" s="2">
        <v>0.73</v>
      </c>
      <c r="AU98" s="2">
        <v>0.73</v>
      </c>
      <c r="AV98" s="2">
        <v>0.73</v>
      </c>
      <c r="AW98" s="2">
        <v>0.73</v>
      </c>
      <c r="AX98" s="10" t="str">
        <f t="shared" si="47"/>
        <v/>
      </c>
      <c r="AY98" s="10" t="str">
        <f t="shared" si="48"/>
        <v/>
      </c>
      <c r="AZ98" s="10" t="str">
        <f t="shared" si="49"/>
        <v/>
      </c>
      <c r="BA98" s="10" t="str">
        <f t="shared" si="50"/>
        <v/>
      </c>
      <c r="BB98" s="2" t="str">
        <f t="shared" si="60"/>
        <v>NA</v>
      </c>
      <c r="BC98" s="6">
        <v>67541.647769269461</v>
      </c>
      <c r="BD98" s="6">
        <v>65046.904511886467</v>
      </c>
      <c r="BE98" s="6">
        <v>74362.143103790659</v>
      </c>
      <c r="BF98" s="6">
        <v>85731.484672220002</v>
      </c>
      <c r="BG98" s="6">
        <v>65455</v>
      </c>
      <c r="BH98" s="6">
        <v>88943</v>
      </c>
      <c r="BI98" s="6">
        <v>100346</v>
      </c>
      <c r="BJ98" s="6">
        <v>106222</v>
      </c>
      <c r="BK98" s="10">
        <f t="shared" si="51"/>
        <v>3.0894238417127531E-2</v>
      </c>
      <c r="BL98" s="10">
        <f t="shared" si="52"/>
        <v>-0.36736714325501585</v>
      </c>
      <c r="BM98" s="10">
        <f t="shared" si="53"/>
        <v>-0.34942318512717524</v>
      </c>
      <c r="BN98" s="10">
        <f t="shared" si="54"/>
        <v>-0.23900805411363232</v>
      </c>
      <c r="BO98" s="2">
        <f t="shared" si="61"/>
        <v>-0.23122603601967398</v>
      </c>
      <c r="BP98" s="10">
        <v>0</v>
      </c>
      <c r="BQ98" s="10">
        <v>0</v>
      </c>
      <c r="BR98" s="10">
        <v>0</v>
      </c>
      <c r="BS98" s="10">
        <v>0</v>
      </c>
      <c r="BT98" s="11">
        <v>0</v>
      </c>
    </row>
    <row r="99" spans="1:72">
      <c r="A99">
        <f>COUNTIFS($J$7:J99,J99,$N$7:N99,N99,$E$7:E99,E99)</f>
        <v>24</v>
      </c>
      <c r="B99" s="16" t="str">
        <f t="shared" si="55"/>
        <v>Low</v>
      </c>
      <c r="C99" s="16" t="str">
        <f t="shared" si="56"/>
        <v>24LowNoTechnology</v>
      </c>
      <c r="D99" s="7">
        <v>20291</v>
      </c>
      <c r="E99" s="1" t="s">
        <v>23</v>
      </c>
      <c r="F99" s="1" t="s">
        <v>161</v>
      </c>
      <c r="G99" s="1" t="s">
        <v>162</v>
      </c>
      <c r="H99" s="1">
        <v>130</v>
      </c>
      <c r="I99" s="1" t="s">
        <v>133</v>
      </c>
      <c r="J99" s="1" t="s">
        <v>27</v>
      </c>
      <c r="K99" s="1">
        <v>2</v>
      </c>
      <c r="L99" s="1">
        <v>1</v>
      </c>
      <c r="M99" s="2">
        <v>0.14074267869335888</v>
      </c>
      <c r="N99" s="27" t="str">
        <f t="shared" si="57"/>
        <v>Low</v>
      </c>
      <c r="O99" s="1">
        <v>1</v>
      </c>
      <c r="P99" s="8">
        <v>91.292544684511185</v>
      </c>
      <c r="Q99" s="8">
        <v>87.072317603666761</v>
      </c>
      <c r="R99" s="8">
        <v>88.327020212091853</v>
      </c>
      <c r="S99" s="8">
        <v>152.2220008064516</v>
      </c>
      <c r="T99" s="98">
        <v>216.5</v>
      </c>
      <c r="U99" s="98">
        <v>210.4</v>
      </c>
      <c r="V99" s="98">
        <v>203.75</v>
      </c>
      <c r="W99" s="98">
        <v>214.5</v>
      </c>
      <c r="X99" s="94">
        <f t="shared" si="39"/>
        <v>-1.3714970455493467</v>
      </c>
      <c r="Y99" s="94">
        <f t="shared" si="40"/>
        <v>-1.4163822187172346</v>
      </c>
      <c r="Z99" s="94">
        <f t="shared" si="41"/>
        <v>-1.3067686367178828</v>
      </c>
      <c r="AA99" s="94">
        <f t="shared" si="42"/>
        <v>-0.40912613724434027</v>
      </c>
      <c r="AB99" s="97">
        <f>IFERROR(AVERAGEIF(X99:AA99,"&lt;&gt;100%",X99:AA99),"")</f>
        <v>-1.125943509557201</v>
      </c>
      <c r="AC99" s="8">
        <v>89</v>
      </c>
      <c r="AD99" s="8">
        <v>81</v>
      </c>
      <c r="AE99" s="8">
        <v>89</v>
      </c>
      <c r="AF99" s="8">
        <v>159</v>
      </c>
      <c r="AG99" s="98">
        <v>145</v>
      </c>
      <c r="AH99" s="98">
        <v>139.80000000000001</v>
      </c>
      <c r="AI99" s="98">
        <v>127.75</v>
      </c>
      <c r="AJ99" s="98">
        <v>173.5</v>
      </c>
      <c r="AK99" s="94">
        <f t="shared" si="43"/>
        <v>-0.6292134831460674</v>
      </c>
      <c r="AL99" s="94">
        <f t="shared" si="44"/>
        <v>-0.72592592592592609</v>
      </c>
      <c r="AM99" s="94">
        <f t="shared" si="45"/>
        <v>-0.4353932584269663</v>
      </c>
      <c r="AN99" s="94">
        <f t="shared" si="46"/>
        <v>-9.1194968553459113E-2</v>
      </c>
      <c r="AO99" s="97">
        <f>IFERROR(AVERAGEIF(AK99:AN99,"&lt;&gt;100%",AK99:AN99),"")</f>
        <v>-0.47043190901310478</v>
      </c>
      <c r="AP99" s="19">
        <v>0.86</v>
      </c>
      <c r="AQ99" s="19">
        <v>0.86</v>
      </c>
      <c r="AR99" s="19">
        <v>0.86</v>
      </c>
      <c r="AS99" s="19">
        <v>0.86</v>
      </c>
      <c r="AT99" s="119">
        <v>0.86</v>
      </c>
      <c r="AU99" s="119">
        <v>0.86</v>
      </c>
      <c r="AV99" s="119">
        <v>0.86</v>
      </c>
      <c r="AW99" s="119">
        <v>0.86</v>
      </c>
      <c r="AX99" s="94">
        <f t="shared" si="47"/>
        <v>0</v>
      </c>
      <c r="AY99" s="94">
        <f t="shared" si="48"/>
        <v>0</v>
      </c>
      <c r="AZ99" s="94">
        <f t="shared" si="49"/>
        <v>0</v>
      </c>
      <c r="BA99" s="94">
        <f t="shared" si="50"/>
        <v>0</v>
      </c>
      <c r="BB99" s="97">
        <f>IFERROR(AVERAGEIF(AX99:BA99,"&lt;&gt;100%",AX99:BA99),"")</f>
        <v>0</v>
      </c>
      <c r="BC99" s="8">
        <v>0</v>
      </c>
      <c r="BD99" s="8">
        <v>0</v>
      </c>
      <c r="BE99" s="8">
        <v>0</v>
      </c>
      <c r="BF99" s="8">
        <v>0</v>
      </c>
      <c r="BG99" s="98">
        <v>29430</v>
      </c>
      <c r="BH99" s="98">
        <v>34730</v>
      </c>
      <c r="BI99" s="98">
        <v>25418</v>
      </c>
      <c r="BJ99" s="98">
        <v>34249</v>
      </c>
      <c r="BK99" s="94" t="str">
        <f t="shared" si="51"/>
        <v/>
      </c>
      <c r="BL99" s="94" t="str">
        <f t="shared" si="52"/>
        <v/>
      </c>
      <c r="BM99" s="94" t="str">
        <f t="shared" si="53"/>
        <v/>
      </c>
      <c r="BN99" s="94" t="str">
        <f t="shared" si="54"/>
        <v/>
      </c>
      <c r="BO99" s="97" t="str">
        <f>IFERROR(AVERAGEIF(BK99:BN99,"&lt;&gt;100%",BK99:BN99),"")</f>
        <v/>
      </c>
      <c r="BP99" s="10">
        <v>-2.5933645480663875E-2</v>
      </c>
      <c r="BQ99" s="10">
        <v>-2.8583109431806274E-2</v>
      </c>
      <c r="BR99" s="10">
        <v>-2.635599109035025E-2</v>
      </c>
      <c r="BS99" s="10">
        <v>-1.1590890556049255E-2</v>
      </c>
      <c r="BT99" s="11">
        <v>0</v>
      </c>
    </row>
    <row r="100" spans="1:72">
      <c r="A100">
        <f>COUNTIFS($J$7:J100,J100,$N$7:N100,N100,$E$7:E100,E100)</f>
        <v>25</v>
      </c>
      <c r="B100" s="16" t="str">
        <f t="shared" si="55"/>
        <v>Low</v>
      </c>
      <c r="C100" s="16" t="str">
        <f t="shared" si="56"/>
        <v>25LowNoTechnology</v>
      </c>
      <c r="D100" s="7">
        <v>20297</v>
      </c>
      <c r="E100" s="1" t="s">
        <v>23</v>
      </c>
      <c r="F100" s="1" t="s">
        <v>161</v>
      </c>
      <c r="G100" s="1" t="s">
        <v>163</v>
      </c>
      <c r="H100" s="1">
        <v>22</v>
      </c>
      <c r="I100" s="1" t="s">
        <v>133</v>
      </c>
      <c r="J100" s="1" t="s">
        <v>27</v>
      </c>
      <c r="K100" s="1">
        <v>2</v>
      </c>
      <c r="L100" s="1">
        <v>1</v>
      </c>
      <c r="M100" s="2">
        <v>0.1255787525225654</v>
      </c>
      <c r="N100" s="27" t="str">
        <f t="shared" si="57"/>
        <v>Low</v>
      </c>
      <c r="O100" s="1">
        <v>1</v>
      </c>
      <c r="P100" s="8">
        <v>21.998315625</v>
      </c>
      <c r="Q100" s="8">
        <v>21.998315625</v>
      </c>
      <c r="R100" s="8">
        <v>21.998315625</v>
      </c>
      <c r="S100" s="8">
        <v>21.998315625</v>
      </c>
      <c r="T100" s="110"/>
      <c r="U100" s="99"/>
      <c r="V100" s="99"/>
      <c r="W100" s="99"/>
      <c r="X100" s="95"/>
      <c r="Y100" s="96"/>
      <c r="Z100" s="96"/>
      <c r="AA100" s="96"/>
      <c r="AB100" s="96"/>
      <c r="AC100" s="8">
        <v>6</v>
      </c>
      <c r="AD100" s="8">
        <v>2</v>
      </c>
      <c r="AE100" s="8">
        <v>2</v>
      </c>
      <c r="AF100" s="8">
        <v>2</v>
      </c>
      <c r="AG100" s="110"/>
      <c r="AH100" s="99"/>
      <c r="AI100" s="99"/>
      <c r="AJ100" s="99"/>
      <c r="AK100" s="95"/>
      <c r="AL100" s="96"/>
      <c r="AM100" s="96"/>
      <c r="AN100" s="96"/>
      <c r="AO100" s="96"/>
      <c r="AP100" s="19">
        <v>0.90999999999999992</v>
      </c>
      <c r="AQ100" s="19">
        <v>0.86</v>
      </c>
      <c r="AR100" s="19">
        <v>0.86</v>
      </c>
      <c r="AS100" s="19">
        <v>0.86</v>
      </c>
      <c r="AT100" s="120"/>
      <c r="AU100" s="120"/>
      <c r="AV100" s="120"/>
      <c r="AW100" s="120"/>
      <c r="AX100" s="95"/>
      <c r="AY100" s="96"/>
      <c r="AZ100" s="96"/>
      <c r="BA100" s="96"/>
      <c r="BB100" s="96"/>
      <c r="BC100" s="8">
        <v>0</v>
      </c>
      <c r="BD100" s="8">
        <v>0</v>
      </c>
      <c r="BE100" s="8">
        <v>0</v>
      </c>
      <c r="BF100" s="8">
        <v>0</v>
      </c>
      <c r="BG100" s="110"/>
      <c r="BH100" s="110"/>
      <c r="BI100" s="110"/>
      <c r="BJ100" s="110"/>
      <c r="BK100" s="95"/>
      <c r="BL100" s="96"/>
      <c r="BM100" s="96"/>
      <c r="BN100" s="96"/>
      <c r="BO100" s="96"/>
      <c r="BP100" s="10">
        <v>-0.18266661021409708</v>
      </c>
      <c r="BQ100" s="10">
        <v>0.11669757663129968</v>
      </c>
      <c r="BR100" s="10">
        <v>4.2468085716328513E-2</v>
      </c>
      <c r="BS100" s="10">
        <v>3.8849037508829093E-2</v>
      </c>
      <c r="BT100" s="11">
        <v>0</v>
      </c>
    </row>
    <row r="101" spans="1:72">
      <c r="A101">
        <f>COUNTIFS($J$7:J101,J101,$N$7:N101,N101,$E$7:E101,E101)</f>
        <v>4</v>
      </c>
      <c r="B101" s="16" t="str">
        <f t="shared" si="55"/>
        <v>Medium</v>
      </c>
      <c r="C101" s="16" t="str">
        <f t="shared" si="56"/>
        <v>4MediumNoBFIMG</v>
      </c>
      <c r="D101" s="1">
        <v>20306</v>
      </c>
      <c r="E101" s="1" t="s">
        <v>20</v>
      </c>
      <c r="F101" s="1" t="s">
        <v>164</v>
      </c>
      <c r="G101" s="1" t="s">
        <v>165</v>
      </c>
      <c r="H101" s="1">
        <v>325</v>
      </c>
      <c r="I101" s="1" t="s">
        <v>141</v>
      </c>
      <c r="J101" s="1" t="s">
        <v>27</v>
      </c>
      <c r="K101" s="1">
        <v>3</v>
      </c>
      <c r="L101" s="1"/>
      <c r="M101" s="2">
        <v>0</v>
      </c>
      <c r="N101" s="27" t="str">
        <f t="shared" si="57"/>
        <v>Medium</v>
      </c>
      <c r="O101" s="1">
        <v>0</v>
      </c>
      <c r="P101" s="6">
        <v>0</v>
      </c>
      <c r="Q101" s="6">
        <v>0</v>
      </c>
      <c r="R101" s="6">
        <v>0</v>
      </c>
      <c r="S101" s="6">
        <v>0</v>
      </c>
      <c r="T101" s="6">
        <v>77.25</v>
      </c>
      <c r="U101" s="6">
        <v>69.2</v>
      </c>
      <c r="V101" s="6">
        <v>0</v>
      </c>
      <c r="W101" s="6">
        <v>0</v>
      </c>
      <c r="X101" s="10" t="str">
        <f t="shared" ref="X101:X132" si="62">IFERROR(((P101-T101)/P101),"")</f>
        <v/>
      </c>
      <c r="Y101" s="10" t="str">
        <f t="shared" ref="Y101:Y132" si="63">IFERROR(((Q101-U101)/Q101),"")</f>
        <v/>
      </c>
      <c r="Z101" s="10" t="str">
        <f t="shared" ref="Z101:Z132" si="64">IFERROR(((R101-V101)/R101),"")</f>
        <v/>
      </c>
      <c r="AA101" s="10" t="str">
        <f t="shared" ref="AA101:AA132" si="65">IFERROR(((S101-W101)/S101),"")</f>
        <v/>
      </c>
      <c r="AB101" s="2" t="str">
        <f t="shared" ref="AB101:AB164" si="66">IFERROR(AVERAGEIF(X101:AA101,"&lt;&gt;100%",X101:AA101),"NA")</f>
        <v>NA</v>
      </c>
      <c r="AC101" s="6">
        <v>0</v>
      </c>
      <c r="AD101" s="6">
        <v>0</v>
      </c>
      <c r="AE101" s="6">
        <v>0</v>
      </c>
      <c r="AF101" s="6">
        <v>0</v>
      </c>
      <c r="AG101" s="6">
        <v>133</v>
      </c>
      <c r="AH101" s="6">
        <v>133</v>
      </c>
      <c r="AI101" s="6">
        <v>0</v>
      </c>
      <c r="AJ101" s="6">
        <v>0</v>
      </c>
      <c r="AK101" s="10" t="str">
        <f t="shared" ref="AK101:AK132" si="67">IFERROR(((AC101-AG101)/AC101),"")</f>
        <v/>
      </c>
      <c r="AL101" s="10" t="str">
        <f t="shared" ref="AL101:AL132" si="68">IFERROR(((AD101-AH101)/AD101),"")</f>
        <v/>
      </c>
      <c r="AM101" s="10" t="str">
        <f t="shared" ref="AM101:AM132" si="69">IFERROR(((AE101-AI101)/AE101),"")</f>
        <v/>
      </c>
      <c r="AN101" s="10" t="str">
        <f t="shared" ref="AN101:AN132" si="70">IFERROR(((AF101-AJ101)/AF101),"")</f>
        <v/>
      </c>
      <c r="AO101" s="2" t="str">
        <f t="shared" ref="AO101:AO164" si="71">IFERROR(AVERAGEIF(AK101:AN101,"&lt;&gt;100%",AK101:AN101),"NA")</f>
        <v>NA</v>
      </c>
      <c r="AP101" s="2">
        <v>0</v>
      </c>
      <c r="AQ101" s="2">
        <v>0</v>
      </c>
      <c r="AR101" s="2">
        <v>0</v>
      </c>
      <c r="AS101" s="2">
        <v>0</v>
      </c>
      <c r="AT101" s="2">
        <v>0.67</v>
      </c>
      <c r="AU101" s="2">
        <v>0.67</v>
      </c>
      <c r="AV101" s="2">
        <v>0</v>
      </c>
      <c r="AW101" s="2">
        <v>0</v>
      </c>
      <c r="AX101" s="10" t="str">
        <f t="shared" ref="AX101:AX132" si="72">IFERROR(((AP101-AT101)/AP101),"")</f>
        <v/>
      </c>
      <c r="AY101" s="10" t="str">
        <f t="shared" ref="AY101:AY132" si="73">IFERROR(((AQ101-AU101)/AQ101),"")</f>
        <v/>
      </c>
      <c r="AZ101" s="10" t="str">
        <f t="shared" ref="AZ101:AZ132" si="74">IFERROR(((AR101-AV101)/AR101),"")</f>
        <v/>
      </c>
      <c r="BA101" s="10" t="str">
        <f t="shared" ref="BA101:BA132" si="75">IFERROR(((AS101-AW101)/AS101),"")</f>
        <v/>
      </c>
      <c r="BB101" s="2" t="str">
        <f t="shared" ref="BB101:BB164" si="76">IFERROR(AVERAGEIF(AX101:BA101,"&lt;&gt;100%",AX101:BA101),"NA")</f>
        <v>NA</v>
      </c>
      <c r="BC101" s="6">
        <v>0</v>
      </c>
      <c r="BD101" s="6">
        <v>0</v>
      </c>
      <c r="BE101" s="6">
        <v>0</v>
      </c>
      <c r="BF101" s="6">
        <v>0</v>
      </c>
      <c r="BG101" s="6">
        <v>116076</v>
      </c>
      <c r="BH101" s="6">
        <v>145095</v>
      </c>
      <c r="BI101" s="6">
        <v>0</v>
      </c>
      <c r="BJ101" s="6">
        <v>0</v>
      </c>
      <c r="BK101" s="10" t="str">
        <f t="shared" ref="BK101:BK132" si="77">IFERROR(((BC101-BG101)/BC101),"")</f>
        <v/>
      </c>
      <c r="BL101" s="10" t="str">
        <f t="shared" ref="BL101:BL132" si="78">IFERROR(((BD101-BH101)/BD101),"")</f>
        <v/>
      </c>
      <c r="BM101" s="10" t="str">
        <f t="shared" ref="BM101:BM132" si="79">IFERROR(((BE101-BI101)/BE101),"")</f>
        <v/>
      </c>
      <c r="BN101" s="10" t="str">
        <f t="shared" ref="BN101:BN132" si="80">IFERROR(((BF101-BJ101)/BF101),"")</f>
        <v/>
      </c>
      <c r="BO101" s="2" t="str">
        <f t="shared" ref="BO101:BO164" si="81">IFERROR(AVERAGEIF(BK101:BN101,"&lt;&gt;100%",BK101:BN101),"NA")</f>
        <v>NA</v>
      </c>
      <c r="BP101" s="10">
        <v>0</v>
      </c>
      <c r="BQ101" s="10">
        <v>0</v>
      </c>
      <c r="BR101" s="10">
        <v>0</v>
      </c>
      <c r="BS101" s="10">
        <v>0</v>
      </c>
      <c r="BT101" s="11">
        <v>0</v>
      </c>
    </row>
    <row r="102" spans="1:72">
      <c r="A102">
        <f>COUNTIFS($J$7:J102,J102,$N$7:N102,N102,$E$7:E102,E102)</f>
        <v>6</v>
      </c>
      <c r="B102" s="16" t="str">
        <f t="shared" si="55"/>
        <v>Low</v>
      </c>
      <c r="C102" s="16" t="str">
        <f t="shared" si="56"/>
        <v>6LowNoTelecom-Non AT&amp;T</v>
      </c>
      <c r="D102" s="1">
        <v>20317</v>
      </c>
      <c r="E102" s="1" t="s">
        <v>485</v>
      </c>
      <c r="F102" s="1" t="s">
        <v>166</v>
      </c>
      <c r="G102" s="1" t="s">
        <v>167</v>
      </c>
      <c r="H102" s="1">
        <v>261</v>
      </c>
      <c r="I102" s="1" t="s">
        <v>168</v>
      </c>
      <c r="J102" s="1" t="s">
        <v>27</v>
      </c>
      <c r="K102" s="1">
        <v>2</v>
      </c>
      <c r="L102" s="1">
        <v>1</v>
      </c>
      <c r="M102" s="2">
        <v>0.1737332563751636</v>
      </c>
      <c r="N102" s="27" t="str">
        <f t="shared" si="57"/>
        <v>Low</v>
      </c>
      <c r="O102" s="1">
        <v>1</v>
      </c>
      <c r="P102" s="6">
        <v>326.54777877828479</v>
      </c>
      <c r="Q102" s="6">
        <v>365.71191885083852</v>
      </c>
      <c r="R102" s="6">
        <v>369.78850160545949</v>
      </c>
      <c r="S102" s="6">
        <v>386.4243153039447</v>
      </c>
      <c r="T102" s="6" t="s">
        <v>422</v>
      </c>
      <c r="U102" s="6" t="s">
        <v>422</v>
      </c>
      <c r="V102" s="6" t="s">
        <v>422</v>
      </c>
      <c r="W102" s="6" t="s">
        <v>422</v>
      </c>
      <c r="X102" s="10" t="str">
        <f t="shared" si="62"/>
        <v/>
      </c>
      <c r="Y102" s="10" t="str">
        <f t="shared" si="63"/>
        <v/>
      </c>
      <c r="Z102" s="10" t="str">
        <f t="shared" si="64"/>
        <v/>
      </c>
      <c r="AA102" s="10" t="str">
        <f t="shared" si="65"/>
        <v/>
      </c>
      <c r="AB102" s="2" t="str">
        <f t="shared" si="66"/>
        <v>NA</v>
      </c>
      <c r="AC102" s="6">
        <v>188.38</v>
      </c>
      <c r="AD102" s="6">
        <v>182.37</v>
      </c>
      <c r="AE102" s="6">
        <v>168.88</v>
      </c>
      <c r="AF102" s="6">
        <v>161.66</v>
      </c>
      <c r="AG102" s="6" t="s">
        <v>422</v>
      </c>
      <c r="AH102" s="6" t="s">
        <v>422</v>
      </c>
      <c r="AI102" s="6" t="s">
        <v>422</v>
      </c>
      <c r="AJ102" s="6" t="s">
        <v>422</v>
      </c>
      <c r="AK102" s="10" t="str">
        <f t="shared" si="67"/>
        <v/>
      </c>
      <c r="AL102" s="10" t="str">
        <f t="shared" si="68"/>
        <v/>
      </c>
      <c r="AM102" s="10" t="str">
        <f t="shared" si="69"/>
        <v/>
      </c>
      <c r="AN102" s="10" t="str">
        <f t="shared" si="70"/>
        <v/>
      </c>
      <c r="AO102" s="2" t="str">
        <f t="shared" si="71"/>
        <v>NA</v>
      </c>
      <c r="AP102" s="2">
        <v>0.8208333333333333</v>
      </c>
      <c r="AQ102" s="2">
        <v>0.82250000000000012</v>
      </c>
      <c r="AR102" s="2">
        <v>0.82250000000000012</v>
      </c>
      <c r="AS102" s="2">
        <v>0.82250000000000012</v>
      </c>
      <c r="AT102" s="2" t="s">
        <v>422</v>
      </c>
      <c r="AU102" s="2" t="s">
        <v>422</v>
      </c>
      <c r="AV102" s="2" t="s">
        <v>422</v>
      </c>
      <c r="AW102" s="2" t="s">
        <v>422</v>
      </c>
      <c r="AX102" s="10" t="str">
        <f t="shared" si="72"/>
        <v/>
      </c>
      <c r="AY102" s="10" t="str">
        <f t="shared" si="73"/>
        <v/>
      </c>
      <c r="AZ102" s="10" t="str">
        <f t="shared" si="74"/>
        <v/>
      </c>
      <c r="BA102" s="10" t="str">
        <f t="shared" si="75"/>
        <v/>
      </c>
      <c r="BB102" s="2" t="str">
        <f t="shared" si="76"/>
        <v>NA</v>
      </c>
      <c r="BC102" s="6">
        <v>0</v>
      </c>
      <c r="BD102" s="6">
        <v>0</v>
      </c>
      <c r="BE102" s="6">
        <v>0</v>
      </c>
      <c r="BF102" s="6">
        <v>0</v>
      </c>
      <c r="BG102" s="6" t="s">
        <v>422</v>
      </c>
      <c r="BH102" s="6" t="s">
        <v>422</v>
      </c>
      <c r="BI102" s="6" t="s">
        <v>422</v>
      </c>
      <c r="BJ102" s="6" t="s">
        <v>422</v>
      </c>
      <c r="BK102" s="10" t="str">
        <f t="shared" si="77"/>
        <v/>
      </c>
      <c r="BL102" s="10" t="str">
        <f t="shared" si="78"/>
        <v/>
      </c>
      <c r="BM102" s="10" t="str">
        <f t="shared" si="79"/>
        <v/>
      </c>
      <c r="BN102" s="10" t="str">
        <f t="shared" si="80"/>
        <v/>
      </c>
      <c r="BO102" s="2" t="str">
        <f t="shared" si="81"/>
        <v>NA</v>
      </c>
      <c r="BP102" s="10">
        <v>-0.28570597134394093</v>
      </c>
      <c r="BQ102" s="10">
        <v>-0.15974889308134219</v>
      </c>
      <c r="BR102" s="10">
        <v>-0.13427279921607008</v>
      </c>
      <c r="BS102" s="10">
        <v>-3.0345301493936744E-2</v>
      </c>
      <c r="BT102" s="11">
        <v>0</v>
      </c>
    </row>
    <row r="103" spans="1:72">
      <c r="A103">
        <f>COUNTIFS($J$7:J103,J103,$N$7:N103,N103,$E$7:E103,E103)</f>
        <v>15</v>
      </c>
      <c r="B103" s="16" t="str">
        <f t="shared" si="55"/>
        <v>Low</v>
      </c>
      <c r="C103" s="16" t="str">
        <f t="shared" si="56"/>
        <v>15LowYesTelecom-AT&amp;T</v>
      </c>
      <c r="D103" s="1">
        <v>20322</v>
      </c>
      <c r="E103" s="11" t="s">
        <v>484</v>
      </c>
      <c r="F103" s="1" t="s">
        <v>6</v>
      </c>
      <c r="G103" s="1" t="s">
        <v>169</v>
      </c>
      <c r="H103" s="1">
        <v>1483</v>
      </c>
      <c r="I103" s="1" t="s">
        <v>127</v>
      </c>
      <c r="J103" s="1" t="s">
        <v>9</v>
      </c>
      <c r="K103" s="1">
        <v>5</v>
      </c>
      <c r="L103" s="1">
        <v>3</v>
      </c>
      <c r="M103" s="2">
        <v>0.1696508607722515</v>
      </c>
      <c r="N103" s="27" t="str">
        <f t="shared" si="57"/>
        <v>Low</v>
      </c>
      <c r="O103" s="1">
        <v>3</v>
      </c>
      <c r="P103" s="6">
        <v>1170.7104467783279</v>
      </c>
      <c r="Q103" s="6">
        <v>1093.4988017254884</v>
      </c>
      <c r="R103" s="6">
        <v>975.73384456181066</v>
      </c>
      <c r="S103" s="6">
        <v>885.20193361263205</v>
      </c>
      <c r="T103" s="6">
        <v>1160.75</v>
      </c>
      <c r="U103" s="6">
        <v>1118.4000000000001</v>
      </c>
      <c r="V103" s="6">
        <v>1115.75</v>
      </c>
      <c r="W103" s="6">
        <v>1114</v>
      </c>
      <c r="X103" s="10">
        <f t="shared" si="62"/>
        <v>8.5080361294613722E-3</v>
      </c>
      <c r="Y103" s="10">
        <f t="shared" si="63"/>
        <v>-2.2772039836915028E-2</v>
      </c>
      <c r="Z103" s="10">
        <f t="shared" si="64"/>
        <v>-0.1434983076774064</v>
      </c>
      <c r="AA103" s="10">
        <f t="shared" si="65"/>
        <v>-0.25846991256967916</v>
      </c>
      <c r="AB103" s="2">
        <f t="shared" si="66"/>
        <v>-0.1040580559886348</v>
      </c>
      <c r="AC103" s="6">
        <v>1163.2364299529495</v>
      </c>
      <c r="AD103" s="6">
        <v>1154.713018054925</v>
      </c>
      <c r="AE103" s="6">
        <v>1130.1879949538184</v>
      </c>
      <c r="AF103" s="6">
        <v>1121.7564988444537</v>
      </c>
      <c r="AG103" s="6">
        <v>1192.25</v>
      </c>
      <c r="AH103" s="6">
        <v>1096.5999999999999</v>
      </c>
      <c r="AI103" s="6">
        <v>1133.75</v>
      </c>
      <c r="AJ103" s="6">
        <v>1149.75</v>
      </c>
      <c r="AK103" s="10">
        <f t="shared" si="67"/>
        <v>-2.4942109187746163E-2</v>
      </c>
      <c r="AL103" s="10">
        <f t="shared" si="68"/>
        <v>5.0326806008314073E-2</v>
      </c>
      <c r="AM103" s="10">
        <f t="shared" si="69"/>
        <v>-3.1516925167190345E-3</v>
      </c>
      <c r="AN103" s="10">
        <f t="shared" si="70"/>
        <v>-2.4955060375743739E-2</v>
      </c>
      <c r="AO103" s="2">
        <f t="shared" si="71"/>
        <v>-6.8051401797371552E-4</v>
      </c>
      <c r="AP103" s="2">
        <v>0.80000000000000016</v>
      </c>
      <c r="AQ103" s="2">
        <v>0.80000000000000016</v>
      </c>
      <c r="AR103" s="2">
        <v>0.80000000000000016</v>
      </c>
      <c r="AS103" s="2">
        <v>0.80000000000000016</v>
      </c>
      <c r="AT103" s="2">
        <v>0.80000000000000016</v>
      </c>
      <c r="AU103" s="2">
        <v>0.80000000000000016</v>
      </c>
      <c r="AV103" s="2">
        <v>0.80000000000000016</v>
      </c>
      <c r="AW103" s="2">
        <v>0.80000000000000016</v>
      </c>
      <c r="AX103" s="10">
        <f t="shared" si="72"/>
        <v>0</v>
      </c>
      <c r="AY103" s="10">
        <f t="shared" si="73"/>
        <v>0</v>
      </c>
      <c r="AZ103" s="10">
        <f t="shared" si="74"/>
        <v>0</v>
      </c>
      <c r="BA103" s="10">
        <f t="shared" si="75"/>
        <v>0</v>
      </c>
      <c r="BB103" s="2">
        <f t="shared" si="76"/>
        <v>0</v>
      </c>
      <c r="BC103" s="6">
        <v>506500.00000000017</v>
      </c>
      <c r="BD103" s="6">
        <v>546434.23468272132</v>
      </c>
      <c r="BE103" s="6">
        <v>517252.99025623896</v>
      </c>
      <c r="BF103" s="6">
        <v>534694.54709651764</v>
      </c>
      <c r="BG103" s="6">
        <v>467176</v>
      </c>
      <c r="BH103" s="6">
        <v>591854</v>
      </c>
      <c r="BI103" s="6">
        <v>461860</v>
      </c>
      <c r="BJ103" s="6">
        <v>472848</v>
      </c>
      <c r="BK103" s="10">
        <f t="shared" si="77"/>
        <v>7.7638696939783147E-2</v>
      </c>
      <c r="BL103" s="10">
        <f t="shared" si="78"/>
        <v>-8.3120277673764301E-2</v>
      </c>
      <c r="BM103" s="10">
        <f t="shared" si="79"/>
        <v>0.10709071054146665</v>
      </c>
      <c r="BN103" s="10">
        <f t="shared" si="80"/>
        <v>0.11566706156319512</v>
      </c>
      <c r="BO103" s="2">
        <f t="shared" si="81"/>
        <v>5.4319047842670151E-2</v>
      </c>
      <c r="BP103" s="10">
        <v>-0.12357841491766994</v>
      </c>
      <c r="BQ103" s="10">
        <v>9.3868177844703804E-2</v>
      </c>
      <c r="BR103" s="10">
        <v>0.1252121216677311</v>
      </c>
      <c r="BS103" s="10">
        <v>9.594073258929478E-2</v>
      </c>
      <c r="BT103" s="11">
        <v>0</v>
      </c>
    </row>
    <row r="104" spans="1:72">
      <c r="A104">
        <f>COUNTIFS($J$7:J104,J104,$N$7:N104,N104,$E$7:E104,E104)</f>
        <v>4</v>
      </c>
      <c r="B104" s="16" t="str">
        <f t="shared" si="55"/>
        <v>Medium</v>
      </c>
      <c r="C104" s="16" t="str">
        <f t="shared" si="56"/>
        <v>4MediumYesTelecom-AT&amp;T</v>
      </c>
      <c r="D104" s="1">
        <v>20323</v>
      </c>
      <c r="E104" s="11" t="s">
        <v>484</v>
      </c>
      <c r="F104" s="1" t="s">
        <v>6</v>
      </c>
      <c r="G104" s="1" t="s">
        <v>170</v>
      </c>
      <c r="H104" s="1">
        <v>191</v>
      </c>
      <c r="I104" s="1" t="s">
        <v>8</v>
      </c>
      <c r="J104" s="1" t="s">
        <v>9</v>
      </c>
      <c r="K104" s="1">
        <v>1</v>
      </c>
      <c r="L104" s="1">
        <v>1</v>
      </c>
      <c r="M104" s="2">
        <v>7.9272880688171177E-2</v>
      </c>
      <c r="N104" s="27" t="str">
        <f t="shared" si="57"/>
        <v>Medium</v>
      </c>
      <c r="O104" s="1">
        <v>1</v>
      </c>
      <c r="P104" s="6">
        <v>202.3413079801152</v>
      </c>
      <c r="Q104" s="6">
        <v>56.676723776002852</v>
      </c>
      <c r="R104" s="6">
        <v>49.108322984121379</v>
      </c>
      <c r="S104" s="6">
        <v>46.508255413017601</v>
      </c>
      <c r="T104" s="6">
        <v>135</v>
      </c>
      <c r="U104" s="6">
        <v>135.75</v>
      </c>
      <c r="V104" s="6">
        <v>0</v>
      </c>
      <c r="W104" s="6">
        <v>0</v>
      </c>
      <c r="X104" s="10">
        <f t="shared" si="62"/>
        <v>0.33281048072859681</v>
      </c>
      <c r="Y104" s="10">
        <f t="shared" si="63"/>
        <v>-1.3951631455711819</v>
      </c>
      <c r="Z104" s="10">
        <f t="shared" si="64"/>
        <v>1</v>
      </c>
      <c r="AA104" s="10">
        <f t="shared" si="65"/>
        <v>1</v>
      </c>
      <c r="AB104" s="2">
        <f t="shared" si="66"/>
        <v>-0.53117633242129259</v>
      </c>
      <c r="AC104" s="6">
        <v>102.00917907873195</v>
      </c>
      <c r="AD104" s="6">
        <v>133.92517779247379</v>
      </c>
      <c r="AE104" s="6">
        <v>136.47387489263258</v>
      </c>
      <c r="AF104" s="6">
        <v>136.47387489263258</v>
      </c>
      <c r="AG104" s="6">
        <v>88.25</v>
      </c>
      <c r="AH104" s="6">
        <v>149</v>
      </c>
      <c r="AI104" s="6">
        <v>0</v>
      </c>
      <c r="AJ104" s="6">
        <v>0</v>
      </c>
      <c r="AK104" s="10">
        <f t="shared" si="67"/>
        <v>0.1348817743951497</v>
      </c>
      <c r="AL104" s="10">
        <f t="shared" si="68"/>
        <v>-0.11256152469616787</v>
      </c>
      <c r="AM104" s="10">
        <f t="shared" si="69"/>
        <v>1</v>
      </c>
      <c r="AN104" s="10">
        <f t="shared" si="70"/>
        <v>1</v>
      </c>
      <c r="AO104" s="2">
        <f t="shared" si="71"/>
        <v>1.1160124849490916E-2</v>
      </c>
      <c r="AP104" s="2">
        <v>0.80000000000000016</v>
      </c>
      <c r="AQ104" s="2">
        <v>0.80000000000000016</v>
      </c>
      <c r="AR104" s="2">
        <v>0.80000000000000016</v>
      </c>
      <c r="AS104" s="2">
        <v>0.80000000000000016</v>
      </c>
      <c r="AT104" s="2">
        <v>0.8</v>
      </c>
      <c r="AU104" s="2">
        <v>0.8</v>
      </c>
      <c r="AV104" s="2">
        <v>0</v>
      </c>
      <c r="AW104" s="2">
        <v>0</v>
      </c>
      <c r="AX104" s="10">
        <f t="shared" si="72"/>
        <v>1.3877787807814454E-16</v>
      </c>
      <c r="AY104" s="10">
        <f t="shared" si="73"/>
        <v>1.3877787807814454E-16</v>
      </c>
      <c r="AZ104" s="10">
        <f t="shared" si="74"/>
        <v>1</v>
      </c>
      <c r="BA104" s="10">
        <f t="shared" si="75"/>
        <v>1</v>
      </c>
      <c r="BB104" s="2">
        <f t="shared" si="76"/>
        <v>1.3877787807814454E-16</v>
      </c>
      <c r="BC104" s="6">
        <v>24920</v>
      </c>
      <c r="BD104" s="6">
        <v>49275</v>
      </c>
      <c r="BE104" s="6">
        <v>48115</v>
      </c>
      <c r="BF104" s="6">
        <v>48115</v>
      </c>
      <c r="BG104" s="6">
        <v>23692</v>
      </c>
      <c r="BH104" s="6">
        <v>44508</v>
      </c>
      <c r="BI104" s="6">
        <v>0</v>
      </c>
      <c r="BJ104" s="6">
        <v>0</v>
      </c>
      <c r="BK104" s="10">
        <f t="shared" si="77"/>
        <v>4.9277688603531301E-2</v>
      </c>
      <c r="BL104" s="10">
        <f t="shared" si="78"/>
        <v>9.6742770167427702E-2</v>
      </c>
      <c r="BM104" s="10">
        <f t="shared" si="79"/>
        <v>1</v>
      </c>
      <c r="BN104" s="10">
        <f t="shared" si="80"/>
        <v>1</v>
      </c>
      <c r="BO104" s="2">
        <f t="shared" si="81"/>
        <v>7.3010229385479505E-2</v>
      </c>
      <c r="BP104" s="10">
        <v>4.9134691213190973E-2</v>
      </c>
      <c r="BQ104" s="10">
        <v>2.4543158867590398E-3</v>
      </c>
      <c r="BR104" s="10">
        <v>-4.019972926723292E-3</v>
      </c>
      <c r="BS104" s="10">
        <v>-0.17353694155183844</v>
      </c>
      <c r="BT104" s="11" t="s">
        <v>459</v>
      </c>
    </row>
    <row r="105" spans="1:72">
      <c r="A105">
        <f>COUNTIFS($J$7:J105,J105,$N$7:N105,N105,$E$7:E105,E105)</f>
        <v>4</v>
      </c>
      <c r="B105" s="16" t="str">
        <f t="shared" si="55"/>
        <v>Critical</v>
      </c>
      <c r="C105" s="16" t="str">
        <f t="shared" si="56"/>
        <v>4CriticalNoBFIMG</v>
      </c>
      <c r="D105" s="1">
        <v>20330</v>
      </c>
      <c r="E105" s="1" t="s">
        <v>20</v>
      </c>
      <c r="F105" s="1" t="s">
        <v>171</v>
      </c>
      <c r="G105" s="1" t="s">
        <v>172</v>
      </c>
      <c r="H105" s="1">
        <v>186</v>
      </c>
      <c r="I105" s="1" t="s">
        <v>141</v>
      </c>
      <c r="J105" s="1" t="s">
        <v>27</v>
      </c>
      <c r="K105" s="1">
        <v>2</v>
      </c>
      <c r="L105" s="1">
        <v>2</v>
      </c>
      <c r="M105" s="2">
        <v>-0.14557979693908393</v>
      </c>
      <c r="N105" s="27" t="str">
        <f t="shared" si="57"/>
        <v>Critical</v>
      </c>
      <c r="O105" s="1">
        <v>2</v>
      </c>
      <c r="P105" s="6">
        <v>130.128679986234</v>
      </c>
      <c r="Q105" s="6">
        <v>145.41943118857796</v>
      </c>
      <c r="R105" s="6">
        <v>143.08349485691403</v>
      </c>
      <c r="S105" s="6">
        <v>137.59809626542636</v>
      </c>
      <c r="T105" s="6">
        <v>151.25</v>
      </c>
      <c r="U105" s="6">
        <v>150.19999999999999</v>
      </c>
      <c r="V105" s="6">
        <v>155.25</v>
      </c>
      <c r="W105" s="6">
        <v>146</v>
      </c>
      <c r="X105" s="10">
        <f t="shared" si="62"/>
        <v>-0.162311029482512</v>
      </c>
      <c r="Y105" s="10">
        <f t="shared" si="63"/>
        <v>-3.2874346793604577E-2</v>
      </c>
      <c r="Z105" s="10">
        <f t="shared" si="64"/>
        <v>-8.5030807747970422E-2</v>
      </c>
      <c r="AA105" s="10">
        <f t="shared" si="65"/>
        <v>-6.1061191706943289E-2</v>
      </c>
      <c r="AB105" s="2">
        <f t="shared" si="66"/>
        <v>-8.5319343932757571E-2</v>
      </c>
      <c r="AC105" s="6">
        <v>155.53067558532985</v>
      </c>
      <c r="AD105" s="6">
        <v>146.01234668109669</v>
      </c>
      <c r="AE105" s="6">
        <v>134.75303747704314</v>
      </c>
      <c r="AF105" s="6">
        <v>125.30555842516071</v>
      </c>
      <c r="AG105" s="6">
        <v>156</v>
      </c>
      <c r="AH105" s="6">
        <v>121</v>
      </c>
      <c r="AI105" s="6">
        <v>0</v>
      </c>
      <c r="AJ105" s="6">
        <v>0</v>
      </c>
      <c r="AK105" s="10">
        <f t="shared" si="67"/>
        <v>-3.0175681607752412E-3</v>
      </c>
      <c r="AL105" s="10">
        <f t="shared" si="68"/>
        <v>0.17130295656247321</v>
      </c>
      <c r="AM105" s="10">
        <f t="shared" si="69"/>
        <v>1</v>
      </c>
      <c r="AN105" s="10">
        <f t="shared" si="70"/>
        <v>1</v>
      </c>
      <c r="AO105" s="2">
        <f t="shared" si="71"/>
        <v>8.414269420084898E-2</v>
      </c>
      <c r="AP105" s="2">
        <v>0</v>
      </c>
      <c r="AQ105" s="2">
        <v>0</v>
      </c>
      <c r="AR105" s="2">
        <v>0</v>
      </c>
      <c r="AS105" s="2">
        <v>0</v>
      </c>
      <c r="AT105" s="2">
        <v>0.72714285714285709</v>
      </c>
      <c r="AU105" s="2">
        <v>0.73000000000000009</v>
      </c>
      <c r="AV105" s="2">
        <v>0.74142857142857144</v>
      </c>
      <c r="AW105" s="2">
        <v>0.74142857142857144</v>
      </c>
      <c r="AX105" s="10" t="str">
        <f t="shared" si="72"/>
        <v/>
      </c>
      <c r="AY105" s="10" t="str">
        <f t="shared" si="73"/>
        <v/>
      </c>
      <c r="AZ105" s="10" t="str">
        <f t="shared" si="74"/>
        <v/>
      </c>
      <c r="BA105" s="10" t="str">
        <f t="shared" si="75"/>
        <v/>
      </c>
      <c r="BB105" s="2" t="str">
        <f t="shared" si="76"/>
        <v>NA</v>
      </c>
      <c r="BC105" s="6">
        <v>132872.60031400001</v>
      </c>
      <c r="BD105" s="6">
        <v>161955</v>
      </c>
      <c r="BE105" s="6">
        <v>156501</v>
      </c>
      <c r="BF105" s="6">
        <v>150600</v>
      </c>
      <c r="BG105" s="6">
        <v>120202</v>
      </c>
      <c r="BH105" s="6">
        <v>127809</v>
      </c>
      <c r="BI105" s="6">
        <v>0</v>
      </c>
      <c r="BJ105" s="6">
        <v>0</v>
      </c>
      <c r="BK105" s="10">
        <f t="shared" si="77"/>
        <v>9.5359015207479039E-2</v>
      </c>
      <c r="BL105" s="10">
        <f t="shared" si="78"/>
        <v>0.2108363434287302</v>
      </c>
      <c r="BM105" s="10">
        <f t="shared" si="79"/>
        <v>1</v>
      </c>
      <c r="BN105" s="10">
        <f t="shared" si="80"/>
        <v>1</v>
      </c>
      <c r="BO105" s="2">
        <f t="shared" si="81"/>
        <v>0.15309767931810461</v>
      </c>
      <c r="BP105" s="10">
        <v>0.25948815004167614</v>
      </c>
      <c r="BQ105" s="10">
        <v>0</v>
      </c>
      <c r="BR105" s="10">
        <v>0</v>
      </c>
      <c r="BS105" s="10">
        <v>0</v>
      </c>
      <c r="BT105" s="11" t="s">
        <v>459</v>
      </c>
    </row>
    <row r="106" spans="1:72">
      <c r="A106">
        <f>COUNTIFS($J$7:J106,J106,$N$7:N106,N106,$E$7:E106,E106)</f>
        <v>26</v>
      </c>
      <c r="B106" s="16" t="str">
        <f t="shared" si="55"/>
        <v>Low</v>
      </c>
      <c r="C106" s="16" t="str">
        <f t="shared" si="56"/>
        <v>26LowNoTechnology</v>
      </c>
      <c r="D106" s="1">
        <v>20982</v>
      </c>
      <c r="E106" s="1" t="s">
        <v>23</v>
      </c>
      <c r="F106" s="1" t="s">
        <v>36</v>
      </c>
      <c r="G106" s="1" t="s">
        <v>173</v>
      </c>
      <c r="H106" s="1">
        <v>84</v>
      </c>
      <c r="I106" s="1" t="s">
        <v>38</v>
      </c>
      <c r="J106" s="1" t="s">
        <v>27</v>
      </c>
      <c r="K106" s="1">
        <v>1</v>
      </c>
      <c r="L106" s="1">
        <v>1</v>
      </c>
      <c r="M106" s="2">
        <v>0.19880568027199472</v>
      </c>
      <c r="N106" s="27" t="str">
        <f t="shared" si="57"/>
        <v>Low</v>
      </c>
      <c r="O106" s="1">
        <v>1</v>
      </c>
      <c r="P106" s="6">
        <v>93.369610511354864</v>
      </c>
      <c r="Q106" s="6">
        <v>100.3561736164113</v>
      </c>
      <c r="R106" s="6">
        <v>95.008744070978437</v>
      </c>
      <c r="S106" s="6">
        <v>89.978453085270715</v>
      </c>
      <c r="T106" s="6">
        <v>72.5</v>
      </c>
      <c r="U106" s="6">
        <v>68</v>
      </c>
      <c r="V106" s="6">
        <v>64</v>
      </c>
      <c r="W106" s="6">
        <v>45.75</v>
      </c>
      <c r="X106" s="10">
        <f t="shared" si="62"/>
        <v>0.22351609262434344</v>
      </c>
      <c r="Y106" s="10">
        <f t="shared" si="63"/>
        <v>0.32241338475184822</v>
      </c>
      <c r="Z106" s="10">
        <f t="shared" si="64"/>
        <v>0.32637779158318997</v>
      </c>
      <c r="AA106" s="10">
        <f t="shared" si="65"/>
        <v>0.49154493735690619</v>
      </c>
      <c r="AB106" s="2">
        <f t="shared" si="66"/>
        <v>0.34096305157907192</v>
      </c>
      <c r="AC106" s="6">
        <v>62.390355603448278</v>
      </c>
      <c r="AD106" s="6">
        <v>73.774168719211815</v>
      </c>
      <c r="AE106" s="6">
        <v>92.658943965517253</v>
      </c>
      <c r="AF106" s="6">
        <v>92.658943965517253</v>
      </c>
      <c r="AG106" s="6">
        <v>62</v>
      </c>
      <c r="AH106" s="6">
        <v>60.4</v>
      </c>
      <c r="AI106" s="6">
        <v>61.75</v>
      </c>
      <c r="AJ106" s="6">
        <v>45</v>
      </c>
      <c r="AK106" s="10">
        <f t="shared" si="67"/>
        <v>6.2566657886896681E-3</v>
      </c>
      <c r="AL106" s="10">
        <f t="shared" si="68"/>
        <v>0.18128525134745432</v>
      </c>
      <c r="AM106" s="10">
        <f t="shared" si="69"/>
        <v>0.33357755487716245</v>
      </c>
      <c r="AN106" s="10">
        <f t="shared" si="70"/>
        <v>0.51434801569995647</v>
      </c>
      <c r="AO106" s="2">
        <f t="shared" si="71"/>
        <v>0.2588668719283157</v>
      </c>
      <c r="AP106" s="2">
        <v>0</v>
      </c>
      <c r="AQ106" s="2">
        <v>0</v>
      </c>
      <c r="AR106" s="2">
        <v>0</v>
      </c>
      <c r="AS106" s="2">
        <v>0</v>
      </c>
      <c r="AT106" s="2">
        <v>0.65</v>
      </c>
      <c r="AU106" s="2">
        <v>0.65</v>
      </c>
      <c r="AV106" s="2">
        <v>0.65</v>
      </c>
      <c r="AW106" s="2">
        <v>0.63749999999999996</v>
      </c>
      <c r="AX106" s="10" t="str">
        <f t="shared" si="72"/>
        <v/>
      </c>
      <c r="AY106" s="10" t="str">
        <f t="shared" si="73"/>
        <v/>
      </c>
      <c r="AZ106" s="10" t="str">
        <f t="shared" si="74"/>
        <v/>
      </c>
      <c r="BA106" s="10" t="str">
        <f t="shared" si="75"/>
        <v/>
      </c>
      <c r="BB106" s="2" t="str">
        <f t="shared" si="76"/>
        <v>NA</v>
      </c>
      <c r="BC106" s="6">
        <v>68790</v>
      </c>
      <c r="BD106" s="6">
        <v>68790</v>
      </c>
      <c r="BE106" s="6">
        <v>68790</v>
      </c>
      <c r="BF106" s="6">
        <v>68790</v>
      </c>
      <c r="BG106" s="6">
        <v>64056</v>
      </c>
      <c r="BH106" s="6">
        <v>78109</v>
      </c>
      <c r="BI106" s="6">
        <v>63908</v>
      </c>
      <c r="BJ106" s="6">
        <v>46599</v>
      </c>
      <c r="BK106" s="10">
        <f t="shared" si="77"/>
        <v>6.8818142171827301E-2</v>
      </c>
      <c r="BL106" s="10">
        <f t="shared" si="78"/>
        <v>-0.13547027184183746</v>
      </c>
      <c r="BM106" s="10">
        <f t="shared" si="79"/>
        <v>7.0969617676987937E-2</v>
      </c>
      <c r="BN106" s="10">
        <f t="shared" si="80"/>
        <v>0.32259049280418667</v>
      </c>
      <c r="BO106" s="2">
        <f t="shared" si="81"/>
        <v>8.1726995202791114E-2</v>
      </c>
      <c r="BP106" s="10">
        <v>-3.8119578044021052E-2</v>
      </c>
      <c r="BQ106" s="10">
        <v>9.6763077120319119E-2</v>
      </c>
      <c r="BR106" s="10">
        <v>2.7660468936006877E-2</v>
      </c>
      <c r="BS106" s="10">
        <v>3.1999998723686751E-2</v>
      </c>
      <c r="BT106" s="11" t="s">
        <v>458</v>
      </c>
    </row>
    <row r="107" spans="1:72">
      <c r="A107">
        <f>COUNTIFS($J$7:J107,J107,$N$7:N107,N107,$E$7:E107,E107)</f>
        <v>16</v>
      </c>
      <c r="B107" s="16" t="str">
        <f t="shared" si="55"/>
        <v>Low</v>
      </c>
      <c r="C107" s="16" t="str">
        <f t="shared" si="56"/>
        <v>16LowYesTelecom-AT&amp;T</v>
      </c>
      <c r="D107" s="1">
        <v>20983</v>
      </c>
      <c r="E107" s="11" t="s">
        <v>484</v>
      </c>
      <c r="F107" s="1" t="s">
        <v>6</v>
      </c>
      <c r="G107" s="1" t="s">
        <v>174</v>
      </c>
      <c r="H107" s="1">
        <v>265</v>
      </c>
      <c r="I107" s="1" t="s">
        <v>113</v>
      </c>
      <c r="J107" s="1" t="s">
        <v>9</v>
      </c>
      <c r="K107" s="1">
        <v>2</v>
      </c>
      <c r="L107" s="1">
        <v>2</v>
      </c>
      <c r="M107" s="2">
        <v>0.24137356159458048</v>
      </c>
      <c r="N107" s="27" t="str">
        <f t="shared" si="57"/>
        <v>Low</v>
      </c>
      <c r="O107" s="1">
        <v>1</v>
      </c>
      <c r="P107" s="6">
        <v>194.89208678690491</v>
      </c>
      <c r="Q107" s="6">
        <v>194.96415638693639</v>
      </c>
      <c r="R107" s="6">
        <v>194.94504129603851</v>
      </c>
      <c r="S107" s="6">
        <v>195.02143026996839</v>
      </c>
      <c r="T107" s="6">
        <v>414.25</v>
      </c>
      <c r="U107" s="6">
        <v>393.8</v>
      </c>
      <c r="V107" s="6">
        <v>423.75</v>
      </c>
      <c r="W107" s="6">
        <v>456.5</v>
      </c>
      <c r="X107" s="10">
        <f t="shared" si="62"/>
        <v>-1.1255352478879306</v>
      </c>
      <c r="Y107" s="10">
        <f t="shared" si="63"/>
        <v>-1.0198584565382534</v>
      </c>
      <c r="Z107" s="10">
        <f t="shared" si="64"/>
        <v>-1.173689554670458</v>
      </c>
      <c r="AA107" s="10">
        <f t="shared" si="65"/>
        <v>-1.3407683933404986</v>
      </c>
      <c r="AB107" s="2">
        <f t="shared" si="66"/>
        <v>-1.1649629131092851</v>
      </c>
      <c r="AC107" s="6">
        <v>390.84139511032697</v>
      </c>
      <c r="AD107" s="6">
        <v>339.16692950691481</v>
      </c>
      <c r="AE107" s="6">
        <v>339.16692950691481</v>
      </c>
      <c r="AF107" s="6">
        <v>220</v>
      </c>
      <c r="AG107" s="6">
        <v>550.75</v>
      </c>
      <c r="AH107" s="6">
        <v>530.6</v>
      </c>
      <c r="AI107" s="6">
        <v>448.25</v>
      </c>
      <c r="AJ107" s="6">
        <v>441.25</v>
      </c>
      <c r="AK107" s="10">
        <f t="shared" si="67"/>
        <v>-0.40913937697037933</v>
      </c>
      <c r="AL107" s="10">
        <f t="shared" si="68"/>
        <v>-0.56442139206022546</v>
      </c>
      <c r="AM107" s="10">
        <f t="shared" si="69"/>
        <v>-0.32162059741989452</v>
      </c>
      <c r="AN107" s="10">
        <f t="shared" si="70"/>
        <v>-1.0056818181818181</v>
      </c>
      <c r="AO107" s="2">
        <f t="shared" si="71"/>
        <v>-0.57521579615807927</v>
      </c>
      <c r="AP107" s="2">
        <v>1</v>
      </c>
      <c r="AQ107" s="2">
        <v>1</v>
      </c>
      <c r="AR107" s="2">
        <v>1</v>
      </c>
      <c r="AS107" s="2">
        <v>1</v>
      </c>
      <c r="AT107" s="2">
        <v>0.58374999999999999</v>
      </c>
      <c r="AU107" s="2">
        <v>0.38184999999999997</v>
      </c>
      <c r="AV107" s="2">
        <v>0.38069999999999998</v>
      </c>
      <c r="AW107" s="2">
        <v>0.38069999999999998</v>
      </c>
      <c r="AX107" s="10">
        <f t="shared" si="72"/>
        <v>0.41625000000000001</v>
      </c>
      <c r="AY107" s="10">
        <f t="shared" si="73"/>
        <v>0.61814999999999998</v>
      </c>
      <c r="AZ107" s="10">
        <f t="shared" si="74"/>
        <v>0.61929999999999996</v>
      </c>
      <c r="BA107" s="10">
        <f t="shared" si="75"/>
        <v>0.61929999999999996</v>
      </c>
      <c r="BB107" s="2">
        <f t="shared" si="76"/>
        <v>0.56824999999999992</v>
      </c>
      <c r="BC107" s="6">
        <v>122136.60078573457</v>
      </c>
      <c r="BD107" s="6">
        <v>0</v>
      </c>
      <c r="BE107" s="6">
        <v>0</v>
      </c>
      <c r="BF107" s="6">
        <v>0</v>
      </c>
      <c r="BG107" s="6">
        <v>163936</v>
      </c>
      <c r="BH107" s="6">
        <v>210788</v>
      </c>
      <c r="BI107" s="6">
        <v>132852</v>
      </c>
      <c r="BJ107" s="6">
        <v>131259</v>
      </c>
      <c r="BK107" s="10">
        <f t="shared" si="77"/>
        <v>-0.34223483333709709</v>
      </c>
      <c r="BL107" s="10" t="str">
        <f t="shared" si="78"/>
        <v/>
      </c>
      <c r="BM107" s="10" t="str">
        <f t="shared" si="79"/>
        <v/>
      </c>
      <c r="BN107" s="10" t="str">
        <f t="shared" si="80"/>
        <v/>
      </c>
      <c r="BO107" s="2">
        <f t="shared" si="81"/>
        <v>-0.34223483333709709</v>
      </c>
      <c r="BP107" s="10">
        <v>-0.27460549835922188</v>
      </c>
      <c r="BQ107" s="10">
        <v>0</v>
      </c>
      <c r="BR107" s="10">
        <v>0</v>
      </c>
      <c r="BS107" s="10">
        <v>0</v>
      </c>
      <c r="BT107" s="11">
        <v>0</v>
      </c>
    </row>
    <row r="108" spans="1:72">
      <c r="A108">
        <f>COUNTIFS($J$7:J108,J108,$N$7:N108,N108,$E$7:E108,E108)</f>
        <v>5</v>
      </c>
      <c r="B108" s="16" t="str">
        <f t="shared" si="55"/>
        <v>Low</v>
      </c>
      <c r="C108" s="16" t="str">
        <f t="shared" si="56"/>
        <v>5LowNoBFIMG</v>
      </c>
      <c r="D108" s="1">
        <v>22507</v>
      </c>
      <c r="E108" s="1" t="s">
        <v>20</v>
      </c>
      <c r="F108" s="1" t="s">
        <v>135</v>
      </c>
      <c r="G108" s="1" t="s">
        <v>135</v>
      </c>
      <c r="H108" s="1">
        <v>119</v>
      </c>
      <c r="I108" s="1" t="s">
        <v>102</v>
      </c>
      <c r="J108" s="1" t="s">
        <v>27</v>
      </c>
      <c r="K108" s="1">
        <v>2</v>
      </c>
      <c r="L108" s="1">
        <v>1</v>
      </c>
      <c r="M108" s="2">
        <v>0.15899039175631233</v>
      </c>
      <c r="N108" s="27" t="str">
        <f t="shared" si="57"/>
        <v>Low</v>
      </c>
      <c r="O108" s="1">
        <v>1</v>
      </c>
      <c r="P108" s="6">
        <v>82.017094596462982</v>
      </c>
      <c r="Q108" s="6">
        <v>81.995387499999993</v>
      </c>
      <c r="R108" s="6">
        <v>81.995387500000007</v>
      </c>
      <c r="S108" s="6">
        <v>81.995387499999993</v>
      </c>
      <c r="T108" s="6">
        <v>80.25</v>
      </c>
      <c r="U108" s="6">
        <v>0</v>
      </c>
      <c r="V108" s="6">
        <v>0</v>
      </c>
      <c r="W108" s="6">
        <v>0</v>
      </c>
      <c r="X108" s="10">
        <f t="shared" si="62"/>
        <v>2.1545442509971438E-2</v>
      </c>
      <c r="Y108" s="10">
        <f t="shared" si="63"/>
        <v>1</v>
      </c>
      <c r="Z108" s="10">
        <f t="shared" si="64"/>
        <v>1</v>
      </c>
      <c r="AA108" s="10">
        <f t="shared" si="65"/>
        <v>1</v>
      </c>
      <c r="AB108" s="2">
        <f t="shared" si="66"/>
        <v>2.1545442509971438E-2</v>
      </c>
      <c r="AC108" s="6">
        <v>122</v>
      </c>
      <c r="AD108" s="6">
        <v>82</v>
      </c>
      <c r="AE108" s="6">
        <v>82</v>
      </c>
      <c r="AF108" s="6">
        <v>82</v>
      </c>
      <c r="AG108" s="6">
        <v>88</v>
      </c>
      <c r="AH108" s="6">
        <v>0</v>
      </c>
      <c r="AI108" s="6">
        <v>0</v>
      </c>
      <c r="AJ108" s="6">
        <v>0</v>
      </c>
      <c r="AK108" s="10">
        <f t="shared" si="67"/>
        <v>0.27868852459016391</v>
      </c>
      <c r="AL108" s="10">
        <f t="shared" si="68"/>
        <v>1</v>
      </c>
      <c r="AM108" s="10">
        <f t="shared" si="69"/>
        <v>1</v>
      </c>
      <c r="AN108" s="10">
        <f t="shared" si="70"/>
        <v>1</v>
      </c>
      <c r="AO108" s="2">
        <f t="shared" si="71"/>
        <v>0.27868852459016391</v>
      </c>
      <c r="AP108" s="2">
        <v>0</v>
      </c>
      <c r="AQ108" s="2">
        <v>0</v>
      </c>
      <c r="AR108" s="2">
        <v>0</v>
      </c>
      <c r="AS108" s="2">
        <v>0</v>
      </c>
      <c r="AT108" s="2">
        <v>0.63749999999999996</v>
      </c>
      <c r="AU108" s="2">
        <v>0</v>
      </c>
      <c r="AV108" s="2">
        <v>0</v>
      </c>
      <c r="AW108" s="2">
        <v>0</v>
      </c>
      <c r="AX108" s="10" t="str">
        <f t="shared" si="72"/>
        <v/>
      </c>
      <c r="AY108" s="10" t="str">
        <f t="shared" si="73"/>
        <v/>
      </c>
      <c r="AZ108" s="10" t="str">
        <f t="shared" si="74"/>
        <v/>
      </c>
      <c r="BA108" s="10" t="str">
        <f t="shared" si="75"/>
        <v/>
      </c>
      <c r="BB108" s="2" t="str">
        <f t="shared" si="76"/>
        <v>NA</v>
      </c>
      <c r="BC108" s="6">
        <v>4330</v>
      </c>
      <c r="BD108" s="6">
        <v>3687</v>
      </c>
      <c r="BE108" s="6">
        <v>3687</v>
      </c>
      <c r="BF108" s="6">
        <v>3687</v>
      </c>
      <c r="BG108" s="6">
        <v>10635</v>
      </c>
      <c r="BH108" s="6">
        <v>13282</v>
      </c>
      <c r="BI108" s="6">
        <v>10635</v>
      </c>
      <c r="BJ108" s="6">
        <v>10635</v>
      </c>
      <c r="BK108" s="10">
        <f t="shared" si="77"/>
        <v>-1.456120092378753</v>
      </c>
      <c r="BL108" s="10">
        <f t="shared" si="78"/>
        <v>-2.6023867643070249</v>
      </c>
      <c r="BM108" s="10">
        <f t="shared" si="79"/>
        <v>-1.8844589096826689</v>
      </c>
      <c r="BN108" s="10">
        <f t="shared" si="80"/>
        <v>-1.8844589096826689</v>
      </c>
      <c r="BO108" s="2">
        <f t="shared" si="81"/>
        <v>-1.956856169012779</v>
      </c>
      <c r="BP108" s="10">
        <v>6.1823966575043965E-2</v>
      </c>
      <c r="BQ108" s="10">
        <v>0</v>
      </c>
      <c r="BR108" s="10">
        <v>0</v>
      </c>
      <c r="BS108" s="10">
        <v>0</v>
      </c>
      <c r="BT108" s="11" t="s">
        <v>460</v>
      </c>
    </row>
    <row r="109" spans="1:72">
      <c r="A109">
        <f>COUNTIFS($J$7:J109,J109,$N$7:N109,N109,$E$7:E109,E109)</f>
        <v>2</v>
      </c>
      <c r="B109" s="16" t="str">
        <f t="shared" si="55"/>
        <v>Medium</v>
      </c>
      <c r="C109" s="16" t="str">
        <f t="shared" si="56"/>
        <v>2MediumNoTravel</v>
      </c>
      <c r="D109" s="1">
        <v>23007</v>
      </c>
      <c r="E109" s="1" t="s">
        <v>79</v>
      </c>
      <c r="F109" s="1" t="s">
        <v>110</v>
      </c>
      <c r="G109" s="1" t="s">
        <v>175</v>
      </c>
      <c r="H109" s="1">
        <v>41</v>
      </c>
      <c r="I109" s="1" t="s">
        <v>98</v>
      </c>
      <c r="J109" s="1" t="s">
        <v>27</v>
      </c>
      <c r="K109" s="1">
        <v>1</v>
      </c>
      <c r="L109" s="1">
        <v>1</v>
      </c>
      <c r="M109" s="2">
        <v>8.847946542819414E-2</v>
      </c>
      <c r="N109" s="27" t="str">
        <f t="shared" si="57"/>
        <v>Medium</v>
      </c>
      <c r="O109" s="1">
        <v>1</v>
      </c>
      <c r="P109" s="6">
        <v>36.814999999999998</v>
      </c>
      <c r="Q109" s="6">
        <v>34.889193548387112</v>
      </c>
      <c r="R109" s="6">
        <v>34.825000000000003</v>
      </c>
      <c r="S109" s="6">
        <v>34.825000000000003</v>
      </c>
      <c r="T109" s="6">
        <v>32</v>
      </c>
      <c r="U109" s="6">
        <v>31.8</v>
      </c>
      <c r="V109" s="6">
        <v>30.75</v>
      </c>
      <c r="W109" s="6">
        <v>29.25</v>
      </c>
      <c r="X109" s="10">
        <f t="shared" si="62"/>
        <v>0.1307890805378242</v>
      </c>
      <c r="Y109" s="10">
        <f t="shared" si="63"/>
        <v>8.854299094367922E-2</v>
      </c>
      <c r="Z109" s="10">
        <f t="shared" si="64"/>
        <v>0.11701363962670502</v>
      </c>
      <c r="AA109" s="10">
        <f t="shared" si="65"/>
        <v>0.1600861450107682</v>
      </c>
      <c r="AB109" s="2">
        <f t="shared" si="66"/>
        <v>0.12410796402974417</v>
      </c>
      <c r="AC109" s="6">
        <v>39</v>
      </c>
      <c r="AD109" s="6">
        <v>35</v>
      </c>
      <c r="AE109" s="6">
        <v>35</v>
      </c>
      <c r="AF109" s="6">
        <v>35</v>
      </c>
      <c r="AG109" s="6">
        <v>31</v>
      </c>
      <c r="AH109" s="6">
        <v>31</v>
      </c>
      <c r="AI109" s="6">
        <v>31</v>
      </c>
      <c r="AJ109" s="6">
        <v>31</v>
      </c>
      <c r="AK109" s="10">
        <f t="shared" si="67"/>
        <v>0.20512820512820512</v>
      </c>
      <c r="AL109" s="10">
        <f t="shared" si="68"/>
        <v>0.11428571428571428</v>
      </c>
      <c r="AM109" s="10">
        <f t="shared" si="69"/>
        <v>0.11428571428571428</v>
      </c>
      <c r="AN109" s="10">
        <f t="shared" si="70"/>
        <v>0.11428571428571428</v>
      </c>
      <c r="AO109" s="2">
        <f t="shared" si="71"/>
        <v>0.13699633699633698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10" t="str">
        <f t="shared" si="72"/>
        <v/>
      </c>
      <c r="AY109" s="10" t="str">
        <f t="shared" si="73"/>
        <v/>
      </c>
      <c r="AZ109" s="10" t="str">
        <f t="shared" si="74"/>
        <v/>
      </c>
      <c r="BA109" s="10" t="str">
        <f t="shared" si="75"/>
        <v/>
      </c>
      <c r="BB109" s="2" t="str">
        <f t="shared" si="76"/>
        <v>NA</v>
      </c>
      <c r="BC109" s="6">
        <v>0</v>
      </c>
      <c r="BD109" s="6">
        <v>0</v>
      </c>
      <c r="BE109" s="6">
        <v>0</v>
      </c>
      <c r="BF109" s="6">
        <v>0</v>
      </c>
      <c r="BG109" s="6">
        <v>0</v>
      </c>
      <c r="BH109" s="6">
        <v>0</v>
      </c>
      <c r="BI109" s="6">
        <v>0</v>
      </c>
      <c r="BJ109" s="6">
        <v>0</v>
      </c>
      <c r="BK109" s="10" t="str">
        <f t="shared" si="77"/>
        <v/>
      </c>
      <c r="BL109" s="10" t="str">
        <f t="shared" si="78"/>
        <v/>
      </c>
      <c r="BM109" s="10" t="str">
        <f t="shared" si="79"/>
        <v/>
      </c>
      <c r="BN109" s="10" t="str">
        <f t="shared" si="80"/>
        <v/>
      </c>
      <c r="BO109" s="2" t="str">
        <f t="shared" si="81"/>
        <v>NA</v>
      </c>
      <c r="BP109" s="10">
        <v>-9.7948756032956608E-2</v>
      </c>
      <c r="BQ109" s="10">
        <v>-9.4929841975575469E-2</v>
      </c>
      <c r="BR109" s="10">
        <v>-9.0048877101787717E-2</v>
      </c>
      <c r="BS109" s="10">
        <v>-8.0134977956898557E-2</v>
      </c>
      <c r="BT109" s="11" t="s">
        <v>460</v>
      </c>
    </row>
    <row r="110" spans="1:72">
      <c r="A110">
        <f>COUNTIFS($J$7:J110,J110,$N$7:N110,N110,$E$7:E110,E110)</f>
        <v>3</v>
      </c>
      <c r="B110" s="16" t="str">
        <f t="shared" si="55"/>
        <v>Critical</v>
      </c>
      <c r="C110" s="16" t="str">
        <f t="shared" si="56"/>
        <v>3CriticalNoTelecom-Non AT&amp;T</v>
      </c>
      <c r="D110" s="1">
        <v>23010</v>
      </c>
      <c r="E110" s="1" t="s">
        <v>485</v>
      </c>
      <c r="F110" s="1" t="s">
        <v>86</v>
      </c>
      <c r="G110" s="1" t="s">
        <v>176</v>
      </c>
      <c r="H110" s="1">
        <v>286</v>
      </c>
      <c r="I110" s="1" t="s">
        <v>88</v>
      </c>
      <c r="J110" s="1" t="s">
        <v>27</v>
      </c>
      <c r="K110" s="1">
        <v>2</v>
      </c>
      <c r="L110" s="1">
        <v>1</v>
      </c>
      <c r="M110" s="2">
        <v>-0.20705702058927272</v>
      </c>
      <c r="N110" s="27" t="str">
        <f t="shared" si="57"/>
        <v>Critical</v>
      </c>
      <c r="O110" s="1">
        <v>1</v>
      </c>
      <c r="P110" s="6">
        <v>259.86357092524509</v>
      </c>
      <c r="Q110" s="6">
        <v>263.53716245133319</v>
      </c>
      <c r="R110" s="6">
        <v>264.51512850154859</v>
      </c>
      <c r="S110" s="6">
        <v>278.27614715103613</v>
      </c>
      <c r="T110" s="6">
        <v>160.75</v>
      </c>
      <c r="U110" s="6">
        <v>150.4</v>
      </c>
      <c r="V110" s="6">
        <v>140.25</v>
      </c>
      <c r="W110" s="6">
        <v>0</v>
      </c>
      <c r="X110" s="10">
        <f t="shared" si="62"/>
        <v>0.38140617621912487</v>
      </c>
      <c r="Y110" s="10">
        <f t="shared" si="63"/>
        <v>0.42930249911993329</v>
      </c>
      <c r="Z110" s="10">
        <f t="shared" si="64"/>
        <v>0.46978457982913097</v>
      </c>
      <c r="AA110" s="10">
        <f t="shared" si="65"/>
        <v>1</v>
      </c>
      <c r="AB110" s="2">
        <f t="shared" si="66"/>
        <v>0.42683108505606304</v>
      </c>
      <c r="AC110" s="6">
        <v>54.151579011006859</v>
      </c>
      <c r="AD110" s="6">
        <v>48.030096166284352</v>
      </c>
      <c r="AE110" s="6">
        <v>50.715415179217494</v>
      </c>
      <c r="AF110" s="6">
        <v>55.78695669713926</v>
      </c>
      <c r="AG110" s="6">
        <v>148.25</v>
      </c>
      <c r="AH110" s="6">
        <v>144.80000000000001</v>
      </c>
      <c r="AI110" s="6">
        <v>146.25</v>
      </c>
      <c r="AJ110" s="6">
        <v>0</v>
      </c>
      <c r="AK110" s="10">
        <f t="shared" si="67"/>
        <v>-1.7376856355355155</v>
      </c>
      <c r="AL110" s="10">
        <f t="shared" si="68"/>
        <v>-2.0147763914252819</v>
      </c>
      <c r="AM110" s="10">
        <f t="shared" si="69"/>
        <v>-1.8837385927569279</v>
      </c>
      <c r="AN110" s="10">
        <f t="shared" si="70"/>
        <v>1</v>
      </c>
      <c r="AO110" s="2">
        <f t="shared" si="71"/>
        <v>-1.8787335399059086</v>
      </c>
      <c r="AP110" s="2">
        <v>0</v>
      </c>
      <c r="AQ110" s="2">
        <v>0</v>
      </c>
      <c r="AR110" s="2">
        <v>0</v>
      </c>
      <c r="AS110" s="2">
        <v>0</v>
      </c>
      <c r="AT110" s="2">
        <v>0.53</v>
      </c>
      <c r="AU110" s="2">
        <v>0.53</v>
      </c>
      <c r="AV110" s="2">
        <v>0.53</v>
      </c>
      <c r="AW110" s="2">
        <v>0</v>
      </c>
      <c r="AX110" s="10" t="str">
        <f t="shared" si="72"/>
        <v/>
      </c>
      <c r="AY110" s="10" t="str">
        <f t="shared" si="73"/>
        <v/>
      </c>
      <c r="AZ110" s="10" t="str">
        <f t="shared" si="74"/>
        <v/>
      </c>
      <c r="BA110" s="10" t="str">
        <f t="shared" si="75"/>
        <v/>
      </c>
      <c r="BB110" s="2" t="str">
        <f t="shared" si="76"/>
        <v>NA</v>
      </c>
      <c r="BC110" s="6">
        <v>49095.39402810506</v>
      </c>
      <c r="BD110" s="6">
        <v>50077.30190866717</v>
      </c>
      <c r="BE110" s="6">
        <v>50578.07492775382</v>
      </c>
      <c r="BF110" s="6">
        <v>53106.978674141516</v>
      </c>
      <c r="BG110" s="6">
        <v>151581</v>
      </c>
      <c r="BH110" s="6">
        <v>189455</v>
      </c>
      <c r="BI110" s="6">
        <v>153327</v>
      </c>
      <c r="BJ110" s="6">
        <v>0</v>
      </c>
      <c r="BK110" s="10">
        <f t="shared" si="77"/>
        <v>-2.0874790395454657</v>
      </c>
      <c r="BL110" s="10">
        <f t="shared" si="78"/>
        <v>-2.7832509496125613</v>
      </c>
      <c r="BM110" s="10">
        <f t="shared" si="79"/>
        <v>-2.0314914163699127</v>
      </c>
      <c r="BN110" s="10">
        <f t="shared" si="80"/>
        <v>1</v>
      </c>
      <c r="BO110" s="2">
        <f t="shared" si="81"/>
        <v>-2.3007404685093134</v>
      </c>
      <c r="BP110" s="10">
        <v>0.66805302759360352</v>
      </c>
      <c r="BQ110" s="10">
        <v>-2.8027402849821414E-2</v>
      </c>
      <c r="BR110" s="10">
        <v>2.7383771117874156E-2</v>
      </c>
      <c r="BS110" s="10">
        <v>-0.11246196070964887</v>
      </c>
      <c r="BT110" s="11">
        <v>0</v>
      </c>
    </row>
    <row r="111" spans="1:72">
      <c r="A111">
        <f>COUNTIFS($J$7:J111,J111,$N$7:N111,N111,$E$7:E111,E111)</f>
        <v>5</v>
      </c>
      <c r="B111" s="16" t="str">
        <f t="shared" si="55"/>
        <v>Medium</v>
      </c>
      <c r="C111" s="16" t="str">
        <f t="shared" si="56"/>
        <v>5MediumNoBFIMG</v>
      </c>
      <c r="D111" s="1">
        <v>25004</v>
      </c>
      <c r="E111" s="1" t="s">
        <v>20</v>
      </c>
      <c r="F111" s="1" t="s">
        <v>177</v>
      </c>
      <c r="G111" s="1" t="s">
        <v>178</v>
      </c>
      <c r="H111" s="1">
        <v>293</v>
      </c>
      <c r="I111" s="1" t="s">
        <v>179</v>
      </c>
      <c r="J111" s="1" t="s">
        <v>27</v>
      </c>
      <c r="K111" s="1">
        <v>3</v>
      </c>
      <c r="L111" s="1">
        <v>2</v>
      </c>
      <c r="M111" s="2">
        <v>3.9518435289629873E-2</v>
      </c>
      <c r="N111" s="27" t="str">
        <f t="shared" si="57"/>
        <v>Medium</v>
      </c>
      <c r="O111" s="1">
        <v>2</v>
      </c>
      <c r="P111" s="6">
        <v>273.1536065880897</v>
      </c>
      <c r="Q111" s="6">
        <v>288.5390301613204</v>
      </c>
      <c r="R111" s="6">
        <v>336.70258495745873</v>
      </c>
      <c r="S111" s="6">
        <v>387.06956340162259</v>
      </c>
      <c r="T111" s="6">
        <v>428.5</v>
      </c>
      <c r="U111" s="6">
        <v>453.4</v>
      </c>
      <c r="V111" s="6">
        <v>524.5</v>
      </c>
      <c r="W111" s="6">
        <v>597.5</v>
      </c>
      <c r="X111" s="10">
        <f t="shared" si="62"/>
        <v>-0.56871441439969572</v>
      </c>
      <c r="Y111" s="10">
        <f t="shared" si="63"/>
        <v>-0.57136453860854397</v>
      </c>
      <c r="Z111" s="10">
        <f t="shared" si="64"/>
        <v>-0.55775459836837571</v>
      </c>
      <c r="AA111" s="10">
        <f t="shared" si="65"/>
        <v>-0.5436501768547356</v>
      </c>
      <c r="AB111" s="2">
        <f t="shared" si="66"/>
        <v>-0.56037093205783783</v>
      </c>
      <c r="AC111" s="6">
        <v>332.71825189234517</v>
      </c>
      <c r="AD111" s="6">
        <v>323.99840939487467</v>
      </c>
      <c r="AE111" s="6">
        <v>299.99159184171259</v>
      </c>
      <c r="AF111" s="6">
        <v>305.37136621900822</v>
      </c>
      <c r="AG111" s="6">
        <v>379.25</v>
      </c>
      <c r="AH111" s="6">
        <v>364</v>
      </c>
      <c r="AI111" s="6">
        <v>374.25</v>
      </c>
      <c r="AJ111" s="6">
        <v>375.5</v>
      </c>
      <c r="AK111" s="10">
        <f t="shared" si="67"/>
        <v>-0.13985330784531388</v>
      </c>
      <c r="AL111" s="10">
        <f t="shared" si="68"/>
        <v>-0.1234623055089545</v>
      </c>
      <c r="AM111" s="10">
        <f t="shared" si="69"/>
        <v>-0.24753496490484667</v>
      </c>
      <c r="AN111" s="10">
        <f t="shared" si="70"/>
        <v>-0.22965032592707618</v>
      </c>
      <c r="AO111" s="2">
        <f t="shared" si="71"/>
        <v>-0.1851252260465478</v>
      </c>
      <c r="AP111" s="2">
        <v>0</v>
      </c>
      <c r="AQ111" s="2">
        <v>0</v>
      </c>
      <c r="AR111" s="2">
        <v>0</v>
      </c>
      <c r="AS111" s="2">
        <v>0</v>
      </c>
      <c r="AT111" s="2">
        <v>0.8</v>
      </c>
      <c r="AU111" s="2">
        <v>0.8</v>
      </c>
      <c r="AV111" s="2">
        <v>0.8</v>
      </c>
      <c r="AW111" s="2">
        <v>0.8</v>
      </c>
      <c r="AX111" s="10" t="str">
        <f t="shared" si="72"/>
        <v/>
      </c>
      <c r="AY111" s="10" t="str">
        <f t="shared" si="73"/>
        <v/>
      </c>
      <c r="AZ111" s="10" t="str">
        <f t="shared" si="74"/>
        <v/>
      </c>
      <c r="BA111" s="10" t="str">
        <f t="shared" si="75"/>
        <v/>
      </c>
      <c r="BB111" s="2" t="str">
        <f t="shared" si="76"/>
        <v>NA</v>
      </c>
      <c r="BC111" s="6">
        <v>348670</v>
      </c>
      <c r="BD111" s="6">
        <v>352436</v>
      </c>
      <c r="BE111" s="6">
        <v>352985.5</v>
      </c>
      <c r="BF111" s="6">
        <v>359604</v>
      </c>
      <c r="BG111" s="6">
        <v>318719</v>
      </c>
      <c r="BH111" s="6">
        <v>397027</v>
      </c>
      <c r="BI111" s="6">
        <v>326924</v>
      </c>
      <c r="BJ111" s="6">
        <v>326499</v>
      </c>
      <c r="BK111" s="10">
        <f t="shared" si="77"/>
        <v>8.590070840622939E-2</v>
      </c>
      <c r="BL111" s="10">
        <f t="shared" si="78"/>
        <v>-0.12652226219795934</v>
      </c>
      <c r="BM111" s="10">
        <f t="shared" si="79"/>
        <v>7.3831644642626967E-2</v>
      </c>
      <c r="BN111" s="10">
        <f t="shared" si="80"/>
        <v>9.2059598892114666E-2</v>
      </c>
      <c r="BO111" s="2">
        <f t="shared" si="81"/>
        <v>3.1317422435752917E-2</v>
      </c>
      <c r="BP111" s="10">
        <v>-2.05163624246682E-2</v>
      </c>
      <c r="BQ111" s="10">
        <v>-0.14925940900806084</v>
      </c>
      <c r="BR111" s="10">
        <v>-5.6103942146553509E-2</v>
      </c>
      <c r="BS111" s="10">
        <v>9.7063637359516231E-2</v>
      </c>
      <c r="BT111" s="11">
        <v>0</v>
      </c>
    </row>
    <row r="112" spans="1:72">
      <c r="A112">
        <f>COUNTIFS($J$7:J112,J112,$N$7:N112,N112,$E$7:E112,E112)</f>
        <v>7</v>
      </c>
      <c r="B112" s="16" t="str">
        <f t="shared" si="55"/>
        <v>Low</v>
      </c>
      <c r="C112" s="16" t="str">
        <f t="shared" si="56"/>
        <v>7LowNoTelecom-Non AT&amp;T</v>
      </c>
      <c r="D112" s="1">
        <v>25014</v>
      </c>
      <c r="E112" s="1" t="s">
        <v>485</v>
      </c>
      <c r="F112" s="1" t="s">
        <v>180</v>
      </c>
      <c r="G112" s="1" t="s">
        <v>181</v>
      </c>
      <c r="H112" s="1">
        <v>19</v>
      </c>
      <c r="I112" s="1" t="s">
        <v>182</v>
      </c>
      <c r="J112" s="1" t="s">
        <v>27</v>
      </c>
      <c r="K112" s="1">
        <v>1</v>
      </c>
      <c r="L112" s="1">
        <v>1</v>
      </c>
      <c r="M112" s="2">
        <v>0.39584381331868296</v>
      </c>
      <c r="N112" s="27" t="str">
        <f t="shared" si="57"/>
        <v>Low</v>
      </c>
      <c r="O112" s="1">
        <v>1</v>
      </c>
      <c r="P112" s="6">
        <v>12</v>
      </c>
      <c r="Q112" s="6">
        <v>12</v>
      </c>
      <c r="R112" s="6">
        <v>11</v>
      </c>
      <c r="S112" s="6">
        <v>12</v>
      </c>
      <c r="T112" s="6">
        <v>15.75</v>
      </c>
      <c r="U112" s="6">
        <v>15</v>
      </c>
      <c r="V112" s="6">
        <v>14.25</v>
      </c>
      <c r="W112" s="6">
        <v>14</v>
      </c>
      <c r="X112" s="10">
        <f t="shared" si="62"/>
        <v>-0.3125</v>
      </c>
      <c r="Y112" s="10">
        <f t="shared" si="63"/>
        <v>-0.25</v>
      </c>
      <c r="Z112" s="10">
        <f t="shared" si="64"/>
        <v>-0.29545454545454547</v>
      </c>
      <c r="AA112" s="10">
        <f t="shared" si="65"/>
        <v>-0.16666666666666666</v>
      </c>
      <c r="AB112" s="2">
        <f t="shared" si="66"/>
        <v>-0.25615530303030304</v>
      </c>
      <c r="AC112" s="6">
        <v>12.454061837039365</v>
      </c>
      <c r="AD112" s="6">
        <v>12.123803528556337</v>
      </c>
      <c r="AE112" s="6">
        <v>10.997492033995966</v>
      </c>
      <c r="AF112" s="6">
        <v>12.272380352564101</v>
      </c>
      <c r="AG112" s="6">
        <v>16</v>
      </c>
      <c r="AH112" s="6">
        <v>14</v>
      </c>
      <c r="AI112" s="6">
        <v>14</v>
      </c>
      <c r="AJ112" s="6">
        <v>13</v>
      </c>
      <c r="AK112" s="10">
        <f t="shared" si="67"/>
        <v>-0.2847214193537031</v>
      </c>
      <c r="AL112" s="10">
        <f t="shared" si="68"/>
        <v>-0.15475312405256986</v>
      </c>
      <c r="AM112" s="10">
        <f t="shared" si="69"/>
        <v>-0.27301751678678549</v>
      </c>
      <c r="AN112" s="10">
        <f t="shared" si="70"/>
        <v>-5.92892027897323E-2</v>
      </c>
      <c r="AO112" s="2">
        <f t="shared" si="71"/>
        <v>-0.19294531574569768</v>
      </c>
      <c r="AP112" s="2">
        <v>0</v>
      </c>
      <c r="AQ112" s="2">
        <v>0</v>
      </c>
      <c r="AR112" s="2">
        <v>0</v>
      </c>
      <c r="AS112" s="2">
        <v>0</v>
      </c>
      <c r="AT112" s="2">
        <v>0.7</v>
      </c>
      <c r="AU112" s="2">
        <v>0.7</v>
      </c>
      <c r="AV112" s="2">
        <v>0.6875</v>
      </c>
      <c r="AW112" s="2">
        <v>0.65</v>
      </c>
      <c r="AX112" s="10" t="str">
        <f t="shared" si="72"/>
        <v/>
      </c>
      <c r="AY112" s="10" t="str">
        <f t="shared" si="73"/>
        <v/>
      </c>
      <c r="AZ112" s="10" t="str">
        <f t="shared" si="74"/>
        <v/>
      </c>
      <c r="BA112" s="10" t="str">
        <f t="shared" si="75"/>
        <v/>
      </c>
      <c r="BB112" s="2" t="str">
        <f t="shared" si="76"/>
        <v>NA</v>
      </c>
      <c r="BC112" s="6">
        <v>9705</v>
      </c>
      <c r="BD112" s="6">
        <v>8909.5</v>
      </c>
      <c r="BE112" s="6">
        <v>8508.5499999999993</v>
      </c>
      <c r="BF112" s="6">
        <v>8147.6949999999997</v>
      </c>
      <c r="BG112" s="6">
        <v>8613</v>
      </c>
      <c r="BH112" s="6">
        <v>9623</v>
      </c>
      <c r="BI112" s="6">
        <v>7274</v>
      </c>
      <c r="BJ112" s="6">
        <v>7224</v>
      </c>
      <c r="BK112" s="10">
        <f t="shared" si="77"/>
        <v>0.1125193199381762</v>
      </c>
      <c r="BL112" s="10">
        <f t="shared" si="78"/>
        <v>-8.0083057410629099E-2</v>
      </c>
      <c r="BM112" s="10">
        <f t="shared" si="79"/>
        <v>0.14509522774150699</v>
      </c>
      <c r="BN112" s="10">
        <f t="shared" si="80"/>
        <v>0.11336887303709819</v>
      </c>
      <c r="BO112" s="2">
        <f t="shared" si="81"/>
        <v>7.2725090826538066E-2</v>
      </c>
      <c r="BP112" s="10">
        <v>0</v>
      </c>
      <c r="BQ112" s="10">
        <v>0</v>
      </c>
      <c r="BR112" s="10">
        <v>0</v>
      </c>
      <c r="BS112" s="10">
        <v>0</v>
      </c>
      <c r="BT112" s="11" t="s">
        <v>459</v>
      </c>
    </row>
    <row r="113" spans="1:72">
      <c r="A113">
        <f>COUNTIFS($J$7:J113,J113,$N$7:N113,N113,$E$7:E113,E113)</f>
        <v>8</v>
      </c>
      <c r="B113" s="16" t="str">
        <f t="shared" si="55"/>
        <v>Low</v>
      </c>
      <c r="C113" s="16" t="str">
        <f t="shared" si="56"/>
        <v>8LowNoTelecom-Non AT&amp;T</v>
      </c>
      <c r="D113" s="1">
        <v>25016</v>
      </c>
      <c r="E113" s="1" t="s">
        <v>485</v>
      </c>
      <c r="F113" s="1" t="s">
        <v>180</v>
      </c>
      <c r="G113" s="1" t="s">
        <v>183</v>
      </c>
      <c r="H113" s="1">
        <v>47</v>
      </c>
      <c r="I113" s="1" t="s">
        <v>182</v>
      </c>
      <c r="J113" s="1" t="s">
        <v>27</v>
      </c>
      <c r="K113" s="1">
        <v>1</v>
      </c>
      <c r="L113" s="1">
        <v>1</v>
      </c>
      <c r="M113" s="2">
        <v>0.38880234228709593</v>
      </c>
      <c r="N113" s="27" t="str">
        <f t="shared" si="57"/>
        <v>Low</v>
      </c>
      <c r="O113" s="1">
        <v>1</v>
      </c>
      <c r="P113" s="6">
        <v>24</v>
      </c>
      <c r="Q113" s="6">
        <v>30</v>
      </c>
      <c r="R113" s="6">
        <v>31</v>
      </c>
      <c r="S113" s="6">
        <v>35</v>
      </c>
      <c r="T113" s="6">
        <v>39.25</v>
      </c>
      <c r="U113" s="6">
        <v>37.4</v>
      </c>
      <c r="V113" s="6">
        <v>35.75</v>
      </c>
      <c r="W113" s="6">
        <v>34.5</v>
      </c>
      <c r="X113" s="10">
        <f t="shared" si="62"/>
        <v>-0.63541666666666663</v>
      </c>
      <c r="Y113" s="10">
        <f t="shared" si="63"/>
        <v>-0.24666666666666662</v>
      </c>
      <c r="Z113" s="10">
        <f t="shared" si="64"/>
        <v>-0.15322580645161291</v>
      </c>
      <c r="AA113" s="10">
        <f t="shared" si="65"/>
        <v>1.4285714285714285E-2</v>
      </c>
      <c r="AB113" s="2">
        <f t="shared" si="66"/>
        <v>-0.25525585637480797</v>
      </c>
      <c r="AC113" s="6">
        <v>23.98294091369214</v>
      </c>
      <c r="AD113" s="6">
        <v>30.06359748868336</v>
      </c>
      <c r="AE113" s="6">
        <v>30.690840495925347</v>
      </c>
      <c r="AF113" s="6">
        <v>34.853730163085814</v>
      </c>
      <c r="AG113" s="6">
        <v>34</v>
      </c>
      <c r="AH113" s="6">
        <v>32.200000000000003</v>
      </c>
      <c r="AI113" s="6">
        <v>29</v>
      </c>
      <c r="AJ113" s="6">
        <v>29</v>
      </c>
      <c r="AK113" s="10">
        <f t="shared" si="67"/>
        <v>-0.41767434287381344</v>
      </c>
      <c r="AL113" s="10">
        <f t="shared" si="68"/>
        <v>-7.1062769920360813E-2</v>
      </c>
      <c r="AM113" s="10">
        <f t="shared" si="69"/>
        <v>5.5092674837296497E-2</v>
      </c>
      <c r="AN113" s="10">
        <f t="shared" si="70"/>
        <v>0.16795132502877985</v>
      </c>
      <c r="AO113" s="2">
        <f t="shared" si="71"/>
        <v>-6.6423278232024471E-2</v>
      </c>
      <c r="AP113" s="2">
        <v>0</v>
      </c>
      <c r="AQ113" s="2">
        <v>0</v>
      </c>
      <c r="AR113" s="2">
        <v>0</v>
      </c>
      <c r="AS113" s="2">
        <v>0</v>
      </c>
      <c r="AT113" s="2">
        <v>0.7</v>
      </c>
      <c r="AU113" s="2">
        <v>0.7</v>
      </c>
      <c r="AV113" s="2">
        <v>0.7</v>
      </c>
      <c r="AW113" s="2">
        <v>0.7</v>
      </c>
      <c r="AX113" s="10" t="str">
        <f t="shared" si="72"/>
        <v/>
      </c>
      <c r="AY113" s="10" t="str">
        <f t="shared" si="73"/>
        <v/>
      </c>
      <c r="AZ113" s="10" t="str">
        <f t="shared" si="74"/>
        <v/>
      </c>
      <c r="BA113" s="10" t="str">
        <f t="shared" si="75"/>
        <v/>
      </c>
      <c r="BB113" s="2" t="str">
        <f t="shared" si="76"/>
        <v>NA</v>
      </c>
      <c r="BC113" s="6">
        <v>20610.455780645163</v>
      </c>
      <c r="BD113" s="6">
        <v>23739.9</v>
      </c>
      <c r="BE113" s="6">
        <v>25415.529374999998</v>
      </c>
      <c r="BF113" s="6">
        <v>27235.2221875</v>
      </c>
      <c r="BG113" s="6">
        <v>25621</v>
      </c>
      <c r="BH113" s="6">
        <v>28174</v>
      </c>
      <c r="BI113" s="6">
        <v>21981</v>
      </c>
      <c r="BJ113" s="6">
        <v>21956</v>
      </c>
      <c r="BK113" s="10">
        <f t="shared" si="77"/>
        <v>-0.24310691004029769</v>
      </c>
      <c r="BL113" s="10">
        <f t="shared" si="78"/>
        <v>-0.1867783773309912</v>
      </c>
      <c r="BM113" s="10">
        <f t="shared" si="79"/>
        <v>0.13513507133077365</v>
      </c>
      <c r="BN113" s="10">
        <f t="shared" si="80"/>
        <v>0.19383804366108587</v>
      </c>
      <c r="BO113" s="2">
        <f t="shared" si="81"/>
        <v>-2.5228043094857336E-2</v>
      </c>
      <c r="BP113" s="10">
        <v>0</v>
      </c>
      <c r="BQ113" s="10">
        <v>0</v>
      </c>
      <c r="BR113" s="10">
        <v>0</v>
      </c>
      <c r="BS113" s="10">
        <v>0</v>
      </c>
      <c r="BT113" s="11" t="s">
        <v>459</v>
      </c>
    </row>
    <row r="114" spans="1:72">
      <c r="A114">
        <f>COUNTIFS($J$7:J114,J114,$N$7:N114,N114,$E$7:E114,E114)</f>
        <v>3</v>
      </c>
      <c r="B114" s="16" t="str">
        <f t="shared" si="55"/>
        <v>Medium</v>
      </c>
      <c r="C114" s="16" t="str">
        <f t="shared" si="56"/>
        <v>3MediumNoTelecom-Non AT&amp;T</v>
      </c>
      <c r="D114" s="1">
        <v>25020</v>
      </c>
      <c r="E114" s="1" t="s">
        <v>485</v>
      </c>
      <c r="F114" s="1" t="s">
        <v>184</v>
      </c>
      <c r="G114" s="1" t="s">
        <v>185</v>
      </c>
      <c r="H114" s="1">
        <v>204</v>
      </c>
      <c r="I114" s="1" t="s">
        <v>182</v>
      </c>
      <c r="J114" s="1" t="s">
        <v>27</v>
      </c>
      <c r="K114" s="1">
        <v>2</v>
      </c>
      <c r="L114" s="1"/>
      <c r="M114" s="2">
        <v>0</v>
      </c>
      <c r="N114" s="27" t="str">
        <f t="shared" si="57"/>
        <v>Medium</v>
      </c>
      <c r="O114" s="1">
        <v>0</v>
      </c>
      <c r="P114" s="6">
        <v>0</v>
      </c>
      <c r="Q114" s="6">
        <v>0</v>
      </c>
      <c r="R114" s="6">
        <v>0</v>
      </c>
      <c r="S114" s="6">
        <v>0</v>
      </c>
      <c r="T114" s="6">
        <v>247</v>
      </c>
      <c r="U114" s="6">
        <v>280.39999999999998</v>
      </c>
      <c r="V114" s="6">
        <v>292.25</v>
      </c>
      <c r="W114" s="6">
        <v>303.75</v>
      </c>
      <c r="X114" s="10" t="str">
        <f t="shared" si="62"/>
        <v/>
      </c>
      <c r="Y114" s="10" t="str">
        <f t="shared" si="63"/>
        <v/>
      </c>
      <c r="Z114" s="10" t="str">
        <f t="shared" si="64"/>
        <v/>
      </c>
      <c r="AA114" s="10" t="str">
        <f t="shared" si="65"/>
        <v/>
      </c>
      <c r="AB114" s="2" t="str">
        <f t="shared" si="66"/>
        <v>NA</v>
      </c>
      <c r="AC114" s="6">
        <v>30</v>
      </c>
      <c r="AD114" s="6">
        <v>30</v>
      </c>
      <c r="AE114" s="6">
        <v>30</v>
      </c>
      <c r="AF114" s="6">
        <v>30</v>
      </c>
      <c r="AG114" s="6">
        <v>313.25</v>
      </c>
      <c r="AH114" s="6">
        <v>318.2</v>
      </c>
      <c r="AI114" s="6">
        <v>320.75</v>
      </c>
      <c r="AJ114" s="6">
        <v>325</v>
      </c>
      <c r="AK114" s="10">
        <f t="shared" si="67"/>
        <v>-9.4416666666666664</v>
      </c>
      <c r="AL114" s="10">
        <f t="shared" si="68"/>
        <v>-9.6066666666666656</v>
      </c>
      <c r="AM114" s="10">
        <f t="shared" si="69"/>
        <v>-9.6916666666666664</v>
      </c>
      <c r="AN114" s="10">
        <f t="shared" si="70"/>
        <v>-9.8333333333333339</v>
      </c>
      <c r="AO114" s="2">
        <f t="shared" si="71"/>
        <v>-9.6433333333333326</v>
      </c>
      <c r="AP114" s="2">
        <v>0</v>
      </c>
      <c r="AQ114" s="2">
        <v>0</v>
      </c>
      <c r="AR114" s="2">
        <v>0</v>
      </c>
      <c r="AS114" s="2">
        <v>0</v>
      </c>
      <c r="AT114" s="2">
        <v>0.60624999999999996</v>
      </c>
      <c r="AU114" s="2">
        <v>0.60624999999999996</v>
      </c>
      <c r="AV114" s="2">
        <v>0.60687500000000005</v>
      </c>
      <c r="AW114" s="2">
        <v>0.60875000000000001</v>
      </c>
      <c r="AX114" s="10" t="str">
        <f t="shared" si="72"/>
        <v/>
      </c>
      <c r="AY114" s="10" t="str">
        <f t="shared" si="73"/>
        <v/>
      </c>
      <c r="AZ114" s="10" t="str">
        <f t="shared" si="74"/>
        <v/>
      </c>
      <c r="BA114" s="10" t="str">
        <f t="shared" si="75"/>
        <v/>
      </c>
      <c r="BB114" s="2" t="str">
        <f t="shared" si="76"/>
        <v>NA</v>
      </c>
      <c r="BC114" s="6">
        <v>0</v>
      </c>
      <c r="BD114" s="6">
        <v>0</v>
      </c>
      <c r="BE114" s="6">
        <v>0</v>
      </c>
      <c r="BF114" s="6">
        <v>0</v>
      </c>
      <c r="BG114" s="6">
        <v>112569</v>
      </c>
      <c r="BH114" s="6">
        <v>144038</v>
      </c>
      <c r="BI114" s="6">
        <v>117145</v>
      </c>
      <c r="BJ114" s="6">
        <v>119028</v>
      </c>
      <c r="BK114" s="10" t="str">
        <f t="shared" si="77"/>
        <v/>
      </c>
      <c r="BL114" s="10" t="str">
        <f t="shared" si="78"/>
        <v/>
      </c>
      <c r="BM114" s="10" t="str">
        <f t="shared" si="79"/>
        <v/>
      </c>
      <c r="BN114" s="10" t="str">
        <f t="shared" si="80"/>
        <v/>
      </c>
      <c r="BO114" s="2" t="str">
        <f t="shared" si="81"/>
        <v>NA</v>
      </c>
      <c r="BP114" s="10">
        <v>0</v>
      </c>
      <c r="BQ114" s="10">
        <v>0</v>
      </c>
      <c r="BR114" s="10">
        <v>0</v>
      </c>
      <c r="BS114" s="10">
        <v>0</v>
      </c>
      <c r="BT114" s="11">
        <v>0</v>
      </c>
    </row>
    <row r="115" spans="1:72">
      <c r="A115">
        <f>COUNTIFS($J$7:J115,J115,$N$7:N115,N115,$E$7:E115,E115)</f>
        <v>5</v>
      </c>
      <c r="B115" s="16" t="str">
        <f t="shared" si="55"/>
        <v>Critical</v>
      </c>
      <c r="C115" s="16" t="str">
        <f t="shared" si="56"/>
        <v>5CriticalNoBFIMG</v>
      </c>
      <c r="D115" s="1">
        <v>25028</v>
      </c>
      <c r="E115" s="1" t="s">
        <v>20</v>
      </c>
      <c r="F115" s="1" t="s">
        <v>186</v>
      </c>
      <c r="G115" s="1" t="s">
        <v>187</v>
      </c>
      <c r="H115" s="1">
        <v>17</v>
      </c>
      <c r="I115" s="1" t="s">
        <v>188</v>
      </c>
      <c r="J115" s="1" t="s">
        <v>27</v>
      </c>
      <c r="K115" s="1">
        <v>1</v>
      </c>
      <c r="L115" s="1">
        <v>1</v>
      </c>
      <c r="M115" s="2">
        <v>-4.8596519003146599E-2</v>
      </c>
      <c r="N115" s="27" t="str">
        <f t="shared" si="57"/>
        <v>Critical</v>
      </c>
      <c r="O115" s="1">
        <v>1</v>
      </c>
      <c r="P115" s="6">
        <v>17.999296874999999</v>
      </c>
      <c r="Q115" s="6">
        <v>17.99929687500001</v>
      </c>
      <c r="R115" s="6">
        <v>17.999296874999999</v>
      </c>
      <c r="S115" s="6">
        <v>17.999296874999999</v>
      </c>
      <c r="T115" s="6">
        <v>15.75</v>
      </c>
      <c r="U115" s="6">
        <v>14.8</v>
      </c>
      <c r="V115" s="6">
        <v>14</v>
      </c>
      <c r="W115" s="6">
        <v>13.25</v>
      </c>
      <c r="X115" s="10">
        <f t="shared" si="62"/>
        <v>0.12496581897730374</v>
      </c>
      <c r="Y115" s="10">
        <f t="shared" si="63"/>
        <v>0.17774565846756207</v>
      </c>
      <c r="Z115" s="10">
        <f t="shared" si="64"/>
        <v>0.22219183909093665</v>
      </c>
      <c r="AA115" s="10">
        <f t="shared" si="65"/>
        <v>0.26386013342535075</v>
      </c>
      <c r="AB115" s="2">
        <f t="shared" si="66"/>
        <v>0.1971908624902883</v>
      </c>
      <c r="AC115" s="6">
        <v>18</v>
      </c>
      <c r="AD115" s="6">
        <v>18</v>
      </c>
      <c r="AE115" s="6">
        <v>18</v>
      </c>
      <c r="AF115" s="6">
        <v>18</v>
      </c>
      <c r="AG115" s="6">
        <v>11.75</v>
      </c>
      <c r="AH115" s="6">
        <v>12.2</v>
      </c>
      <c r="AI115" s="6">
        <v>10</v>
      </c>
      <c r="AJ115" s="6">
        <v>9.5</v>
      </c>
      <c r="AK115" s="10">
        <f t="shared" si="67"/>
        <v>0.34722222222222221</v>
      </c>
      <c r="AL115" s="10">
        <f t="shared" si="68"/>
        <v>0.32222222222222224</v>
      </c>
      <c r="AM115" s="10">
        <f t="shared" si="69"/>
        <v>0.44444444444444442</v>
      </c>
      <c r="AN115" s="10">
        <f t="shared" si="70"/>
        <v>0.47222222222222221</v>
      </c>
      <c r="AO115" s="2">
        <f t="shared" si="71"/>
        <v>0.39652777777777781</v>
      </c>
      <c r="AP115" s="2">
        <v>1</v>
      </c>
      <c r="AQ115" s="2">
        <v>1</v>
      </c>
      <c r="AR115" s="2">
        <v>1</v>
      </c>
      <c r="AS115" s="2">
        <v>1</v>
      </c>
      <c r="AT115" s="2">
        <v>0.55000000000000004</v>
      </c>
      <c r="AU115" s="2">
        <v>0.55000000000000004</v>
      </c>
      <c r="AV115" s="2">
        <v>0.55000000000000004</v>
      </c>
      <c r="AW115" s="2">
        <v>0.55000000000000004</v>
      </c>
      <c r="AX115" s="10">
        <f t="shared" si="72"/>
        <v>0.44999999999999996</v>
      </c>
      <c r="AY115" s="10">
        <f t="shared" si="73"/>
        <v>0.44999999999999996</v>
      </c>
      <c r="AZ115" s="10">
        <f t="shared" si="74"/>
        <v>0.44999999999999996</v>
      </c>
      <c r="BA115" s="10">
        <f t="shared" si="75"/>
        <v>0.44999999999999996</v>
      </c>
      <c r="BB115" s="2">
        <f t="shared" si="76"/>
        <v>0.44999999999999996</v>
      </c>
      <c r="BC115" s="6">
        <v>0</v>
      </c>
      <c r="BD115" s="6">
        <v>5134.22</v>
      </c>
      <c r="BE115" s="6">
        <v>5134.22</v>
      </c>
      <c r="BF115" s="6">
        <v>5134.22</v>
      </c>
      <c r="BG115" s="6">
        <v>10072</v>
      </c>
      <c r="BH115" s="6">
        <v>12818</v>
      </c>
      <c r="BI115" s="6">
        <v>8501</v>
      </c>
      <c r="BJ115" s="6">
        <v>7964</v>
      </c>
      <c r="BK115" s="10" t="str">
        <f t="shared" si="77"/>
        <v/>
      </c>
      <c r="BL115" s="10">
        <f t="shared" si="78"/>
        <v>-1.4965817592545703</v>
      </c>
      <c r="BM115" s="10">
        <f t="shared" si="79"/>
        <v>-0.65575296734460142</v>
      </c>
      <c r="BN115" s="10">
        <f t="shared" si="80"/>
        <v>-0.55116064368102646</v>
      </c>
      <c r="BO115" s="2">
        <f t="shared" si="81"/>
        <v>-0.90116512342673272</v>
      </c>
      <c r="BP115" s="10">
        <v>0</v>
      </c>
      <c r="BQ115" s="10">
        <v>0</v>
      </c>
      <c r="BR115" s="10">
        <v>0</v>
      </c>
      <c r="BS115" s="10">
        <v>0</v>
      </c>
      <c r="BT115" s="11" t="s">
        <v>460</v>
      </c>
    </row>
    <row r="116" spans="1:72">
      <c r="A116">
        <f>COUNTIFS($J$7:J116,J116,$N$7:N116,N116,$E$7:E116,E116)</f>
        <v>3</v>
      </c>
      <c r="B116" s="16" t="str">
        <f t="shared" si="55"/>
        <v>Low</v>
      </c>
      <c r="C116" s="16" t="str">
        <f t="shared" si="56"/>
        <v>3LowNoRetail</v>
      </c>
      <c r="D116" s="1">
        <v>25029</v>
      </c>
      <c r="E116" s="1" t="s">
        <v>10</v>
      </c>
      <c r="F116" s="1" t="s">
        <v>11</v>
      </c>
      <c r="G116" s="1" t="s">
        <v>189</v>
      </c>
      <c r="H116" s="1">
        <v>1530</v>
      </c>
      <c r="I116" s="1" t="s">
        <v>190</v>
      </c>
      <c r="J116" s="1" t="s">
        <v>27</v>
      </c>
      <c r="K116" s="1">
        <v>6</v>
      </c>
      <c r="L116" s="1">
        <v>3</v>
      </c>
      <c r="M116" s="2">
        <v>0.93924698997138534</v>
      </c>
      <c r="N116" s="27" t="str">
        <f t="shared" si="57"/>
        <v>Low</v>
      </c>
      <c r="O116" s="1">
        <v>3</v>
      </c>
      <c r="P116" s="6">
        <v>1392.7212405217424</v>
      </c>
      <c r="Q116" s="6">
        <v>1460.675789476672</v>
      </c>
      <c r="R116" s="6">
        <v>1857.3956235836913</v>
      </c>
      <c r="S116" s="6">
        <v>2744.7299436633357</v>
      </c>
      <c r="T116" s="6">
        <v>1330.25</v>
      </c>
      <c r="U116" s="6">
        <v>1629.6000000000001</v>
      </c>
      <c r="V116" s="6">
        <v>2242.75</v>
      </c>
      <c r="W116" s="6">
        <v>2404</v>
      </c>
      <c r="X116" s="10">
        <f t="shared" si="62"/>
        <v>4.4855523635396966E-2</v>
      </c>
      <c r="Y116" s="10">
        <f t="shared" si="63"/>
        <v>-0.11564798413195441</v>
      </c>
      <c r="Z116" s="10">
        <f t="shared" si="64"/>
        <v>-0.20747027263518544</v>
      </c>
      <c r="AA116" s="10">
        <f t="shared" si="65"/>
        <v>0.12413969704012859</v>
      </c>
      <c r="AB116" s="2">
        <f t="shared" si="66"/>
        <v>-3.8530759022903573E-2</v>
      </c>
      <c r="AC116" s="6">
        <v>1201.1288945347296</v>
      </c>
      <c r="AD116" s="6">
        <v>1278.8623045938928</v>
      </c>
      <c r="AE116" s="6">
        <v>1749.7186381075012</v>
      </c>
      <c r="AF116" s="6">
        <v>2619.6444917634817</v>
      </c>
      <c r="AG116" s="6">
        <v>1281.25</v>
      </c>
      <c r="AH116" s="6">
        <v>1543.6</v>
      </c>
      <c r="AI116" s="6">
        <v>2080.75</v>
      </c>
      <c r="AJ116" s="6">
        <v>2427.5</v>
      </c>
      <c r="AK116" s="10">
        <f t="shared" si="67"/>
        <v>-6.670483561741819E-2</v>
      </c>
      <c r="AL116" s="10">
        <f t="shared" si="68"/>
        <v>-0.20701032038799169</v>
      </c>
      <c r="AM116" s="10">
        <f t="shared" si="69"/>
        <v>-0.18919119604883614</v>
      </c>
      <c r="AN116" s="10">
        <f t="shared" si="70"/>
        <v>7.3347544816714669E-2</v>
      </c>
      <c r="AO116" s="2">
        <f t="shared" si="71"/>
        <v>-9.7389701809382834E-2</v>
      </c>
      <c r="AP116" s="2">
        <v>0</v>
      </c>
      <c r="AQ116" s="2">
        <v>0</v>
      </c>
      <c r="AR116" s="2">
        <v>0</v>
      </c>
      <c r="AS116" s="2">
        <v>0</v>
      </c>
      <c r="AT116" s="2">
        <v>0.74406249999999996</v>
      </c>
      <c r="AU116" s="2">
        <v>0.74175000000000002</v>
      </c>
      <c r="AV116" s="2">
        <v>0.74312500000000004</v>
      </c>
      <c r="AW116" s="2">
        <v>0.75843749999999999</v>
      </c>
      <c r="AX116" s="10" t="str">
        <f t="shared" si="72"/>
        <v/>
      </c>
      <c r="AY116" s="10" t="str">
        <f t="shared" si="73"/>
        <v/>
      </c>
      <c r="AZ116" s="10" t="str">
        <f t="shared" si="74"/>
        <v/>
      </c>
      <c r="BA116" s="10" t="str">
        <f t="shared" si="75"/>
        <v/>
      </c>
      <c r="BB116" s="2" t="str">
        <f t="shared" si="76"/>
        <v>NA</v>
      </c>
      <c r="BC116" s="6">
        <v>879546</v>
      </c>
      <c r="BD116" s="6">
        <v>917620</v>
      </c>
      <c r="BE116" s="6">
        <v>1135794</v>
      </c>
      <c r="BF116" s="6">
        <v>1780981</v>
      </c>
      <c r="BG116" s="6">
        <v>920331</v>
      </c>
      <c r="BH116" s="6">
        <v>1300675</v>
      </c>
      <c r="BI116" s="6">
        <v>1361320</v>
      </c>
      <c r="BJ116" s="6">
        <v>1876158</v>
      </c>
      <c r="BK116" s="10">
        <f t="shared" si="77"/>
        <v>-4.6370513878751081E-2</v>
      </c>
      <c r="BL116" s="10">
        <f t="shared" si="78"/>
        <v>-0.4174440400165646</v>
      </c>
      <c r="BM116" s="10">
        <f t="shared" si="79"/>
        <v>-0.19856241536757546</v>
      </c>
      <c r="BN116" s="10">
        <f t="shared" si="80"/>
        <v>-5.3440772248552905E-2</v>
      </c>
      <c r="BO116" s="2">
        <f t="shared" si="81"/>
        <v>-0.17895443537786102</v>
      </c>
      <c r="BP116" s="10">
        <v>0</v>
      </c>
      <c r="BQ116" s="10">
        <v>0</v>
      </c>
      <c r="BR116" s="10">
        <v>0</v>
      </c>
      <c r="BS116" s="10">
        <v>0</v>
      </c>
      <c r="BT116" s="11" t="s">
        <v>458</v>
      </c>
    </row>
    <row r="117" spans="1:72">
      <c r="A117">
        <f>COUNTIFS($J$7:J117,J117,$N$7:N117,N117,$E$7:E117,E117)</f>
        <v>1</v>
      </c>
      <c r="B117" s="16" t="str">
        <f t="shared" si="55"/>
        <v>Medium</v>
      </c>
      <c r="C117" s="16" t="str">
        <f t="shared" si="56"/>
        <v>1MediumYesTechnology</v>
      </c>
      <c r="D117" s="1">
        <v>25039</v>
      </c>
      <c r="E117" s="1" t="s">
        <v>23</v>
      </c>
      <c r="F117" s="1" t="s">
        <v>191</v>
      </c>
      <c r="G117" s="1" t="s">
        <v>192</v>
      </c>
      <c r="H117" s="1">
        <v>9</v>
      </c>
      <c r="I117" s="1" t="s">
        <v>68</v>
      </c>
      <c r="J117" s="1" t="s">
        <v>9</v>
      </c>
      <c r="K117" s="1">
        <v>1</v>
      </c>
      <c r="L117" s="1"/>
      <c r="M117" s="2">
        <v>0</v>
      </c>
      <c r="N117" s="27" t="str">
        <f t="shared" si="57"/>
        <v>Medium</v>
      </c>
      <c r="O117" s="1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10" t="str">
        <f t="shared" si="62"/>
        <v/>
      </c>
      <c r="Y117" s="10" t="str">
        <f t="shared" si="63"/>
        <v/>
      </c>
      <c r="Z117" s="10" t="str">
        <f t="shared" si="64"/>
        <v/>
      </c>
      <c r="AA117" s="10" t="str">
        <f t="shared" si="65"/>
        <v/>
      </c>
      <c r="AB117" s="2" t="str">
        <f t="shared" si="66"/>
        <v>NA</v>
      </c>
      <c r="AC117" s="6">
        <v>0</v>
      </c>
      <c r="AD117" s="6">
        <v>0</v>
      </c>
      <c r="AE117" s="6">
        <v>0</v>
      </c>
      <c r="AF117" s="6">
        <v>0</v>
      </c>
      <c r="AG117" s="6">
        <v>22</v>
      </c>
      <c r="AH117" s="6">
        <v>22</v>
      </c>
      <c r="AI117" s="6">
        <v>22</v>
      </c>
      <c r="AJ117" s="6">
        <v>22</v>
      </c>
      <c r="AK117" s="10" t="str">
        <f t="shared" si="67"/>
        <v/>
      </c>
      <c r="AL117" s="10" t="str">
        <f t="shared" si="68"/>
        <v/>
      </c>
      <c r="AM117" s="10" t="str">
        <f t="shared" si="69"/>
        <v/>
      </c>
      <c r="AN117" s="10" t="str">
        <f t="shared" si="70"/>
        <v/>
      </c>
      <c r="AO117" s="2" t="str">
        <f t="shared" si="71"/>
        <v>NA</v>
      </c>
      <c r="AP117" s="2">
        <v>1</v>
      </c>
      <c r="AQ117" s="2">
        <v>1</v>
      </c>
      <c r="AR117" s="2">
        <v>1</v>
      </c>
      <c r="AS117" s="2">
        <v>1</v>
      </c>
      <c r="AT117" s="2">
        <v>0</v>
      </c>
      <c r="AU117" s="2">
        <v>0</v>
      </c>
      <c r="AV117" s="2">
        <v>0</v>
      </c>
      <c r="AW117" s="2">
        <v>0</v>
      </c>
      <c r="AX117" s="10">
        <f t="shared" si="72"/>
        <v>1</v>
      </c>
      <c r="AY117" s="10">
        <f t="shared" si="73"/>
        <v>1</v>
      </c>
      <c r="AZ117" s="10">
        <f t="shared" si="74"/>
        <v>1</v>
      </c>
      <c r="BA117" s="10">
        <f t="shared" si="75"/>
        <v>1</v>
      </c>
      <c r="BB117" s="2" t="str">
        <f t="shared" si="76"/>
        <v>NA</v>
      </c>
      <c r="BC117" s="6">
        <v>0</v>
      </c>
      <c r="BD117" s="6">
        <v>0</v>
      </c>
      <c r="BE117" s="6">
        <v>0</v>
      </c>
      <c r="BF117" s="6">
        <v>0</v>
      </c>
      <c r="BG117" s="6">
        <v>27302</v>
      </c>
      <c r="BH117" s="6">
        <v>39513</v>
      </c>
      <c r="BI117" s="6">
        <v>27969</v>
      </c>
      <c r="BJ117" s="6">
        <v>25210</v>
      </c>
      <c r="BK117" s="10" t="str">
        <f t="shared" si="77"/>
        <v/>
      </c>
      <c r="BL117" s="10" t="str">
        <f t="shared" si="78"/>
        <v/>
      </c>
      <c r="BM117" s="10" t="str">
        <f t="shared" si="79"/>
        <v/>
      </c>
      <c r="BN117" s="10" t="str">
        <f t="shared" si="80"/>
        <v/>
      </c>
      <c r="BO117" s="2" t="str">
        <f t="shared" si="81"/>
        <v>NA</v>
      </c>
      <c r="BP117" s="10">
        <v>0</v>
      </c>
      <c r="BQ117" s="10">
        <v>0</v>
      </c>
      <c r="BR117" s="10">
        <v>0</v>
      </c>
      <c r="BS117" s="10">
        <v>0</v>
      </c>
      <c r="BT117" s="11">
        <v>0</v>
      </c>
    </row>
    <row r="118" spans="1:72">
      <c r="A118">
        <f>COUNTIFS($J$7:J118,J118,$N$7:N118,N118,$E$7:E118,E118)</f>
        <v>6</v>
      </c>
      <c r="B118" s="16" t="str">
        <f t="shared" si="55"/>
        <v>Medium</v>
      </c>
      <c r="C118" s="16" t="str">
        <f t="shared" si="56"/>
        <v>6MediumNoBFIMG</v>
      </c>
      <c r="D118" s="1">
        <v>25040</v>
      </c>
      <c r="E118" s="1" t="s">
        <v>20</v>
      </c>
      <c r="F118" s="1" t="s">
        <v>177</v>
      </c>
      <c r="G118" s="1" t="s">
        <v>193</v>
      </c>
      <c r="H118" s="1">
        <v>44</v>
      </c>
      <c r="I118" s="1" t="s">
        <v>179</v>
      </c>
      <c r="J118" s="1" t="s">
        <v>27</v>
      </c>
      <c r="K118" s="1">
        <v>2</v>
      </c>
      <c r="L118" s="1">
        <v>1</v>
      </c>
      <c r="M118" s="2">
        <v>2.7616561804543437E-2</v>
      </c>
      <c r="N118" s="27" t="str">
        <f t="shared" si="57"/>
        <v>Medium</v>
      </c>
      <c r="O118" s="1">
        <v>1</v>
      </c>
      <c r="P118" s="6">
        <v>44.678526939017779</v>
      </c>
      <c r="Q118" s="6">
        <v>43.229242461075188</v>
      </c>
      <c r="R118" s="6">
        <v>41.835578349901887</v>
      </c>
      <c r="S118" s="6">
        <v>43.067755906047111</v>
      </c>
      <c r="T118" s="6">
        <v>66</v>
      </c>
      <c r="U118" s="6">
        <v>63.8</v>
      </c>
      <c r="V118" s="6">
        <v>61.75</v>
      </c>
      <c r="W118" s="6">
        <v>139.75</v>
      </c>
      <c r="X118" s="10">
        <f t="shared" si="62"/>
        <v>-0.47721969638981471</v>
      </c>
      <c r="Y118" s="10">
        <f t="shared" si="63"/>
        <v>-0.47585283404971279</v>
      </c>
      <c r="Z118" s="10">
        <f t="shared" si="64"/>
        <v>-0.47601640602501233</v>
      </c>
      <c r="AA118" s="10">
        <f t="shared" si="65"/>
        <v>-2.2448869707738313</v>
      </c>
      <c r="AB118" s="2">
        <f t="shared" si="66"/>
        <v>-0.91849397680959277</v>
      </c>
      <c r="AC118" s="6">
        <v>62</v>
      </c>
      <c r="AD118" s="6">
        <v>57</v>
      </c>
      <c r="AE118" s="6">
        <v>49</v>
      </c>
      <c r="AF118" s="6">
        <v>50</v>
      </c>
      <c r="AG118" s="6">
        <v>48.75</v>
      </c>
      <c r="AH118" s="6">
        <v>43.6</v>
      </c>
      <c r="AI118" s="6">
        <v>39.75</v>
      </c>
      <c r="AJ118" s="6">
        <v>64.25</v>
      </c>
      <c r="AK118" s="10">
        <f t="shared" si="67"/>
        <v>0.21370967741935484</v>
      </c>
      <c r="AL118" s="10">
        <f t="shared" si="68"/>
        <v>0.2350877192982456</v>
      </c>
      <c r="AM118" s="10">
        <f t="shared" si="69"/>
        <v>0.18877551020408162</v>
      </c>
      <c r="AN118" s="10">
        <f t="shared" si="70"/>
        <v>-0.28499999999999998</v>
      </c>
      <c r="AO118" s="2">
        <f t="shared" si="71"/>
        <v>8.8143226730420507E-2</v>
      </c>
      <c r="AP118" s="2">
        <v>0.8</v>
      </c>
      <c r="AQ118" s="2">
        <v>0.8</v>
      </c>
      <c r="AR118" s="2">
        <v>0.8</v>
      </c>
      <c r="AS118" s="2">
        <v>0.8</v>
      </c>
      <c r="AT118" s="2">
        <v>0.8</v>
      </c>
      <c r="AU118" s="2">
        <v>0.8</v>
      </c>
      <c r="AV118" s="2">
        <v>0.8</v>
      </c>
      <c r="AW118" s="2">
        <v>0.8</v>
      </c>
      <c r="AX118" s="10">
        <f t="shared" si="72"/>
        <v>0</v>
      </c>
      <c r="AY118" s="10">
        <f t="shared" si="73"/>
        <v>0</v>
      </c>
      <c r="AZ118" s="10">
        <f t="shared" si="74"/>
        <v>0</v>
      </c>
      <c r="BA118" s="10">
        <f t="shared" si="75"/>
        <v>0</v>
      </c>
      <c r="BB118" s="2">
        <f t="shared" si="76"/>
        <v>0</v>
      </c>
      <c r="BC118" s="6">
        <v>0</v>
      </c>
      <c r="BD118" s="6">
        <v>0</v>
      </c>
      <c r="BE118" s="6">
        <v>0</v>
      </c>
      <c r="BF118" s="6">
        <v>0</v>
      </c>
      <c r="BG118" s="6">
        <v>65548</v>
      </c>
      <c r="BH118" s="6">
        <v>80305</v>
      </c>
      <c r="BI118" s="6">
        <v>59721</v>
      </c>
      <c r="BJ118" s="6">
        <v>60440</v>
      </c>
      <c r="BK118" s="10" t="str">
        <f t="shared" si="77"/>
        <v/>
      </c>
      <c r="BL118" s="10" t="str">
        <f t="shared" si="78"/>
        <v/>
      </c>
      <c r="BM118" s="10" t="str">
        <f t="shared" si="79"/>
        <v/>
      </c>
      <c r="BN118" s="10" t="str">
        <f t="shared" si="80"/>
        <v/>
      </c>
      <c r="BO118" s="2" t="str">
        <f t="shared" si="81"/>
        <v>NA</v>
      </c>
      <c r="BP118" s="10">
        <v>-3.0608821632098437E-2</v>
      </c>
      <c r="BQ118" s="10">
        <v>2.9904493766372997E-2</v>
      </c>
      <c r="BR118" s="10">
        <v>-5.6238730153960803E-2</v>
      </c>
      <c r="BS118" s="10">
        <v>-0.10798282882499644</v>
      </c>
      <c r="BT118" s="11">
        <v>0</v>
      </c>
    </row>
    <row r="119" spans="1:72">
      <c r="A119">
        <f>COUNTIFS($J$7:J119,J119,$N$7:N119,N119,$E$7:E119,E119)</f>
        <v>3</v>
      </c>
      <c r="B119" s="16" t="str">
        <f t="shared" si="55"/>
        <v>Critical</v>
      </c>
      <c r="C119" s="16" t="str">
        <f t="shared" si="56"/>
        <v>3CriticalYesTelecom-AT&amp;T</v>
      </c>
      <c r="D119" s="1">
        <v>25062</v>
      </c>
      <c r="E119" s="11" t="s">
        <v>484</v>
      </c>
      <c r="F119" s="1" t="s">
        <v>6</v>
      </c>
      <c r="G119" s="1" t="s">
        <v>194</v>
      </c>
      <c r="H119" s="1">
        <v>579</v>
      </c>
      <c r="I119" s="1" t="s">
        <v>93</v>
      </c>
      <c r="J119" s="1" t="s">
        <v>9</v>
      </c>
      <c r="K119" s="1">
        <v>4</v>
      </c>
      <c r="L119" s="1">
        <v>2</v>
      </c>
      <c r="M119" s="2">
        <v>-0.15134121516957727</v>
      </c>
      <c r="N119" s="27" t="str">
        <f t="shared" si="57"/>
        <v>Critical</v>
      </c>
      <c r="O119" s="1">
        <v>2</v>
      </c>
      <c r="P119" s="6">
        <v>397.69539882488021</v>
      </c>
      <c r="Q119" s="6">
        <v>398.58189712520766</v>
      </c>
      <c r="R119" s="6">
        <v>384.34791885604039</v>
      </c>
      <c r="S119" s="6">
        <v>380.93122838552762</v>
      </c>
      <c r="T119" s="6">
        <v>370.25</v>
      </c>
      <c r="U119" s="6">
        <v>379.20000000000005</v>
      </c>
      <c r="V119" s="6">
        <v>395.75</v>
      </c>
      <c r="W119" s="6">
        <v>411</v>
      </c>
      <c r="X119" s="10">
        <f t="shared" si="62"/>
        <v>6.9011104744929233E-2</v>
      </c>
      <c r="Y119" s="10">
        <f t="shared" si="63"/>
        <v>4.8627138525358375E-2</v>
      </c>
      <c r="Z119" s="10">
        <f t="shared" si="64"/>
        <v>-2.9666041064815334E-2</v>
      </c>
      <c r="AA119" s="10">
        <f t="shared" si="65"/>
        <v>-7.893490838729765E-2</v>
      </c>
      <c r="AB119" s="2">
        <f t="shared" si="66"/>
        <v>2.2593234545436533E-3</v>
      </c>
      <c r="AC119" s="6">
        <v>401</v>
      </c>
      <c r="AD119" s="6">
        <v>379</v>
      </c>
      <c r="AE119" s="6">
        <v>383</v>
      </c>
      <c r="AF119" s="6">
        <v>373</v>
      </c>
      <c r="AG119" s="6">
        <v>411.25</v>
      </c>
      <c r="AH119" s="6">
        <v>390.4</v>
      </c>
      <c r="AI119" s="6">
        <v>390.5</v>
      </c>
      <c r="AJ119" s="6">
        <v>380.5</v>
      </c>
      <c r="AK119" s="10">
        <f t="shared" si="67"/>
        <v>-2.5561097256857856E-2</v>
      </c>
      <c r="AL119" s="10">
        <f t="shared" si="68"/>
        <v>-3.0079155672823158E-2</v>
      </c>
      <c r="AM119" s="10">
        <f t="shared" si="69"/>
        <v>-1.95822454308094E-2</v>
      </c>
      <c r="AN119" s="10">
        <f t="shared" si="70"/>
        <v>-2.0107238605898123E-2</v>
      </c>
      <c r="AO119" s="2">
        <f t="shared" si="71"/>
        <v>-2.3832434241597134E-2</v>
      </c>
      <c r="AP119" s="2">
        <v>0.79</v>
      </c>
      <c r="AQ119" s="2">
        <v>0.79</v>
      </c>
      <c r="AR119" s="2">
        <v>0.79</v>
      </c>
      <c r="AS119" s="2">
        <v>0.79</v>
      </c>
      <c r="AT119" s="2">
        <v>0.79</v>
      </c>
      <c r="AU119" s="2">
        <v>0.79</v>
      </c>
      <c r="AV119" s="2">
        <v>0.79</v>
      </c>
      <c r="AW119" s="2">
        <v>0.79</v>
      </c>
      <c r="AX119" s="10">
        <f t="shared" si="72"/>
        <v>0</v>
      </c>
      <c r="AY119" s="10">
        <f t="shared" si="73"/>
        <v>0</v>
      </c>
      <c r="AZ119" s="10">
        <f t="shared" si="74"/>
        <v>0</v>
      </c>
      <c r="BA119" s="10">
        <f t="shared" si="75"/>
        <v>0</v>
      </c>
      <c r="BB119" s="2">
        <f t="shared" si="76"/>
        <v>0</v>
      </c>
      <c r="BC119" s="6">
        <v>131659</v>
      </c>
      <c r="BD119" s="6">
        <v>129572</v>
      </c>
      <c r="BE119" s="6">
        <v>126969</v>
      </c>
      <c r="BF119" s="6">
        <v>127740</v>
      </c>
      <c r="BG119" s="6">
        <v>126069</v>
      </c>
      <c r="BH119" s="6">
        <v>149917</v>
      </c>
      <c r="BI119" s="6">
        <v>119955</v>
      </c>
      <c r="BJ119" s="6">
        <v>116980</v>
      </c>
      <c r="BK119" s="10">
        <f t="shared" si="77"/>
        <v>4.2458168450314832E-2</v>
      </c>
      <c r="BL119" s="10">
        <f t="shared" si="78"/>
        <v>-0.15701694810607231</v>
      </c>
      <c r="BM119" s="10">
        <f t="shared" si="79"/>
        <v>5.5241830683080119E-2</v>
      </c>
      <c r="BN119" s="10">
        <f t="shared" si="80"/>
        <v>8.4233599498982306E-2</v>
      </c>
      <c r="BO119" s="2">
        <f t="shared" si="81"/>
        <v>6.2291626315762374E-3</v>
      </c>
      <c r="BP119" s="10">
        <v>2.4642924108575326E-2</v>
      </c>
      <c r="BQ119" s="10">
        <v>9.9547109419012042E-2</v>
      </c>
      <c r="BR119" s="10">
        <v>0.19011528515388654</v>
      </c>
      <c r="BS119" s="10">
        <v>0.29654161648244315</v>
      </c>
      <c r="BT119" s="11">
        <v>0</v>
      </c>
    </row>
    <row r="120" spans="1:72">
      <c r="A120">
        <f>COUNTIFS($J$7:J120,J120,$N$7:N120,N120,$E$7:E120,E120)</f>
        <v>4</v>
      </c>
      <c r="B120" s="16" t="str">
        <f t="shared" si="55"/>
        <v>Low</v>
      </c>
      <c r="C120" s="16" t="str">
        <f t="shared" si="56"/>
        <v>4LowNoRetail</v>
      </c>
      <c r="D120" s="1">
        <v>25076</v>
      </c>
      <c r="E120" s="1" t="s">
        <v>10</v>
      </c>
      <c r="F120" s="1" t="s">
        <v>195</v>
      </c>
      <c r="G120" s="1" t="s">
        <v>196</v>
      </c>
      <c r="H120" s="1">
        <v>400</v>
      </c>
      <c r="I120" s="1" t="s">
        <v>197</v>
      </c>
      <c r="J120" s="1" t="s">
        <v>27</v>
      </c>
      <c r="K120" s="1">
        <v>1</v>
      </c>
      <c r="L120" s="1">
        <v>1</v>
      </c>
      <c r="M120" s="2">
        <v>0.28911444276662995</v>
      </c>
      <c r="N120" s="27" t="str">
        <f t="shared" si="57"/>
        <v>Low</v>
      </c>
      <c r="O120" s="1">
        <v>1</v>
      </c>
      <c r="P120" s="6">
        <v>290.51650298443383</v>
      </c>
      <c r="Q120" s="6">
        <v>310.49540077251828</v>
      </c>
      <c r="R120" s="6">
        <v>348.45158363575149</v>
      </c>
      <c r="S120" s="6">
        <v>354.84080161001498</v>
      </c>
      <c r="T120" s="6">
        <v>0</v>
      </c>
      <c r="U120" s="6">
        <v>0</v>
      </c>
      <c r="V120" s="6">
        <v>0</v>
      </c>
      <c r="W120" s="6">
        <v>0</v>
      </c>
      <c r="X120" s="10">
        <f t="shared" si="62"/>
        <v>1</v>
      </c>
      <c r="Y120" s="10">
        <f t="shared" si="63"/>
        <v>1</v>
      </c>
      <c r="Z120" s="10">
        <f t="shared" si="64"/>
        <v>1</v>
      </c>
      <c r="AA120" s="10">
        <f t="shared" si="65"/>
        <v>1</v>
      </c>
      <c r="AB120" s="2" t="str">
        <f t="shared" si="66"/>
        <v>NA</v>
      </c>
      <c r="AC120" s="6">
        <v>304.91000000000003</v>
      </c>
      <c r="AD120" s="6">
        <v>309</v>
      </c>
      <c r="AE120" s="6">
        <v>349</v>
      </c>
      <c r="AF120" s="6">
        <v>354</v>
      </c>
      <c r="AG120" s="6">
        <v>0</v>
      </c>
      <c r="AH120" s="6">
        <v>0</v>
      </c>
      <c r="AI120" s="6">
        <v>0</v>
      </c>
      <c r="AJ120" s="6">
        <v>0</v>
      </c>
      <c r="AK120" s="10">
        <f t="shared" si="67"/>
        <v>1</v>
      </c>
      <c r="AL120" s="10">
        <f t="shared" si="68"/>
        <v>1</v>
      </c>
      <c r="AM120" s="10">
        <f t="shared" si="69"/>
        <v>1</v>
      </c>
      <c r="AN120" s="10">
        <f t="shared" si="70"/>
        <v>1</v>
      </c>
      <c r="AO120" s="2" t="str">
        <f t="shared" si="71"/>
        <v>NA</v>
      </c>
      <c r="AP120" s="2">
        <v>1</v>
      </c>
      <c r="AQ120" s="2">
        <v>1</v>
      </c>
      <c r="AR120" s="2">
        <v>1</v>
      </c>
      <c r="AS120" s="2">
        <v>1</v>
      </c>
      <c r="AT120" s="2">
        <v>0</v>
      </c>
      <c r="AU120" s="2">
        <v>0</v>
      </c>
      <c r="AV120" s="2">
        <v>0</v>
      </c>
      <c r="AW120" s="2">
        <v>0</v>
      </c>
      <c r="AX120" s="10">
        <f t="shared" si="72"/>
        <v>1</v>
      </c>
      <c r="AY120" s="10">
        <f t="shared" si="73"/>
        <v>1</v>
      </c>
      <c r="AZ120" s="10">
        <f t="shared" si="74"/>
        <v>1</v>
      </c>
      <c r="BA120" s="10">
        <f t="shared" si="75"/>
        <v>1</v>
      </c>
      <c r="BB120" s="2" t="str">
        <f t="shared" si="76"/>
        <v>NA</v>
      </c>
      <c r="BC120" s="6">
        <v>0</v>
      </c>
      <c r="BD120" s="6">
        <v>0</v>
      </c>
      <c r="BE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  <c r="BK120" s="10" t="str">
        <f t="shared" si="77"/>
        <v/>
      </c>
      <c r="BL120" s="10" t="str">
        <f t="shared" si="78"/>
        <v/>
      </c>
      <c r="BM120" s="10" t="str">
        <f t="shared" si="79"/>
        <v/>
      </c>
      <c r="BN120" s="10" t="str">
        <f t="shared" si="80"/>
        <v/>
      </c>
      <c r="BO120" s="2" t="str">
        <f t="shared" si="81"/>
        <v>NA</v>
      </c>
      <c r="BP120" s="10">
        <v>-2.4904624254306784E-2</v>
      </c>
      <c r="BQ120" s="10">
        <v>-1.1268542807937543E-2</v>
      </c>
      <c r="BR120" s="10">
        <v>-1.4139513077324473E-2</v>
      </c>
      <c r="BS120" s="10">
        <v>-9.5003677114881002E-3</v>
      </c>
      <c r="BT120" s="11" t="s">
        <v>461</v>
      </c>
    </row>
    <row r="121" spans="1:72">
      <c r="A121">
        <f>COUNTIFS($J$7:J121,J121,$N$7:N121,N121,$E$7:E121,E121)</f>
        <v>5</v>
      </c>
      <c r="B121" s="16" t="str">
        <f t="shared" si="55"/>
        <v>Low</v>
      </c>
      <c r="C121" s="16" t="str">
        <f t="shared" si="56"/>
        <v>5LowNoRetail</v>
      </c>
      <c r="D121" s="1">
        <v>25086</v>
      </c>
      <c r="E121" s="1" t="s">
        <v>10</v>
      </c>
      <c r="F121" s="1" t="s">
        <v>198</v>
      </c>
      <c r="G121" s="1" t="s">
        <v>199</v>
      </c>
      <c r="H121" s="1">
        <v>84</v>
      </c>
      <c r="I121" s="1" t="s">
        <v>200</v>
      </c>
      <c r="J121" s="1" t="s">
        <v>27</v>
      </c>
      <c r="K121" s="1">
        <v>3</v>
      </c>
      <c r="L121" s="1">
        <v>2</v>
      </c>
      <c r="M121" s="2">
        <v>0.64133566605927872</v>
      </c>
      <c r="N121" s="27" t="str">
        <f t="shared" si="57"/>
        <v>Low</v>
      </c>
      <c r="O121" s="1">
        <v>2</v>
      </c>
      <c r="P121" s="6">
        <v>98.75055340992806</v>
      </c>
      <c r="Q121" s="6">
        <v>102.6153617083054</v>
      </c>
      <c r="R121" s="6">
        <v>103.86204524555671</v>
      </c>
      <c r="S121" s="6">
        <v>118.31018574659434</v>
      </c>
      <c r="T121" s="6">
        <v>94</v>
      </c>
      <c r="U121" s="6">
        <v>95</v>
      </c>
      <c r="V121" s="6">
        <v>116</v>
      </c>
      <c r="W121" s="6">
        <v>113.5</v>
      </c>
      <c r="X121" s="10">
        <f t="shared" si="62"/>
        <v>4.810660037729423E-2</v>
      </c>
      <c r="Y121" s="10">
        <f t="shared" si="63"/>
        <v>7.4212686887493898E-2</v>
      </c>
      <c r="Z121" s="10">
        <f t="shared" si="64"/>
        <v>-0.11686612492317115</v>
      </c>
      <c r="AA121" s="10">
        <f t="shared" si="65"/>
        <v>4.0657410148076008E-2</v>
      </c>
      <c r="AB121" s="2">
        <f t="shared" si="66"/>
        <v>1.1527643122423247E-2</v>
      </c>
      <c r="AC121" s="6">
        <v>65.724763863352621</v>
      </c>
      <c r="AD121" s="6">
        <v>106.06824107960287</v>
      </c>
      <c r="AE121" s="6">
        <v>103.19042489686004</v>
      </c>
      <c r="AF121" s="6">
        <v>118.42463597009053</v>
      </c>
      <c r="AG121" s="6">
        <v>72.5</v>
      </c>
      <c r="AH121" s="6">
        <v>82.8</v>
      </c>
      <c r="AI121" s="6">
        <v>114</v>
      </c>
      <c r="AJ121" s="6">
        <v>118.5</v>
      </c>
      <c r="AK121" s="10">
        <f t="shared" si="67"/>
        <v>-0.10308498256051056</v>
      </c>
      <c r="AL121" s="10">
        <f t="shared" si="68"/>
        <v>0.21937048114279895</v>
      </c>
      <c r="AM121" s="10">
        <f t="shared" si="69"/>
        <v>-0.10475366405307714</v>
      </c>
      <c r="AN121" s="10">
        <f t="shared" si="70"/>
        <v>-6.3638810701938391E-4</v>
      </c>
      <c r="AO121" s="2">
        <f t="shared" si="71"/>
        <v>2.7238616055479661E-3</v>
      </c>
      <c r="AP121" s="2">
        <v>0.8</v>
      </c>
      <c r="AQ121" s="2">
        <v>0.8</v>
      </c>
      <c r="AR121" s="2">
        <v>0.8</v>
      </c>
      <c r="AS121" s="2">
        <v>0.8</v>
      </c>
      <c r="AT121" s="2">
        <v>0.75</v>
      </c>
      <c r="AU121" s="2">
        <v>0.74</v>
      </c>
      <c r="AV121" s="2">
        <v>0.7</v>
      </c>
      <c r="AW121" s="2">
        <v>0.70750000000000002</v>
      </c>
      <c r="AX121" s="10">
        <f t="shared" si="72"/>
        <v>6.2500000000000056E-2</v>
      </c>
      <c r="AY121" s="10">
        <f t="shared" si="73"/>
        <v>7.5000000000000067E-2</v>
      </c>
      <c r="AZ121" s="10">
        <f t="shared" si="74"/>
        <v>0.12500000000000011</v>
      </c>
      <c r="BA121" s="10">
        <f t="shared" si="75"/>
        <v>0.11562500000000003</v>
      </c>
      <c r="BB121" s="2">
        <f t="shared" si="76"/>
        <v>9.4531250000000067E-2</v>
      </c>
      <c r="BC121" s="6">
        <v>53660</v>
      </c>
      <c r="BD121" s="6">
        <v>76395</v>
      </c>
      <c r="BE121" s="6">
        <v>68799</v>
      </c>
      <c r="BF121" s="6">
        <v>78520</v>
      </c>
      <c r="BG121" s="6">
        <v>54026</v>
      </c>
      <c r="BH121" s="6">
        <v>72657</v>
      </c>
      <c r="BI121" s="6">
        <v>66942</v>
      </c>
      <c r="BJ121" s="6">
        <v>69890</v>
      </c>
      <c r="BK121" s="10">
        <f t="shared" si="77"/>
        <v>-6.8207230711889678E-3</v>
      </c>
      <c r="BL121" s="10">
        <f t="shared" si="78"/>
        <v>4.892990378951502E-2</v>
      </c>
      <c r="BM121" s="10">
        <f t="shared" si="79"/>
        <v>2.6991671390572538E-2</v>
      </c>
      <c r="BN121" s="10">
        <f t="shared" si="80"/>
        <v>0.10990830361691289</v>
      </c>
      <c r="BO121" s="2">
        <f t="shared" si="81"/>
        <v>4.4752288931452874E-2</v>
      </c>
      <c r="BP121" s="10">
        <v>0.29748009448634105</v>
      </c>
      <c r="BQ121" s="10">
        <v>-1.799262581170824E-2</v>
      </c>
      <c r="BR121" s="10">
        <v>-1.338939475198353E-2</v>
      </c>
      <c r="BS121" s="10">
        <v>-1.1492796200580413E-2</v>
      </c>
      <c r="BT121" s="11">
        <v>0</v>
      </c>
    </row>
    <row r="122" spans="1:72">
      <c r="A122">
        <f>COUNTIFS($J$7:J122,J122,$N$7:N122,N122,$E$7:E122,E122)</f>
        <v>6</v>
      </c>
      <c r="B122" s="16" t="str">
        <f t="shared" si="55"/>
        <v>Low</v>
      </c>
      <c r="C122" s="16" t="str">
        <f t="shared" si="56"/>
        <v>6LowNoRetail</v>
      </c>
      <c r="D122" s="1">
        <v>25087</v>
      </c>
      <c r="E122" s="1" t="s">
        <v>10</v>
      </c>
      <c r="F122" s="1" t="s">
        <v>198</v>
      </c>
      <c r="G122" s="1" t="s">
        <v>201</v>
      </c>
      <c r="H122" s="1">
        <v>64</v>
      </c>
      <c r="I122" s="1" t="s">
        <v>71</v>
      </c>
      <c r="J122" s="1" t="s">
        <v>27</v>
      </c>
      <c r="K122" s="1">
        <v>1</v>
      </c>
      <c r="L122" s="1">
        <v>1</v>
      </c>
      <c r="M122" s="2">
        <v>0.33816684836811944</v>
      </c>
      <c r="N122" s="27" t="str">
        <f t="shared" si="57"/>
        <v>Low</v>
      </c>
      <c r="O122" s="1">
        <v>1</v>
      </c>
      <c r="P122" s="6">
        <v>36.15766235453578</v>
      </c>
      <c r="Q122" s="6">
        <v>33.674226060044937</v>
      </c>
      <c r="R122" s="6">
        <v>34.664770242821064</v>
      </c>
      <c r="S122" s="6">
        <v>35.586743860798009</v>
      </c>
      <c r="T122" s="6">
        <v>47.5</v>
      </c>
      <c r="U122" s="6">
        <v>45.8</v>
      </c>
      <c r="V122" s="6">
        <v>44</v>
      </c>
      <c r="W122" s="6">
        <v>41.75</v>
      </c>
      <c r="X122" s="10">
        <f t="shared" si="62"/>
        <v>-0.31369112124145343</v>
      </c>
      <c r="Y122" s="10">
        <f t="shared" si="63"/>
        <v>-0.36009064969551013</v>
      </c>
      <c r="Z122" s="10">
        <f t="shared" si="64"/>
        <v>-0.26930020570703844</v>
      </c>
      <c r="AA122" s="10">
        <f t="shared" si="65"/>
        <v>-0.17318966195138102</v>
      </c>
      <c r="AB122" s="2">
        <f t="shared" si="66"/>
        <v>-0.27906790964884576</v>
      </c>
      <c r="AC122" s="6">
        <v>37</v>
      </c>
      <c r="AD122" s="6">
        <v>34</v>
      </c>
      <c r="AE122" s="6">
        <v>35</v>
      </c>
      <c r="AF122" s="6">
        <v>34</v>
      </c>
      <c r="AG122" s="6">
        <v>43.25</v>
      </c>
      <c r="AH122" s="6">
        <v>42.8</v>
      </c>
      <c r="AI122" s="6">
        <v>32</v>
      </c>
      <c r="AJ122" s="6">
        <v>0</v>
      </c>
      <c r="AK122" s="10">
        <f t="shared" si="67"/>
        <v>-0.16891891891891891</v>
      </c>
      <c r="AL122" s="10">
        <f t="shared" si="68"/>
        <v>-0.25882352941176462</v>
      </c>
      <c r="AM122" s="10">
        <f t="shared" si="69"/>
        <v>8.5714285714285715E-2</v>
      </c>
      <c r="AN122" s="10">
        <f t="shared" si="70"/>
        <v>1</v>
      </c>
      <c r="AO122" s="2">
        <f t="shared" si="71"/>
        <v>-0.11400938753879926</v>
      </c>
      <c r="AP122" s="2">
        <v>0.99</v>
      </c>
      <c r="AQ122" s="2">
        <v>0.99</v>
      </c>
      <c r="AR122" s="2">
        <v>0.99</v>
      </c>
      <c r="AS122" s="2">
        <v>0.99</v>
      </c>
      <c r="AT122" s="2">
        <v>0.46</v>
      </c>
      <c r="AU122" s="2">
        <v>0.46</v>
      </c>
      <c r="AV122" s="2">
        <v>0.46</v>
      </c>
      <c r="AW122" s="2">
        <v>0.46</v>
      </c>
      <c r="AX122" s="10">
        <f t="shared" si="72"/>
        <v>0.53535353535353536</v>
      </c>
      <c r="AY122" s="10">
        <f t="shared" si="73"/>
        <v>0.53535353535353536</v>
      </c>
      <c r="AZ122" s="10">
        <f t="shared" si="74"/>
        <v>0.53535353535353536</v>
      </c>
      <c r="BA122" s="10">
        <f t="shared" si="75"/>
        <v>0.53535353535353536</v>
      </c>
      <c r="BB122" s="2">
        <f t="shared" si="76"/>
        <v>0.53535353535353536</v>
      </c>
      <c r="BC122" s="6">
        <v>0</v>
      </c>
      <c r="BD122" s="6">
        <v>0</v>
      </c>
      <c r="BE122" s="6">
        <v>0</v>
      </c>
      <c r="BF122" s="6">
        <v>0</v>
      </c>
      <c r="BG122" s="6">
        <v>13530</v>
      </c>
      <c r="BH122" s="6">
        <v>16816</v>
      </c>
      <c r="BI122" s="6">
        <v>10031</v>
      </c>
      <c r="BJ122" s="6">
        <v>0</v>
      </c>
      <c r="BK122" s="10" t="str">
        <f t="shared" si="77"/>
        <v/>
      </c>
      <c r="BL122" s="10" t="str">
        <f t="shared" si="78"/>
        <v/>
      </c>
      <c r="BM122" s="10" t="str">
        <f t="shared" si="79"/>
        <v/>
      </c>
      <c r="BN122" s="10" t="str">
        <f t="shared" si="80"/>
        <v/>
      </c>
      <c r="BO122" s="2" t="str">
        <f t="shared" si="81"/>
        <v>NA</v>
      </c>
      <c r="BP122" s="10">
        <v>3.3406368759253957E-2</v>
      </c>
      <c r="BQ122" s="10">
        <v>-1.1249318467824843E-2</v>
      </c>
      <c r="BR122" s="10">
        <v>-1.1554024978916111E-2</v>
      </c>
      <c r="BS122" s="10">
        <v>-6.9359040622443136E-3</v>
      </c>
      <c r="BT122" s="11" t="s">
        <v>461</v>
      </c>
    </row>
    <row r="123" spans="1:72">
      <c r="A123">
        <f>COUNTIFS($J$7:J123,J123,$N$7:N123,N123,$E$7:E123,E123)</f>
        <v>27</v>
      </c>
      <c r="B123" s="16" t="str">
        <f t="shared" si="55"/>
        <v>Low</v>
      </c>
      <c r="C123" s="16" t="str">
        <f t="shared" si="56"/>
        <v>27LowNoTechnology</v>
      </c>
      <c r="D123" s="1">
        <v>25088</v>
      </c>
      <c r="E123" s="1" t="s">
        <v>23</v>
      </c>
      <c r="F123" s="1" t="s">
        <v>202</v>
      </c>
      <c r="G123" s="1" t="s">
        <v>202</v>
      </c>
      <c r="H123" s="1">
        <v>179</v>
      </c>
      <c r="I123" s="1" t="s">
        <v>203</v>
      </c>
      <c r="J123" s="1" t="s">
        <v>27</v>
      </c>
      <c r="K123" s="1">
        <v>2</v>
      </c>
      <c r="L123" s="1">
        <v>2</v>
      </c>
      <c r="M123" s="2">
        <v>0.56606999467670915</v>
      </c>
      <c r="N123" s="27" t="str">
        <f t="shared" si="57"/>
        <v>Low</v>
      </c>
      <c r="O123" s="1">
        <v>2</v>
      </c>
      <c r="P123" s="6">
        <v>214.53360356795872</v>
      </c>
      <c r="Q123" s="6">
        <v>205.29428189132145</v>
      </c>
      <c r="R123" s="6">
        <v>197.25199719507975</v>
      </c>
      <c r="S123" s="6">
        <v>219.63194645467573</v>
      </c>
      <c r="T123" s="6" t="s">
        <v>422</v>
      </c>
      <c r="U123" s="6" t="s">
        <v>422</v>
      </c>
      <c r="V123" s="6" t="s">
        <v>422</v>
      </c>
      <c r="W123" s="6" t="s">
        <v>422</v>
      </c>
      <c r="X123" s="10" t="str">
        <f t="shared" si="62"/>
        <v/>
      </c>
      <c r="Y123" s="10" t="str">
        <f t="shared" si="63"/>
        <v/>
      </c>
      <c r="Z123" s="10" t="str">
        <f t="shared" si="64"/>
        <v/>
      </c>
      <c r="AA123" s="10" t="str">
        <f t="shared" si="65"/>
        <v/>
      </c>
      <c r="AB123" s="2" t="str">
        <f t="shared" si="66"/>
        <v>NA</v>
      </c>
      <c r="AC123" s="6">
        <v>159.43106785709784</v>
      </c>
      <c r="AD123" s="6">
        <v>197.00842607839806</v>
      </c>
      <c r="AE123" s="6">
        <v>189.11578564521349</v>
      </c>
      <c r="AF123" s="6">
        <v>213.27672599255666</v>
      </c>
      <c r="AG123" s="6" t="s">
        <v>422</v>
      </c>
      <c r="AH123" s="6" t="s">
        <v>422</v>
      </c>
      <c r="AI123" s="6" t="s">
        <v>422</v>
      </c>
      <c r="AJ123" s="6" t="s">
        <v>422</v>
      </c>
      <c r="AK123" s="10" t="str">
        <f t="shared" si="67"/>
        <v/>
      </c>
      <c r="AL123" s="10" t="str">
        <f t="shared" si="68"/>
        <v/>
      </c>
      <c r="AM123" s="10" t="str">
        <f t="shared" si="69"/>
        <v/>
      </c>
      <c r="AN123" s="10" t="str">
        <f t="shared" si="70"/>
        <v/>
      </c>
      <c r="AO123" s="2" t="str">
        <f t="shared" si="71"/>
        <v>NA</v>
      </c>
      <c r="AP123" s="2">
        <v>0</v>
      </c>
      <c r="AQ123" s="2">
        <v>0</v>
      </c>
      <c r="AR123" s="2">
        <v>0</v>
      </c>
      <c r="AS123" s="2">
        <v>0</v>
      </c>
      <c r="AT123" s="2" t="s">
        <v>422</v>
      </c>
      <c r="AU123" s="2" t="s">
        <v>422</v>
      </c>
      <c r="AV123" s="2" t="s">
        <v>422</v>
      </c>
      <c r="AW123" s="2" t="s">
        <v>422</v>
      </c>
      <c r="AX123" s="10" t="str">
        <f t="shared" si="72"/>
        <v/>
      </c>
      <c r="AY123" s="10" t="str">
        <f t="shared" si="73"/>
        <v/>
      </c>
      <c r="AZ123" s="10" t="str">
        <f t="shared" si="74"/>
        <v/>
      </c>
      <c r="BA123" s="10" t="str">
        <f t="shared" si="75"/>
        <v/>
      </c>
      <c r="BB123" s="2" t="str">
        <f t="shared" si="76"/>
        <v>NA</v>
      </c>
      <c r="BC123" s="6">
        <v>45500</v>
      </c>
      <c r="BD123" s="6">
        <v>51594.675783375103</v>
      </c>
      <c r="BE123" s="6">
        <v>47585.1690224661</v>
      </c>
      <c r="BF123" s="6">
        <v>59941.8282180202</v>
      </c>
      <c r="BG123" s="6" t="s">
        <v>422</v>
      </c>
      <c r="BH123" s="6" t="s">
        <v>422</v>
      </c>
      <c r="BI123" s="6" t="s">
        <v>422</v>
      </c>
      <c r="BJ123" s="6" t="s">
        <v>422</v>
      </c>
      <c r="BK123" s="10" t="str">
        <f t="shared" si="77"/>
        <v/>
      </c>
      <c r="BL123" s="10" t="str">
        <f t="shared" si="78"/>
        <v/>
      </c>
      <c r="BM123" s="10" t="str">
        <f t="shared" si="79"/>
        <v/>
      </c>
      <c r="BN123" s="10" t="str">
        <f t="shared" si="80"/>
        <v/>
      </c>
      <c r="BO123" s="2" t="str">
        <f t="shared" si="81"/>
        <v>NA</v>
      </c>
      <c r="BP123" s="10">
        <v>-2.1522461672531468E-2</v>
      </c>
      <c r="BQ123" s="10">
        <v>0</v>
      </c>
      <c r="BR123" s="10">
        <v>0</v>
      </c>
      <c r="BS123" s="10">
        <v>0</v>
      </c>
      <c r="BT123" s="11">
        <v>0</v>
      </c>
    </row>
    <row r="124" spans="1:72">
      <c r="A124">
        <f>COUNTIFS($J$7:J124,J124,$N$7:N124,N124,$E$7:E124,E124)</f>
        <v>6</v>
      </c>
      <c r="B124" s="16" t="str">
        <f t="shared" si="55"/>
        <v>Low</v>
      </c>
      <c r="C124" s="16" t="str">
        <f t="shared" si="56"/>
        <v>6LowNoBFIMG</v>
      </c>
      <c r="D124" s="1">
        <v>25096</v>
      </c>
      <c r="E124" s="1" t="s">
        <v>20</v>
      </c>
      <c r="F124" s="1" t="s">
        <v>177</v>
      </c>
      <c r="G124" s="1" t="s">
        <v>204</v>
      </c>
      <c r="H124" s="1">
        <v>38</v>
      </c>
      <c r="I124" s="1" t="s">
        <v>179</v>
      </c>
      <c r="J124" s="1" t="s">
        <v>27</v>
      </c>
      <c r="K124" s="1">
        <v>1</v>
      </c>
      <c r="L124" s="1">
        <v>1</v>
      </c>
      <c r="M124" s="2">
        <v>0.31648956197046857</v>
      </c>
      <c r="N124" s="27" t="str">
        <f t="shared" si="57"/>
        <v>Low</v>
      </c>
      <c r="O124" s="1">
        <v>1</v>
      </c>
      <c r="P124" s="6">
        <v>52.29165731158286</v>
      </c>
      <c r="Q124" s="6">
        <v>54.943557451341583</v>
      </c>
      <c r="R124" s="6">
        <v>57.185713213445233</v>
      </c>
      <c r="S124" s="6">
        <v>55.353880552813521</v>
      </c>
      <c r="T124" s="6">
        <v>54.75</v>
      </c>
      <c r="U124" s="6">
        <v>53.4</v>
      </c>
      <c r="V124" s="6">
        <v>51.75</v>
      </c>
      <c r="W124" s="6">
        <v>50.75</v>
      </c>
      <c r="X124" s="10">
        <f t="shared" si="62"/>
        <v>-4.7012139503801981E-2</v>
      </c>
      <c r="Y124" s="10">
        <f t="shared" si="63"/>
        <v>2.8093511285805804E-2</v>
      </c>
      <c r="Z124" s="10">
        <f t="shared" si="64"/>
        <v>9.5053692749384369E-2</v>
      </c>
      <c r="AA124" s="10">
        <f t="shared" si="65"/>
        <v>8.3171775977312498E-2</v>
      </c>
      <c r="AB124" s="2">
        <f t="shared" si="66"/>
        <v>3.9826710127175174E-2</v>
      </c>
      <c r="AC124" s="6">
        <v>41.981515151515154</v>
      </c>
      <c r="AD124" s="6">
        <v>43.143280423280423</v>
      </c>
      <c r="AE124" s="6">
        <v>43.109696969696969</v>
      </c>
      <c r="AF124" s="6">
        <v>48.040000000000006</v>
      </c>
      <c r="AG124" s="6">
        <v>51.25</v>
      </c>
      <c r="AH124" s="6">
        <v>49</v>
      </c>
      <c r="AI124" s="6">
        <v>49.5</v>
      </c>
      <c r="AJ124" s="6">
        <v>52</v>
      </c>
      <c r="AK124" s="10">
        <f t="shared" si="67"/>
        <v>-0.22077537733057109</v>
      </c>
      <c r="AL124" s="10">
        <f t="shared" si="68"/>
        <v>-0.13575044640229186</v>
      </c>
      <c r="AM124" s="10">
        <f t="shared" si="69"/>
        <v>-0.14823354093152072</v>
      </c>
      <c r="AN124" s="10">
        <f t="shared" si="70"/>
        <v>-8.243130724396322E-2</v>
      </c>
      <c r="AO124" s="2">
        <f t="shared" si="71"/>
        <v>-0.14679766797708671</v>
      </c>
      <c r="AP124" s="2">
        <v>0</v>
      </c>
      <c r="AQ124" s="2">
        <v>0</v>
      </c>
      <c r="AR124" s="2">
        <v>0</v>
      </c>
      <c r="AS124" s="2">
        <v>0</v>
      </c>
      <c r="AT124" s="2">
        <v>0.75</v>
      </c>
      <c r="AU124" s="2">
        <v>0.75</v>
      </c>
      <c r="AV124" s="2">
        <v>0.75</v>
      </c>
      <c r="AW124" s="2">
        <v>0.75</v>
      </c>
      <c r="AX124" s="10" t="str">
        <f t="shared" si="72"/>
        <v/>
      </c>
      <c r="AY124" s="10" t="str">
        <f t="shared" si="73"/>
        <v/>
      </c>
      <c r="AZ124" s="10" t="str">
        <f t="shared" si="74"/>
        <v/>
      </c>
      <c r="BA124" s="10" t="str">
        <f t="shared" si="75"/>
        <v/>
      </c>
      <c r="BB124" s="2" t="str">
        <f t="shared" si="76"/>
        <v>NA</v>
      </c>
      <c r="BC124" s="6">
        <v>67035</v>
      </c>
      <c r="BD124" s="6">
        <v>67800</v>
      </c>
      <c r="BE124" s="6">
        <v>71131</v>
      </c>
      <c r="BF124" s="6">
        <v>79266</v>
      </c>
      <c r="BG124" s="6">
        <v>61070</v>
      </c>
      <c r="BH124" s="6">
        <v>80246</v>
      </c>
      <c r="BI124" s="6">
        <v>66778</v>
      </c>
      <c r="BJ124" s="6">
        <v>70110</v>
      </c>
      <c r="BK124" s="10">
        <f t="shared" si="77"/>
        <v>8.898336689788916E-2</v>
      </c>
      <c r="BL124" s="10">
        <f t="shared" si="78"/>
        <v>-0.1835693215339233</v>
      </c>
      <c r="BM124" s="10">
        <f t="shared" si="79"/>
        <v>6.1196946479031643E-2</v>
      </c>
      <c r="BN124" s="10">
        <f t="shared" si="80"/>
        <v>0.11550980243736281</v>
      </c>
      <c r="BO124" s="2">
        <f t="shared" si="81"/>
        <v>2.0530198570090079E-2</v>
      </c>
      <c r="BP124" s="10">
        <v>-0.15742437481564686</v>
      </c>
      <c r="BQ124" s="10">
        <v>-0.21956095619608934</v>
      </c>
      <c r="BR124" s="10">
        <v>-0.33802028065570788</v>
      </c>
      <c r="BS124" s="10">
        <v>-0.30106388075439555</v>
      </c>
      <c r="BT124" s="11" t="s">
        <v>459</v>
      </c>
    </row>
    <row r="125" spans="1:72">
      <c r="A125">
        <f>COUNTIFS($J$7:J125,J125,$N$7:N125,N125,$E$7:E125,E125)</f>
        <v>28</v>
      </c>
      <c r="B125" s="16" t="str">
        <f t="shared" si="55"/>
        <v>Low</v>
      </c>
      <c r="C125" s="16" t="str">
        <f t="shared" si="56"/>
        <v>28LowNoTechnology</v>
      </c>
      <c r="D125" s="1">
        <v>25098</v>
      </c>
      <c r="E125" s="1" t="s">
        <v>23</v>
      </c>
      <c r="F125" s="1" t="s">
        <v>33</v>
      </c>
      <c r="G125" s="1" t="s">
        <v>205</v>
      </c>
      <c r="H125" s="1">
        <v>279</v>
      </c>
      <c r="I125" s="1" t="s">
        <v>133</v>
      </c>
      <c r="J125" s="1" t="s">
        <v>27</v>
      </c>
      <c r="K125" s="1">
        <v>1</v>
      </c>
      <c r="L125" s="1">
        <v>1</v>
      </c>
      <c r="M125" s="2">
        <v>0.21014655214653361</v>
      </c>
      <c r="N125" s="27" t="str">
        <f t="shared" si="57"/>
        <v>Low</v>
      </c>
      <c r="O125" s="1">
        <v>1</v>
      </c>
      <c r="P125" s="6">
        <v>215.34696770446971</v>
      </c>
      <c r="Q125" s="6">
        <v>223.6864959202384</v>
      </c>
      <c r="R125" s="6">
        <v>222.29861928126451</v>
      </c>
      <c r="S125" s="6">
        <v>239.03549746690169</v>
      </c>
      <c r="T125" s="6">
        <v>205.25</v>
      </c>
      <c r="U125" s="6">
        <v>195.8</v>
      </c>
      <c r="V125" s="6">
        <v>219.5</v>
      </c>
      <c r="W125" s="6">
        <v>305.25</v>
      </c>
      <c r="X125" s="10">
        <f t="shared" si="62"/>
        <v>4.6886974133419079E-2</v>
      </c>
      <c r="Y125" s="10">
        <f t="shared" si="63"/>
        <v>0.12466776684714168</v>
      </c>
      <c r="Z125" s="10">
        <f t="shared" si="64"/>
        <v>1.2589458676410127E-2</v>
      </c>
      <c r="AA125" s="10">
        <f t="shared" si="65"/>
        <v>-0.27700698530044382</v>
      </c>
      <c r="AB125" s="2">
        <f t="shared" si="66"/>
        <v>-2.3215696410868236E-2</v>
      </c>
      <c r="AC125" s="6">
        <v>222.94126378167499</v>
      </c>
      <c r="AD125" s="6">
        <v>214.27460034866996</v>
      </c>
      <c r="AE125" s="6">
        <v>223.47370194619725</v>
      </c>
      <c r="AF125" s="6">
        <v>238.42458323999719</v>
      </c>
      <c r="AG125" s="6">
        <v>201.5</v>
      </c>
      <c r="AH125" s="6">
        <v>187</v>
      </c>
      <c r="AI125" s="6">
        <v>198.25</v>
      </c>
      <c r="AJ125" s="6">
        <v>223.25</v>
      </c>
      <c r="AK125" s="10">
        <f t="shared" si="67"/>
        <v>9.6174496447962582E-2</v>
      </c>
      <c r="AL125" s="10">
        <f t="shared" si="68"/>
        <v>0.12728807009458162</v>
      </c>
      <c r="AM125" s="10">
        <f t="shared" si="69"/>
        <v>0.11287100775853269</v>
      </c>
      <c r="AN125" s="10">
        <f t="shared" si="70"/>
        <v>6.3645212392895403E-2</v>
      </c>
      <c r="AO125" s="2">
        <f t="shared" si="71"/>
        <v>9.9994696673493075E-2</v>
      </c>
      <c r="AP125" s="2">
        <v>1</v>
      </c>
      <c r="AQ125" s="2">
        <v>1</v>
      </c>
      <c r="AR125" s="2">
        <v>1</v>
      </c>
      <c r="AS125" s="2">
        <v>1</v>
      </c>
      <c r="AT125" s="2">
        <v>0.77</v>
      </c>
      <c r="AU125" s="2">
        <v>0.77</v>
      </c>
      <c r="AV125" s="2">
        <v>0.77</v>
      </c>
      <c r="AW125" s="2">
        <v>0.77</v>
      </c>
      <c r="AX125" s="10">
        <f t="shared" si="72"/>
        <v>0.22999999999999998</v>
      </c>
      <c r="AY125" s="10">
        <f t="shared" si="73"/>
        <v>0.22999999999999998</v>
      </c>
      <c r="AZ125" s="10">
        <f t="shared" si="74"/>
        <v>0.22999999999999998</v>
      </c>
      <c r="BA125" s="10">
        <f t="shared" si="75"/>
        <v>0.22999999999999998</v>
      </c>
      <c r="BB125" s="2">
        <f t="shared" si="76"/>
        <v>0.22999999999999998</v>
      </c>
      <c r="BC125" s="6">
        <v>46481.150002999995</v>
      </c>
      <c r="BD125" s="6">
        <v>42726.449997999996</v>
      </c>
      <c r="BE125" s="6">
        <v>47009.641919999995</v>
      </c>
      <c r="BF125" s="6">
        <v>50949.680760000003</v>
      </c>
      <c r="BG125" s="6">
        <v>42473</v>
      </c>
      <c r="BH125" s="6">
        <v>49672</v>
      </c>
      <c r="BI125" s="6">
        <v>41375</v>
      </c>
      <c r="BJ125" s="6">
        <v>45597</v>
      </c>
      <c r="BK125" s="10">
        <f t="shared" si="77"/>
        <v>8.6231730556178166E-2</v>
      </c>
      <c r="BL125" s="10">
        <f t="shared" si="78"/>
        <v>-0.16255855570320307</v>
      </c>
      <c r="BM125" s="10">
        <f t="shared" si="79"/>
        <v>0.11986140906133486</v>
      </c>
      <c r="BN125" s="10">
        <f t="shared" si="80"/>
        <v>0.10505818054511402</v>
      </c>
      <c r="BO125" s="2">
        <f t="shared" si="81"/>
        <v>3.7148191114855997E-2</v>
      </c>
      <c r="BP125" s="10">
        <v>-3.8347101495157965E-2</v>
      </c>
      <c r="BQ125" s="10">
        <v>1.5743815951434093E-2</v>
      </c>
      <c r="BR125" s="10">
        <v>-4.1505921552641434E-3</v>
      </c>
      <c r="BS125" s="10">
        <v>-6.6466157981929785E-3</v>
      </c>
      <c r="BT125" s="11" t="s">
        <v>458</v>
      </c>
    </row>
    <row r="126" spans="1:72">
      <c r="A126">
        <f>COUNTIFS($J$7:J126,J126,$N$7:N126,N126,$E$7:E126,E126)</f>
        <v>7</v>
      </c>
      <c r="B126" s="16" t="str">
        <f t="shared" si="55"/>
        <v>Low</v>
      </c>
      <c r="C126" s="16" t="str">
        <f t="shared" si="56"/>
        <v>7LowNoRetail</v>
      </c>
      <c r="D126" s="1">
        <v>25107</v>
      </c>
      <c r="E126" s="1" t="s">
        <v>10</v>
      </c>
      <c r="F126" s="1" t="s">
        <v>206</v>
      </c>
      <c r="G126" s="1" t="s">
        <v>207</v>
      </c>
      <c r="H126" s="1">
        <v>51</v>
      </c>
      <c r="I126" s="1" t="s">
        <v>208</v>
      </c>
      <c r="J126" s="1" t="s">
        <v>27</v>
      </c>
      <c r="K126" s="1">
        <v>1</v>
      </c>
      <c r="L126" s="1">
        <v>1</v>
      </c>
      <c r="M126" s="2">
        <v>0.36692536294086331</v>
      </c>
      <c r="N126" s="27" t="str">
        <f t="shared" si="57"/>
        <v>Low</v>
      </c>
      <c r="O126" s="1">
        <v>1</v>
      </c>
      <c r="P126" s="6">
        <v>42.731250000000003</v>
      </c>
      <c r="Q126" s="6">
        <v>53.438104838709677</v>
      </c>
      <c r="R126" s="6">
        <v>106.659875</v>
      </c>
      <c r="S126" s="6">
        <v>190</v>
      </c>
      <c r="T126" s="6">
        <v>47.75</v>
      </c>
      <c r="U126" s="6">
        <v>185</v>
      </c>
      <c r="V126" s="6">
        <v>135</v>
      </c>
      <c r="W126" s="6">
        <v>176.75</v>
      </c>
      <c r="X126" s="10">
        <f t="shared" si="62"/>
        <v>-0.11744917361415819</v>
      </c>
      <c r="Y126" s="10">
        <f t="shared" si="63"/>
        <v>-2.4619491196100403</v>
      </c>
      <c r="Z126" s="10">
        <f t="shared" si="64"/>
        <v>-0.26570558984810361</v>
      </c>
      <c r="AA126" s="10">
        <f t="shared" si="65"/>
        <v>6.9736842105263153E-2</v>
      </c>
      <c r="AB126" s="2">
        <f t="shared" si="66"/>
        <v>-0.69384176024175981</v>
      </c>
      <c r="AC126" s="6">
        <v>48.654234506481757</v>
      </c>
      <c r="AD126" s="6">
        <v>60.10448856483071</v>
      </c>
      <c r="AE126" s="6">
        <v>61.912894062008334</v>
      </c>
      <c r="AF126" s="6">
        <v>186</v>
      </c>
      <c r="AG126" s="6">
        <v>46.25</v>
      </c>
      <c r="AH126" s="6">
        <v>79.8</v>
      </c>
      <c r="AI126" s="6">
        <v>60</v>
      </c>
      <c r="AJ126" s="6">
        <v>102.5</v>
      </c>
      <c r="AK126" s="10">
        <f t="shared" si="67"/>
        <v>4.9414702150158432E-2</v>
      </c>
      <c r="AL126" s="10">
        <f t="shared" si="68"/>
        <v>-0.32768786334360123</v>
      </c>
      <c r="AM126" s="10">
        <f t="shared" si="69"/>
        <v>3.0896537643555981E-2</v>
      </c>
      <c r="AN126" s="10">
        <f t="shared" si="70"/>
        <v>0.44892473118279569</v>
      </c>
      <c r="AO126" s="2">
        <f t="shared" si="71"/>
        <v>5.0387026908227217E-2</v>
      </c>
      <c r="AP126" s="2">
        <v>0</v>
      </c>
      <c r="AQ126" s="2">
        <v>0</v>
      </c>
      <c r="AR126" s="2">
        <v>0</v>
      </c>
      <c r="AS126" s="2">
        <v>0</v>
      </c>
      <c r="AT126" s="2">
        <v>0.7</v>
      </c>
      <c r="AU126" s="2">
        <v>0.72499999999999998</v>
      </c>
      <c r="AV126" s="2">
        <v>0.71250000000000002</v>
      </c>
      <c r="AW126" s="2">
        <v>0.75</v>
      </c>
      <c r="AX126" s="10" t="str">
        <f t="shared" si="72"/>
        <v/>
      </c>
      <c r="AY126" s="10" t="str">
        <f t="shared" si="73"/>
        <v/>
      </c>
      <c r="AZ126" s="10" t="str">
        <f t="shared" si="74"/>
        <v/>
      </c>
      <c r="BA126" s="10" t="str">
        <f t="shared" si="75"/>
        <v/>
      </c>
      <c r="BB126" s="2" t="str">
        <f t="shared" si="76"/>
        <v>NA</v>
      </c>
      <c r="BC126" s="6">
        <v>65633</v>
      </c>
      <c r="BD126" s="6">
        <v>76006</v>
      </c>
      <c r="BE126" s="6">
        <v>92000</v>
      </c>
      <c r="BF126" s="6">
        <v>165000</v>
      </c>
      <c r="BG126" s="6">
        <v>67736</v>
      </c>
      <c r="BH126" s="6">
        <v>109250</v>
      </c>
      <c r="BI126" s="6">
        <v>81878</v>
      </c>
      <c r="BJ126" s="6">
        <v>148098</v>
      </c>
      <c r="BK126" s="10">
        <f t="shared" si="77"/>
        <v>-3.2041808236710191E-2</v>
      </c>
      <c r="BL126" s="10">
        <f t="shared" si="78"/>
        <v>-0.437386522116675</v>
      </c>
      <c r="BM126" s="10">
        <f t="shared" si="79"/>
        <v>0.11002173913043478</v>
      </c>
      <c r="BN126" s="10">
        <f t="shared" si="80"/>
        <v>0.10243636363636363</v>
      </c>
      <c r="BO126" s="2">
        <f t="shared" si="81"/>
        <v>-6.4242556896646708E-2</v>
      </c>
      <c r="BP126" s="10">
        <v>0.16076692875832954</v>
      </c>
      <c r="BQ126" s="10">
        <v>1.2934827598968246E-3</v>
      </c>
      <c r="BR126" s="10">
        <v>-0.11005314148497015</v>
      </c>
      <c r="BS126" s="10">
        <v>-0.10438648486413871</v>
      </c>
      <c r="BT126" s="11" t="s">
        <v>459</v>
      </c>
    </row>
    <row r="127" spans="1:72">
      <c r="A127">
        <f>COUNTIFS($J$7:J127,J127,$N$7:N127,N127,$E$7:E127,E127)</f>
        <v>2</v>
      </c>
      <c r="B127" s="16" t="str">
        <f t="shared" si="55"/>
        <v>Critical</v>
      </c>
      <c r="C127" s="16" t="str">
        <f t="shared" si="56"/>
        <v>2CriticalNoRetail</v>
      </c>
      <c r="D127" s="1">
        <v>25109</v>
      </c>
      <c r="E127" s="1" t="s">
        <v>10</v>
      </c>
      <c r="F127" s="1" t="s">
        <v>206</v>
      </c>
      <c r="G127" s="1" t="s">
        <v>209</v>
      </c>
      <c r="H127" s="1">
        <v>23</v>
      </c>
      <c r="I127" s="1" t="s">
        <v>208</v>
      </c>
      <c r="J127" s="1" t="s">
        <v>27</v>
      </c>
      <c r="K127" s="1">
        <v>1</v>
      </c>
      <c r="L127" s="1">
        <v>1</v>
      </c>
      <c r="M127" s="2">
        <v>-6.9062285303305632E-2</v>
      </c>
      <c r="N127" s="27" t="str">
        <f t="shared" si="57"/>
        <v>Critical</v>
      </c>
      <c r="O127" s="1">
        <v>1</v>
      </c>
      <c r="P127" s="6">
        <v>15.733752571303169</v>
      </c>
      <c r="Q127" s="6">
        <v>16.852013626231589</v>
      </c>
      <c r="R127" s="6">
        <v>16.618934589799508</v>
      </c>
      <c r="S127" s="6">
        <v>22.731547125288539</v>
      </c>
      <c r="T127" s="6">
        <v>17</v>
      </c>
      <c r="U127" s="6">
        <v>16.600000000000001</v>
      </c>
      <c r="V127" s="6">
        <v>143</v>
      </c>
      <c r="W127" s="6">
        <v>15.5</v>
      </c>
      <c r="X127" s="10">
        <f t="shared" si="62"/>
        <v>-8.047968359476701E-2</v>
      </c>
      <c r="Y127" s="10">
        <f t="shared" si="63"/>
        <v>1.4954511183120972E-2</v>
      </c>
      <c r="Z127" s="10">
        <f t="shared" si="64"/>
        <v>-7.6046430490057766</v>
      </c>
      <c r="AA127" s="10">
        <f t="shared" si="65"/>
        <v>0.31812824201673195</v>
      </c>
      <c r="AB127" s="2">
        <f t="shared" si="66"/>
        <v>-1.8380099948501727</v>
      </c>
      <c r="AC127" s="6">
        <v>14.428576031446845</v>
      </c>
      <c r="AD127" s="6">
        <v>16.941533125743653</v>
      </c>
      <c r="AE127" s="6">
        <v>16.691689623507809</v>
      </c>
      <c r="AF127" s="6">
        <v>22.86524334251607</v>
      </c>
      <c r="AG127" s="6">
        <v>18.5</v>
      </c>
      <c r="AH127" s="6">
        <v>16.399999999999999</v>
      </c>
      <c r="AI127" s="6">
        <v>51</v>
      </c>
      <c r="AJ127" s="6">
        <v>20.25</v>
      </c>
      <c r="AK127" s="10">
        <f t="shared" si="67"/>
        <v>-0.28217780879274251</v>
      </c>
      <c r="AL127" s="10">
        <f t="shared" si="68"/>
        <v>3.1964824064285156E-2</v>
      </c>
      <c r="AM127" s="10">
        <f t="shared" si="69"/>
        <v>-2.0554126724339481</v>
      </c>
      <c r="AN127" s="10">
        <f t="shared" si="70"/>
        <v>0.11437636168311564</v>
      </c>
      <c r="AO127" s="2">
        <f t="shared" si="71"/>
        <v>-0.54781232386982248</v>
      </c>
      <c r="AP127" s="2">
        <v>0</v>
      </c>
      <c r="AQ127" s="2">
        <v>0</v>
      </c>
      <c r="AR127" s="2">
        <v>0</v>
      </c>
      <c r="AS127" s="2">
        <v>0</v>
      </c>
      <c r="AT127" s="2">
        <v>0.4</v>
      </c>
      <c r="AU127" s="2">
        <v>0.56999999999999995</v>
      </c>
      <c r="AV127" s="2">
        <v>0.65999999999999992</v>
      </c>
      <c r="AW127" s="2">
        <v>0.56999999999999995</v>
      </c>
      <c r="AX127" s="10" t="str">
        <f t="shared" si="72"/>
        <v/>
      </c>
      <c r="AY127" s="10" t="str">
        <f t="shared" si="73"/>
        <v/>
      </c>
      <c r="AZ127" s="10" t="str">
        <f t="shared" si="74"/>
        <v/>
      </c>
      <c r="BA127" s="10" t="str">
        <f t="shared" si="75"/>
        <v/>
      </c>
      <c r="BB127" s="2" t="str">
        <f t="shared" si="76"/>
        <v>NA</v>
      </c>
      <c r="BC127" s="6">
        <v>7000</v>
      </c>
      <c r="BD127" s="6">
        <v>7440</v>
      </c>
      <c r="BE127" s="6">
        <v>7656</v>
      </c>
      <c r="BF127" s="6">
        <v>8088</v>
      </c>
      <c r="BG127" s="6">
        <v>4648</v>
      </c>
      <c r="BH127" s="6">
        <v>6306</v>
      </c>
      <c r="BI127" s="6">
        <v>16056</v>
      </c>
      <c r="BJ127" s="6">
        <v>6257</v>
      </c>
      <c r="BK127" s="10">
        <f t="shared" si="77"/>
        <v>0.33600000000000002</v>
      </c>
      <c r="BL127" s="10">
        <f t="shared" si="78"/>
        <v>0.15241935483870966</v>
      </c>
      <c r="BM127" s="10">
        <f t="shared" si="79"/>
        <v>-1.0971786833855799</v>
      </c>
      <c r="BN127" s="10">
        <f t="shared" si="80"/>
        <v>0.22638476755687439</v>
      </c>
      <c r="BO127" s="2">
        <f t="shared" si="81"/>
        <v>-9.5593640247498946E-2</v>
      </c>
      <c r="BP127" s="10">
        <v>0.1453587710921187</v>
      </c>
      <c r="BQ127" s="10">
        <v>-1.0112010817652284E-2</v>
      </c>
      <c r="BR127" s="10">
        <v>-9.659615639829422E-3</v>
      </c>
      <c r="BS127" s="10">
        <v>-8.0373452642177878E-3</v>
      </c>
      <c r="BT127" s="11" t="s">
        <v>459</v>
      </c>
    </row>
    <row r="128" spans="1:72">
      <c r="A128">
        <f>COUNTIFS($J$7:J128,J128,$N$7:N128,N128,$E$7:E128,E128)</f>
        <v>8</v>
      </c>
      <c r="B128" s="16" t="str">
        <f t="shared" si="55"/>
        <v>Low</v>
      </c>
      <c r="C128" s="16" t="str">
        <f t="shared" si="56"/>
        <v>8LowNoRetail</v>
      </c>
      <c r="D128" s="1">
        <v>25110</v>
      </c>
      <c r="E128" s="1" t="s">
        <v>10</v>
      </c>
      <c r="F128" s="1" t="s">
        <v>198</v>
      </c>
      <c r="G128" s="1" t="s">
        <v>210</v>
      </c>
      <c r="H128" s="1">
        <v>16</v>
      </c>
      <c r="I128" s="1" t="s">
        <v>71</v>
      </c>
      <c r="J128" s="1" t="s">
        <v>27</v>
      </c>
      <c r="K128" s="1">
        <v>1</v>
      </c>
      <c r="L128" s="1">
        <v>1</v>
      </c>
      <c r="M128" s="2">
        <v>0.45627222811651974</v>
      </c>
      <c r="N128" s="27" t="str">
        <f t="shared" si="57"/>
        <v>Low</v>
      </c>
      <c r="O128" s="1">
        <v>1</v>
      </c>
      <c r="P128" s="6">
        <v>14.832071001537621</v>
      </c>
      <c r="Q128" s="6">
        <v>14.4455990384679</v>
      </c>
      <c r="R128" s="6">
        <v>13.208891584929381</v>
      </c>
      <c r="S128" s="6">
        <v>12.92563416119425</v>
      </c>
      <c r="T128" s="6">
        <v>15</v>
      </c>
      <c r="U128" s="6">
        <v>14.2</v>
      </c>
      <c r="V128" s="6">
        <v>140</v>
      </c>
      <c r="W128" s="6">
        <v>14</v>
      </c>
      <c r="X128" s="10">
        <f t="shared" si="62"/>
        <v>-1.132201959153043E-2</v>
      </c>
      <c r="Y128" s="10">
        <f t="shared" si="63"/>
        <v>1.7001651355120918E-2</v>
      </c>
      <c r="Z128" s="10">
        <f t="shared" si="64"/>
        <v>-9.5989211206587779</v>
      </c>
      <c r="AA128" s="10">
        <f t="shared" si="65"/>
        <v>-8.3119004097396296E-2</v>
      </c>
      <c r="AB128" s="2">
        <f t="shared" si="66"/>
        <v>-2.4190901232481461</v>
      </c>
      <c r="AC128" s="6">
        <v>11.167520616795979</v>
      </c>
      <c r="AD128" s="6">
        <v>14.906321089895966</v>
      </c>
      <c r="AE128" s="6">
        <v>11.797345435026594</v>
      </c>
      <c r="AF128" s="6">
        <v>12.160737812911727</v>
      </c>
      <c r="AG128" s="6">
        <v>12.75</v>
      </c>
      <c r="AH128" s="6">
        <v>12.8</v>
      </c>
      <c r="AI128" s="6">
        <v>50.5</v>
      </c>
      <c r="AJ128" s="6">
        <v>12</v>
      </c>
      <c r="AK128" s="10">
        <f t="shared" si="67"/>
        <v>-0.14170373509980072</v>
      </c>
      <c r="AL128" s="10">
        <f t="shared" si="68"/>
        <v>0.14130388559278417</v>
      </c>
      <c r="AM128" s="10">
        <f t="shared" si="69"/>
        <v>-3.2806239995367368</v>
      </c>
      <c r="AN128" s="10">
        <f t="shared" si="70"/>
        <v>1.3217768147345658E-2</v>
      </c>
      <c r="AO128" s="2">
        <f t="shared" si="71"/>
        <v>-0.81695152022410189</v>
      </c>
      <c r="AP128" s="2">
        <v>0</v>
      </c>
      <c r="AQ128" s="2">
        <v>0</v>
      </c>
      <c r="AR128" s="2">
        <v>0</v>
      </c>
      <c r="AS128" s="2">
        <v>0</v>
      </c>
      <c r="AT128" s="2">
        <v>0.9</v>
      </c>
      <c r="AU128" s="2">
        <v>0.9</v>
      </c>
      <c r="AV128" s="2">
        <v>0.82499999999999996</v>
      </c>
      <c r="AW128" s="2">
        <v>0.9</v>
      </c>
      <c r="AX128" s="10" t="str">
        <f t="shared" si="72"/>
        <v/>
      </c>
      <c r="AY128" s="10" t="str">
        <f t="shared" si="73"/>
        <v/>
      </c>
      <c r="AZ128" s="10" t="str">
        <f t="shared" si="74"/>
        <v/>
      </c>
      <c r="BA128" s="10" t="str">
        <f t="shared" si="75"/>
        <v/>
      </c>
      <c r="BB128" s="2" t="str">
        <f t="shared" si="76"/>
        <v>NA</v>
      </c>
      <c r="BC128" s="6">
        <v>228856</v>
      </c>
      <c r="BD128" s="6">
        <v>291590</v>
      </c>
      <c r="BE128" s="6">
        <v>241763</v>
      </c>
      <c r="BF128" s="6">
        <v>249210</v>
      </c>
      <c r="BG128" s="6">
        <v>237436</v>
      </c>
      <c r="BH128" s="6">
        <v>296496</v>
      </c>
      <c r="BI128" s="6">
        <v>230343</v>
      </c>
      <c r="BJ128" s="6">
        <v>217642</v>
      </c>
      <c r="BK128" s="10">
        <f t="shared" si="77"/>
        <v>-3.749082392421435E-2</v>
      </c>
      <c r="BL128" s="10">
        <f t="shared" si="78"/>
        <v>-1.6824993998422442E-2</v>
      </c>
      <c r="BM128" s="10">
        <f t="shared" si="79"/>
        <v>4.7236343030157633E-2</v>
      </c>
      <c r="BN128" s="10">
        <f t="shared" si="80"/>
        <v>0.1266722844187633</v>
      </c>
      <c r="BO128" s="2">
        <f t="shared" si="81"/>
        <v>2.9898202381571037E-2</v>
      </c>
      <c r="BP128" s="10">
        <v>-7.9630157186986295E-2</v>
      </c>
      <c r="BQ128" s="10">
        <v>-7.0206002194997452E-2</v>
      </c>
      <c r="BR128" s="10">
        <v>-4.5076296655310932E-2</v>
      </c>
      <c r="BS128" s="10">
        <v>-4.3291551482073864E-2</v>
      </c>
      <c r="BT128" s="11" t="s">
        <v>458</v>
      </c>
    </row>
    <row r="129" spans="1:72">
      <c r="A129">
        <f>COUNTIFS($J$7:J129,J129,$N$7:N129,N129,$E$7:E129,E129)</f>
        <v>9</v>
      </c>
      <c r="B129" s="16" t="str">
        <f t="shared" si="55"/>
        <v>Low</v>
      </c>
      <c r="C129" s="16" t="str">
        <f t="shared" si="56"/>
        <v>9LowNoRetail</v>
      </c>
      <c r="D129" s="1">
        <v>25120</v>
      </c>
      <c r="E129" s="1" t="s">
        <v>10</v>
      </c>
      <c r="F129" s="1" t="s">
        <v>206</v>
      </c>
      <c r="G129" s="1" t="s">
        <v>211</v>
      </c>
      <c r="H129" s="1">
        <v>20</v>
      </c>
      <c r="I129" s="1" t="s">
        <v>203</v>
      </c>
      <c r="J129" s="1" t="s">
        <v>27</v>
      </c>
      <c r="K129" s="1">
        <v>2</v>
      </c>
      <c r="L129" s="1">
        <v>1</v>
      </c>
      <c r="M129" s="2">
        <v>0.34182534645773671</v>
      </c>
      <c r="N129" s="27" t="str">
        <f t="shared" si="57"/>
        <v>Low</v>
      </c>
      <c r="O129" s="1">
        <v>1</v>
      </c>
      <c r="P129" s="6">
        <v>18.980625</v>
      </c>
      <c r="Q129" s="6">
        <v>18.980625</v>
      </c>
      <c r="R129" s="6">
        <v>18.980625</v>
      </c>
      <c r="S129" s="6">
        <v>33.723387096774189</v>
      </c>
      <c r="T129" s="6">
        <v>20</v>
      </c>
      <c r="U129" s="6">
        <v>20</v>
      </c>
      <c r="V129" s="6">
        <v>20</v>
      </c>
      <c r="W129" s="6">
        <v>20</v>
      </c>
      <c r="X129" s="10">
        <f t="shared" si="62"/>
        <v>-5.3706081859791241E-2</v>
      </c>
      <c r="Y129" s="10">
        <f t="shared" si="63"/>
        <v>-5.3706081859791241E-2</v>
      </c>
      <c r="Z129" s="10">
        <f t="shared" si="64"/>
        <v>-5.3706081859791241E-2</v>
      </c>
      <c r="AA129" s="10">
        <f t="shared" si="65"/>
        <v>0.40693976134108129</v>
      </c>
      <c r="AB129" s="2">
        <f t="shared" si="66"/>
        <v>6.1455378940426894E-2</v>
      </c>
      <c r="AC129" s="6">
        <v>18</v>
      </c>
      <c r="AD129" s="6">
        <v>20</v>
      </c>
      <c r="AE129" s="6">
        <v>20</v>
      </c>
      <c r="AF129" s="6">
        <v>20</v>
      </c>
      <c r="AG129" s="6">
        <v>19</v>
      </c>
      <c r="AH129" s="6">
        <v>18.399999999999999</v>
      </c>
      <c r="AI129" s="6">
        <v>16.75</v>
      </c>
      <c r="AJ129" s="6">
        <v>26.25</v>
      </c>
      <c r="AK129" s="10">
        <f t="shared" si="67"/>
        <v>-5.5555555555555552E-2</v>
      </c>
      <c r="AL129" s="10">
        <f t="shared" si="68"/>
        <v>8.0000000000000071E-2</v>
      </c>
      <c r="AM129" s="10">
        <f t="shared" si="69"/>
        <v>0.16250000000000001</v>
      </c>
      <c r="AN129" s="10">
        <f t="shared" si="70"/>
        <v>-0.3125</v>
      </c>
      <c r="AO129" s="2">
        <f t="shared" si="71"/>
        <v>-3.1388888888888869E-2</v>
      </c>
      <c r="AP129" s="2">
        <v>1</v>
      </c>
      <c r="AQ129" s="2">
        <v>1</v>
      </c>
      <c r="AR129" s="2">
        <v>1</v>
      </c>
      <c r="AS129" s="2">
        <v>1</v>
      </c>
      <c r="AT129" s="2">
        <v>0.8</v>
      </c>
      <c r="AU129" s="2">
        <v>0.8</v>
      </c>
      <c r="AV129" s="2">
        <v>0.8</v>
      </c>
      <c r="AW129" s="2">
        <v>0.8</v>
      </c>
      <c r="AX129" s="10">
        <f t="shared" si="72"/>
        <v>0.19999999999999996</v>
      </c>
      <c r="AY129" s="10">
        <f t="shared" si="73"/>
        <v>0.19999999999999996</v>
      </c>
      <c r="AZ129" s="10">
        <f t="shared" si="74"/>
        <v>0.19999999999999996</v>
      </c>
      <c r="BA129" s="10">
        <f t="shared" si="75"/>
        <v>0.19999999999999996</v>
      </c>
      <c r="BB129" s="2">
        <f t="shared" si="76"/>
        <v>0.19999999999999996</v>
      </c>
      <c r="BC129" s="6">
        <v>0</v>
      </c>
      <c r="BD129" s="6">
        <v>0</v>
      </c>
      <c r="BE129" s="6">
        <v>0</v>
      </c>
      <c r="BF129" s="6">
        <v>0</v>
      </c>
      <c r="BG129" s="6">
        <v>30710</v>
      </c>
      <c r="BH129" s="6">
        <v>38081</v>
      </c>
      <c r="BI129" s="6">
        <v>27727</v>
      </c>
      <c r="BJ129" s="6">
        <v>37191</v>
      </c>
      <c r="BK129" s="10" t="str">
        <f t="shared" si="77"/>
        <v/>
      </c>
      <c r="BL129" s="10" t="str">
        <f t="shared" si="78"/>
        <v/>
      </c>
      <c r="BM129" s="10" t="str">
        <f t="shared" si="79"/>
        <v/>
      </c>
      <c r="BN129" s="10" t="str">
        <f t="shared" si="80"/>
        <v/>
      </c>
      <c r="BO129" s="2" t="str">
        <f t="shared" si="81"/>
        <v>NA</v>
      </c>
      <c r="BP129" s="10">
        <v>0</v>
      </c>
      <c r="BQ129" s="10">
        <v>0</v>
      </c>
      <c r="BR129" s="10">
        <v>0</v>
      </c>
      <c r="BS129" s="10">
        <v>0</v>
      </c>
      <c r="BT129" s="11">
        <v>0</v>
      </c>
    </row>
    <row r="130" spans="1:72">
      <c r="A130">
        <f>COUNTIFS($J$7:J130,J130,$N$7:N130,N130,$E$7:E130,E130)</f>
        <v>29</v>
      </c>
      <c r="B130" s="16" t="str">
        <f t="shared" si="55"/>
        <v>Low</v>
      </c>
      <c r="C130" s="16" t="str">
        <f t="shared" si="56"/>
        <v>29LowNoTechnology</v>
      </c>
      <c r="D130" s="1">
        <v>25130</v>
      </c>
      <c r="E130" s="1" t="s">
        <v>23</v>
      </c>
      <c r="F130" s="1" t="s">
        <v>202</v>
      </c>
      <c r="G130" s="1" t="s">
        <v>212</v>
      </c>
      <c r="H130" s="1">
        <v>32</v>
      </c>
      <c r="I130" s="1" t="s">
        <v>179</v>
      </c>
      <c r="J130" s="1" t="s">
        <v>27</v>
      </c>
      <c r="K130" s="1">
        <v>2</v>
      </c>
      <c r="L130" s="1">
        <v>2</v>
      </c>
      <c r="M130" s="2">
        <v>0.56659823778417429</v>
      </c>
      <c r="N130" s="27" t="str">
        <f t="shared" si="57"/>
        <v>Low</v>
      </c>
      <c r="O130" s="1">
        <v>2</v>
      </c>
      <c r="P130" s="6">
        <v>25.466065896637268</v>
      </c>
      <c r="Q130" s="6">
        <v>24.623858739206959</v>
      </c>
      <c r="R130" s="6">
        <v>25.88830906605267</v>
      </c>
      <c r="S130" s="6">
        <v>26.408152098350698</v>
      </c>
      <c r="T130" s="6">
        <v>27</v>
      </c>
      <c r="U130" s="6">
        <v>30.2</v>
      </c>
      <c r="V130" s="6">
        <v>30.25</v>
      </c>
      <c r="W130" s="6">
        <v>29.25</v>
      </c>
      <c r="X130" s="10">
        <f t="shared" si="62"/>
        <v>-6.0234435487158788E-2</v>
      </c>
      <c r="Y130" s="10">
        <f t="shared" si="63"/>
        <v>-0.22645277979582118</v>
      </c>
      <c r="Z130" s="10">
        <f t="shared" si="64"/>
        <v>-0.16848110561484347</v>
      </c>
      <c r="AA130" s="10">
        <f t="shared" si="65"/>
        <v>-0.10761252400643315</v>
      </c>
      <c r="AB130" s="2">
        <f t="shared" si="66"/>
        <v>-0.14069521122606415</v>
      </c>
      <c r="AC130" s="6">
        <v>23.675718221172769</v>
      </c>
      <c r="AD130" s="6">
        <v>22.982890125747268</v>
      </c>
      <c r="AE130" s="6">
        <v>23.366784730421099</v>
      </c>
      <c r="AF130" s="6">
        <v>25.767029904960939</v>
      </c>
      <c r="AG130" s="6">
        <v>31.25</v>
      </c>
      <c r="AH130" s="6">
        <v>32.4</v>
      </c>
      <c r="AI130" s="6">
        <v>32.75</v>
      </c>
      <c r="AJ130" s="6">
        <v>31.75</v>
      </c>
      <c r="AK130" s="10">
        <f t="shared" si="67"/>
        <v>-0.3199177194148935</v>
      </c>
      <c r="AL130" s="10">
        <f t="shared" si="68"/>
        <v>-0.40974437169252848</v>
      </c>
      <c r="AM130" s="10">
        <f t="shared" si="69"/>
        <v>-0.40156210526315761</v>
      </c>
      <c r="AN130" s="10">
        <f t="shared" si="70"/>
        <v>-0.23219478989649314</v>
      </c>
      <c r="AO130" s="2">
        <f t="shared" si="71"/>
        <v>-0.34085474656676817</v>
      </c>
      <c r="AP130" s="2">
        <v>0</v>
      </c>
      <c r="AQ130" s="2">
        <v>0</v>
      </c>
      <c r="AR130" s="2">
        <v>0</v>
      </c>
      <c r="AS130" s="2">
        <v>0</v>
      </c>
      <c r="AT130" s="2">
        <v>0.48249999999999998</v>
      </c>
      <c r="AU130" s="2">
        <v>0.45</v>
      </c>
      <c r="AV130" s="2">
        <v>0.47499999999999998</v>
      </c>
      <c r="AW130" s="2">
        <v>0.48249999999999998</v>
      </c>
      <c r="AX130" s="10" t="str">
        <f t="shared" si="72"/>
        <v/>
      </c>
      <c r="AY130" s="10" t="str">
        <f t="shared" si="73"/>
        <v/>
      </c>
      <c r="AZ130" s="10" t="str">
        <f t="shared" si="74"/>
        <v/>
      </c>
      <c r="BA130" s="10" t="str">
        <f t="shared" si="75"/>
        <v/>
      </c>
      <c r="BB130" s="2" t="str">
        <f t="shared" si="76"/>
        <v>NA</v>
      </c>
      <c r="BC130" s="6">
        <v>12032</v>
      </c>
      <c r="BD130" s="6">
        <v>11149</v>
      </c>
      <c r="BE130" s="6">
        <v>11875</v>
      </c>
      <c r="BF130" s="6">
        <v>12946</v>
      </c>
      <c r="BG130" s="6">
        <v>11510</v>
      </c>
      <c r="BH130" s="6">
        <v>13037</v>
      </c>
      <c r="BI130" s="6">
        <v>11210</v>
      </c>
      <c r="BJ130" s="6">
        <v>11571</v>
      </c>
      <c r="BK130" s="10">
        <f t="shared" si="77"/>
        <v>4.3384308510638299E-2</v>
      </c>
      <c r="BL130" s="10">
        <f t="shared" si="78"/>
        <v>-0.16934254193201184</v>
      </c>
      <c r="BM130" s="10">
        <f t="shared" si="79"/>
        <v>5.6000000000000001E-2</v>
      </c>
      <c r="BN130" s="10">
        <f t="shared" si="80"/>
        <v>0.10621041248262011</v>
      </c>
      <c r="BO130" s="2">
        <f t="shared" si="81"/>
        <v>9.0630447653116397E-3</v>
      </c>
      <c r="BP130" s="10">
        <v>-1.6781121944253741E-3</v>
      </c>
      <c r="BQ130" s="10">
        <v>3.0482841048622644E-2</v>
      </c>
      <c r="BR130" s="10">
        <v>6.0182711783293152E-3</v>
      </c>
      <c r="BS130" s="10">
        <v>-2.5634982999361289E-3</v>
      </c>
      <c r="BT130" s="11" t="s">
        <v>458</v>
      </c>
    </row>
    <row r="131" spans="1:72">
      <c r="A131">
        <f>COUNTIFS($J$7:J131,J131,$N$7:N131,N131,$E$7:E131,E131)</f>
        <v>17</v>
      </c>
      <c r="B131" s="16" t="str">
        <f t="shared" si="55"/>
        <v>Low</v>
      </c>
      <c r="C131" s="16" t="str">
        <f t="shared" si="56"/>
        <v>17LowYesTelecom-AT&amp;T</v>
      </c>
      <c r="D131" s="1">
        <v>25132</v>
      </c>
      <c r="E131" s="11" t="s">
        <v>484</v>
      </c>
      <c r="F131" s="1" t="s">
        <v>6</v>
      </c>
      <c r="G131" s="1" t="s">
        <v>213</v>
      </c>
      <c r="H131" s="1">
        <v>50</v>
      </c>
      <c r="I131" s="1" t="s">
        <v>144</v>
      </c>
      <c r="J131" s="1" t="s">
        <v>9</v>
      </c>
      <c r="K131" s="1">
        <v>1</v>
      </c>
      <c r="L131" s="1">
        <v>1</v>
      </c>
      <c r="M131" s="2">
        <v>0.36083025481356795</v>
      </c>
      <c r="N131" s="27" t="str">
        <f t="shared" si="57"/>
        <v>Low</v>
      </c>
      <c r="O131" s="1">
        <v>1</v>
      </c>
      <c r="P131" s="6">
        <v>52.103795317233789</v>
      </c>
      <c r="Q131" s="6">
        <v>48.64805823308631</v>
      </c>
      <c r="R131" s="6">
        <v>46.231035384273589</v>
      </c>
      <c r="S131" s="6">
        <v>44.54346014965062</v>
      </c>
      <c r="T131" s="6">
        <v>67.5</v>
      </c>
      <c r="U131" s="6">
        <v>66.400000000000006</v>
      </c>
      <c r="V131" s="6">
        <v>36.5</v>
      </c>
      <c r="W131" s="6">
        <v>26</v>
      </c>
      <c r="X131" s="10">
        <f t="shared" si="62"/>
        <v>-0.29549104031724499</v>
      </c>
      <c r="Y131" s="10">
        <f t="shared" si="63"/>
        <v>-0.36490545381809958</v>
      </c>
      <c r="Z131" s="10">
        <f t="shared" si="64"/>
        <v>0.21048707439469971</v>
      </c>
      <c r="AA131" s="10">
        <f t="shared" si="65"/>
        <v>0.41630039712566125</v>
      </c>
      <c r="AB131" s="2">
        <f t="shared" si="66"/>
        <v>-8.4022556537459159E-3</v>
      </c>
      <c r="AC131" s="6">
        <v>40.340888362470317</v>
      </c>
      <c r="AD131" s="6">
        <v>38.578561846660435</v>
      </c>
      <c r="AE131" s="6">
        <v>37.362435900579001</v>
      </c>
      <c r="AF131" s="6">
        <v>37.191479458432347</v>
      </c>
      <c r="AG131" s="6">
        <v>54.25</v>
      </c>
      <c r="AH131" s="6">
        <v>51.4</v>
      </c>
      <c r="AI131" s="6">
        <v>27</v>
      </c>
      <c r="AJ131" s="6">
        <v>19.5</v>
      </c>
      <c r="AK131" s="10">
        <f t="shared" si="67"/>
        <v>-0.34478942338983098</v>
      </c>
      <c r="AL131" s="10">
        <f t="shared" si="68"/>
        <v>-0.33234619279747607</v>
      </c>
      <c r="AM131" s="10">
        <f t="shared" si="69"/>
        <v>0.27734904458995446</v>
      </c>
      <c r="AN131" s="10">
        <f t="shared" si="70"/>
        <v>0.4756863592427269</v>
      </c>
      <c r="AO131" s="2">
        <f t="shared" si="71"/>
        <v>1.897494691134359E-2</v>
      </c>
      <c r="AP131" s="2">
        <v>0.75</v>
      </c>
      <c r="AQ131" s="2">
        <v>0.75</v>
      </c>
      <c r="AR131" s="2">
        <v>0.75</v>
      </c>
      <c r="AS131" s="2">
        <v>0.75</v>
      </c>
      <c r="AT131" s="2">
        <v>0.75</v>
      </c>
      <c r="AU131" s="2">
        <v>0.75</v>
      </c>
      <c r="AV131" s="2">
        <v>0.75</v>
      </c>
      <c r="AW131" s="2">
        <v>0.75</v>
      </c>
      <c r="AX131" s="10">
        <f t="shared" si="72"/>
        <v>0</v>
      </c>
      <c r="AY131" s="10">
        <f t="shared" si="73"/>
        <v>0</v>
      </c>
      <c r="AZ131" s="10">
        <f t="shared" si="74"/>
        <v>0</v>
      </c>
      <c r="BA131" s="10">
        <f t="shared" si="75"/>
        <v>0</v>
      </c>
      <c r="BB131" s="2">
        <f t="shared" si="76"/>
        <v>0</v>
      </c>
      <c r="BC131" s="6">
        <v>17739.015991558896</v>
      </c>
      <c r="BD131" s="6">
        <v>16674.675032065366</v>
      </c>
      <c r="BE131" s="6">
        <v>16174.434781103402</v>
      </c>
      <c r="BF131" s="6">
        <v>16983.156520158573</v>
      </c>
      <c r="BG131" s="6">
        <v>29912</v>
      </c>
      <c r="BH131" s="6">
        <v>35038</v>
      </c>
      <c r="BI131" s="6">
        <v>16598</v>
      </c>
      <c r="BJ131" s="6">
        <v>12822</v>
      </c>
      <c r="BK131" s="10">
        <f t="shared" si="77"/>
        <v>-0.68622656489140177</v>
      </c>
      <c r="BL131" s="10">
        <f t="shared" si="78"/>
        <v>-1.1012703355610827</v>
      </c>
      <c r="BM131" s="10">
        <f t="shared" si="79"/>
        <v>-2.6187327386020882E-2</v>
      </c>
      <c r="BN131" s="10">
        <f t="shared" si="80"/>
        <v>0.24501667373902997</v>
      </c>
      <c r="BO131" s="2">
        <f t="shared" si="81"/>
        <v>-0.39216688852486886</v>
      </c>
      <c r="BP131" s="10">
        <v>6.2972496635965158E-2</v>
      </c>
      <c r="BQ131" s="10">
        <v>7.3935820705650412E-2</v>
      </c>
      <c r="BR131" s="10">
        <v>4.057877417282052E-2</v>
      </c>
      <c r="BS131" s="10">
        <v>3.0266974214081643E-2</v>
      </c>
      <c r="BT131" s="11" t="s">
        <v>458</v>
      </c>
    </row>
    <row r="132" spans="1:72">
      <c r="A132">
        <f>COUNTIFS($J$7:J132,J132,$N$7:N132,N132,$E$7:E132,E132)</f>
        <v>10</v>
      </c>
      <c r="B132" s="16" t="str">
        <f t="shared" si="55"/>
        <v>Low</v>
      </c>
      <c r="C132" s="16" t="str">
        <f t="shared" si="56"/>
        <v>10LowNoRetail</v>
      </c>
      <c r="D132" s="1">
        <v>25133</v>
      </c>
      <c r="E132" s="1" t="s">
        <v>10</v>
      </c>
      <c r="F132" s="1" t="s">
        <v>198</v>
      </c>
      <c r="G132" s="1" t="s">
        <v>214</v>
      </c>
      <c r="H132" s="1">
        <v>35</v>
      </c>
      <c r="I132" s="1" t="s">
        <v>71</v>
      </c>
      <c r="J132" s="1" t="s">
        <v>27</v>
      </c>
      <c r="K132" s="1">
        <v>1</v>
      </c>
      <c r="L132" s="1">
        <v>1</v>
      </c>
      <c r="M132" s="2">
        <v>0.29664449527996889</v>
      </c>
      <c r="N132" s="27" t="str">
        <f t="shared" si="57"/>
        <v>Low</v>
      </c>
      <c r="O132" s="1">
        <v>1</v>
      </c>
      <c r="P132" s="6">
        <v>52.997232586793913</v>
      </c>
      <c r="Q132" s="6">
        <v>60.920738682531692</v>
      </c>
      <c r="R132" s="6">
        <v>58.562703418952232</v>
      </c>
      <c r="S132" s="6">
        <v>55.754179422769582</v>
      </c>
      <c r="T132" s="6">
        <v>28.75</v>
      </c>
      <c r="U132" s="6">
        <v>27.6</v>
      </c>
      <c r="V132" s="6">
        <v>33.75</v>
      </c>
      <c r="W132" s="6">
        <v>32.5</v>
      </c>
      <c r="X132" s="10">
        <f t="shared" si="62"/>
        <v>0.45751884397141046</v>
      </c>
      <c r="Y132" s="10">
        <f t="shared" si="63"/>
        <v>0.54695230890373336</v>
      </c>
      <c r="Z132" s="10">
        <f t="shared" si="64"/>
        <v>0.42369463788999662</v>
      </c>
      <c r="AA132" s="10">
        <f t="shared" si="65"/>
        <v>0.41708405833469681</v>
      </c>
      <c r="AB132" s="2">
        <f t="shared" si="66"/>
        <v>0.46131246227495931</v>
      </c>
      <c r="AC132" s="6">
        <v>22.070613626905764</v>
      </c>
      <c r="AD132" s="6">
        <v>58.39013732833957</v>
      </c>
      <c r="AE132" s="6">
        <v>47.631014692378336</v>
      </c>
      <c r="AF132" s="6">
        <v>52.668095532123751</v>
      </c>
      <c r="AG132" s="6">
        <v>22.75</v>
      </c>
      <c r="AH132" s="6">
        <v>27.2</v>
      </c>
      <c r="AI132" s="6">
        <v>33.5</v>
      </c>
      <c r="AJ132" s="6">
        <v>30.75</v>
      </c>
      <c r="AK132" s="10">
        <f t="shared" si="67"/>
        <v>-3.0782396202433251E-2</v>
      </c>
      <c r="AL132" s="10">
        <f t="shared" si="68"/>
        <v>0.53416790498284172</v>
      </c>
      <c r="AM132" s="10">
        <f t="shared" si="69"/>
        <v>0.29667675113878073</v>
      </c>
      <c r="AN132" s="10">
        <f t="shared" si="70"/>
        <v>0.41615508042730137</v>
      </c>
      <c r="AO132" s="2">
        <f t="shared" si="71"/>
        <v>0.30405433508662261</v>
      </c>
      <c r="AP132" s="2">
        <v>0</v>
      </c>
      <c r="AQ132" s="2">
        <v>0</v>
      </c>
      <c r="AR132" s="2">
        <v>0</v>
      </c>
      <c r="AS132" s="2">
        <v>0</v>
      </c>
      <c r="AT132" s="2">
        <v>0.6</v>
      </c>
      <c r="AU132" s="2">
        <v>0.6</v>
      </c>
      <c r="AV132" s="2">
        <v>0.59499999999999997</v>
      </c>
      <c r="AW132" s="2">
        <v>0.57999999999999996</v>
      </c>
      <c r="AX132" s="10" t="str">
        <f t="shared" si="72"/>
        <v/>
      </c>
      <c r="AY132" s="10" t="str">
        <f t="shared" si="73"/>
        <v/>
      </c>
      <c r="AZ132" s="10" t="str">
        <f t="shared" si="74"/>
        <v/>
      </c>
      <c r="BA132" s="10" t="str">
        <f t="shared" si="75"/>
        <v/>
      </c>
      <c r="BB132" s="2" t="str">
        <f t="shared" si="76"/>
        <v>NA</v>
      </c>
      <c r="BC132" s="6">
        <v>10678</v>
      </c>
      <c r="BD132" s="6">
        <v>26145</v>
      </c>
      <c r="BE132" s="6">
        <v>22092</v>
      </c>
      <c r="BF132" s="6">
        <v>23614</v>
      </c>
      <c r="BG132" s="6">
        <v>11092</v>
      </c>
      <c r="BH132" s="6">
        <v>14762</v>
      </c>
      <c r="BI132" s="6">
        <v>13880</v>
      </c>
      <c r="BJ132" s="6">
        <v>12379</v>
      </c>
      <c r="BK132" s="10">
        <f t="shared" si="77"/>
        <v>-3.8771305487919086E-2</v>
      </c>
      <c r="BL132" s="10">
        <f t="shared" si="78"/>
        <v>0.43537961369286671</v>
      </c>
      <c r="BM132" s="10">
        <f t="shared" si="79"/>
        <v>0.3717182690566721</v>
      </c>
      <c r="BN132" s="10">
        <f t="shared" si="80"/>
        <v>0.47577708139239433</v>
      </c>
      <c r="BO132" s="2">
        <f t="shared" si="81"/>
        <v>0.31102591466350349</v>
      </c>
      <c r="BP132" s="10">
        <v>0.27105835573642328</v>
      </c>
      <c r="BQ132" s="10">
        <v>-7.127194825753469E-2</v>
      </c>
      <c r="BR132" s="10">
        <v>-3.0200169656490861E-2</v>
      </c>
      <c r="BS132" s="10">
        <v>4.1668705493895786E-3</v>
      </c>
      <c r="BT132" s="11" t="s">
        <v>458</v>
      </c>
    </row>
    <row r="133" spans="1:72">
      <c r="A133">
        <f>COUNTIFS($J$7:J133,J133,$N$7:N133,N133,$E$7:E133,E133)</f>
        <v>11</v>
      </c>
      <c r="B133" s="16" t="str">
        <f t="shared" si="55"/>
        <v>Low</v>
      </c>
      <c r="C133" s="16" t="str">
        <f t="shared" si="56"/>
        <v>11LowNoRetail</v>
      </c>
      <c r="D133" s="1">
        <v>25140</v>
      </c>
      <c r="E133" s="1" t="s">
        <v>10</v>
      </c>
      <c r="F133" s="1" t="s">
        <v>198</v>
      </c>
      <c r="G133" s="1" t="s">
        <v>215</v>
      </c>
      <c r="H133" s="1">
        <v>51</v>
      </c>
      <c r="I133" s="1" t="s">
        <v>71</v>
      </c>
      <c r="J133" s="1" t="s">
        <v>27</v>
      </c>
      <c r="K133" s="1">
        <v>1</v>
      </c>
      <c r="L133" s="1">
        <v>1</v>
      </c>
      <c r="M133" s="2">
        <v>0.23091278974016638</v>
      </c>
      <c r="N133" s="27" t="str">
        <f t="shared" si="57"/>
        <v>Low</v>
      </c>
      <c r="O133" s="1">
        <v>1</v>
      </c>
      <c r="P133" s="6">
        <v>45.466582466775883</v>
      </c>
      <c r="Q133" s="6">
        <v>47.531125305967421</v>
      </c>
      <c r="R133" s="6">
        <v>56.258492832679671</v>
      </c>
      <c r="S133" s="6">
        <v>58.061767288665912</v>
      </c>
      <c r="T133" s="6">
        <v>48.5</v>
      </c>
      <c r="U133" s="6">
        <v>47</v>
      </c>
      <c r="V133" s="6">
        <v>47.25</v>
      </c>
      <c r="W133" s="6">
        <v>63.5</v>
      </c>
      <c r="X133" s="10">
        <f t="shared" ref="X133:X164" si="82">IFERROR(((P133-T133)/P133),"")</f>
        <v>-6.671751798017253E-2</v>
      </c>
      <c r="Y133" s="10">
        <f t="shared" ref="Y133:Y164" si="83">IFERROR(((Q133-U133)/Q133),"")</f>
        <v>1.1174263233795979E-2</v>
      </c>
      <c r="Z133" s="10">
        <f t="shared" ref="Z133:Z164" si="84">IFERROR(((R133-V133)/R133),"")</f>
        <v>0.16012680715553723</v>
      </c>
      <c r="AA133" s="10">
        <f t="shared" ref="AA133:AA164" si="85">IFERROR(((S133-W133)/S133),"")</f>
        <v>-9.366288635853616E-2</v>
      </c>
      <c r="AB133" s="2">
        <f t="shared" si="66"/>
        <v>2.7301665126561285E-3</v>
      </c>
      <c r="AC133" s="6">
        <v>45.461889216020083</v>
      </c>
      <c r="AD133" s="6">
        <v>47.626741083449616</v>
      </c>
      <c r="AE133" s="6">
        <v>58.078107275968236</v>
      </c>
      <c r="AF133" s="6">
        <v>58.078107275968236</v>
      </c>
      <c r="AG133" s="6">
        <v>47.75</v>
      </c>
      <c r="AH133" s="6">
        <v>48.6</v>
      </c>
      <c r="AI133" s="6">
        <v>55.75</v>
      </c>
      <c r="AJ133" s="6">
        <v>67.25</v>
      </c>
      <c r="AK133" s="10">
        <f t="shared" ref="AK133:AK164" si="86">IFERROR(((AC133-AG133)/AC133),"")</f>
        <v>-5.03303057448308E-2</v>
      </c>
      <c r="AL133" s="10">
        <f t="shared" ref="AL133:AL164" si="87">IFERROR(((AD133-AH133)/AD133),"")</f>
        <v>-2.0435135690789363E-2</v>
      </c>
      <c r="AM133" s="10">
        <f t="shared" ref="AM133:AM164" si="88">IFERROR(((AE133-AI133)/AE133),"")</f>
        <v>4.0085797991071384E-2</v>
      </c>
      <c r="AN133" s="10">
        <f t="shared" ref="AN133:AN164" si="89">IFERROR(((AF133-AJ133)/AF133),"")</f>
        <v>-0.15792340959821433</v>
      </c>
      <c r="AO133" s="2">
        <f t="shared" si="71"/>
        <v>-4.7150763260690773E-2</v>
      </c>
      <c r="AP133" s="2">
        <v>0</v>
      </c>
      <c r="AQ133" s="2">
        <v>0</v>
      </c>
      <c r="AR133" s="2">
        <v>0</v>
      </c>
      <c r="AS133" s="2">
        <v>0</v>
      </c>
      <c r="AT133" s="2">
        <v>0.85</v>
      </c>
      <c r="AU133" s="2">
        <v>0.85</v>
      </c>
      <c r="AV133" s="2">
        <v>0.85</v>
      </c>
      <c r="AW133" s="2">
        <v>0.85</v>
      </c>
      <c r="AX133" s="10" t="str">
        <f t="shared" ref="AX133:AX164" si="90">IFERROR(((AP133-AT133)/AP133),"")</f>
        <v/>
      </c>
      <c r="AY133" s="10" t="str">
        <f t="shared" ref="AY133:AY164" si="91">IFERROR(((AQ133-AU133)/AQ133),"")</f>
        <v/>
      </c>
      <c r="AZ133" s="10" t="str">
        <f t="shared" ref="AZ133:AZ164" si="92">IFERROR(((AR133-AV133)/AR133),"")</f>
        <v/>
      </c>
      <c r="BA133" s="10" t="str">
        <f t="shared" ref="BA133:BA164" si="93">IFERROR(((AS133-AW133)/AS133),"")</f>
        <v/>
      </c>
      <c r="BB133" s="2" t="str">
        <f t="shared" si="76"/>
        <v>NA</v>
      </c>
      <c r="BC133" s="6">
        <v>38000</v>
      </c>
      <c r="BD133" s="6">
        <v>38000</v>
      </c>
      <c r="BE133" s="6">
        <v>48000</v>
      </c>
      <c r="BF133" s="6">
        <v>48000</v>
      </c>
      <c r="BG133" s="6">
        <v>36716</v>
      </c>
      <c r="BH133" s="6">
        <v>46843</v>
      </c>
      <c r="BI133" s="6">
        <v>42403</v>
      </c>
      <c r="BJ133" s="6">
        <v>51154</v>
      </c>
      <c r="BK133" s="10">
        <f t="shared" ref="BK133:BK164" si="94">IFERROR(((BC133-BG133)/BC133),"")</f>
        <v>3.3789473684210529E-2</v>
      </c>
      <c r="BL133" s="10">
        <f t="shared" ref="BL133:BL164" si="95">IFERROR(((BD133-BH133)/BD133),"")</f>
        <v>-0.23271052631578948</v>
      </c>
      <c r="BM133" s="10">
        <f t="shared" ref="BM133:BM164" si="96">IFERROR(((BE133-BI133)/BE133),"")</f>
        <v>0.11660416666666666</v>
      </c>
      <c r="BN133" s="10">
        <f t="shared" ref="BN133:BN164" si="97">IFERROR(((BF133-BJ133)/BF133),"")</f>
        <v>-6.5708333333333327E-2</v>
      </c>
      <c r="BO133" s="2">
        <f t="shared" si="81"/>
        <v>-3.7006304824561402E-2</v>
      </c>
      <c r="BP133" s="10">
        <v>-3.1359711225902809E-2</v>
      </c>
      <c r="BQ133" s="10">
        <v>-4.4806449647757207E-2</v>
      </c>
      <c r="BR133" s="10">
        <v>-2.295230913716706E-2</v>
      </c>
      <c r="BS133" s="10">
        <v>-2.4160064363008771E-2</v>
      </c>
      <c r="BT133" s="11" t="s">
        <v>458</v>
      </c>
    </row>
    <row r="134" spans="1:72">
      <c r="A134">
        <f>COUNTIFS($J$7:J134,J134,$N$7:N134,N134,$E$7:E134,E134)</f>
        <v>8</v>
      </c>
      <c r="B134" s="16" t="str">
        <f t="shared" si="55"/>
        <v>Low</v>
      </c>
      <c r="C134" s="16" t="str">
        <f t="shared" si="56"/>
        <v>8LowYesTechnology</v>
      </c>
      <c r="D134" s="1">
        <v>25145</v>
      </c>
      <c r="E134" s="1" t="s">
        <v>23</v>
      </c>
      <c r="F134" s="1" t="s">
        <v>39</v>
      </c>
      <c r="G134" s="1" t="s">
        <v>216</v>
      </c>
      <c r="H134" s="1">
        <v>150</v>
      </c>
      <c r="I134" s="1" t="s">
        <v>44</v>
      </c>
      <c r="J134" s="1" t="s">
        <v>9</v>
      </c>
      <c r="K134" s="1">
        <v>3</v>
      </c>
      <c r="L134" s="1">
        <v>2</v>
      </c>
      <c r="M134" s="2">
        <v>0.45195215277261741</v>
      </c>
      <c r="N134" s="27" t="str">
        <f t="shared" si="57"/>
        <v>Low</v>
      </c>
      <c r="O134" s="1">
        <v>2</v>
      </c>
      <c r="P134" s="6">
        <v>148.50995310276315</v>
      </c>
      <c r="Q134" s="6">
        <v>155.66338446422185</v>
      </c>
      <c r="R134" s="6">
        <v>153.6588259492766</v>
      </c>
      <c r="S134" s="6">
        <v>148.74712252715744</v>
      </c>
      <c r="T134" s="6">
        <v>125.5</v>
      </c>
      <c r="U134" s="6">
        <v>121</v>
      </c>
      <c r="V134" s="6">
        <v>142.75</v>
      </c>
      <c r="W134" s="6">
        <v>147.5</v>
      </c>
      <c r="X134" s="10">
        <f t="shared" si="82"/>
        <v>0.15493879448498074</v>
      </c>
      <c r="Y134" s="10">
        <f t="shared" si="83"/>
        <v>0.22268168319434806</v>
      </c>
      <c r="Z134" s="10">
        <f t="shared" si="84"/>
        <v>7.0993812961174463E-2</v>
      </c>
      <c r="AA134" s="10">
        <f t="shared" si="85"/>
        <v>8.3841791758341479E-3</v>
      </c>
      <c r="AB134" s="2">
        <f t="shared" si="66"/>
        <v>0.11424961745408437</v>
      </c>
      <c r="AC134" s="6">
        <v>138.06984672991331</v>
      </c>
      <c r="AD134" s="6">
        <v>142.42661607729036</v>
      </c>
      <c r="AE134" s="6">
        <v>138.07986945518741</v>
      </c>
      <c r="AF134" s="6">
        <v>142.71102127168683</v>
      </c>
      <c r="AG134" s="6">
        <v>139.75</v>
      </c>
      <c r="AH134" s="6">
        <v>140.6</v>
      </c>
      <c r="AI134" s="6">
        <v>142.25</v>
      </c>
      <c r="AJ134" s="6">
        <v>142.5</v>
      </c>
      <c r="AK134" s="10">
        <f t="shared" si="86"/>
        <v>-1.2168864599186091E-2</v>
      </c>
      <c r="AL134" s="10">
        <f t="shared" si="87"/>
        <v>1.28249629711003E-2</v>
      </c>
      <c r="AM134" s="10">
        <f t="shared" si="88"/>
        <v>-3.0200858106734903E-2</v>
      </c>
      <c r="AN134" s="10">
        <f t="shared" si="89"/>
        <v>1.4786613521957706E-3</v>
      </c>
      <c r="AO134" s="2">
        <f t="shared" si="71"/>
        <v>-7.0165245956562306E-3</v>
      </c>
      <c r="AP134" s="2">
        <v>0.70967143278506639</v>
      </c>
      <c r="AQ134" s="2">
        <v>0.70967143278506639</v>
      </c>
      <c r="AR134" s="2">
        <v>0.70967143278506639</v>
      </c>
      <c r="AS134" s="2">
        <v>0.70967143278506639</v>
      </c>
      <c r="AT134" s="2">
        <v>0.71</v>
      </c>
      <c r="AU134" s="2">
        <v>0.71</v>
      </c>
      <c r="AV134" s="2">
        <v>0.71</v>
      </c>
      <c r="AW134" s="2">
        <v>0.71</v>
      </c>
      <c r="AX134" s="10">
        <f t="shared" si="90"/>
        <v>-4.6298498115406571E-4</v>
      </c>
      <c r="AY134" s="10">
        <f t="shared" si="91"/>
        <v>-4.6298498115406571E-4</v>
      </c>
      <c r="AZ134" s="10">
        <f t="shared" si="92"/>
        <v>-4.6298498115406571E-4</v>
      </c>
      <c r="BA134" s="10">
        <f t="shared" si="93"/>
        <v>-4.6298498115406571E-4</v>
      </c>
      <c r="BB134" s="2">
        <f t="shared" si="76"/>
        <v>-4.6298498115406571E-4</v>
      </c>
      <c r="BC134" s="6">
        <v>31314.757407733032</v>
      </c>
      <c r="BD134" s="6">
        <v>33259.199999999997</v>
      </c>
      <c r="BE134" s="6">
        <v>31357.740561034501</v>
      </c>
      <c r="BF134" s="6">
        <v>33560.326295999992</v>
      </c>
      <c r="BG134" s="6">
        <v>29658</v>
      </c>
      <c r="BH134" s="6">
        <v>37246</v>
      </c>
      <c r="BI134" s="6">
        <v>29897</v>
      </c>
      <c r="BJ134" s="6">
        <v>30317</v>
      </c>
      <c r="BK134" s="10">
        <f t="shared" si="94"/>
        <v>5.2906602026682265E-2</v>
      </c>
      <c r="BL134" s="10">
        <f t="shared" si="95"/>
        <v>-0.11987059219704634</v>
      </c>
      <c r="BM134" s="10">
        <f t="shared" si="96"/>
        <v>4.6583093516936444E-2</v>
      </c>
      <c r="BN134" s="10">
        <f t="shared" si="97"/>
        <v>9.6641679445964135E-2</v>
      </c>
      <c r="BO134" s="2">
        <f t="shared" si="81"/>
        <v>1.9065195698134127E-2</v>
      </c>
      <c r="BP134" s="10">
        <v>-9.4697600064744814E-3</v>
      </c>
      <c r="BQ134" s="10">
        <v>-1.5997864161412689E-2</v>
      </c>
      <c r="BR134" s="10">
        <v>3.3511541585551918E-2</v>
      </c>
      <c r="BS134" s="10">
        <v>-3.5913874802826873E-2</v>
      </c>
      <c r="BT134" s="11" t="s">
        <v>459</v>
      </c>
    </row>
    <row r="135" spans="1:72">
      <c r="A135">
        <f>COUNTIFS($J$7:J135,J135,$N$7:N135,N135,$E$7:E135,E135)</f>
        <v>5</v>
      </c>
      <c r="B135" s="16" t="str">
        <f t="shared" si="55"/>
        <v>Medium</v>
      </c>
      <c r="C135" s="16" t="str">
        <f t="shared" si="56"/>
        <v>5MediumNoTechnology</v>
      </c>
      <c r="D135" s="1">
        <v>25146</v>
      </c>
      <c r="E135" s="1" t="s">
        <v>23</v>
      </c>
      <c r="F135" s="1" t="s">
        <v>33</v>
      </c>
      <c r="G135" s="1" t="s">
        <v>217</v>
      </c>
      <c r="H135" s="1">
        <v>82</v>
      </c>
      <c r="I135" s="1" t="s">
        <v>133</v>
      </c>
      <c r="J135" s="1" t="s">
        <v>27</v>
      </c>
      <c r="K135" s="1">
        <v>2</v>
      </c>
      <c r="L135" s="1"/>
      <c r="M135" s="2">
        <v>0</v>
      </c>
      <c r="N135" s="27" t="str">
        <f t="shared" si="57"/>
        <v>Medium</v>
      </c>
      <c r="O135" s="1">
        <v>0</v>
      </c>
      <c r="P135" s="6">
        <v>0</v>
      </c>
      <c r="Q135" s="6">
        <v>0</v>
      </c>
      <c r="R135" s="6">
        <v>0</v>
      </c>
      <c r="S135" s="6">
        <v>0</v>
      </c>
      <c r="T135" s="6" t="s">
        <v>422</v>
      </c>
      <c r="U135" s="6" t="s">
        <v>422</v>
      </c>
      <c r="V135" s="6" t="s">
        <v>422</v>
      </c>
      <c r="W135" s="6" t="s">
        <v>422</v>
      </c>
      <c r="X135" s="10" t="str">
        <f t="shared" si="82"/>
        <v/>
      </c>
      <c r="Y135" s="10" t="str">
        <f t="shared" si="83"/>
        <v/>
      </c>
      <c r="Z135" s="10" t="str">
        <f t="shared" si="84"/>
        <v/>
      </c>
      <c r="AA135" s="10" t="str">
        <f t="shared" si="85"/>
        <v/>
      </c>
      <c r="AB135" s="2" t="str">
        <f t="shared" si="66"/>
        <v>NA</v>
      </c>
      <c r="AC135" s="6">
        <v>0</v>
      </c>
      <c r="AD135" s="6">
        <v>0</v>
      </c>
      <c r="AE135" s="6">
        <v>0</v>
      </c>
      <c r="AF135" s="6">
        <v>0</v>
      </c>
      <c r="AG135" s="6" t="s">
        <v>422</v>
      </c>
      <c r="AH135" s="6" t="s">
        <v>422</v>
      </c>
      <c r="AI135" s="6" t="s">
        <v>422</v>
      </c>
      <c r="AJ135" s="6" t="s">
        <v>422</v>
      </c>
      <c r="AK135" s="10" t="str">
        <f t="shared" si="86"/>
        <v/>
      </c>
      <c r="AL135" s="10" t="str">
        <f t="shared" si="87"/>
        <v/>
      </c>
      <c r="AM135" s="10" t="str">
        <f t="shared" si="88"/>
        <v/>
      </c>
      <c r="AN135" s="10" t="str">
        <f t="shared" si="89"/>
        <v/>
      </c>
      <c r="AO135" s="2" t="str">
        <f t="shared" si="71"/>
        <v>NA</v>
      </c>
      <c r="AP135" s="2">
        <v>0</v>
      </c>
      <c r="AQ135" s="2">
        <v>0</v>
      </c>
      <c r="AR135" s="2">
        <v>0</v>
      </c>
      <c r="AS135" s="2">
        <v>0</v>
      </c>
      <c r="AT135" s="2" t="s">
        <v>422</v>
      </c>
      <c r="AU135" s="2" t="s">
        <v>422</v>
      </c>
      <c r="AV135" s="2" t="s">
        <v>422</v>
      </c>
      <c r="AW135" s="2" t="s">
        <v>422</v>
      </c>
      <c r="AX135" s="10" t="str">
        <f t="shared" si="90"/>
        <v/>
      </c>
      <c r="AY135" s="10" t="str">
        <f t="shared" si="91"/>
        <v/>
      </c>
      <c r="AZ135" s="10" t="str">
        <f t="shared" si="92"/>
        <v/>
      </c>
      <c r="BA135" s="10" t="str">
        <f t="shared" si="93"/>
        <v/>
      </c>
      <c r="BB135" s="2" t="str">
        <f t="shared" si="76"/>
        <v>NA</v>
      </c>
      <c r="BC135" s="6">
        <v>0</v>
      </c>
      <c r="BD135" s="6">
        <v>0</v>
      </c>
      <c r="BE135" s="6">
        <v>0</v>
      </c>
      <c r="BF135" s="6">
        <v>0</v>
      </c>
      <c r="BG135" s="6" t="s">
        <v>422</v>
      </c>
      <c r="BH135" s="6" t="s">
        <v>422</v>
      </c>
      <c r="BI135" s="6" t="s">
        <v>422</v>
      </c>
      <c r="BJ135" s="6" t="s">
        <v>422</v>
      </c>
      <c r="BK135" s="10" t="str">
        <f t="shared" si="94"/>
        <v/>
      </c>
      <c r="BL135" s="10" t="str">
        <f t="shared" si="95"/>
        <v/>
      </c>
      <c r="BM135" s="10" t="str">
        <f t="shared" si="96"/>
        <v/>
      </c>
      <c r="BN135" s="10" t="str">
        <f t="shared" si="97"/>
        <v/>
      </c>
      <c r="BO135" s="2" t="str">
        <f t="shared" si="81"/>
        <v>NA</v>
      </c>
      <c r="BP135" s="10">
        <v>0</v>
      </c>
      <c r="BQ135" s="10">
        <v>0</v>
      </c>
      <c r="BR135" s="10">
        <v>0</v>
      </c>
      <c r="BS135" s="10">
        <v>0</v>
      </c>
      <c r="BT135" s="11">
        <v>0</v>
      </c>
    </row>
    <row r="136" spans="1:72">
      <c r="A136">
        <f>COUNTIFS($J$7:J136,J136,$N$7:N136,N136,$E$7:E136,E136)</f>
        <v>18</v>
      </c>
      <c r="B136" s="16" t="str">
        <f t="shared" ref="B136:B199" si="98">N136</f>
        <v>Low</v>
      </c>
      <c r="C136" s="16" t="str">
        <f t="shared" ref="C136:C199" si="99">A136&amp;B136&amp;J136&amp;E136</f>
        <v>18LowYesTelecom-AT&amp;T</v>
      </c>
      <c r="D136" s="1">
        <v>25147</v>
      </c>
      <c r="E136" s="11" t="s">
        <v>484</v>
      </c>
      <c r="F136" s="1" t="s">
        <v>6</v>
      </c>
      <c r="G136" s="1" t="s">
        <v>218</v>
      </c>
      <c r="H136" s="1">
        <v>1239</v>
      </c>
      <c r="I136" s="1" t="s">
        <v>121</v>
      </c>
      <c r="J136" s="1" t="s">
        <v>9</v>
      </c>
      <c r="K136" s="1">
        <v>6</v>
      </c>
      <c r="L136" s="1">
        <v>3</v>
      </c>
      <c r="M136" s="2">
        <v>0.4397757584256532</v>
      </c>
      <c r="N136" s="27" t="str">
        <f t="shared" ref="N136:N199" si="100">IF(M136="","",IF(M136&lt;0%,"Critical",IF(AND(M136&gt;=0%,M136&lt;=10%),"Medium",IF(M136&gt;10%,"Low"))))</f>
        <v>Low</v>
      </c>
      <c r="O136" s="1">
        <v>3</v>
      </c>
      <c r="P136" s="6">
        <v>777.72320371476701</v>
      </c>
      <c r="Q136" s="6">
        <v>762.04713813850174</v>
      </c>
      <c r="R136" s="6">
        <v>787.30508283320592</v>
      </c>
      <c r="S136" s="6">
        <v>822.828370745038</v>
      </c>
      <c r="T136" s="6">
        <v>790.5</v>
      </c>
      <c r="U136" s="6">
        <v>762.2</v>
      </c>
      <c r="V136" s="6">
        <v>763.25</v>
      </c>
      <c r="W136" s="6">
        <v>784</v>
      </c>
      <c r="X136" s="10">
        <f t="shared" si="82"/>
        <v>-1.6428462239785415E-2</v>
      </c>
      <c r="Y136" s="10">
        <f t="shared" si="83"/>
        <v>-2.0059370850957286E-4</v>
      </c>
      <c r="Z136" s="10">
        <f t="shared" si="84"/>
        <v>3.0553699395209025E-2</v>
      </c>
      <c r="AA136" s="10">
        <f t="shared" si="85"/>
        <v>4.7188906126171215E-2</v>
      </c>
      <c r="AB136" s="2">
        <f t="shared" si="66"/>
        <v>1.5278387393271312E-2</v>
      </c>
      <c r="AC136" s="6">
        <v>603</v>
      </c>
      <c r="AD136" s="6">
        <v>591</v>
      </c>
      <c r="AE136" s="6">
        <v>594</v>
      </c>
      <c r="AF136" s="6">
        <v>618</v>
      </c>
      <c r="AG136" s="6">
        <v>828</v>
      </c>
      <c r="AH136" s="6">
        <v>800.8</v>
      </c>
      <c r="AI136" s="6">
        <v>829.75</v>
      </c>
      <c r="AJ136" s="6">
        <v>850.25</v>
      </c>
      <c r="AK136" s="10">
        <f t="shared" si="86"/>
        <v>-0.37313432835820898</v>
      </c>
      <c r="AL136" s="10">
        <f t="shared" si="87"/>
        <v>-0.35499153976311332</v>
      </c>
      <c r="AM136" s="10">
        <f t="shared" si="88"/>
        <v>-0.3968855218855219</v>
      </c>
      <c r="AN136" s="10">
        <f t="shared" si="89"/>
        <v>-0.37580906148867316</v>
      </c>
      <c r="AO136" s="2">
        <f t="shared" si="71"/>
        <v>-0.37520511287387931</v>
      </c>
      <c r="AP136" s="2">
        <v>0.80000000000000016</v>
      </c>
      <c r="AQ136" s="2">
        <v>0.80000000000000016</v>
      </c>
      <c r="AR136" s="2">
        <v>0.80000000000000016</v>
      </c>
      <c r="AS136" s="2">
        <v>0.80000000000000016</v>
      </c>
      <c r="AT136" s="2">
        <v>0.8</v>
      </c>
      <c r="AU136" s="2">
        <v>0.8</v>
      </c>
      <c r="AV136" s="2">
        <v>0.8</v>
      </c>
      <c r="AW136" s="2">
        <v>0.8</v>
      </c>
      <c r="AX136" s="10">
        <f t="shared" si="90"/>
        <v>1.3877787807814454E-16</v>
      </c>
      <c r="AY136" s="10">
        <f t="shared" si="91"/>
        <v>1.3877787807814454E-16</v>
      </c>
      <c r="AZ136" s="10">
        <f t="shared" si="92"/>
        <v>1.3877787807814454E-16</v>
      </c>
      <c r="BA136" s="10">
        <f t="shared" si="93"/>
        <v>1.3877787807814454E-16</v>
      </c>
      <c r="BB136" s="2">
        <f t="shared" si="76"/>
        <v>1.3877787807814454E-16</v>
      </c>
      <c r="BC136" s="6">
        <v>316500</v>
      </c>
      <c r="BD136" s="6">
        <v>311186</v>
      </c>
      <c r="BE136" s="6">
        <v>294971</v>
      </c>
      <c r="BF136" s="6">
        <v>331594</v>
      </c>
      <c r="BG136" s="6">
        <v>409566</v>
      </c>
      <c r="BH136" s="6">
        <v>523599</v>
      </c>
      <c r="BI136" s="6">
        <v>390412</v>
      </c>
      <c r="BJ136" s="6">
        <v>423871</v>
      </c>
      <c r="BK136" s="10">
        <f t="shared" si="94"/>
        <v>-0.29404739336492891</v>
      </c>
      <c r="BL136" s="10">
        <f t="shared" si="95"/>
        <v>-0.68259176184018566</v>
      </c>
      <c r="BM136" s="10">
        <f t="shared" si="96"/>
        <v>-0.32356062121361084</v>
      </c>
      <c r="BN136" s="10">
        <f t="shared" si="97"/>
        <v>-0.2782830811172699</v>
      </c>
      <c r="BO136" s="2">
        <f t="shared" si="81"/>
        <v>-0.39462071438399882</v>
      </c>
      <c r="BP136" s="10">
        <v>0.42176226926007621</v>
      </c>
      <c r="BQ136" s="10">
        <v>0.32958282472647521</v>
      </c>
      <c r="BR136" s="10">
        <v>0.4247385310513766</v>
      </c>
      <c r="BS136" s="10">
        <v>0.45088132850757168</v>
      </c>
      <c r="BT136" s="11">
        <v>0</v>
      </c>
    </row>
    <row r="137" spans="1:72">
      <c r="A137">
        <f>COUNTIFS($J$7:J137,J137,$N$7:N137,N137,$E$7:E137,E137)</f>
        <v>9</v>
      </c>
      <c r="B137" s="16" t="str">
        <f t="shared" si="98"/>
        <v>Low</v>
      </c>
      <c r="C137" s="16" t="str">
        <f t="shared" si="99"/>
        <v>9LowYesTechnology</v>
      </c>
      <c r="D137" s="1">
        <v>25156</v>
      </c>
      <c r="E137" s="1" t="s">
        <v>23</v>
      </c>
      <c r="F137" s="1" t="s">
        <v>219</v>
      </c>
      <c r="G137" s="1" t="s">
        <v>220</v>
      </c>
      <c r="H137" s="1">
        <v>33</v>
      </c>
      <c r="I137" s="1" t="s">
        <v>68</v>
      </c>
      <c r="J137" s="1" t="s">
        <v>9</v>
      </c>
      <c r="K137" s="1">
        <v>1</v>
      </c>
      <c r="L137" s="1">
        <v>1</v>
      </c>
      <c r="M137" s="2">
        <v>0.28159600999453366</v>
      </c>
      <c r="N137" s="27" t="str">
        <f t="shared" si="100"/>
        <v>Low</v>
      </c>
      <c r="O137" s="1">
        <v>1</v>
      </c>
      <c r="P137" s="6">
        <v>33.050299049568039</v>
      </c>
      <c r="Q137" s="6">
        <v>34.437163995084518</v>
      </c>
      <c r="R137" s="6">
        <v>32.963044326629827</v>
      </c>
      <c r="S137" s="6">
        <v>37.758249821509331</v>
      </c>
      <c r="T137" s="6">
        <v>34.75</v>
      </c>
      <c r="U137" s="6">
        <v>34</v>
      </c>
      <c r="V137" s="6">
        <v>34</v>
      </c>
      <c r="W137" s="6">
        <v>33</v>
      </c>
      <c r="X137" s="10">
        <f t="shared" si="82"/>
        <v>-5.1427702602109299E-2</v>
      </c>
      <c r="Y137" s="10">
        <f t="shared" si="83"/>
        <v>1.2694541140115883E-2</v>
      </c>
      <c r="Z137" s="10">
        <f t="shared" si="84"/>
        <v>-3.1458128172113284E-2</v>
      </c>
      <c r="AA137" s="10">
        <f t="shared" si="85"/>
        <v>0.1260188129482302</v>
      </c>
      <c r="AB137" s="2">
        <f t="shared" si="66"/>
        <v>1.3956880828530874E-2</v>
      </c>
      <c r="AC137" s="6">
        <v>33.301587187956983</v>
      </c>
      <c r="AD137" s="6">
        <v>34.669894410529011</v>
      </c>
      <c r="AE137" s="6">
        <v>35.666779914255144</v>
      </c>
      <c r="AF137" s="6">
        <v>33.962605932852156</v>
      </c>
      <c r="AG137" s="6">
        <v>36</v>
      </c>
      <c r="AH137" s="6">
        <v>35.6</v>
      </c>
      <c r="AI137" s="6">
        <v>34.5</v>
      </c>
      <c r="AJ137" s="6">
        <v>35.5</v>
      </c>
      <c r="AK137" s="10">
        <f t="shared" si="86"/>
        <v>-8.1029555642887122E-2</v>
      </c>
      <c r="AL137" s="10">
        <f t="shared" si="87"/>
        <v>-2.6827471074977478E-2</v>
      </c>
      <c r="AM137" s="10">
        <f t="shared" si="88"/>
        <v>3.2713351669540848E-2</v>
      </c>
      <c r="AN137" s="10">
        <f t="shared" si="89"/>
        <v>-4.5267258648745694E-2</v>
      </c>
      <c r="AO137" s="2">
        <f t="shared" si="71"/>
        <v>-3.0102733424267364E-2</v>
      </c>
      <c r="AP137" s="2">
        <v>0.72093783174170245</v>
      </c>
      <c r="AQ137" s="2">
        <v>0.80150896431434915</v>
      </c>
      <c r="AR137" s="2">
        <v>0.79933060444652382</v>
      </c>
      <c r="AS137" s="2">
        <v>0.79447049830332195</v>
      </c>
      <c r="AT137" s="2">
        <v>0.54083333333333328</v>
      </c>
      <c r="AU137" s="2">
        <v>0.54333333333333333</v>
      </c>
      <c r="AV137" s="2">
        <v>0.53666666666666663</v>
      </c>
      <c r="AW137" s="2">
        <v>0.53583333333333327</v>
      </c>
      <c r="AX137" s="10">
        <f t="shared" si="90"/>
        <v>0.2498197354593773</v>
      </c>
      <c r="AY137" s="10">
        <f t="shared" si="91"/>
        <v>0.32211196939247233</v>
      </c>
      <c r="AZ137" s="10">
        <f t="shared" si="92"/>
        <v>0.32860488053217002</v>
      </c>
      <c r="BA137" s="10">
        <f t="shared" si="93"/>
        <v>0.32554659426918486</v>
      </c>
      <c r="BB137" s="2">
        <f t="shared" si="76"/>
        <v>0.30652079491330114</v>
      </c>
      <c r="BC137" s="6">
        <v>21239.787952037943</v>
      </c>
      <c r="BD137" s="6">
        <v>23498.607977151441</v>
      </c>
      <c r="BE137" s="6">
        <v>22718.270258504308</v>
      </c>
      <c r="BF137" s="6">
        <v>21902.774193719368</v>
      </c>
      <c r="BG137" s="6">
        <v>19266</v>
      </c>
      <c r="BH137" s="6">
        <v>24633</v>
      </c>
      <c r="BI137" s="6">
        <v>18612</v>
      </c>
      <c r="BJ137" s="6">
        <v>19326</v>
      </c>
      <c r="BK137" s="10">
        <f t="shared" si="94"/>
        <v>9.292879742938108E-2</v>
      </c>
      <c r="BL137" s="10">
        <f t="shared" si="95"/>
        <v>-4.8274860534358865E-2</v>
      </c>
      <c r="BM137" s="10">
        <f t="shared" si="96"/>
        <v>0.18074748701288892</v>
      </c>
      <c r="BN137" s="10">
        <f t="shared" si="97"/>
        <v>0.11764601921788789</v>
      </c>
      <c r="BO137" s="2">
        <f t="shared" si="81"/>
        <v>8.5761860781449761E-2</v>
      </c>
      <c r="BP137" s="10">
        <v>1.7452644892912206E-2</v>
      </c>
      <c r="BQ137" s="10">
        <v>0</v>
      </c>
      <c r="BR137" s="10">
        <v>0</v>
      </c>
      <c r="BS137" s="10">
        <v>0</v>
      </c>
      <c r="BT137" s="11" t="s">
        <v>458</v>
      </c>
    </row>
    <row r="138" spans="1:72">
      <c r="A138">
        <f>COUNTIFS($J$7:J138,J138,$N$7:N138,N138,$E$7:E138,E138)</f>
        <v>3</v>
      </c>
      <c r="B138" s="16" t="str">
        <f t="shared" si="98"/>
        <v>Medium</v>
      </c>
      <c r="C138" s="16" t="str">
        <f t="shared" si="99"/>
        <v>3MediumNoTravel</v>
      </c>
      <c r="D138" s="1">
        <v>25159</v>
      </c>
      <c r="E138" s="1" t="s">
        <v>79</v>
      </c>
      <c r="F138" s="1" t="s">
        <v>221</v>
      </c>
      <c r="G138" s="1" t="s">
        <v>221</v>
      </c>
      <c r="H138" s="1">
        <v>139</v>
      </c>
      <c r="I138" s="1" t="s">
        <v>98</v>
      </c>
      <c r="J138" s="1" t="s">
        <v>27</v>
      </c>
      <c r="K138" s="1">
        <v>2</v>
      </c>
      <c r="L138" s="1">
        <v>1</v>
      </c>
      <c r="M138" s="2">
        <v>8.673330493570737E-2</v>
      </c>
      <c r="N138" s="27" t="str">
        <f t="shared" si="100"/>
        <v>Medium</v>
      </c>
      <c r="O138" s="1">
        <v>1</v>
      </c>
      <c r="P138" s="6">
        <v>117.8442157326579</v>
      </c>
      <c r="Q138" s="6">
        <v>103.3104073041211</v>
      </c>
      <c r="R138" s="6">
        <v>95.706911303192811</v>
      </c>
      <c r="S138" s="6">
        <v>94.486110155918325</v>
      </c>
      <c r="T138" s="6">
        <v>99.5</v>
      </c>
      <c r="U138" s="6">
        <v>97.2</v>
      </c>
      <c r="V138" s="6">
        <v>93</v>
      </c>
      <c r="W138" s="6">
        <v>89.25</v>
      </c>
      <c r="X138" s="10">
        <f t="shared" si="82"/>
        <v>0.15566496512882483</v>
      </c>
      <c r="Y138" s="10">
        <f t="shared" si="83"/>
        <v>5.9146096347616951E-2</v>
      </c>
      <c r="Z138" s="10">
        <f t="shared" si="84"/>
        <v>2.8283341989979231E-2</v>
      </c>
      <c r="AA138" s="10">
        <f t="shared" si="85"/>
        <v>5.5416718365036338E-2</v>
      </c>
      <c r="AB138" s="2">
        <f t="shared" si="66"/>
        <v>7.4627780457864334E-2</v>
      </c>
      <c r="AC138" s="6">
        <v>96.052189761518122</v>
      </c>
      <c r="AD138" s="6">
        <v>97.883455716923464</v>
      </c>
      <c r="AE138" s="6">
        <v>91.381278216381361</v>
      </c>
      <c r="AF138" s="6">
        <v>92.31918609068083</v>
      </c>
      <c r="AG138" s="6">
        <v>99</v>
      </c>
      <c r="AH138" s="6">
        <v>93.6</v>
      </c>
      <c r="AI138" s="6">
        <v>81.5</v>
      </c>
      <c r="AJ138" s="6">
        <v>80.75</v>
      </c>
      <c r="AK138" s="10">
        <f t="shared" si="86"/>
        <v>-3.0689672414557223E-2</v>
      </c>
      <c r="AL138" s="10">
        <f t="shared" si="87"/>
        <v>4.3760773315064783E-2</v>
      </c>
      <c r="AM138" s="10">
        <f t="shared" si="88"/>
        <v>0.10813241409234309</v>
      </c>
      <c r="AN138" s="10">
        <f t="shared" si="89"/>
        <v>0.12531724531579988</v>
      </c>
      <c r="AO138" s="2">
        <f t="shared" si="71"/>
        <v>6.1630190077162632E-2</v>
      </c>
      <c r="AP138" s="2">
        <v>1</v>
      </c>
      <c r="AQ138" s="2">
        <v>1</v>
      </c>
      <c r="AR138" s="2">
        <v>1</v>
      </c>
      <c r="AS138" s="2">
        <v>1</v>
      </c>
      <c r="AT138" s="2">
        <v>0.79500000000000004</v>
      </c>
      <c r="AU138" s="2">
        <v>0.79500000000000004</v>
      </c>
      <c r="AV138" s="2">
        <v>0.79500000000000004</v>
      </c>
      <c r="AW138" s="2">
        <v>0.79500000000000004</v>
      </c>
      <c r="AX138" s="10">
        <f t="shared" si="90"/>
        <v>0.20499999999999996</v>
      </c>
      <c r="AY138" s="10">
        <f t="shared" si="91"/>
        <v>0.20499999999999996</v>
      </c>
      <c r="AZ138" s="10">
        <f t="shared" si="92"/>
        <v>0.20499999999999996</v>
      </c>
      <c r="BA138" s="10">
        <f t="shared" si="93"/>
        <v>0.20499999999999996</v>
      </c>
      <c r="BB138" s="2">
        <f t="shared" si="76"/>
        <v>0.20499999999999996</v>
      </c>
      <c r="BC138" s="6">
        <v>61681.36</v>
      </c>
      <c r="BD138" s="6">
        <v>60065</v>
      </c>
      <c r="BE138" s="6">
        <v>57651</v>
      </c>
      <c r="BF138" s="6">
        <v>56254</v>
      </c>
      <c r="BG138" s="6">
        <v>60177</v>
      </c>
      <c r="BH138" s="6">
        <v>76155</v>
      </c>
      <c r="BI138" s="6">
        <v>52890</v>
      </c>
      <c r="BJ138" s="6">
        <v>50686</v>
      </c>
      <c r="BK138" s="10">
        <f t="shared" si="94"/>
        <v>2.4389215801986216E-2</v>
      </c>
      <c r="BL138" s="10">
        <f t="shared" si="95"/>
        <v>-0.26787646716057606</v>
      </c>
      <c r="BM138" s="10">
        <f t="shared" si="96"/>
        <v>8.2583129520736848E-2</v>
      </c>
      <c r="BN138" s="10">
        <f t="shared" si="97"/>
        <v>9.897962811533402E-2</v>
      </c>
      <c r="BO138" s="2">
        <f t="shared" si="81"/>
        <v>-1.5481123430629743E-2</v>
      </c>
      <c r="BP138" s="10">
        <v>-2.7086624382400781E-2</v>
      </c>
      <c r="BQ138" s="10">
        <v>-2.8505378090518174E-2</v>
      </c>
      <c r="BR138" s="10">
        <v>5.0022506558081659E-2</v>
      </c>
      <c r="BS138" s="10">
        <v>-6.9159848845771199E-3</v>
      </c>
      <c r="BT138" s="11">
        <v>0</v>
      </c>
    </row>
    <row r="139" spans="1:72">
      <c r="A139">
        <f>COUNTIFS($J$7:J139,J139,$N$7:N139,N139,$E$7:E139,E139)</f>
        <v>12</v>
      </c>
      <c r="B139" s="16" t="str">
        <f t="shared" si="98"/>
        <v>Low</v>
      </c>
      <c r="C139" s="16" t="str">
        <f t="shared" si="99"/>
        <v>12LowNoRetail</v>
      </c>
      <c r="D139" s="1">
        <v>25166</v>
      </c>
      <c r="E139" s="1" t="s">
        <v>10</v>
      </c>
      <c r="F139" s="1" t="s">
        <v>11</v>
      </c>
      <c r="G139" s="1" t="s">
        <v>222</v>
      </c>
      <c r="H139" s="1">
        <v>273</v>
      </c>
      <c r="I139" s="1" t="s">
        <v>190</v>
      </c>
      <c r="J139" s="1" t="s">
        <v>27</v>
      </c>
      <c r="K139" s="1">
        <v>3</v>
      </c>
      <c r="L139" s="1">
        <v>2</v>
      </c>
      <c r="M139" s="2">
        <v>0.80075247439831854</v>
      </c>
      <c r="N139" s="27" t="str">
        <f t="shared" si="100"/>
        <v>Low</v>
      </c>
      <c r="O139" s="1">
        <v>2</v>
      </c>
      <c r="P139" s="6">
        <v>313.04268677451591</v>
      </c>
      <c r="Q139" s="6">
        <v>325.72902928254729</v>
      </c>
      <c r="R139" s="6">
        <v>436.93057208922517</v>
      </c>
      <c r="S139" s="6">
        <v>677.68768268925555</v>
      </c>
      <c r="T139" s="6">
        <v>232.25</v>
      </c>
      <c r="U139" s="6">
        <v>376.79999999999995</v>
      </c>
      <c r="V139" s="6">
        <v>584.75</v>
      </c>
      <c r="W139" s="6">
        <v>562</v>
      </c>
      <c r="X139" s="10">
        <f t="shared" si="82"/>
        <v>0.25808840195877419</v>
      </c>
      <c r="Y139" s="10">
        <f t="shared" si="83"/>
        <v>-0.1567897427808074</v>
      </c>
      <c r="Z139" s="10">
        <f t="shared" si="84"/>
        <v>-0.33831330960422878</v>
      </c>
      <c r="AA139" s="10">
        <f t="shared" si="85"/>
        <v>0.17070943687536749</v>
      </c>
      <c r="AB139" s="2">
        <f t="shared" si="66"/>
        <v>-1.6576303387723625E-2</v>
      </c>
      <c r="AC139" s="6">
        <v>282.28505020056593</v>
      </c>
      <c r="AD139" s="6">
        <v>300.02862350182079</v>
      </c>
      <c r="AE139" s="6">
        <v>436.18583843430912</v>
      </c>
      <c r="AF139" s="6">
        <v>673.57129966627394</v>
      </c>
      <c r="AG139" s="6">
        <v>207.75</v>
      </c>
      <c r="AH139" s="6">
        <v>313.8</v>
      </c>
      <c r="AI139" s="6">
        <v>552.75</v>
      </c>
      <c r="AJ139" s="6">
        <v>544.75</v>
      </c>
      <c r="AK139" s="10">
        <f t="shared" si="86"/>
        <v>0.26404179090464813</v>
      </c>
      <c r="AL139" s="10">
        <f t="shared" si="87"/>
        <v>-4.5900208911552894E-2</v>
      </c>
      <c r="AM139" s="10">
        <f t="shared" si="88"/>
        <v>-0.26723508948410252</v>
      </c>
      <c r="AN139" s="10">
        <f t="shared" si="89"/>
        <v>0.19125117078191936</v>
      </c>
      <c r="AO139" s="2">
        <f t="shared" si="71"/>
        <v>3.5539415822728022E-2</v>
      </c>
      <c r="AP139" s="2">
        <v>0</v>
      </c>
      <c r="AQ139" s="2">
        <v>0</v>
      </c>
      <c r="AR139" s="2">
        <v>0</v>
      </c>
      <c r="AS139" s="2">
        <v>0</v>
      </c>
      <c r="AT139" s="2">
        <v>0.76899999999999991</v>
      </c>
      <c r="AU139" s="2">
        <v>0.75559999999999994</v>
      </c>
      <c r="AV139" s="2">
        <v>0.74599999999999989</v>
      </c>
      <c r="AW139" s="2">
        <v>0.755</v>
      </c>
      <c r="AX139" s="10" t="str">
        <f t="shared" si="90"/>
        <v/>
      </c>
      <c r="AY139" s="10" t="str">
        <f t="shared" si="91"/>
        <v/>
      </c>
      <c r="AZ139" s="10" t="str">
        <f t="shared" si="92"/>
        <v/>
      </c>
      <c r="BA139" s="10" t="str">
        <f t="shared" si="93"/>
        <v/>
      </c>
      <c r="BB139" s="2" t="str">
        <f t="shared" si="76"/>
        <v>NA</v>
      </c>
      <c r="BC139" s="6">
        <v>215144</v>
      </c>
      <c r="BD139" s="6">
        <v>213016</v>
      </c>
      <c r="BE139" s="6">
        <v>303875</v>
      </c>
      <c r="BF139" s="6">
        <v>454455</v>
      </c>
      <c r="BG139" s="6">
        <v>142962</v>
      </c>
      <c r="BH139" s="6">
        <v>204981</v>
      </c>
      <c r="BI139" s="6">
        <v>331385</v>
      </c>
      <c r="BJ139" s="6">
        <v>369955</v>
      </c>
      <c r="BK139" s="10">
        <f t="shared" si="94"/>
        <v>0.33550552188301791</v>
      </c>
      <c r="BL139" s="10">
        <f t="shared" si="95"/>
        <v>3.7720171254741426E-2</v>
      </c>
      <c r="BM139" s="10">
        <f t="shared" si="96"/>
        <v>-9.0530645824763473E-2</v>
      </c>
      <c r="BN139" s="10">
        <f t="shared" si="97"/>
        <v>0.1859370014632912</v>
      </c>
      <c r="BO139" s="2">
        <f t="shared" si="81"/>
        <v>0.11715801219407176</v>
      </c>
      <c r="BP139" s="10">
        <v>0</v>
      </c>
      <c r="BQ139" s="10">
        <v>0</v>
      </c>
      <c r="BR139" s="10">
        <v>0</v>
      </c>
      <c r="BS139" s="10">
        <v>0</v>
      </c>
      <c r="BT139" s="11" t="s">
        <v>458</v>
      </c>
    </row>
    <row r="140" spans="1:72">
      <c r="A140">
        <f>COUNTIFS($J$7:J140,J140,$N$7:N140,N140,$E$7:E140,E140)</f>
        <v>4</v>
      </c>
      <c r="B140" s="16" t="str">
        <f t="shared" si="98"/>
        <v>Critical</v>
      </c>
      <c r="C140" s="16" t="str">
        <f t="shared" si="99"/>
        <v>4CriticalNoTelecom-Non AT&amp;T</v>
      </c>
      <c r="D140" s="1">
        <v>25167</v>
      </c>
      <c r="E140" s="1" t="s">
        <v>485</v>
      </c>
      <c r="F140" s="1" t="s">
        <v>223</v>
      </c>
      <c r="G140" s="1" t="s">
        <v>224</v>
      </c>
      <c r="H140" s="1">
        <v>5</v>
      </c>
      <c r="I140" s="1" t="s">
        <v>179</v>
      </c>
      <c r="J140" s="1" t="s">
        <v>27</v>
      </c>
      <c r="K140" s="1">
        <v>1</v>
      </c>
      <c r="L140" s="1">
        <v>1</v>
      </c>
      <c r="M140" s="2">
        <v>-1.7802043102355936</v>
      </c>
      <c r="N140" s="27" t="str">
        <f t="shared" si="100"/>
        <v>Critical</v>
      </c>
      <c r="O140" s="1">
        <v>1</v>
      </c>
      <c r="P140" s="6">
        <v>0.99375000000000002</v>
      </c>
      <c r="Q140" s="6">
        <v>0.99375000000000002</v>
      </c>
      <c r="R140" s="6">
        <v>0.99375000000000002</v>
      </c>
      <c r="S140" s="6">
        <v>0.99375000000000002</v>
      </c>
      <c r="T140" s="6">
        <v>0</v>
      </c>
      <c r="U140" s="6">
        <v>0</v>
      </c>
      <c r="V140" s="6">
        <v>0</v>
      </c>
      <c r="W140" s="6">
        <v>0</v>
      </c>
      <c r="X140" s="10">
        <f t="shared" si="82"/>
        <v>1</v>
      </c>
      <c r="Y140" s="10">
        <f t="shared" si="83"/>
        <v>1</v>
      </c>
      <c r="Z140" s="10">
        <f t="shared" si="84"/>
        <v>1</v>
      </c>
      <c r="AA140" s="10">
        <f t="shared" si="85"/>
        <v>1</v>
      </c>
      <c r="AB140" s="2" t="str">
        <f t="shared" si="66"/>
        <v>NA</v>
      </c>
      <c r="AC140" s="6">
        <v>1</v>
      </c>
      <c r="AD140" s="6">
        <v>1</v>
      </c>
      <c r="AE140" s="6">
        <v>0.4</v>
      </c>
      <c r="AF140" s="6">
        <v>0.4</v>
      </c>
      <c r="AG140" s="6">
        <v>0</v>
      </c>
      <c r="AH140" s="6">
        <v>0</v>
      </c>
      <c r="AI140" s="6">
        <v>0</v>
      </c>
      <c r="AJ140" s="6">
        <v>0</v>
      </c>
      <c r="AK140" s="10">
        <f t="shared" si="86"/>
        <v>1</v>
      </c>
      <c r="AL140" s="10">
        <f t="shared" si="87"/>
        <v>1</v>
      </c>
      <c r="AM140" s="10">
        <f t="shared" si="88"/>
        <v>1</v>
      </c>
      <c r="AN140" s="10">
        <f t="shared" si="89"/>
        <v>1</v>
      </c>
      <c r="AO140" s="2" t="str">
        <f t="shared" si="71"/>
        <v>NA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10" t="str">
        <f t="shared" si="90"/>
        <v/>
      </c>
      <c r="AY140" s="10" t="str">
        <f t="shared" si="91"/>
        <v/>
      </c>
      <c r="AZ140" s="10" t="str">
        <f t="shared" si="92"/>
        <v/>
      </c>
      <c r="BA140" s="10" t="str">
        <f t="shared" si="93"/>
        <v/>
      </c>
      <c r="BB140" s="2" t="str">
        <f t="shared" si="76"/>
        <v>NA</v>
      </c>
      <c r="BC140" s="6">
        <v>0</v>
      </c>
      <c r="BD140" s="6">
        <v>0</v>
      </c>
      <c r="BE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  <c r="BK140" s="10" t="str">
        <f t="shared" si="94"/>
        <v/>
      </c>
      <c r="BL140" s="10" t="str">
        <f t="shared" si="95"/>
        <v/>
      </c>
      <c r="BM140" s="10" t="str">
        <f t="shared" si="96"/>
        <v/>
      </c>
      <c r="BN140" s="10" t="str">
        <f t="shared" si="97"/>
        <v/>
      </c>
      <c r="BO140" s="2" t="str">
        <f t="shared" si="81"/>
        <v>NA</v>
      </c>
      <c r="BP140" s="10">
        <v>1.1217961426068921</v>
      </c>
      <c r="BQ140" s="10">
        <v>1.1759699213897445</v>
      </c>
      <c r="BR140" s="10">
        <v>0.53830280503496297</v>
      </c>
      <c r="BS140" s="10">
        <v>0.33442661439787386</v>
      </c>
      <c r="BT140" s="11" t="s">
        <v>460</v>
      </c>
    </row>
    <row r="141" spans="1:72">
      <c r="A141">
        <f>COUNTIFS($J$7:J141,J141,$N$7:N141,N141,$E$7:E141,E141)</f>
        <v>9</v>
      </c>
      <c r="B141" s="16" t="str">
        <f t="shared" si="98"/>
        <v>Low</v>
      </c>
      <c r="C141" s="16" t="str">
        <f t="shared" si="99"/>
        <v>9LowNoTelecom-Non AT&amp;T</v>
      </c>
      <c r="D141" s="1">
        <v>25172</v>
      </c>
      <c r="E141" s="1" t="s">
        <v>485</v>
      </c>
      <c r="F141" s="1" t="s">
        <v>180</v>
      </c>
      <c r="G141" s="1" t="s">
        <v>225</v>
      </c>
      <c r="H141" s="1">
        <v>42</v>
      </c>
      <c r="I141" s="1" t="s">
        <v>182</v>
      </c>
      <c r="J141" s="1" t="s">
        <v>27</v>
      </c>
      <c r="K141" s="1">
        <v>1</v>
      </c>
      <c r="L141" s="1">
        <v>1</v>
      </c>
      <c r="M141" s="2">
        <v>0.30652630482697063</v>
      </c>
      <c r="N141" s="27" t="str">
        <f t="shared" si="100"/>
        <v>Low</v>
      </c>
      <c r="O141" s="1">
        <v>1</v>
      </c>
      <c r="P141" s="6">
        <v>32</v>
      </c>
      <c r="Q141" s="6">
        <v>29</v>
      </c>
      <c r="R141" s="6">
        <v>25</v>
      </c>
      <c r="S141" s="6">
        <v>25</v>
      </c>
      <c r="T141" s="6">
        <v>35.5</v>
      </c>
      <c r="U141" s="6">
        <v>34</v>
      </c>
      <c r="V141" s="6">
        <v>32.5</v>
      </c>
      <c r="W141" s="6">
        <v>31.5</v>
      </c>
      <c r="X141" s="10">
        <f t="shared" si="82"/>
        <v>-0.109375</v>
      </c>
      <c r="Y141" s="10">
        <f t="shared" si="83"/>
        <v>-0.17241379310344829</v>
      </c>
      <c r="Z141" s="10">
        <f t="shared" si="84"/>
        <v>-0.3</v>
      </c>
      <c r="AA141" s="10">
        <f t="shared" si="85"/>
        <v>-0.26</v>
      </c>
      <c r="AB141" s="2">
        <f t="shared" si="66"/>
        <v>-0.21044719827586206</v>
      </c>
      <c r="AC141" s="6">
        <v>32.44289029540802</v>
      </c>
      <c r="AD141" s="6">
        <v>28.623477834143813</v>
      </c>
      <c r="AE141" s="6">
        <v>24.574818011075436</v>
      </c>
      <c r="AF141" s="6">
        <v>25.346483251615307</v>
      </c>
      <c r="AG141" s="6">
        <v>35.75</v>
      </c>
      <c r="AH141" s="6">
        <v>33.799999999999997</v>
      </c>
      <c r="AI141" s="6">
        <v>29.75</v>
      </c>
      <c r="AJ141" s="6">
        <v>29</v>
      </c>
      <c r="AK141" s="10">
        <f t="shared" si="86"/>
        <v>-0.10193634643766833</v>
      </c>
      <c r="AL141" s="10">
        <f t="shared" si="87"/>
        <v>-0.18084881913550407</v>
      </c>
      <c r="AM141" s="10">
        <f t="shared" si="88"/>
        <v>-0.2105888225333836</v>
      </c>
      <c r="AN141" s="10">
        <f t="shared" si="89"/>
        <v>-0.1441429452802632</v>
      </c>
      <c r="AO141" s="2">
        <f t="shared" si="71"/>
        <v>-0.15937923334670479</v>
      </c>
      <c r="AP141" s="2">
        <v>0</v>
      </c>
      <c r="AQ141" s="2">
        <v>0</v>
      </c>
      <c r="AR141" s="2">
        <v>0</v>
      </c>
      <c r="AS141" s="2">
        <v>0</v>
      </c>
      <c r="AT141" s="2">
        <v>0.7</v>
      </c>
      <c r="AU141" s="2">
        <v>0.7</v>
      </c>
      <c r="AV141" s="2">
        <v>0.7</v>
      </c>
      <c r="AW141" s="2">
        <v>0.7</v>
      </c>
      <c r="AX141" s="10" t="str">
        <f t="shared" si="90"/>
        <v/>
      </c>
      <c r="AY141" s="10" t="str">
        <f t="shared" si="91"/>
        <v/>
      </c>
      <c r="AZ141" s="10" t="str">
        <f t="shared" si="92"/>
        <v/>
      </c>
      <c r="BA141" s="10" t="str">
        <f t="shared" si="93"/>
        <v/>
      </c>
      <c r="BB141" s="2" t="str">
        <f t="shared" si="76"/>
        <v>NA</v>
      </c>
      <c r="BC141" s="6">
        <v>17041.982077419354</v>
      </c>
      <c r="BD141" s="6">
        <v>16574.8125</v>
      </c>
      <c r="BE141" s="6">
        <v>15339.090625000001</v>
      </c>
      <c r="BF141" s="6">
        <v>14203.72703125</v>
      </c>
      <c r="BG141" s="6">
        <v>19335</v>
      </c>
      <c r="BH141" s="6">
        <v>22768</v>
      </c>
      <c r="BI141" s="6">
        <v>18076</v>
      </c>
      <c r="BJ141" s="6">
        <v>18012</v>
      </c>
      <c r="BK141" s="10">
        <f t="shared" si="94"/>
        <v>-0.13455112862833588</v>
      </c>
      <c r="BL141" s="10">
        <f t="shared" si="95"/>
        <v>-0.37365053149168354</v>
      </c>
      <c r="BM141" s="10">
        <f t="shared" si="96"/>
        <v>-0.17842709466357293</v>
      </c>
      <c r="BN141" s="10">
        <f t="shared" si="97"/>
        <v>-0.26811786514703612</v>
      </c>
      <c r="BO141" s="2">
        <f t="shared" si="81"/>
        <v>-0.23868665498265712</v>
      </c>
      <c r="BP141" s="10">
        <v>0</v>
      </c>
      <c r="BQ141" s="10">
        <v>0</v>
      </c>
      <c r="BR141" s="10">
        <v>0</v>
      </c>
      <c r="BS141" s="10">
        <v>0</v>
      </c>
      <c r="BT141" s="11" t="s">
        <v>459</v>
      </c>
    </row>
    <row r="142" spans="1:72">
      <c r="A142">
        <f>COUNTIFS($J$7:J142,J142,$N$7:N142,N142,$E$7:E142,E142)</f>
        <v>4</v>
      </c>
      <c r="B142" s="16" t="str">
        <f t="shared" si="98"/>
        <v>Low</v>
      </c>
      <c r="C142" s="16" t="str">
        <f t="shared" si="99"/>
        <v>4LowNoTravel</v>
      </c>
      <c r="D142" s="1">
        <v>25173</v>
      </c>
      <c r="E142" s="1" t="s">
        <v>79</v>
      </c>
      <c r="F142" s="1" t="s">
        <v>226</v>
      </c>
      <c r="G142" s="1" t="s">
        <v>227</v>
      </c>
      <c r="H142" s="1">
        <v>61</v>
      </c>
      <c r="I142" s="1" t="s">
        <v>98</v>
      </c>
      <c r="J142" s="1" t="s">
        <v>27</v>
      </c>
      <c r="K142" s="1">
        <v>1</v>
      </c>
      <c r="L142" s="1">
        <v>1</v>
      </c>
      <c r="M142" s="2">
        <v>0.21396810929799581</v>
      </c>
      <c r="N142" s="27" t="str">
        <f t="shared" si="100"/>
        <v>Low</v>
      </c>
      <c r="O142" s="1">
        <v>1</v>
      </c>
      <c r="P142" s="6">
        <v>61.999487531249997</v>
      </c>
      <c r="Q142" s="6">
        <v>61.999487531249997</v>
      </c>
      <c r="R142" s="6">
        <v>61.999487531249997</v>
      </c>
      <c r="S142" s="6">
        <v>61.999487531249997</v>
      </c>
      <c r="T142" s="6">
        <v>55.5</v>
      </c>
      <c r="U142" s="6">
        <v>54</v>
      </c>
      <c r="V142" s="6">
        <v>52.5</v>
      </c>
      <c r="W142" s="6">
        <v>51.25</v>
      </c>
      <c r="X142" s="10">
        <f t="shared" si="82"/>
        <v>0.10483131054872057</v>
      </c>
      <c r="Y142" s="10">
        <f t="shared" si="83"/>
        <v>0.12902505891226865</v>
      </c>
      <c r="Z142" s="10">
        <f t="shared" si="84"/>
        <v>0.15321880727581674</v>
      </c>
      <c r="AA142" s="10">
        <f t="shared" si="85"/>
        <v>0.17338026424544017</v>
      </c>
      <c r="AB142" s="2">
        <f t="shared" si="66"/>
        <v>0.14011386024556152</v>
      </c>
      <c r="AC142" s="6">
        <v>62</v>
      </c>
      <c r="AD142" s="6">
        <v>62</v>
      </c>
      <c r="AE142" s="6">
        <v>62</v>
      </c>
      <c r="AF142" s="6">
        <v>62</v>
      </c>
      <c r="AG142" s="6">
        <v>61</v>
      </c>
      <c r="AH142" s="6">
        <v>61.8</v>
      </c>
      <c r="AI142" s="6">
        <v>61</v>
      </c>
      <c r="AJ142" s="6">
        <v>61</v>
      </c>
      <c r="AK142" s="10">
        <f t="shared" si="86"/>
        <v>1.6129032258064516E-2</v>
      </c>
      <c r="AL142" s="10">
        <f t="shared" si="87"/>
        <v>3.2258064516129492E-3</v>
      </c>
      <c r="AM142" s="10">
        <f t="shared" si="88"/>
        <v>1.6129032258064516E-2</v>
      </c>
      <c r="AN142" s="10">
        <f t="shared" si="89"/>
        <v>1.6129032258064516E-2</v>
      </c>
      <c r="AO142" s="2">
        <f t="shared" si="71"/>
        <v>1.2903225806451625E-2</v>
      </c>
      <c r="AP142" s="2">
        <v>1</v>
      </c>
      <c r="AQ142" s="2">
        <v>1</v>
      </c>
      <c r="AR142" s="2">
        <v>1</v>
      </c>
      <c r="AS142" s="2">
        <v>1</v>
      </c>
      <c r="AT142" s="2">
        <v>0.53</v>
      </c>
      <c r="AU142" s="2">
        <v>0.504</v>
      </c>
      <c r="AV142" s="2">
        <v>0.505</v>
      </c>
      <c r="AW142" s="2">
        <v>0.50249999999999995</v>
      </c>
      <c r="AX142" s="10">
        <f t="shared" si="90"/>
        <v>0.47</v>
      </c>
      <c r="AY142" s="10">
        <f t="shared" si="91"/>
        <v>0.496</v>
      </c>
      <c r="AZ142" s="10">
        <f t="shared" si="92"/>
        <v>0.495</v>
      </c>
      <c r="BA142" s="10">
        <f t="shared" si="93"/>
        <v>0.49750000000000005</v>
      </c>
      <c r="BB142" s="2">
        <f t="shared" si="76"/>
        <v>0.48962499999999998</v>
      </c>
      <c r="BC142" s="6">
        <v>650</v>
      </c>
      <c r="BD142" s="6">
        <v>650</v>
      </c>
      <c r="BE142" s="6">
        <v>650</v>
      </c>
      <c r="BF142" s="6">
        <v>650</v>
      </c>
      <c r="BG142" s="6">
        <v>14234</v>
      </c>
      <c r="BH142" s="6">
        <v>14948</v>
      </c>
      <c r="BI142" s="6">
        <v>12021</v>
      </c>
      <c r="BJ142" s="6">
        <v>11749</v>
      </c>
      <c r="BK142" s="10">
        <f t="shared" si="94"/>
        <v>-20.89846153846154</v>
      </c>
      <c r="BL142" s="10">
        <f t="shared" si="95"/>
        <v>-21.996923076923078</v>
      </c>
      <c r="BM142" s="10">
        <f t="shared" si="96"/>
        <v>-17.493846153846153</v>
      </c>
      <c r="BN142" s="10">
        <f t="shared" si="97"/>
        <v>-17.075384615384614</v>
      </c>
      <c r="BO142" s="2">
        <f t="shared" si="81"/>
        <v>-19.366153846153843</v>
      </c>
      <c r="BP142" s="10">
        <v>-5.0565642970268332E-4</v>
      </c>
      <c r="BQ142" s="10">
        <v>-7.1966615579233117E-4</v>
      </c>
      <c r="BR142" s="10">
        <v>-1.3448443833459223E-3</v>
      </c>
      <c r="BS142" s="10">
        <v>-1.7604131492999775E-3</v>
      </c>
      <c r="BT142" s="11" t="s">
        <v>461</v>
      </c>
    </row>
    <row r="143" spans="1:72">
      <c r="A143">
        <f>COUNTIFS($J$7:J143,J143,$N$7:N143,N143,$E$7:E143,E143)</f>
        <v>5</v>
      </c>
      <c r="B143" s="16" t="str">
        <f t="shared" si="98"/>
        <v>Medium</v>
      </c>
      <c r="C143" s="16" t="str">
        <f t="shared" si="99"/>
        <v>5MediumYesTelecom-AT&amp;T</v>
      </c>
      <c r="D143" s="1">
        <v>25176</v>
      </c>
      <c r="E143" s="11" t="s">
        <v>484</v>
      </c>
      <c r="F143" s="1" t="s">
        <v>6</v>
      </c>
      <c r="G143" s="1" t="s">
        <v>228</v>
      </c>
      <c r="H143" s="1">
        <v>9</v>
      </c>
      <c r="I143" s="1" t="s">
        <v>113</v>
      </c>
      <c r="J143" s="1" t="s">
        <v>9</v>
      </c>
      <c r="K143" s="1">
        <v>1</v>
      </c>
      <c r="L143" s="1">
        <v>1</v>
      </c>
      <c r="M143" s="2">
        <v>5.263231052278354E-2</v>
      </c>
      <c r="N143" s="27" t="str">
        <f t="shared" si="100"/>
        <v>Medium</v>
      </c>
      <c r="O143" s="1">
        <v>1</v>
      </c>
      <c r="P143" s="6">
        <v>74.263209193233024</v>
      </c>
      <c r="Q143" s="6">
        <v>71.545739837627011</v>
      </c>
      <c r="R143" s="6">
        <v>73.818349188598603</v>
      </c>
      <c r="S143" s="6">
        <v>74.131417985522816</v>
      </c>
      <c r="T143" s="6">
        <v>51</v>
      </c>
      <c r="U143" s="6">
        <v>48.8</v>
      </c>
      <c r="V143" s="6">
        <v>57.75</v>
      </c>
      <c r="W143" s="6">
        <v>67.75</v>
      </c>
      <c r="X143" s="10">
        <f t="shared" si="82"/>
        <v>0.31325348642962769</v>
      </c>
      <c r="Y143" s="10">
        <f t="shared" si="83"/>
        <v>0.31791885707308987</v>
      </c>
      <c r="Z143" s="10">
        <f t="shared" si="84"/>
        <v>0.21767418758641643</v>
      </c>
      <c r="AA143" s="10">
        <f t="shared" si="85"/>
        <v>8.6082502654529672E-2</v>
      </c>
      <c r="AB143" s="2">
        <f t="shared" si="66"/>
        <v>0.23373225843591591</v>
      </c>
      <c r="AC143" s="6">
        <v>68.366490418736973</v>
      </c>
      <c r="AD143" s="6">
        <v>69.023831581671971</v>
      </c>
      <c r="AE143" s="6">
        <v>68.374716327009281</v>
      </c>
      <c r="AF143" s="6">
        <v>68.039911106659133</v>
      </c>
      <c r="AG143" s="6">
        <v>65.25</v>
      </c>
      <c r="AH143" s="6">
        <v>70.2</v>
      </c>
      <c r="AI143" s="6">
        <v>68</v>
      </c>
      <c r="AJ143" s="6">
        <v>68.75</v>
      </c>
      <c r="AK143" s="10">
        <f t="shared" si="86"/>
        <v>4.5585057820707542E-2</v>
      </c>
      <c r="AL143" s="10">
        <f t="shared" si="87"/>
        <v>-1.7040033730036257E-2</v>
      </c>
      <c r="AM143" s="10">
        <f t="shared" si="88"/>
        <v>5.4803346490998363E-3</v>
      </c>
      <c r="AN143" s="10">
        <f t="shared" si="89"/>
        <v>-1.0436358334268455E-2</v>
      </c>
      <c r="AO143" s="2">
        <f t="shared" si="71"/>
        <v>5.897250101375668E-3</v>
      </c>
      <c r="AP143" s="2">
        <v>0.65</v>
      </c>
      <c r="AQ143" s="2">
        <v>0.65</v>
      </c>
      <c r="AR143" s="2">
        <v>0.65</v>
      </c>
      <c r="AS143" s="2">
        <v>0.65</v>
      </c>
      <c r="AT143" s="2">
        <v>0.7</v>
      </c>
      <c r="AU143" s="2">
        <v>0.7</v>
      </c>
      <c r="AV143" s="2">
        <v>0.7</v>
      </c>
      <c r="AW143" s="2">
        <v>0.7</v>
      </c>
      <c r="AX143" s="10">
        <f t="shared" si="90"/>
        <v>-7.6923076923076816E-2</v>
      </c>
      <c r="AY143" s="10">
        <f t="shared" si="91"/>
        <v>-7.6923076923076816E-2</v>
      </c>
      <c r="AZ143" s="10">
        <f t="shared" si="92"/>
        <v>-7.6923076923076816E-2</v>
      </c>
      <c r="BA143" s="10">
        <f t="shared" si="93"/>
        <v>-7.6923076923076816E-2</v>
      </c>
      <c r="BB143" s="2">
        <f t="shared" si="76"/>
        <v>-7.6923076923076816E-2</v>
      </c>
      <c r="BC143" s="6">
        <v>11518.165034703106</v>
      </c>
      <c r="BD143" s="6">
        <v>11829.076318064219</v>
      </c>
      <c r="BE143" s="6">
        <v>11522.595691957264</v>
      </c>
      <c r="BF143" s="6">
        <v>11706.054233618068</v>
      </c>
      <c r="BG143" s="6">
        <v>17620</v>
      </c>
      <c r="BH143" s="6">
        <v>23761</v>
      </c>
      <c r="BI143" s="6">
        <v>18428</v>
      </c>
      <c r="BJ143" s="6">
        <v>18617</v>
      </c>
      <c r="BK143" s="10">
        <f t="shared" si="94"/>
        <v>-0.52975755659974144</v>
      </c>
      <c r="BL143" s="10">
        <f t="shared" si="95"/>
        <v>-1.008694454334909</v>
      </c>
      <c r="BM143" s="10">
        <f t="shared" si="96"/>
        <v>-0.59929242443720276</v>
      </c>
      <c r="BN143" s="10">
        <f t="shared" si="97"/>
        <v>-0.59037363303295753</v>
      </c>
      <c r="BO143" s="2">
        <f t="shared" si="81"/>
        <v>-0.68202951710120274</v>
      </c>
      <c r="BP143" s="10">
        <v>4.7448380376178323E-2</v>
      </c>
      <c r="BQ143" s="10">
        <v>1.6620628843230456E-2</v>
      </c>
      <c r="BR143" s="10">
        <v>4.9803512224979946E-2</v>
      </c>
      <c r="BS143" s="10">
        <v>-7.7417933150250418E-2</v>
      </c>
      <c r="BT143" s="11" t="s">
        <v>459</v>
      </c>
    </row>
    <row r="144" spans="1:72">
      <c r="A144">
        <f>COUNTIFS($J$7:J144,J144,$N$7:N144,N144,$E$7:E144,E144)</f>
        <v>6</v>
      </c>
      <c r="B144" s="16" t="str">
        <f t="shared" si="98"/>
        <v>Medium</v>
      </c>
      <c r="C144" s="16" t="str">
        <f t="shared" si="99"/>
        <v>6MediumYesTelecom-AT&amp;T</v>
      </c>
      <c r="D144" s="1">
        <v>25177</v>
      </c>
      <c r="E144" s="11" t="s">
        <v>484</v>
      </c>
      <c r="F144" s="1" t="s">
        <v>6</v>
      </c>
      <c r="G144" s="1" t="s">
        <v>229</v>
      </c>
      <c r="H144" s="1">
        <v>79</v>
      </c>
      <c r="I144" s="1" t="s">
        <v>113</v>
      </c>
      <c r="J144" s="1" t="s">
        <v>9</v>
      </c>
      <c r="K144" s="1">
        <v>1</v>
      </c>
      <c r="L144" s="1">
        <v>1</v>
      </c>
      <c r="M144" s="2">
        <v>4.0476923308832388E-2</v>
      </c>
      <c r="N144" s="27" t="str">
        <f t="shared" si="100"/>
        <v>Medium</v>
      </c>
      <c r="O144" s="1">
        <v>1</v>
      </c>
      <c r="P144" s="6">
        <v>11.81120213003252</v>
      </c>
      <c r="Q144" s="6">
        <v>13.59549189898418</v>
      </c>
      <c r="R144" s="6">
        <v>13.85323623670145</v>
      </c>
      <c r="S144" s="6">
        <v>12.596157444584771</v>
      </c>
      <c r="T144" s="6">
        <v>31.25</v>
      </c>
      <c r="U144" s="6">
        <v>35.200000000000003</v>
      </c>
      <c r="V144" s="6">
        <v>37.75</v>
      </c>
      <c r="W144" s="6">
        <v>39</v>
      </c>
      <c r="X144" s="10">
        <f t="shared" si="82"/>
        <v>-1.6457933456697147</v>
      </c>
      <c r="Y144" s="10">
        <f t="shared" si="83"/>
        <v>-1.5890935217011204</v>
      </c>
      <c r="Z144" s="10">
        <f t="shared" si="84"/>
        <v>-1.724995037620793</v>
      </c>
      <c r="AA144" s="10">
        <f t="shared" si="85"/>
        <v>-2.0961823215989206</v>
      </c>
      <c r="AB144" s="2">
        <f t="shared" si="66"/>
        <v>-1.7640160566476371</v>
      </c>
      <c r="AC144" s="6">
        <v>47.154380290455435</v>
      </c>
      <c r="AD144" s="6">
        <v>47.182211735828979</v>
      </c>
      <c r="AE144" s="6">
        <v>47.14355351283951</v>
      </c>
      <c r="AF144" s="6">
        <v>47.010397650310935</v>
      </c>
      <c r="AG144" s="6">
        <v>41.25</v>
      </c>
      <c r="AH144" s="6">
        <v>43.2</v>
      </c>
      <c r="AI144" s="6">
        <v>42</v>
      </c>
      <c r="AJ144" s="6">
        <v>41.75</v>
      </c>
      <c r="AK144" s="10">
        <f t="shared" si="86"/>
        <v>0.12521382433798089</v>
      </c>
      <c r="AL144" s="10">
        <f t="shared" si="87"/>
        <v>8.4400700800657577E-2</v>
      </c>
      <c r="AM144" s="10">
        <f t="shared" si="88"/>
        <v>0.109104068946323</v>
      </c>
      <c r="AN144" s="10">
        <f t="shared" si="89"/>
        <v>0.11189859931499946</v>
      </c>
      <c r="AO144" s="2">
        <f t="shared" si="71"/>
        <v>0.10765429834999024</v>
      </c>
      <c r="AP144" s="2">
        <v>0.48333333333333334</v>
      </c>
      <c r="AQ144" s="2">
        <v>0.48333333333333334</v>
      </c>
      <c r="AR144" s="2">
        <v>0.48333333333333334</v>
      </c>
      <c r="AS144" s="2">
        <v>0.48333333333333334</v>
      </c>
      <c r="AT144" s="2">
        <v>0.48</v>
      </c>
      <c r="AU144" s="2">
        <v>0.48</v>
      </c>
      <c r="AV144" s="2">
        <v>0.48</v>
      </c>
      <c r="AW144" s="2">
        <v>0.48</v>
      </c>
      <c r="AX144" s="10">
        <f t="shared" si="90"/>
        <v>6.8965517241379752E-3</v>
      </c>
      <c r="AY144" s="10">
        <f t="shared" si="91"/>
        <v>6.8965517241379752E-3</v>
      </c>
      <c r="AZ144" s="10">
        <f t="shared" si="92"/>
        <v>6.8965517241379752E-3</v>
      </c>
      <c r="BA144" s="10">
        <f t="shared" si="93"/>
        <v>6.8965517241379752E-3</v>
      </c>
      <c r="BB144" s="2">
        <f t="shared" si="76"/>
        <v>6.8965517241379752E-3</v>
      </c>
      <c r="BC144" s="6">
        <v>8072.6763605186798</v>
      </c>
      <c r="BD144" s="6">
        <v>8337.7368832090651</v>
      </c>
      <c r="BE144" s="6">
        <v>8025.0945475160888</v>
      </c>
      <c r="BF144" s="6">
        <v>8111.4243024516363</v>
      </c>
      <c r="BG144" s="6">
        <v>13483</v>
      </c>
      <c r="BH144" s="6">
        <v>17960</v>
      </c>
      <c r="BI144" s="6">
        <v>13797</v>
      </c>
      <c r="BJ144" s="6">
        <v>13790</v>
      </c>
      <c r="BK144" s="10">
        <f t="shared" si="94"/>
        <v>-0.67020197489171984</v>
      </c>
      <c r="BL144" s="10">
        <f t="shared" si="95"/>
        <v>-1.1540617378042608</v>
      </c>
      <c r="BM144" s="10">
        <f t="shared" si="96"/>
        <v>-0.71923208110618708</v>
      </c>
      <c r="BN144" s="10">
        <f t="shared" si="97"/>
        <v>-0.70007134207392452</v>
      </c>
      <c r="BO144" s="2">
        <f t="shared" si="81"/>
        <v>-0.81089178396902306</v>
      </c>
      <c r="BP144" s="10">
        <v>0.20160900366688894</v>
      </c>
      <c r="BQ144" s="10">
        <v>-5.3862951114566293E-2</v>
      </c>
      <c r="BR144" s="10">
        <v>4.5462775796629995E-2</v>
      </c>
      <c r="BS144" s="10">
        <v>2.8873726656653997E-2</v>
      </c>
      <c r="BT144" s="11">
        <v>0</v>
      </c>
    </row>
    <row r="145" spans="1:72">
      <c r="A145">
        <f>COUNTIFS($J$7:J145,J145,$N$7:N145,N145,$E$7:E145,E145)</f>
        <v>7</v>
      </c>
      <c r="B145" s="16" t="str">
        <f t="shared" si="98"/>
        <v>Low</v>
      </c>
      <c r="C145" s="16" t="str">
        <f t="shared" si="99"/>
        <v>7LowNoBFIMG</v>
      </c>
      <c r="D145" s="1">
        <v>25181</v>
      </c>
      <c r="E145" s="1" t="s">
        <v>20</v>
      </c>
      <c r="F145" s="1" t="s">
        <v>230</v>
      </c>
      <c r="G145" s="1" t="s">
        <v>231</v>
      </c>
      <c r="H145" s="1">
        <v>91</v>
      </c>
      <c r="I145" s="1" t="s">
        <v>78</v>
      </c>
      <c r="J145" s="1" t="s">
        <v>27</v>
      </c>
      <c r="K145" s="1">
        <v>2</v>
      </c>
      <c r="L145" s="1">
        <v>1</v>
      </c>
      <c r="M145" s="2">
        <v>0.19742446774280609</v>
      </c>
      <c r="N145" s="27" t="str">
        <f t="shared" si="100"/>
        <v>Low</v>
      </c>
      <c r="O145" s="1">
        <v>1</v>
      </c>
      <c r="P145" s="6">
        <v>79.156389027637545</v>
      </c>
      <c r="Q145" s="6">
        <v>75.747359724889094</v>
      </c>
      <c r="R145" s="6">
        <v>75.489912907261768</v>
      </c>
      <c r="S145" s="6">
        <v>91.30804947333813</v>
      </c>
      <c r="T145" s="6">
        <v>97</v>
      </c>
      <c r="U145" s="6">
        <v>105</v>
      </c>
      <c r="V145" s="6">
        <v>100.5</v>
      </c>
      <c r="W145" s="6">
        <v>94.5</v>
      </c>
      <c r="X145" s="10">
        <f t="shared" si="82"/>
        <v>-0.22542224565261987</v>
      </c>
      <c r="Y145" s="10">
        <f t="shared" si="83"/>
        <v>-0.38618692956896639</v>
      </c>
      <c r="Z145" s="10">
        <f t="shared" si="84"/>
        <v>-0.33130369515014213</v>
      </c>
      <c r="AA145" s="10">
        <f t="shared" si="85"/>
        <v>-3.4958040885474363E-2</v>
      </c>
      <c r="AB145" s="2">
        <f t="shared" si="66"/>
        <v>-0.24446772781430068</v>
      </c>
      <c r="AC145" s="6">
        <v>65.194392857142859</v>
      </c>
      <c r="AD145" s="6">
        <v>66.756059163059163</v>
      </c>
      <c r="AE145" s="6">
        <v>72.627936507474686</v>
      </c>
      <c r="AF145" s="6">
        <v>75.912303669703107</v>
      </c>
      <c r="AG145" s="6">
        <v>95.25</v>
      </c>
      <c r="AH145" s="6">
        <v>102.6</v>
      </c>
      <c r="AI145" s="6">
        <v>87.25</v>
      </c>
      <c r="AJ145" s="6">
        <v>6.75</v>
      </c>
      <c r="AK145" s="10">
        <f t="shared" si="86"/>
        <v>-0.46101521658030403</v>
      </c>
      <c r="AL145" s="10">
        <f t="shared" si="87"/>
        <v>-0.53693913760529188</v>
      </c>
      <c r="AM145" s="10">
        <f t="shared" si="88"/>
        <v>-0.2013283620004879</v>
      </c>
      <c r="AN145" s="10">
        <f t="shared" si="89"/>
        <v>0.91108160767496305</v>
      </c>
      <c r="AO145" s="2">
        <f t="shared" si="71"/>
        <v>-7.2050277127780227E-2</v>
      </c>
      <c r="AP145" s="2">
        <v>0</v>
      </c>
      <c r="AQ145" s="2">
        <v>0</v>
      </c>
      <c r="AR145" s="2">
        <v>0</v>
      </c>
      <c r="AS145" s="2">
        <v>0</v>
      </c>
      <c r="AT145" s="2">
        <v>0.66899999999999993</v>
      </c>
      <c r="AU145" s="2">
        <v>0.67520000000000002</v>
      </c>
      <c r="AV145" s="2">
        <v>0.67249999999999999</v>
      </c>
      <c r="AW145" s="2">
        <v>0.65999999999999992</v>
      </c>
      <c r="AX145" s="10" t="str">
        <f t="shared" si="90"/>
        <v/>
      </c>
      <c r="AY145" s="10" t="str">
        <f t="shared" si="91"/>
        <v/>
      </c>
      <c r="AZ145" s="10" t="str">
        <f t="shared" si="92"/>
        <v/>
      </c>
      <c r="BA145" s="10" t="str">
        <f t="shared" si="93"/>
        <v/>
      </c>
      <c r="BB145" s="2" t="str">
        <f t="shared" si="76"/>
        <v>NA</v>
      </c>
      <c r="BC145" s="6">
        <v>98633.700000000012</v>
      </c>
      <c r="BD145" s="6">
        <v>107202.6</v>
      </c>
      <c r="BE145" s="6">
        <v>123664.43827431169</v>
      </c>
      <c r="BF145" s="6">
        <v>134906.59072161719</v>
      </c>
      <c r="BG145" s="6">
        <v>107578</v>
      </c>
      <c r="BH145" s="6">
        <v>146854</v>
      </c>
      <c r="BI145" s="6">
        <v>102975</v>
      </c>
      <c r="BJ145" s="6">
        <v>3927</v>
      </c>
      <c r="BK145" s="10">
        <f t="shared" si="94"/>
        <v>-9.0681988002072181E-2</v>
      </c>
      <c r="BL145" s="10">
        <f t="shared" si="95"/>
        <v>-0.36987349187426416</v>
      </c>
      <c r="BM145" s="10">
        <f t="shared" si="96"/>
        <v>0.16730305464549561</v>
      </c>
      <c r="BN145" s="10">
        <f t="shared" si="97"/>
        <v>0.97089096997415458</v>
      </c>
      <c r="BO145" s="2">
        <f t="shared" si="81"/>
        <v>0.16940963618582847</v>
      </c>
      <c r="BP145" s="10">
        <v>-1.2326173133735296E-2</v>
      </c>
      <c r="BQ145" s="10">
        <v>2.9918008671776741E-2</v>
      </c>
      <c r="BR145" s="10">
        <v>-9.938877313966521E-2</v>
      </c>
      <c r="BS145" s="10">
        <v>4.9383155729069816E-2</v>
      </c>
      <c r="BT145" s="11">
        <v>0</v>
      </c>
    </row>
    <row r="146" spans="1:72">
      <c r="A146">
        <f>COUNTIFS($J$7:J146,J146,$N$7:N146,N146,$E$7:E146,E146)</f>
        <v>30</v>
      </c>
      <c r="B146" s="16" t="str">
        <f t="shared" si="98"/>
        <v>Low</v>
      </c>
      <c r="C146" s="16" t="str">
        <f t="shared" si="99"/>
        <v>30LowNoTechnology</v>
      </c>
      <c r="D146" s="1">
        <v>25182</v>
      </c>
      <c r="E146" s="1" t="s">
        <v>23</v>
      </c>
      <c r="F146" s="1" t="s">
        <v>51</v>
      </c>
      <c r="G146" s="1" t="s">
        <v>232</v>
      </c>
      <c r="H146" s="1">
        <v>141</v>
      </c>
      <c r="I146" s="1" t="s">
        <v>53</v>
      </c>
      <c r="J146" s="1" t="s">
        <v>27</v>
      </c>
      <c r="K146" s="1">
        <v>4</v>
      </c>
      <c r="L146" s="1">
        <v>3</v>
      </c>
      <c r="M146" s="2">
        <v>1.0403042908754525</v>
      </c>
      <c r="N146" s="27" t="str">
        <f t="shared" si="100"/>
        <v>Low</v>
      </c>
      <c r="O146" s="1">
        <v>2</v>
      </c>
      <c r="P146" s="6">
        <v>125.61071983664804</v>
      </c>
      <c r="Q146" s="6">
        <v>145.10691440547174</v>
      </c>
      <c r="R146" s="6">
        <v>141.94279375516041</v>
      </c>
      <c r="S146" s="6">
        <v>138.30788442257011</v>
      </c>
      <c r="T146" s="6">
        <v>93.75</v>
      </c>
      <c r="U146" s="6">
        <v>85</v>
      </c>
      <c r="V146" s="6">
        <v>82.75</v>
      </c>
      <c r="W146" s="6">
        <v>80</v>
      </c>
      <c r="X146" s="10">
        <f t="shared" si="82"/>
        <v>0.25364650308573738</v>
      </c>
      <c r="Y146" s="10">
        <f t="shared" si="83"/>
        <v>0.41422501919870752</v>
      </c>
      <c r="Z146" s="10">
        <f t="shared" si="84"/>
        <v>0.41701866075190186</v>
      </c>
      <c r="AA146" s="10">
        <f t="shared" si="85"/>
        <v>0.42158033626212416</v>
      </c>
      <c r="AB146" s="2">
        <f t="shared" si="66"/>
        <v>0.37661762982461772</v>
      </c>
      <c r="AC146" s="6">
        <v>151.50752160841347</v>
      </c>
      <c r="AD146" s="6">
        <v>176.9213579151467</v>
      </c>
      <c r="AE146" s="6">
        <v>166.6076628685324</v>
      </c>
      <c r="AF146" s="6">
        <v>169.06190777298323</v>
      </c>
      <c r="AG146" s="6">
        <v>112.75</v>
      </c>
      <c r="AH146" s="6">
        <v>156.4</v>
      </c>
      <c r="AI146" s="6">
        <v>157.25</v>
      </c>
      <c r="AJ146" s="6">
        <v>155</v>
      </c>
      <c r="AK146" s="10">
        <f t="shared" si="86"/>
        <v>0.255812524665186</v>
      </c>
      <c r="AL146" s="10">
        <f t="shared" si="87"/>
        <v>0.11599141085605362</v>
      </c>
      <c r="AM146" s="10">
        <f t="shared" si="88"/>
        <v>5.6165861206014224E-2</v>
      </c>
      <c r="AN146" s="10">
        <f t="shared" si="89"/>
        <v>8.3176085957018767E-2</v>
      </c>
      <c r="AO146" s="2">
        <f t="shared" si="71"/>
        <v>0.12778647067106816</v>
      </c>
      <c r="AP146" s="2">
        <v>0</v>
      </c>
      <c r="AQ146" s="2">
        <v>0</v>
      </c>
      <c r="AR146" s="2">
        <v>0</v>
      </c>
      <c r="AS146" s="2">
        <v>0</v>
      </c>
      <c r="AT146" s="2">
        <v>0.7</v>
      </c>
      <c r="AU146" s="2">
        <v>0.7</v>
      </c>
      <c r="AV146" s="2">
        <v>0.7</v>
      </c>
      <c r="AW146" s="2">
        <v>0.7</v>
      </c>
      <c r="AX146" s="10" t="str">
        <f t="shared" si="90"/>
        <v/>
      </c>
      <c r="AY146" s="10" t="str">
        <f t="shared" si="91"/>
        <v/>
      </c>
      <c r="AZ146" s="10" t="str">
        <f t="shared" si="92"/>
        <v/>
      </c>
      <c r="BA146" s="10" t="str">
        <f t="shared" si="93"/>
        <v/>
      </c>
      <c r="BB146" s="2" t="str">
        <f t="shared" si="76"/>
        <v>NA</v>
      </c>
      <c r="BC146" s="6">
        <v>69814</v>
      </c>
      <c r="BD146" s="6">
        <v>82742</v>
      </c>
      <c r="BE146" s="6">
        <v>82742</v>
      </c>
      <c r="BF146" s="6">
        <v>82742</v>
      </c>
      <c r="BG146" s="6">
        <v>47097</v>
      </c>
      <c r="BH146" s="6">
        <v>82755</v>
      </c>
      <c r="BI146" s="6">
        <v>67714</v>
      </c>
      <c r="BJ146" s="6">
        <v>65586</v>
      </c>
      <c r="BK146" s="10">
        <f t="shared" si="94"/>
        <v>0.32539318761279973</v>
      </c>
      <c r="BL146" s="10">
        <f t="shared" si="95"/>
        <v>-1.5711488723985401E-4</v>
      </c>
      <c r="BM146" s="10">
        <f t="shared" si="96"/>
        <v>0.18162480964927122</v>
      </c>
      <c r="BN146" s="10">
        <f t="shared" si="97"/>
        <v>0.20734330811437965</v>
      </c>
      <c r="BO146" s="2">
        <f t="shared" si="81"/>
        <v>0.17855104762230267</v>
      </c>
      <c r="BP146" s="10">
        <v>-0.67724208907576289</v>
      </c>
      <c r="BQ146" s="10">
        <v>-0.48708900959696599</v>
      </c>
      <c r="BR146" s="10">
        <v>-0.38847988820994472</v>
      </c>
      <c r="BS146" s="10">
        <v>-0.38600952584878967</v>
      </c>
      <c r="BT146" s="11">
        <v>0</v>
      </c>
    </row>
    <row r="147" spans="1:72">
      <c r="A147">
        <f>COUNTIFS($J$7:J147,J147,$N$7:N147,N147,$E$7:E147,E147)</f>
        <v>31</v>
      </c>
      <c r="B147" s="16" t="str">
        <f t="shared" si="98"/>
        <v>Low</v>
      </c>
      <c r="C147" s="16" t="str">
        <f t="shared" si="99"/>
        <v>31LowNoTechnology</v>
      </c>
      <c r="D147" s="1">
        <v>25183</v>
      </c>
      <c r="E147" s="1" t="s">
        <v>23</v>
      </c>
      <c r="F147" s="1" t="s">
        <v>51</v>
      </c>
      <c r="G147" s="1" t="s">
        <v>233</v>
      </c>
      <c r="H147" s="1">
        <v>79</v>
      </c>
      <c r="I147" s="1" t="s">
        <v>53</v>
      </c>
      <c r="J147" s="1" t="s">
        <v>27</v>
      </c>
      <c r="K147" s="1">
        <v>2</v>
      </c>
      <c r="L147" s="1">
        <v>2</v>
      </c>
      <c r="M147" s="2">
        <v>0.45490578631178813</v>
      </c>
      <c r="N147" s="27" t="str">
        <f t="shared" si="100"/>
        <v>Low</v>
      </c>
      <c r="O147" s="1">
        <v>2</v>
      </c>
      <c r="P147" s="6">
        <v>59.198636463028791</v>
      </c>
      <c r="Q147" s="6">
        <v>94.32178184437214</v>
      </c>
      <c r="R147" s="6">
        <v>93.961998729799006</v>
      </c>
      <c r="S147" s="6">
        <v>91.442279600220104</v>
      </c>
      <c r="T147" s="6">
        <v>37.75</v>
      </c>
      <c r="U147" s="6">
        <v>42.2</v>
      </c>
      <c r="V147" s="6">
        <v>40.25</v>
      </c>
      <c r="W147" s="6">
        <v>46.25</v>
      </c>
      <c r="X147" s="10">
        <f t="shared" si="82"/>
        <v>0.36231639349369249</v>
      </c>
      <c r="Y147" s="10">
        <f t="shared" si="83"/>
        <v>0.5525953902182571</v>
      </c>
      <c r="Z147" s="10">
        <f t="shared" si="84"/>
        <v>0.57163533615600748</v>
      </c>
      <c r="AA147" s="10">
        <f t="shared" si="85"/>
        <v>0.49421645870813707</v>
      </c>
      <c r="AB147" s="2">
        <f t="shared" si="66"/>
        <v>0.49519089464402355</v>
      </c>
      <c r="AC147" s="6">
        <v>59.119373727216853</v>
      </c>
      <c r="AD147" s="6">
        <v>99.664982802237688</v>
      </c>
      <c r="AE147" s="6">
        <v>95.134756311226894</v>
      </c>
      <c r="AF147" s="6">
        <v>95.134756311226894</v>
      </c>
      <c r="AG147" s="6">
        <v>57</v>
      </c>
      <c r="AH147" s="6">
        <v>136.6</v>
      </c>
      <c r="AI147" s="6">
        <v>140.25</v>
      </c>
      <c r="AJ147" s="6">
        <v>139</v>
      </c>
      <c r="AK147" s="10">
        <f t="shared" si="86"/>
        <v>3.584905579338292E-2</v>
      </c>
      <c r="AL147" s="10">
        <f t="shared" si="87"/>
        <v>-0.37059171796629292</v>
      </c>
      <c r="AM147" s="10">
        <f t="shared" si="88"/>
        <v>-0.4742246202973564</v>
      </c>
      <c r="AN147" s="10">
        <f t="shared" si="89"/>
        <v>-0.4610853634319611</v>
      </c>
      <c r="AO147" s="2">
        <f t="shared" si="71"/>
        <v>-0.31751316147555686</v>
      </c>
      <c r="AP147" s="2">
        <v>0</v>
      </c>
      <c r="AQ147" s="2">
        <v>0</v>
      </c>
      <c r="AR147" s="2">
        <v>0</v>
      </c>
      <c r="AS147" s="2">
        <v>0</v>
      </c>
      <c r="AT147" s="2">
        <v>0.66</v>
      </c>
      <c r="AU147" s="2">
        <v>0.66</v>
      </c>
      <c r="AV147" s="2">
        <v>0.66</v>
      </c>
      <c r="AW147" s="2">
        <v>0.66</v>
      </c>
      <c r="AX147" s="10" t="str">
        <f t="shared" si="90"/>
        <v/>
      </c>
      <c r="AY147" s="10" t="str">
        <f t="shared" si="91"/>
        <v/>
      </c>
      <c r="AZ147" s="10" t="str">
        <f t="shared" si="92"/>
        <v/>
      </c>
      <c r="BA147" s="10" t="str">
        <f t="shared" si="93"/>
        <v/>
      </c>
      <c r="BB147" s="2" t="str">
        <f t="shared" si="76"/>
        <v>NA</v>
      </c>
      <c r="BC147" s="6">
        <v>32934</v>
      </c>
      <c r="BD147" s="6">
        <v>52861</v>
      </c>
      <c r="BE147" s="6">
        <v>52861</v>
      </c>
      <c r="BF147" s="6">
        <v>52861</v>
      </c>
      <c r="BG147" s="6">
        <v>27808</v>
      </c>
      <c r="BH147" s="6">
        <v>82891</v>
      </c>
      <c r="BI147" s="6">
        <v>67818</v>
      </c>
      <c r="BJ147" s="6">
        <v>65936</v>
      </c>
      <c r="BK147" s="10">
        <f t="shared" si="94"/>
        <v>0.15564462257849032</v>
      </c>
      <c r="BL147" s="10">
        <f t="shared" si="95"/>
        <v>-0.56809367965040392</v>
      </c>
      <c r="BM147" s="10">
        <f t="shared" si="96"/>
        <v>-0.28294962259510792</v>
      </c>
      <c r="BN147" s="10">
        <f t="shared" si="97"/>
        <v>-0.24734681523240196</v>
      </c>
      <c r="BO147" s="2">
        <f t="shared" si="81"/>
        <v>-0.23568637372485587</v>
      </c>
      <c r="BP147" s="10">
        <v>8.3290905811761407E-2</v>
      </c>
      <c r="BQ147" s="10">
        <v>-7.8480592277207606E-2</v>
      </c>
      <c r="BR147" s="10">
        <v>1.9583733430815486E-2</v>
      </c>
      <c r="BS147" s="10">
        <v>3.5129966729727125E-2</v>
      </c>
      <c r="BT147" s="11" t="s">
        <v>458</v>
      </c>
    </row>
    <row r="148" spans="1:72">
      <c r="A148">
        <f>COUNTIFS($J$7:J148,J148,$N$7:N148,N148,$E$7:E148,E148)</f>
        <v>10</v>
      </c>
      <c r="B148" s="16" t="str">
        <f t="shared" si="98"/>
        <v>Low</v>
      </c>
      <c r="C148" s="16" t="str">
        <f t="shared" si="99"/>
        <v>10LowNoTelecom-Non AT&amp;T</v>
      </c>
      <c r="D148" s="1">
        <v>25190</v>
      </c>
      <c r="E148" s="1" t="s">
        <v>485</v>
      </c>
      <c r="F148" s="1" t="s">
        <v>223</v>
      </c>
      <c r="G148" s="1" t="s">
        <v>234</v>
      </c>
      <c r="H148" s="1">
        <v>25</v>
      </c>
      <c r="I148" s="1" t="s">
        <v>138</v>
      </c>
      <c r="J148" s="1" t="s">
        <v>27</v>
      </c>
      <c r="K148" s="1">
        <v>1</v>
      </c>
      <c r="L148" s="1">
        <v>1</v>
      </c>
      <c r="M148" s="2">
        <v>0.41830678441471275</v>
      </c>
      <c r="N148" s="27" t="str">
        <f t="shared" si="100"/>
        <v>Low</v>
      </c>
      <c r="O148" s="1">
        <v>1</v>
      </c>
      <c r="P148" s="6">
        <v>29.999925000000001</v>
      </c>
      <c r="Q148" s="6">
        <v>29.999274193548391</v>
      </c>
      <c r="R148" s="6">
        <v>25.833208333333339</v>
      </c>
      <c r="S148" s="6">
        <v>24.999435483870968</v>
      </c>
      <c r="T148" s="6">
        <v>26.25</v>
      </c>
      <c r="U148" s="6">
        <v>27.6</v>
      </c>
      <c r="V148" s="6">
        <v>26.5</v>
      </c>
      <c r="W148" s="6">
        <v>25.5</v>
      </c>
      <c r="X148" s="10">
        <f t="shared" si="82"/>
        <v>0.12499781249453126</v>
      </c>
      <c r="Y148" s="10">
        <f t="shared" si="83"/>
        <v>7.9977741396969365E-2</v>
      </c>
      <c r="Z148" s="10">
        <f t="shared" si="84"/>
        <v>-2.5811415216525031E-2</v>
      </c>
      <c r="AA148" s="10">
        <f t="shared" si="85"/>
        <v>-2.0023032778159484E-2</v>
      </c>
      <c r="AB148" s="2">
        <f t="shared" si="66"/>
        <v>3.9785276474204032E-2</v>
      </c>
      <c r="AC148" s="6">
        <v>30</v>
      </c>
      <c r="AD148" s="6">
        <v>30</v>
      </c>
      <c r="AE148" s="6">
        <v>25</v>
      </c>
      <c r="AF148" s="6">
        <v>25</v>
      </c>
      <c r="AG148" s="6">
        <v>25</v>
      </c>
      <c r="AH148" s="6">
        <v>25</v>
      </c>
      <c r="AI148" s="6">
        <v>25</v>
      </c>
      <c r="AJ148" s="6">
        <v>25</v>
      </c>
      <c r="AK148" s="10">
        <f t="shared" si="86"/>
        <v>0.16666666666666666</v>
      </c>
      <c r="AL148" s="10">
        <f t="shared" si="87"/>
        <v>0.16666666666666666</v>
      </c>
      <c r="AM148" s="10">
        <f t="shared" si="88"/>
        <v>0</v>
      </c>
      <c r="AN148" s="10">
        <f t="shared" si="89"/>
        <v>0</v>
      </c>
      <c r="AO148" s="2">
        <f t="shared" si="71"/>
        <v>8.3333333333333329E-2</v>
      </c>
      <c r="AP148" s="2">
        <v>0</v>
      </c>
      <c r="AQ148" s="2">
        <v>0</v>
      </c>
      <c r="AR148" s="2">
        <v>0</v>
      </c>
      <c r="AS148" s="2">
        <v>0</v>
      </c>
      <c r="AT148" s="2">
        <v>0.75</v>
      </c>
      <c r="AU148" s="2">
        <v>0.75</v>
      </c>
      <c r="AV148" s="2">
        <v>0.75</v>
      </c>
      <c r="AW148" s="2">
        <v>0.75</v>
      </c>
      <c r="AX148" s="10" t="str">
        <f t="shared" si="90"/>
        <v/>
      </c>
      <c r="AY148" s="10" t="str">
        <f t="shared" si="91"/>
        <v/>
      </c>
      <c r="AZ148" s="10" t="str">
        <f t="shared" si="92"/>
        <v/>
      </c>
      <c r="BA148" s="10" t="str">
        <f t="shared" si="93"/>
        <v/>
      </c>
      <c r="BB148" s="2" t="str">
        <f t="shared" si="76"/>
        <v>NA</v>
      </c>
      <c r="BC148" s="6">
        <v>0</v>
      </c>
      <c r="BD148" s="6">
        <v>0</v>
      </c>
      <c r="BE148" s="6">
        <v>0</v>
      </c>
      <c r="BF148" s="6">
        <v>0</v>
      </c>
      <c r="BG148" s="6">
        <v>20409</v>
      </c>
      <c r="BH148" s="6">
        <v>24084</v>
      </c>
      <c r="BI148" s="6">
        <v>18832</v>
      </c>
      <c r="BJ148" s="6">
        <v>19579</v>
      </c>
      <c r="BK148" s="10" t="str">
        <f t="shared" si="94"/>
        <v/>
      </c>
      <c r="BL148" s="10" t="str">
        <f t="shared" si="95"/>
        <v/>
      </c>
      <c r="BM148" s="10" t="str">
        <f t="shared" si="96"/>
        <v/>
      </c>
      <c r="BN148" s="10" t="str">
        <f t="shared" si="97"/>
        <v/>
      </c>
      <c r="BO148" s="2" t="str">
        <f t="shared" si="81"/>
        <v>NA</v>
      </c>
      <c r="BP148" s="10">
        <v>9.2003770376980487E-4</v>
      </c>
      <c r="BQ148" s="10">
        <v>5.0770570280578298E-4</v>
      </c>
      <c r="BR148" s="10">
        <v>2.1083441851266205E-4</v>
      </c>
      <c r="BS148" s="10">
        <v>2.0692472039696153E-4</v>
      </c>
      <c r="BT148" s="11" t="s">
        <v>460</v>
      </c>
    </row>
    <row r="149" spans="1:72">
      <c r="A149">
        <f>COUNTIFS($J$7:J149,J149,$N$7:N149,N149,$E$7:E149,E149)</f>
        <v>32</v>
      </c>
      <c r="B149" s="16" t="str">
        <f t="shared" si="98"/>
        <v>Low</v>
      </c>
      <c r="C149" s="16" t="str">
        <f t="shared" si="99"/>
        <v>32LowNoTechnology</v>
      </c>
      <c r="D149" s="1">
        <v>25191</v>
      </c>
      <c r="E149" s="1" t="s">
        <v>23</v>
      </c>
      <c r="F149" s="1" t="s">
        <v>36</v>
      </c>
      <c r="G149" s="1" t="s">
        <v>235</v>
      </c>
      <c r="H149" s="1">
        <v>196</v>
      </c>
      <c r="I149" s="1" t="s">
        <v>38</v>
      </c>
      <c r="J149" s="1" t="s">
        <v>27</v>
      </c>
      <c r="K149" s="1">
        <v>1</v>
      </c>
      <c r="L149" s="1">
        <v>1</v>
      </c>
      <c r="M149" s="2">
        <v>0.25411536197276885</v>
      </c>
      <c r="N149" s="27" t="str">
        <f t="shared" si="100"/>
        <v>Low</v>
      </c>
      <c r="O149" s="1">
        <v>1</v>
      </c>
      <c r="P149" s="6">
        <v>199.97974804321569</v>
      </c>
      <c r="Q149" s="6">
        <v>229.75853162956821</v>
      </c>
      <c r="R149" s="6">
        <v>225.74893933285981</v>
      </c>
      <c r="S149" s="6">
        <v>251.66706901378481</v>
      </c>
      <c r="T149" s="6">
        <v>170</v>
      </c>
      <c r="U149" s="6">
        <v>191.60000000000002</v>
      </c>
      <c r="V149" s="6">
        <v>224.5</v>
      </c>
      <c r="W149" s="6">
        <v>145</v>
      </c>
      <c r="X149" s="10">
        <f t="shared" si="82"/>
        <v>0.14991392046727181</v>
      </c>
      <c r="Y149" s="10">
        <f t="shared" si="83"/>
        <v>0.16608102149211973</v>
      </c>
      <c r="Z149" s="10">
        <f t="shared" si="84"/>
        <v>5.5324261391912159E-3</v>
      </c>
      <c r="AA149" s="10">
        <f t="shared" si="85"/>
        <v>0.42384198072391516</v>
      </c>
      <c r="AB149" s="2">
        <f t="shared" si="66"/>
        <v>0.18634233720562449</v>
      </c>
      <c r="AC149" s="6">
        <v>205.18172950930344</v>
      </c>
      <c r="AD149" s="6">
        <v>230.58703283659091</v>
      </c>
      <c r="AE149" s="6">
        <v>222.89600068324151</v>
      </c>
      <c r="AF149" s="6">
        <v>254.76056794192388</v>
      </c>
      <c r="AG149" s="6">
        <v>247</v>
      </c>
      <c r="AH149" s="6">
        <v>266.60000000000002</v>
      </c>
      <c r="AI149" s="6">
        <v>327.25</v>
      </c>
      <c r="AJ149" s="6">
        <v>223.5</v>
      </c>
      <c r="AK149" s="10">
        <f t="shared" si="86"/>
        <v>-0.20381088799039693</v>
      </c>
      <c r="AL149" s="10">
        <f t="shared" si="87"/>
        <v>-0.1561794985623943</v>
      </c>
      <c r="AM149" s="10">
        <f t="shared" si="88"/>
        <v>-0.4681734934538212</v>
      </c>
      <c r="AN149" s="10">
        <f t="shared" si="89"/>
        <v>0.12270567692033937</v>
      </c>
      <c r="AO149" s="2">
        <f t="shared" si="71"/>
        <v>-0.17636455077156826</v>
      </c>
      <c r="AP149" s="2">
        <v>0</v>
      </c>
      <c r="AQ149" s="2">
        <v>0</v>
      </c>
      <c r="AR149" s="2">
        <v>0</v>
      </c>
      <c r="AS149" s="2">
        <v>0</v>
      </c>
      <c r="AT149" s="2">
        <v>0.60857142857142865</v>
      </c>
      <c r="AU149" s="2">
        <v>0.60857142857142865</v>
      </c>
      <c r="AV149" s="2">
        <v>0.60857142857142865</v>
      </c>
      <c r="AW149" s="2">
        <v>7.1428571428571425E-2</v>
      </c>
      <c r="AX149" s="10" t="str">
        <f t="shared" si="90"/>
        <v/>
      </c>
      <c r="AY149" s="10" t="str">
        <f t="shared" si="91"/>
        <v/>
      </c>
      <c r="AZ149" s="10" t="str">
        <f t="shared" si="92"/>
        <v/>
      </c>
      <c r="BA149" s="10" t="str">
        <f t="shared" si="93"/>
        <v/>
      </c>
      <c r="BB149" s="2" t="str">
        <f t="shared" si="76"/>
        <v>NA</v>
      </c>
      <c r="BC149" s="6">
        <v>107583.00000000001</v>
      </c>
      <c r="BD149" s="6">
        <v>115091.00000000001</v>
      </c>
      <c r="BE149" s="6">
        <v>120740</v>
      </c>
      <c r="BF149" s="6">
        <v>135695</v>
      </c>
      <c r="BG149" s="6">
        <v>117576</v>
      </c>
      <c r="BH149" s="6">
        <v>153890</v>
      </c>
      <c r="BI149" s="6">
        <v>149994</v>
      </c>
      <c r="BJ149" s="6">
        <v>102226</v>
      </c>
      <c r="BK149" s="10">
        <f t="shared" si="94"/>
        <v>-9.2886422576057406E-2</v>
      </c>
      <c r="BL149" s="10">
        <f t="shared" si="95"/>
        <v>-0.33711584745983597</v>
      </c>
      <c r="BM149" s="10">
        <f t="shared" si="96"/>
        <v>-0.24228921649826071</v>
      </c>
      <c r="BN149" s="10">
        <f t="shared" si="97"/>
        <v>0.2466487342938207</v>
      </c>
      <c r="BO149" s="2">
        <f t="shared" si="81"/>
        <v>-0.10641068806008333</v>
      </c>
      <c r="BP149" s="10">
        <v>-1.8776462812360062E-2</v>
      </c>
      <c r="BQ149" s="10">
        <v>-1.8847000234833045E-2</v>
      </c>
      <c r="BR149" s="10">
        <v>-1.8892400774613904E-2</v>
      </c>
      <c r="BS149" s="10">
        <v>-1.977625668203975E-2</v>
      </c>
      <c r="BT149" s="11" t="s">
        <v>459</v>
      </c>
    </row>
    <row r="150" spans="1:72">
      <c r="A150">
        <f>COUNTIFS($J$7:J150,J150,$N$7:N150,N150,$E$7:E150,E150)</f>
        <v>13</v>
      </c>
      <c r="B150" s="16" t="str">
        <f t="shared" si="98"/>
        <v>Low</v>
      </c>
      <c r="C150" s="16" t="str">
        <f t="shared" si="99"/>
        <v>13LowNoRetail</v>
      </c>
      <c r="D150" s="1">
        <v>25192</v>
      </c>
      <c r="E150" s="1" t="s">
        <v>10</v>
      </c>
      <c r="F150" s="1" t="s">
        <v>236</v>
      </c>
      <c r="G150" s="1" t="s">
        <v>237</v>
      </c>
      <c r="H150" s="1">
        <v>27</v>
      </c>
      <c r="I150" s="1" t="s">
        <v>200</v>
      </c>
      <c r="J150" s="1" t="s">
        <v>27</v>
      </c>
      <c r="K150" s="1">
        <v>1</v>
      </c>
      <c r="L150" s="1">
        <v>1</v>
      </c>
      <c r="M150" s="2">
        <v>0.44581909692260824</v>
      </c>
      <c r="N150" s="27" t="str">
        <f t="shared" si="100"/>
        <v>Low</v>
      </c>
      <c r="O150" s="1">
        <v>1</v>
      </c>
      <c r="P150" s="6">
        <v>25</v>
      </c>
      <c r="Q150" s="6">
        <v>25</v>
      </c>
      <c r="R150" s="6">
        <v>30</v>
      </c>
      <c r="S150" s="6">
        <v>39</v>
      </c>
      <c r="T150" s="6">
        <v>21.25</v>
      </c>
      <c r="U150" s="6">
        <v>30.6</v>
      </c>
      <c r="V150" s="6">
        <v>42.25</v>
      </c>
      <c r="W150" s="6">
        <v>41.75</v>
      </c>
      <c r="X150" s="10">
        <f t="shared" si="82"/>
        <v>0.15</v>
      </c>
      <c r="Y150" s="10">
        <f t="shared" si="83"/>
        <v>-0.22400000000000006</v>
      </c>
      <c r="Z150" s="10">
        <f t="shared" si="84"/>
        <v>-0.40833333333333333</v>
      </c>
      <c r="AA150" s="10">
        <f t="shared" si="85"/>
        <v>-7.0512820512820512E-2</v>
      </c>
      <c r="AB150" s="2">
        <f t="shared" si="66"/>
        <v>-0.13821153846153847</v>
      </c>
      <c r="AC150" s="6">
        <v>27</v>
      </c>
      <c r="AD150" s="6">
        <v>30</v>
      </c>
      <c r="AE150" s="6">
        <v>30</v>
      </c>
      <c r="AF150" s="6">
        <v>39</v>
      </c>
      <c r="AG150" s="6">
        <v>22.5</v>
      </c>
      <c r="AH150" s="6">
        <v>30.4</v>
      </c>
      <c r="AI150" s="6">
        <v>43.5</v>
      </c>
      <c r="AJ150" s="6">
        <v>42</v>
      </c>
      <c r="AK150" s="10">
        <f t="shared" si="86"/>
        <v>0.16666666666666666</v>
      </c>
      <c r="AL150" s="10">
        <f t="shared" si="87"/>
        <v>-1.3333333333333286E-2</v>
      </c>
      <c r="AM150" s="10">
        <f t="shared" si="88"/>
        <v>-0.45</v>
      </c>
      <c r="AN150" s="10">
        <f t="shared" si="89"/>
        <v>-7.6923076923076927E-2</v>
      </c>
      <c r="AO150" s="2">
        <f t="shared" si="71"/>
        <v>-9.339743589743589E-2</v>
      </c>
      <c r="AP150" s="2">
        <v>0.9748</v>
      </c>
      <c r="AQ150" s="2">
        <v>0.9748</v>
      </c>
      <c r="AR150" s="2">
        <v>0.9748</v>
      </c>
      <c r="AS150" s="2">
        <v>0.9748</v>
      </c>
      <c r="AT150" s="2">
        <v>0.51249999999999996</v>
      </c>
      <c r="AU150" s="2">
        <v>0.52800000000000002</v>
      </c>
      <c r="AV150" s="2">
        <v>0.57750000000000001</v>
      </c>
      <c r="AW150" s="2">
        <v>0.5675</v>
      </c>
      <c r="AX150" s="10">
        <f t="shared" si="90"/>
        <v>0.47425112843660244</v>
      </c>
      <c r="AY150" s="10">
        <f t="shared" si="91"/>
        <v>0.45835043085761179</v>
      </c>
      <c r="AZ150" s="10">
        <f t="shared" si="92"/>
        <v>0.40757078375051292</v>
      </c>
      <c r="BA150" s="10">
        <f t="shared" si="93"/>
        <v>0.41782929831760363</v>
      </c>
      <c r="BB150" s="2">
        <f t="shared" si="76"/>
        <v>0.43950041034058274</v>
      </c>
      <c r="BC150" s="6">
        <v>0</v>
      </c>
      <c r="BD150" s="6">
        <v>0</v>
      </c>
      <c r="BE150" s="6">
        <v>0</v>
      </c>
      <c r="BF150" s="6">
        <v>0</v>
      </c>
      <c r="BG150" s="6">
        <v>16906</v>
      </c>
      <c r="BH150" s="6">
        <v>23099</v>
      </c>
      <c r="BI150" s="6">
        <v>27129</v>
      </c>
      <c r="BJ150" s="6">
        <v>26017</v>
      </c>
      <c r="BK150" s="10" t="str">
        <f t="shared" si="94"/>
        <v/>
      </c>
      <c r="BL150" s="10" t="str">
        <f t="shared" si="95"/>
        <v/>
      </c>
      <c r="BM150" s="10" t="str">
        <f t="shared" si="96"/>
        <v/>
      </c>
      <c r="BN150" s="10" t="str">
        <f t="shared" si="97"/>
        <v/>
      </c>
      <c r="BO150" s="2" t="str">
        <f t="shared" si="81"/>
        <v>NA</v>
      </c>
      <c r="BP150" s="10">
        <v>-2.722758691751459E-2</v>
      </c>
      <c r="BQ150" s="10">
        <v>-8.9551761502531968E-2</v>
      </c>
      <c r="BR150" s="10">
        <v>0</v>
      </c>
      <c r="BS150" s="10">
        <v>0</v>
      </c>
      <c r="BT150" s="11" t="s">
        <v>461</v>
      </c>
    </row>
    <row r="151" spans="1:72">
      <c r="A151">
        <f>COUNTIFS($J$7:J151,J151,$N$7:N151,N151,$E$7:E151,E151)</f>
        <v>6</v>
      </c>
      <c r="B151" s="16" t="str">
        <f t="shared" si="98"/>
        <v>Medium</v>
      </c>
      <c r="C151" s="16" t="str">
        <f t="shared" si="99"/>
        <v>6MediumNoTechnology</v>
      </c>
      <c r="D151" s="1">
        <v>25193</v>
      </c>
      <c r="E151" s="1" t="s">
        <v>23</v>
      </c>
      <c r="F151" s="1" t="s">
        <v>36</v>
      </c>
      <c r="G151" s="1" t="s">
        <v>238</v>
      </c>
      <c r="H151" s="1">
        <v>115</v>
      </c>
      <c r="I151" s="1" t="s">
        <v>38</v>
      </c>
      <c r="J151" s="1" t="s">
        <v>27</v>
      </c>
      <c r="K151" s="1">
        <v>1</v>
      </c>
      <c r="L151" s="1"/>
      <c r="M151" s="2">
        <v>0</v>
      </c>
      <c r="N151" s="27" t="str">
        <f t="shared" si="100"/>
        <v>Medium</v>
      </c>
      <c r="O151" s="1"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X151" s="10" t="str">
        <f t="shared" si="82"/>
        <v/>
      </c>
      <c r="Y151" s="10" t="str">
        <f t="shared" si="83"/>
        <v/>
      </c>
      <c r="Z151" s="10" t="str">
        <f t="shared" si="84"/>
        <v/>
      </c>
      <c r="AA151" s="10" t="str">
        <f t="shared" si="85"/>
        <v/>
      </c>
      <c r="AB151" s="2" t="str">
        <f t="shared" si="66"/>
        <v>NA</v>
      </c>
      <c r="AC151" s="6">
        <v>0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10" t="str">
        <f t="shared" si="86"/>
        <v/>
      </c>
      <c r="AL151" s="10" t="str">
        <f t="shared" si="87"/>
        <v/>
      </c>
      <c r="AM151" s="10" t="str">
        <f t="shared" si="88"/>
        <v/>
      </c>
      <c r="AN151" s="10" t="str">
        <f t="shared" si="89"/>
        <v/>
      </c>
      <c r="AO151" s="2" t="str">
        <f t="shared" si="71"/>
        <v>NA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U151" s="2">
        <v>0</v>
      </c>
      <c r="AV151" s="2">
        <v>0</v>
      </c>
      <c r="AW151" s="2">
        <v>0</v>
      </c>
      <c r="AX151" s="10" t="str">
        <f t="shared" si="90"/>
        <v/>
      </c>
      <c r="AY151" s="10" t="str">
        <f t="shared" si="91"/>
        <v/>
      </c>
      <c r="AZ151" s="10" t="str">
        <f t="shared" si="92"/>
        <v/>
      </c>
      <c r="BA151" s="10" t="str">
        <f t="shared" si="93"/>
        <v/>
      </c>
      <c r="BB151" s="2" t="str">
        <f t="shared" si="76"/>
        <v>NA</v>
      </c>
      <c r="BC151" s="6">
        <v>0</v>
      </c>
      <c r="BD151" s="6">
        <v>0</v>
      </c>
      <c r="BE151" s="6">
        <v>0</v>
      </c>
      <c r="BF151" s="6">
        <v>0</v>
      </c>
      <c r="BG151" s="6">
        <v>0</v>
      </c>
      <c r="BH151" s="6">
        <v>0</v>
      </c>
      <c r="BI151" s="6">
        <v>0</v>
      </c>
      <c r="BJ151" s="6">
        <v>0</v>
      </c>
      <c r="BK151" s="10" t="str">
        <f t="shared" si="94"/>
        <v/>
      </c>
      <c r="BL151" s="10" t="str">
        <f t="shared" si="95"/>
        <v/>
      </c>
      <c r="BM151" s="10" t="str">
        <f t="shared" si="96"/>
        <v/>
      </c>
      <c r="BN151" s="10" t="str">
        <f t="shared" si="97"/>
        <v/>
      </c>
      <c r="BO151" s="2" t="str">
        <f t="shared" si="81"/>
        <v>NA</v>
      </c>
      <c r="BP151" s="10">
        <v>0</v>
      </c>
      <c r="BQ151" s="10">
        <v>0</v>
      </c>
      <c r="BR151" s="10">
        <v>0</v>
      </c>
      <c r="BS151" s="10">
        <v>0</v>
      </c>
      <c r="BT151" s="11" t="s">
        <v>459</v>
      </c>
    </row>
    <row r="152" spans="1:72">
      <c r="A152">
        <f>COUNTIFS($J$7:J152,J152,$N$7:N152,N152,$E$7:E152,E152)</f>
        <v>14</v>
      </c>
      <c r="B152" s="16" t="str">
        <f t="shared" si="98"/>
        <v>Low</v>
      </c>
      <c r="C152" s="16" t="str">
        <f t="shared" si="99"/>
        <v>14LowNoRetail</v>
      </c>
      <c r="D152" s="1">
        <v>25195</v>
      </c>
      <c r="E152" s="1" t="s">
        <v>10</v>
      </c>
      <c r="F152" s="1" t="s">
        <v>11</v>
      </c>
      <c r="G152" s="1" t="s">
        <v>239</v>
      </c>
      <c r="H152" s="1">
        <v>113</v>
      </c>
      <c r="I152" s="1" t="s">
        <v>190</v>
      </c>
      <c r="J152" s="1" t="s">
        <v>27</v>
      </c>
      <c r="K152" s="1">
        <v>1</v>
      </c>
      <c r="L152" s="1">
        <v>1</v>
      </c>
      <c r="M152" s="2">
        <v>0.53207342787999923</v>
      </c>
      <c r="N152" s="27" t="str">
        <f t="shared" si="100"/>
        <v>Low</v>
      </c>
      <c r="O152" s="1">
        <v>1</v>
      </c>
      <c r="P152" s="6">
        <v>187.49338465309751</v>
      </c>
      <c r="Q152" s="6">
        <v>190.3500277451497</v>
      </c>
      <c r="R152" s="6">
        <v>198.02405608313401</v>
      </c>
      <c r="S152" s="6">
        <v>194.4755257854867</v>
      </c>
      <c r="T152" s="6">
        <v>147.25</v>
      </c>
      <c r="U152" s="6">
        <v>173</v>
      </c>
      <c r="V152" s="6">
        <v>185</v>
      </c>
      <c r="W152" s="6">
        <v>180.5</v>
      </c>
      <c r="X152" s="10">
        <f t="shared" si="82"/>
        <v>0.21463895767606039</v>
      </c>
      <c r="Y152" s="10">
        <f t="shared" si="83"/>
        <v>9.1148017947120047E-2</v>
      </c>
      <c r="Z152" s="10">
        <f t="shared" si="84"/>
        <v>6.5770070266949199E-2</v>
      </c>
      <c r="AA152" s="10">
        <f t="shared" si="85"/>
        <v>7.1862645590181809E-2</v>
      </c>
      <c r="AB152" s="2">
        <f t="shared" si="66"/>
        <v>0.11085492287007787</v>
      </c>
      <c r="AC152" s="6">
        <v>182.72897514470549</v>
      </c>
      <c r="AD152" s="6">
        <v>185.92100783112019</v>
      </c>
      <c r="AE152" s="6">
        <v>195.27227869924496</v>
      </c>
      <c r="AF152" s="6">
        <v>186.3962660310975</v>
      </c>
      <c r="AG152" s="6">
        <v>169.25</v>
      </c>
      <c r="AH152" s="6">
        <v>174</v>
      </c>
      <c r="AI152" s="6">
        <v>203.5</v>
      </c>
      <c r="AJ152" s="6">
        <v>198</v>
      </c>
      <c r="AK152" s="10">
        <f t="shared" si="86"/>
        <v>7.3764848371919711E-2</v>
      </c>
      <c r="AL152" s="10">
        <f t="shared" si="87"/>
        <v>6.4118670451423873E-2</v>
      </c>
      <c r="AM152" s="10">
        <f t="shared" si="88"/>
        <v>-4.2134609969022956E-2</v>
      </c>
      <c r="AN152" s="10">
        <f t="shared" si="89"/>
        <v>-6.2253038732903533E-2</v>
      </c>
      <c r="AO152" s="2">
        <f t="shared" si="71"/>
        <v>8.3739675303542756E-3</v>
      </c>
      <c r="AP152" s="2">
        <v>0</v>
      </c>
      <c r="AQ152" s="2">
        <v>0</v>
      </c>
      <c r="AR152" s="2">
        <v>0</v>
      </c>
      <c r="AS152" s="2">
        <v>0</v>
      </c>
      <c r="AT152" s="2">
        <v>0.95</v>
      </c>
      <c r="AU152" s="2">
        <v>0.95</v>
      </c>
      <c r="AV152" s="2">
        <v>0.95</v>
      </c>
      <c r="AW152" s="2">
        <v>0.95</v>
      </c>
      <c r="AX152" s="10" t="str">
        <f t="shared" si="90"/>
        <v/>
      </c>
      <c r="AY152" s="10" t="str">
        <f t="shared" si="91"/>
        <v/>
      </c>
      <c r="AZ152" s="10" t="str">
        <f t="shared" si="92"/>
        <v/>
      </c>
      <c r="BA152" s="10" t="str">
        <f t="shared" si="93"/>
        <v/>
      </c>
      <c r="BB152" s="2" t="str">
        <f t="shared" si="76"/>
        <v>NA</v>
      </c>
      <c r="BC152" s="6">
        <v>3214000</v>
      </c>
      <c r="BD152" s="6">
        <v>3264000</v>
      </c>
      <c r="BE152" s="6">
        <v>3269000</v>
      </c>
      <c r="BF152" s="6">
        <v>3269000</v>
      </c>
      <c r="BG152" s="6">
        <v>4978140</v>
      </c>
      <c r="BH152" s="6">
        <v>6194839</v>
      </c>
      <c r="BI152" s="6">
        <v>5998845</v>
      </c>
      <c r="BJ152" s="6">
        <v>6419792</v>
      </c>
      <c r="BK152" s="10">
        <f t="shared" si="94"/>
        <v>-0.54889234598630987</v>
      </c>
      <c r="BL152" s="10">
        <f t="shared" si="95"/>
        <v>-0.89792861519607847</v>
      </c>
      <c r="BM152" s="10">
        <f t="shared" si="96"/>
        <v>-0.83507035790761697</v>
      </c>
      <c r="BN152" s="10">
        <f t="shared" si="97"/>
        <v>-0.96383970633221172</v>
      </c>
      <c r="BO152" s="2">
        <f t="shared" si="81"/>
        <v>-0.81143275635555434</v>
      </c>
      <c r="BP152" s="10">
        <v>0</v>
      </c>
      <c r="BQ152" s="10">
        <v>0</v>
      </c>
      <c r="BR152" s="10">
        <v>0</v>
      </c>
      <c r="BS152" s="10">
        <v>0</v>
      </c>
      <c r="BT152" s="11" t="s">
        <v>458</v>
      </c>
    </row>
    <row r="153" spans="1:72">
      <c r="A153">
        <f>COUNTIFS($J$7:J153,J153,$N$7:N153,N153,$E$7:E153,E153)</f>
        <v>4</v>
      </c>
      <c r="B153" s="16" t="str">
        <f t="shared" si="98"/>
        <v>Medium</v>
      </c>
      <c r="C153" s="16" t="str">
        <f t="shared" si="99"/>
        <v>4MediumNoTelecom-Non AT&amp;T</v>
      </c>
      <c r="D153" s="1">
        <v>25199</v>
      </c>
      <c r="E153" s="1" t="s">
        <v>485</v>
      </c>
      <c r="F153" s="1" t="s">
        <v>180</v>
      </c>
      <c r="G153" s="1" t="s">
        <v>240</v>
      </c>
      <c r="H153" s="1">
        <v>40</v>
      </c>
      <c r="I153" s="1" t="s">
        <v>182</v>
      </c>
      <c r="J153" s="1" t="s">
        <v>27</v>
      </c>
      <c r="K153" s="1">
        <v>2</v>
      </c>
      <c r="L153" s="1">
        <v>1</v>
      </c>
      <c r="M153" s="2">
        <v>2.0190047806145243E-2</v>
      </c>
      <c r="N153" s="27" t="str">
        <f t="shared" si="100"/>
        <v>Medium</v>
      </c>
      <c r="O153" s="1">
        <v>1</v>
      </c>
      <c r="P153" s="6">
        <v>2</v>
      </c>
      <c r="Q153" s="6">
        <v>2</v>
      </c>
      <c r="R153" s="6">
        <v>2</v>
      </c>
      <c r="S153" s="6">
        <v>2</v>
      </c>
      <c r="T153" s="6">
        <v>11</v>
      </c>
      <c r="U153" s="6">
        <v>10.8</v>
      </c>
      <c r="V153" s="6">
        <v>10</v>
      </c>
      <c r="W153" s="6">
        <v>10</v>
      </c>
      <c r="X153" s="10">
        <f t="shared" si="82"/>
        <v>-4.5</v>
      </c>
      <c r="Y153" s="10">
        <f t="shared" si="83"/>
        <v>-4.4000000000000004</v>
      </c>
      <c r="Z153" s="10">
        <f t="shared" si="84"/>
        <v>-4</v>
      </c>
      <c r="AA153" s="10">
        <f t="shared" si="85"/>
        <v>-4</v>
      </c>
      <c r="AB153" s="2">
        <f t="shared" si="66"/>
        <v>-4.2249999999999996</v>
      </c>
      <c r="AC153" s="6">
        <v>1.9199567609782113</v>
      </c>
      <c r="AD153" s="6">
        <v>1.8873301698301697</v>
      </c>
      <c r="AE153" s="6">
        <v>1.801542434837889</v>
      </c>
      <c r="AF153" s="6">
        <v>1.9632908268202387</v>
      </c>
      <c r="AG153" s="6">
        <v>8.75</v>
      </c>
      <c r="AH153" s="6">
        <v>5.8</v>
      </c>
      <c r="AI153" s="6">
        <v>5</v>
      </c>
      <c r="AJ153" s="6">
        <v>5</v>
      </c>
      <c r="AK153" s="10">
        <f t="shared" si="86"/>
        <v>-3.5573943006622217</v>
      </c>
      <c r="AL153" s="10">
        <f t="shared" si="87"/>
        <v>-2.073124190306304</v>
      </c>
      <c r="AM153" s="10">
        <f t="shared" si="88"/>
        <v>-1.7753995150549551</v>
      </c>
      <c r="AN153" s="10">
        <f t="shared" si="89"/>
        <v>-1.5467444413714495</v>
      </c>
      <c r="AO153" s="2">
        <f t="shared" si="71"/>
        <v>-2.2381656118487325</v>
      </c>
      <c r="AP153" s="2">
        <v>0</v>
      </c>
      <c r="AQ153" s="2">
        <v>0</v>
      </c>
      <c r="AR153" s="2">
        <v>0</v>
      </c>
      <c r="AS153" s="2">
        <v>0</v>
      </c>
      <c r="AT153" s="2">
        <v>0.2</v>
      </c>
      <c r="AU153" s="2">
        <v>0.2</v>
      </c>
      <c r="AV153" s="2">
        <v>0.2</v>
      </c>
      <c r="AW153" s="2">
        <v>0.2</v>
      </c>
      <c r="AX153" s="10" t="str">
        <f t="shared" si="90"/>
        <v/>
      </c>
      <c r="AY153" s="10" t="str">
        <f t="shared" si="91"/>
        <v/>
      </c>
      <c r="AZ153" s="10" t="str">
        <f t="shared" si="92"/>
        <v/>
      </c>
      <c r="BA153" s="10" t="str">
        <f t="shared" si="93"/>
        <v/>
      </c>
      <c r="BB153" s="2" t="str">
        <f t="shared" si="76"/>
        <v>NA</v>
      </c>
      <c r="BC153" s="6">
        <v>1400</v>
      </c>
      <c r="BD153" s="6">
        <v>1214</v>
      </c>
      <c r="BE153" s="6">
        <v>1214</v>
      </c>
      <c r="BF153" s="6">
        <v>1214</v>
      </c>
      <c r="BG153" s="6">
        <v>1534</v>
      </c>
      <c r="BH153" s="6">
        <v>1264</v>
      </c>
      <c r="BI153" s="6">
        <v>837</v>
      </c>
      <c r="BJ153" s="6">
        <v>812</v>
      </c>
      <c r="BK153" s="10">
        <f t="shared" si="94"/>
        <v>-9.571428571428571E-2</v>
      </c>
      <c r="BL153" s="10">
        <f t="shared" si="95"/>
        <v>-4.118616144975288E-2</v>
      </c>
      <c r="BM153" s="10">
        <f t="shared" si="96"/>
        <v>0.31054365733113676</v>
      </c>
      <c r="BN153" s="10">
        <f t="shared" si="97"/>
        <v>0.33113673805601318</v>
      </c>
      <c r="BO153" s="2">
        <f t="shared" si="81"/>
        <v>0.12619498705577784</v>
      </c>
      <c r="BP153" s="10">
        <v>0</v>
      </c>
      <c r="BQ153" s="10">
        <v>0</v>
      </c>
      <c r="BR153" s="10">
        <v>0</v>
      </c>
      <c r="BS153" s="10">
        <v>0</v>
      </c>
      <c r="BT153" s="11" t="s">
        <v>459</v>
      </c>
    </row>
    <row r="154" spans="1:72">
      <c r="A154">
        <f>COUNTIFS($J$7:J154,J154,$N$7:N154,N154,$E$7:E154,E154)</f>
        <v>33</v>
      </c>
      <c r="B154" s="16" t="str">
        <f t="shared" si="98"/>
        <v>Low</v>
      </c>
      <c r="C154" s="16" t="str">
        <f t="shared" si="99"/>
        <v>33LowNoTechnology</v>
      </c>
      <c r="D154" s="1">
        <v>25200</v>
      </c>
      <c r="E154" s="1" t="s">
        <v>23</v>
      </c>
      <c r="F154" s="1" t="s">
        <v>51</v>
      </c>
      <c r="G154" s="1" t="s">
        <v>241</v>
      </c>
      <c r="H154" s="1">
        <v>9</v>
      </c>
      <c r="I154" s="1" t="s">
        <v>53</v>
      </c>
      <c r="J154" s="1" t="s">
        <v>27</v>
      </c>
      <c r="K154" s="1">
        <v>2</v>
      </c>
      <c r="L154" s="1">
        <v>1</v>
      </c>
      <c r="M154" s="2">
        <v>0.23012184823713414</v>
      </c>
      <c r="N154" s="27" t="str">
        <f t="shared" si="100"/>
        <v>Low</v>
      </c>
      <c r="O154" s="1">
        <v>1</v>
      </c>
      <c r="P154" s="6">
        <v>8.9984373125374084</v>
      </c>
      <c r="Q154" s="6">
        <v>8.9984375166196831</v>
      </c>
      <c r="R154" s="6">
        <v>8.9984375166196866</v>
      </c>
      <c r="S154" s="6">
        <v>8.9984375166196884</v>
      </c>
      <c r="T154" s="6">
        <v>7.5</v>
      </c>
      <c r="U154" s="6">
        <v>7</v>
      </c>
      <c r="V154" s="6">
        <v>7</v>
      </c>
      <c r="W154" s="6">
        <v>7</v>
      </c>
      <c r="X154" s="10">
        <f t="shared" si="82"/>
        <v>0.16652194825535482</v>
      </c>
      <c r="Y154" s="10">
        <f t="shared" si="83"/>
        <v>0.22208716934786341</v>
      </c>
      <c r="Z154" s="10">
        <f t="shared" si="84"/>
        <v>0.22208716934786371</v>
      </c>
      <c r="AA154" s="10">
        <f t="shared" si="85"/>
        <v>0.22208716934786388</v>
      </c>
      <c r="AB154" s="2">
        <f t="shared" si="66"/>
        <v>0.20819586407473645</v>
      </c>
      <c r="AC154" s="6">
        <v>9</v>
      </c>
      <c r="AD154" s="6">
        <v>9</v>
      </c>
      <c r="AE154" s="6">
        <v>9</v>
      </c>
      <c r="AF154" s="6">
        <v>9</v>
      </c>
      <c r="AG154" s="6">
        <v>9</v>
      </c>
      <c r="AH154" s="6">
        <v>9</v>
      </c>
      <c r="AI154" s="6">
        <v>9</v>
      </c>
      <c r="AJ154" s="6">
        <v>9</v>
      </c>
      <c r="AK154" s="10">
        <f t="shared" si="86"/>
        <v>0</v>
      </c>
      <c r="AL154" s="10">
        <f t="shared" si="87"/>
        <v>0</v>
      </c>
      <c r="AM154" s="10">
        <f t="shared" si="88"/>
        <v>0</v>
      </c>
      <c r="AN154" s="10">
        <f t="shared" si="89"/>
        <v>0</v>
      </c>
      <c r="AO154" s="2">
        <f t="shared" si="71"/>
        <v>0</v>
      </c>
      <c r="AP154" s="2">
        <v>0</v>
      </c>
      <c r="AQ154" s="2">
        <v>0</v>
      </c>
      <c r="AR154" s="2">
        <v>0</v>
      </c>
      <c r="AS154" s="2">
        <v>0</v>
      </c>
      <c r="AT154" s="2">
        <v>0.3</v>
      </c>
      <c r="AU154" s="2">
        <v>0.3</v>
      </c>
      <c r="AV154" s="2">
        <v>0.3</v>
      </c>
      <c r="AW154" s="2">
        <v>0.3</v>
      </c>
      <c r="AX154" s="10" t="str">
        <f t="shared" si="90"/>
        <v/>
      </c>
      <c r="AY154" s="10" t="str">
        <f t="shared" si="91"/>
        <v/>
      </c>
      <c r="AZ154" s="10" t="str">
        <f t="shared" si="92"/>
        <v/>
      </c>
      <c r="BA154" s="10" t="str">
        <f t="shared" si="93"/>
        <v/>
      </c>
      <c r="BB154" s="2" t="str">
        <f t="shared" si="76"/>
        <v>NA</v>
      </c>
      <c r="BC154" s="6">
        <v>0</v>
      </c>
      <c r="BD154" s="6">
        <v>0</v>
      </c>
      <c r="BE154" s="6">
        <v>0</v>
      </c>
      <c r="BF154" s="6">
        <v>0</v>
      </c>
      <c r="BG154" s="6">
        <v>2000</v>
      </c>
      <c r="BH154" s="6">
        <v>2500</v>
      </c>
      <c r="BI154" s="6">
        <v>2000</v>
      </c>
      <c r="BJ154" s="6">
        <v>2000</v>
      </c>
      <c r="BK154" s="10" t="str">
        <f t="shared" si="94"/>
        <v/>
      </c>
      <c r="BL154" s="10" t="str">
        <f t="shared" si="95"/>
        <v/>
      </c>
      <c r="BM154" s="10" t="str">
        <f t="shared" si="96"/>
        <v/>
      </c>
      <c r="BN154" s="10" t="str">
        <f t="shared" si="97"/>
        <v/>
      </c>
      <c r="BO154" s="2" t="str">
        <f t="shared" si="81"/>
        <v>NA</v>
      </c>
      <c r="BP154" s="10">
        <v>0</v>
      </c>
      <c r="BQ154" s="10">
        <v>0</v>
      </c>
      <c r="BR154" s="10">
        <v>0</v>
      </c>
      <c r="BS154" s="10">
        <v>0</v>
      </c>
      <c r="BT154" s="11">
        <v>0</v>
      </c>
    </row>
    <row r="155" spans="1:72">
      <c r="A155">
        <f>COUNTIFS($J$7:J155,J155,$N$7:N155,N155,$E$7:E155,E155)</f>
        <v>34</v>
      </c>
      <c r="B155" s="16" t="str">
        <f t="shared" si="98"/>
        <v>Low</v>
      </c>
      <c r="C155" s="16" t="str">
        <f t="shared" si="99"/>
        <v>34LowNoTechnology</v>
      </c>
      <c r="D155" s="1">
        <v>25201</v>
      </c>
      <c r="E155" s="1" t="s">
        <v>23</v>
      </c>
      <c r="F155" s="1" t="s">
        <v>242</v>
      </c>
      <c r="G155" s="1" t="s">
        <v>243</v>
      </c>
      <c r="H155" s="1">
        <v>23</v>
      </c>
      <c r="I155" s="1" t="s">
        <v>66</v>
      </c>
      <c r="J155" s="1" t="s">
        <v>27</v>
      </c>
      <c r="K155" s="1">
        <v>1</v>
      </c>
      <c r="L155" s="1">
        <v>1</v>
      </c>
      <c r="M155" s="2">
        <v>0.40714563079461769</v>
      </c>
      <c r="N155" s="27" t="str">
        <f t="shared" si="100"/>
        <v>Low</v>
      </c>
      <c r="O155" s="1">
        <v>1</v>
      </c>
      <c r="P155" s="6">
        <v>19.272500107496121</v>
      </c>
      <c r="Q155" s="6">
        <v>40.108656611943381</v>
      </c>
      <c r="R155" s="6">
        <v>74.205113188509429</v>
      </c>
      <c r="S155" s="6">
        <v>43.553338265482893</v>
      </c>
      <c r="T155" s="6">
        <v>20</v>
      </c>
      <c r="U155" s="6">
        <v>30.2</v>
      </c>
      <c r="V155" s="6">
        <v>67.75</v>
      </c>
      <c r="W155" s="6">
        <v>35</v>
      </c>
      <c r="X155" s="10">
        <f t="shared" si="82"/>
        <v>-3.7748080863723256E-2</v>
      </c>
      <c r="Y155" s="10">
        <f t="shared" si="83"/>
        <v>0.24704533756418123</v>
      </c>
      <c r="Z155" s="10">
        <f t="shared" si="84"/>
        <v>8.6990140047505451E-2</v>
      </c>
      <c r="AA155" s="10">
        <f t="shared" si="85"/>
        <v>0.19638766179862788</v>
      </c>
      <c r="AB155" s="2">
        <f t="shared" si="66"/>
        <v>0.12316876463664783</v>
      </c>
      <c r="AC155" s="6">
        <v>21</v>
      </c>
      <c r="AD155" s="6">
        <v>40</v>
      </c>
      <c r="AE155" s="6">
        <v>76</v>
      </c>
      <c r="AF155" s="6">
        <v>40</v>
      </c>
      <c r="AG155" s="6">
        <v>23</v>
      </c>
      <c r="AH155" s="6">
        <v>34</v>
      </c>
      <c r="AI155" s="6">
        <v>68.25</v>
      </c>
      <c r="AJ155" s="6">
        <v>39</v>
      </c>
      <c r="AK155" s="10">
        <f t="shared" si="86"/>
        <v>-9.5238095238095233E-2</v>
      </c>
      <c r="AL155" s="10">
        <f t="shared" si="87"/>
        <v>0.15</v>
      </c>
      <c r="AM155" s="10">
        <f t="shared" si="88"/>
        <v>0.10197368421052631</v>
      </c>
      <c r="AN155" s="10">
        <f t="shared" si="89"/>
        <v>2.5000000000000001E-2</v>
      </c>
      <c r="AO155" s="2">
        <f t="shared" si="71"/>
        <v>4.5433897243107764E-2</v>
      </c>
      <c r="AP155" s="2">
        <v>1</v>
      </c>
      <c r="AQ155" s="2">
        <v>1</v>
      </c>
      <c r="AR155" s="2">
        <v>1</v>
      </c>
      <c r="AS155" s="2">
        <v>1</v>
      </c>
      <c r="AT155" s="2">
        <v>0.65</v>
      </c>
      <c r="AU155" s="2">
        <v>0.65</v>
      </c>
      <c r="AV155" s="2">
        <v>0.65</v>
      </c>
      <c r="AW155" s="2">
        <v>0.65</v>
      </c>
      <c r="AX155" s="10">
        <f t="shared" si="90"/>
        <v>0.35</v>
      </c>
      <c r="AY155" s="10">
        <f t="shared" si="91"/>
        <v>0.35</v>
      </c>
      <c r="AZ155" s="10">
        <f t="shared" si="92"/>
        <v>0.35</v>
      </c>
      <c r="BA155" s="10">
        <f t="shared" si="93"/>
        <v>0.35</v>
      </c>
      <c r="BB155" s="2">
        <f t="shared" si="76"/>
        <v>0.35</v>
      </c>
      <c r="BC155" s="6">
        <v>0</v>
      </c>
      <c r="BD155" s="6">
        <v>0</v>
      </c>
      <c r="BE155" s="6">
        <v>0</v>
      </c>
      <c r="BF155" s="6">
        <v>0</v>
      </c>
      <c r="BG155" s="6">
        <v>0</v>
      </c>
      <c r="BH155" s="6">
        <v>0</v>
      </c>
      <c r="BI155" s="6">
        <v>0</v>
      </c>
      <c r="BJ155" s="6">
        <v>0</v>
      </c>
      <c r="BK155" s="10" t="str">
        <f t="shared" si="94"/>
        <v/>
      </c>
      <c r="BL155" s="10" t="str">
        <f t="shared" si="95"/>
        <v/>
      </c>
      <c r="BM155" s="10" t="str">
        <f t="shared" si="96"/>
        <v/>
      </c>
      <c r="BN155" s="10" t="str">
        <f t="shared" si="97"/>
        <v/>
      </c>
      <c r="BO155" s="2" t="str">
        <f t="shared" si="81"/>
        <v>NA</v>
      </c>
      <c r="BP155" s="10">
        <v>-2.0335022137569103E-2</v>
      </c>
      <c r="BQ155" s="10">
        <v>-2.343744174094653E-2</v>
      </c>
      <c r="BR155" s="10">
        <v>-2.9826820618506833E-2</v>
      </c>
      <c r="BS155" s="10">
        <v>-2.8754247254220822E-2</v>
      </c>
      <c r="BT155" s="11" t="s">
        <v>461</v>
      </c>
    </row>
    <row r="156" spans="1:72">
      <c r="A156">
        <f>COUNTIFS($J$7:J156,J156,$N$7:N156,N156,$E$7:E156,E156)</f>
        <v>15</v>
      </c>
      <c r="B156" s="16" t="str">
        <f t="shared" si="98"/>
        <v>Low</v>
      </c>
      <c r="C156" s="16" t="str">
        <f t="shared" si="99"/>
        <v>15LowNoRetail</v>
      </c>
      <c r="D156" s="1">
        <v>25203</v>
      </c>
      <c r="E156" s="1" t="s">
        <v>10</v>
      </c>
      <c r="F156" s="1" t="s">
        <v>195</v>
      </c>
      <c r="G156" s="1" t="s">
        <v>244</v>
      </c>
      <c r="H156" s="1">
        <v>97</v>
      </c>
      <c r="I156" s="1" t="s">
        <v>197</v>
      </c>
      <c r="J156" s="1" t="s">
        <v>27</v>
      </c>
      <c r="K156" s="1">
        <v>1</v>
      </c>
      <c r="L156" s="1">
        <v>1</v>
      </c>
      <c r="M156" s="2">
        <v>0.2134327364465044</v>
      </c>
      <c r="N156" s="27" t="str">
        <f t="shared" si="100"/>
        <v>Low</v>
      </c>
      <c r="O156" s="1">
        <v>1</v>
      </c>
      <c r="P156" s="6">
        <v>105.9051865016115</v>
      </c>
      <c r="Q156" s="6">
        <v>108.5266710207231</v>
      </c>
      <c r="R156" s="6">
        <v>108.4531420919474</v>
      </c>
      <c r="S156" s="6">
        <v>108.38359237946359</v>
      </c>
      <c r="T156" s="6">
        <v>0</v>
      </c>
      <c r="U156" s="6">
        <v>0</v>
      </c>
      <c r="V156" s="6">
        <v>0</v>
      </c>
      <c r="W156" s="6">
        <v>0</v>
      </c>
      <c r="X156" s="10">
        <f t="shared" si="82"/>
        <v>1</v>
      </c>
      <c r="Y156" s="10">
        <f t="shared" si="83"/>
        <v>1</v>
      </c>
      <c r="Z156" s="10">
        <f t="shared" si="84"/>
        <v>1</v>
      </c>
      <c r="AA156" s="10">
        <f t="shared" si="85"/>
        <v>1</v>
      </c>
      <c r="AB156" s="2" t="str">
        <f t="shared" si="66"/>
        <v>NA</v>
      </c>
      <c r="AC156" s="6">
        <v>81.86</v>
      </c>
      <c r="AD156" s="6">
        <v>107</v>
      </c>
      <c r="AE156" s="6">
        <v>107</v>
      </c>
      <c r="AF156" s="6">
        <v>107</v>
      </c>
      <c r="AG156" s="6">
        <v>0</v>
      </c>
      <c r="AH156" s="6">
        <v>0</v>
      </c>
      <c r="AI156" s="6">
        <v>0</v>
      </c>
      <c r="AJ156" s="6">
        <v>0</v>
      </c>
      <c r="AK156" s="10">
        <f t="shared" si="86"/>
        <v>1</v>
      </c>
      <c r="AL156" s="10">
        <f t="shared" si="87"/>
        <v>1</v>
      </c>
      <c r="AM156" s="10">
        <f t="shared" si="88"/>
        <v>1</v>
      </c>
      <c r="AN156" s="10">
        <f t="shared" si="89"/>
        <v>1</v>
      </c>
      <c r="AO156" s="2" t="str">
        <f t="shared" si="71"/>
        <v>NA</v>
      </c>
      <c r="AP156" s="2">
        <v>1</v>
      </c>
      <c r="AQ156" s="2">
        <v>1</v>
      </c>
      <c r="AR156" s="2">
        <v>1</v>
      </c>
      <c r="AS156" s="2">
        <v>1</v>
      </c>
      <c r="AT156" s="2">
        <v>0</v>
      </c>
      <c r="AU156" s="2">
        <v>0</v>
      </c>
      <c r="AV156" s="2">
        <v>0</v>
      </c>
      <c r="AW156" s="2">
        <v>0</v>
      </c>
      <c r="AX156" s="10">
        <f t="shared" si="90"/>
        <v>1</v>
      </c>
      <c r="AY156" s="10">
        <f t="shared" si="91"/>
        <v>1</v>
      </c>
      <c r="AZ156" s="10">
        <f t="shared" si="92"/>
        <v>1</v>
      </c>
      <c r="BA156" s="10">
        <f t="shared" si="93"/>
        <v>1</v>
      </c>
      <c r="BB156" s="2" t="str">
        <f t="shared" si="76"/>
        <v>NA</v>
      </c>
      <c r="BC156" s="6">
        <v>0</v>
      </c>
      <c r="BD156" s="6">
        <v>0</v>
      </c>
      <c r="BE156" s="6">
        <v>0</v>
      </c>
      <c r="BF156" s="6">
        <v>0</v>
      </c>
      <c r="BG156" s="6">
        <v>0</v>
      </c>
      <c r="BH156" s="6">
        <v>0</v>
      </c>
      <c r="BI156" s="6">
        <v>0</v>
      </c>
      <c r="BJ156" s="6">
        <v>0</v>
      </c>
      <c r="BK156" s="10" t="str">
        <f t="shared" si="94"/>
        <v/>
      </c>
      <c r="BL156" s="10" t="str">
        <f t="shared" si="95"/>
        <v/>
      </c>
      <c r="BM156" s="10" t="str">
        <f t="shared" si="96"/>
        <v/>
      </c>
      <c r="BN156" s="10" t="str">
        <f t="shared" si="97"/>
        <v/>
      </c>
      <c r="BO156" s="2" t="str">
        <f t="shared" si="81"/>
        <v>NA</v>
      </c>
      <c r="BP156" s="10">
        <v>8.9721961915769199E-2</v>
      </c>
      <c r="BQ156" s="10">
        <v>-2.2153026972286161E-2</v>
      </c>
      <c r="BR156" s="10">
        <v>-1.7194957789585241E-2</v>
      </c>
      <c r="BS156" s="10">
        <v>2.4961230709952265E-3</v>
      </c>
      <c r="BT156" s="11" t="s">
        <v>461</v>
      </c>
    </row>
    <row r="157" spans="1:72">
      <c r="A157">
        <f>COUNTIFS($J$7:J157,J157,$N$7:N157,N157,$E$7:E157,E157)</f>
        <v>16</v>
      </c>
      <c r="B157" s="16" t="str">
        <f t="shared" si="98"/>
        <v>Low</v>
      </c>
      <c r="C157" s="16" t="str">
        <f t="shared" si="99"/>
        <v>16LowNoRetail</v>
      </c>
      <c r="D157" s="1">
        <v>25204</v>
      </c>
      <c r="E157" s="1" t="s">
        <v>10</v>
      </c>
      <c r="F157" s="1" t="s">
        <v>195</v>
      </c>
      <c r="G157" s="1" t="s">
        <v>245</v>
      </c>
      <c r="H157" s="1">
        <v>101</v>
      </c>
      <c r="I157" s="1" t="s">
        <v>197</v>
      </c>
      <c r="J157" s="1" t="s">
        <v>27</v>
      </c>
      <c r="K157" s="1">
        <v>1</v>
      </c>
      <c r="L157" s="1">
        <v>1</v>
      </c>
      <c r="M157" s="2">
        <v>0.26150121815163035</v>
      </c>
      <c r="N157" s="27" t="str">
        <f t="shared" si="100"/>
        <v>Low</v>
      </c>
      <c r="O157" s="1">
        <v>1</v>
      </c>
      <c r="P157" s="6">
        <v>100.9438153254323</v>
      </c>
      <c r="Q157" s="6">
        <v>111.80101096855179</v>
      </c>
      <c r="R157" s="6">
        <v>111.9376987187709</v>
      </c>
      <c r="S157" s="6">
        <v>111.978529838228</v>
      </c>
      <c r="T157" s="6">
        <v>0</v>
      </c>
      <c r="U157" s="6">
        <v>0</v>
      </c>
      <c r="V157" s="6">
        <v>0</v>
      </c>
      <c r="W157" s="6">
        <v>0</v>
      </c>
      <c r="X157" s="10">
        <f t="shared" si="82"/>
        <v>1</v>
      </c>
      <c r="Y157" s="10">
        <f t="shared" si="83"/>
        <v>1</v>
      </c>
      <c r="Z157" s="10">
        <f t="shared" si="84"/>
        <v>1</v>
      </c>
      <c r="AA157" s="10">
        <f t="shared" si="85"/>
        <v>1</v>
      </c>
      <c r="AB157" s="2" t="str">
        <f t="shared" si="66"/>
        <v>NA</v>
      </c>
      <c r="AC157" s="6">
        <v>85.91</v>
      </c>
      <c r="AD157" s="6">
        <v>90</v>
      </c>
      <c r="AE157" s="6">
        <v>90</v>
      </c>
      <c r="AF157" s="6">
        <v>90</v>
      </c>
      <c r="AG157" s="6">
        <v>0</v>
      </c>
      <c r="AH157" s="6">
        <v>0</v>
      </c>
      <c r="AI157" s="6">
        <v>0</v>
      </c>
      <c r="AJ157" s="6">
        <v>0</v>
      </c>
      <c r="AK157" s="10">
        <f t="shared" si="86"/>
        <v>1</v>
      </c>
      <c r="AL157" s="10">
        <f t="shared" si="87"/>
        <v>1</v>
      </c>
      <c r="AM157" s="10">
        <f t="shared" si="88"/>
        <v>1</v>
      </c>
      <c r="AN157" s="10">
        <f t="shared" si="89"/>
        <v>1</v>
      </c>
      <c r="AO157" s="2" t="str">
        <f t="shared" si="71"/>
        <v>NA</v>
      </c>
      <c r="AP157" s="2">
        <v>1</v>
      </c>
      <c r="AQ157" s="2">
        <v>1</v>
      </c>
      <c r="AR157" s="2">
        <v>1</v>
      </c>
      <c r="AS157" s="2">
        <v>1</v>
      </c>
      <c r="AT157" s="2">
        <v>0</v>
      </c>
      <c r="AU157" s="2">
        <v>0</v>
      </c>
      <c r="AV157" s="2">
        <v>0</v>
      </c>
      <c r="AW157" s="2">
        <v>0</v>
      </c>
      <c r="AX157" s="10">
        <f t="shared" si="90"/>
        <v>1</v>
      </c>
      <c r="AY157" s="10">
        <f t="shared" si="91"/>
        <v>1</v>
      </c>
      <c r="AZ157" s="10">
        <f t="shared" si="92"/>
        <v>1</v>
      </c>
      <c r="BA157" s="10">
        <f t="shared" si="93"/>
        <v>1</v>
      </c>
      <c r="BB157" s="2" t="str">
        <f t="shared" si="76"/>
        <v>NA</v>
      </c>
      <c r="BC157" s="6">
        <v>0</v>
      </c>
      <c r="BD157" s="6">
        <v>0</v>
      </c>
      <c r="BE157" s="6">
        <v>0</v>
      </c>
      <c r="BF157" s="6">
        <v>0</v>
      </c>
      <c r="BG157" s="6">
        <v>0</v>
      </c>
      <c r="BH157" s="6">
        <v>0</v>
      </c>
      <c r="BI157" s="6">
        <v>0</v>
      </c>
      <c r="BJ157" s="6">
        <v>0</v>
      </c>
      <c r="BK157" s="10" t="str">
        <f t="shared" si="94"/>
        <v/>
      </c>
      <c r="BL157" s="10" t="str">
        <f t="shared" si="95"/>
        <v/>
      </c>
      <c r="BM157" s="10" t="str">
        <f t="shared" si="96"/>
        <v/>
      </c>
      <c r="BN157" s="10" t="str">
        <f t="shared" si="97"/>
        <v/>
      </c>
      <c r="BO157" s="2" t="str">
        <f t="shared" si="81"/>
        <v>NA</v>
      </c>
      <c r="BP157" s="10">
        <v>-6.1053351124210065E-2</v>
      </c>
      <c r="BQ157" s="10">
        <v>8.5524963401114595E-2</v>
      </c>
      <c r="BR157" s="10">
        <v>6.5183087441981924E-2</v>
      </c>
      <c r="BS157" s="10">
        <v>7.0613552933210144E-2</v>
      </c>
      <c r="BT157" s="11" t="s">
        <v>461</v>
      </c>
    </row>
    <row r="158" spans="1:72">
      <c r="A158">
        <f>COUNTIFS($J$7:J158,J158,$N$7:N158,N158,$E$7:E158,E158)</f>
        <v>11</v>
      </c>
      <c r="B158" s="16" t="str">
        <f t="shared" si="98"/>
        <v>Low</v>
      </c>
      <c r="C158" s="16" t="str">
        <f t="shared" si="99"/>
        <v>11LowNoTelecom-Non AT&amp;T</v>
      </c>
      <c r="D158" s="1">
        <v>25210</v>
      </c>
      <c r="E158" s="1" t="s">
        <v>485</v>
      </c>
      <c r="F158" s="1" t="s">
        <v>125</v>
      </c>
      <c r="G158" s="1" t="s">
        <v>246</v>
      </c>
      <c r="H158" s="1">
        <v>240</v>
      </c>
      <c r="I158" s="1" t="s">
        <v>127</v>
      </c>
      <c r="J158" s="1" t="s">
        <v>27</v>
      </c>
      <c r="K158" s="1">
        <v>2</v>
      </c>
      <c r="L158" s="1">
        <v>1</v>
      </c>
      <c r="M158" s="2">
        <v>0.3739629752583154</v>
      </c>
      <c r="N158" s="27" t="str">
        <f t="shared" si="100"/>
        <v>Low</v>
      </c>
      <c r="O158" s="1">
        <v>1</v>
      </c>
      <c r="P158" s="6">
        <v>224.99288085937499</v>
      </c>
      <c r="Q158" s="6">
        <v>224.99288085937499</v>
      </c>
      <c r="R158" s="6">
        <v>224.99288085937499</v>
      </c>
      <c r="S158" s="6">
        <v>224.99423040574601</v>
      </c>
      <c r="T158" s="6">
        <v>211</v>
      </c>
      <c r="U158" s="6">
        <v>202</v>
      </c>
      <c r="V158" s="6">
        <v>193</v>
      </c>
      <c r="W158" s="6">
        <v>185.25</v>
      </c>
      <c r="X158" s="10">
        <f t="shared" si="82"/>
        <v>6.2192549408355814E-2</v>
      </c>
      <c r="Y158" s="10">
        <f t="shared" si="83"/>
        <v>0.10219381507340225</v>
      </c>
      <c r="Z158" s="10">
        <f t="shared" si="84"/>
        <v>0.14219508073844869</v>
      </c>
      <c r="AA158" s="10">
        <f t="shared" si="85"/>
        <v>0.17664555368407794</v>
      </c>
      <c r="AB158" s="2">
        <f t="shared" si="66"/>
        <v>0.12080674972607117</v>
      </c>
      <c r="AC158" s="6">
        <v>217</v>
      </c>
      <c r="AD158" s="6">
        <v>217</v>
      </c>
      <c r="AE158" s="6">
        <v>217</v>
      </c>
      <c r="AF158" s="6">
        <v>217</v>
      </c>
      <c r="AG158" s="6">
        <v>232</v>
      </c>
      <c r="AH158" s="6">
        <v>232</v>
      </c>
      <c r="AI158" s="6">
        <v>232</v>
      </c>
      <c r="AJ158" s="6">
        <v>232</v>
      </c>
      <c r="AK158" s="10">
        <f t="shared" si="86"/>
        <v>-6.9124423963133647E-2</v>
      </c>
      <c r="AL158" s="10">
        <f t="shared" si="87"/>
        <v>-6.9124423963133647E-2</v>
      </c>
      <c r="AM158" s="10">
        <f t="shared" si="88"/>
        <v>-6.9124423963133647E-2</v>
      </c>
      <c r="AN158" s="10">
        <f t="shared" si="89"/>
        <v>-6.9124423963133647E-2</v>
      </c>
      <c r="AO158" s="2">
        <f t="shared" si="71"/>
        <v>-6.9124423963133647E-2</v>
      </c>
      <c r="AP158" s="2">
        <v>1</v>
      </c>
      <c r="AQ158" s="2">
        <v>1</v>
      </c>
      <c r="AR158" s="2">
        <v>1</v>
      </c>
      <c r="AS158" s="2">
        <v>1</v>
      </c>
      <c r="AT158" s="2">
        <v>0</v>
      </c>
      <c r="AU158" s="2">
        <v>0</v>
      </c>
      <c r="AV158" s="2">
        <v>0</v>
      </c>
      <c r="AW158" s="2">
        <v>0</v>
      </c>
      <c r="AX158" s="10">
        <f t="shared" si="90"/>
        <v>1</v>
      </c>
      <c r="AY158" s="10">
        <f t="shared" si="91"/>
        <v>1</v>
      </c>
      <c r="AZ158" s="10">
        <f t="shared" si="92"/>
        <v>1</v>
      </c>
      <c r="BA158" s="10">
        <f t="shared" si="93"/>
        <v>1</v>
      </c>
      <c r="BB158" s="2" t="str">
        <f t="shared" si="76"/>
        <v>NA</v>
      </c>
      <c r="BC158" s="6">
        <v>8500</v>
      </c>
      <c r="BD158" s="6">
        <v>8500</v>
      </c>
      <c r="BE158" s="6">
        <v>8500</v>
      </c>
      <c r="BF158" s="6">
        <v>8500</v>
      </c>
      <c r="BG158" s="6">
        <v>0</v>
      </c>
      <c r="BH158" s="6">
        <v>0</v>
      </c>
      <c r="BI158" s="6">
        <v>0</v>
      </c>
      <c r="BJ158" s="6">
        <v>0</v>
      </c>
      <c r="BK158" s="10">
        <f t="shared" si="94"/>
        <v>1</v>
      </c>
      <c r="BL158" s="10">
        <f t="shared" si="95"/>
        <v>1</v>
      </c>
      <c r="BM158" s="10">
        <f t="shared" si="96"/>
        <v>1</v>
      </c>
      <c r="BN158" s="10">
        <f t="shared" si="97"/>
        <v>1</v>
      </c>
      <c r="BO158" s="2" t="str">
        <f t="shared" si="81"/>
        <v>NA</v>
      </c>
      <c r="BP158" s="10">
        <v>2.6974664709468077E-2</v>
      </c>
      <c r="BQ158" s="10">
        <v>4.0278201910583844E-2</v>
      </c>
      <c r="BR158" s="10">
        <v>1.7630467843355313E-2</v>
      </c>
      <c r="BS158" s="10">
        <v>2.4757300199078514E-2</v>
      </c>
      <c r="BT158" s="11">
        <v>0</v>
      </c>
    </row>
    <row r="159" spans="1:72">
      <c r="A159">
        <f>COUNTIFS($J$7:J159,J159,$N$7:N159,N159,$E$7:E159,E159)</f>
        <v>12</v>
      </c>
      <c r="B159" s="16" t="str">
        <f t="shared" si="98"/>
        <v>Low</v>
      </c>
      <c r="C159" s="16" t="str">
        <f t="shared" si="99"/>
        <v>12LowNoTelecom-Non AT&amp;T</v>
      </c>
      <c r="D159" s="1">
        <v>25213</v>
      </c>
      <c r="E159" s="1" t="s">
        <v>485</v>
      </c>
      <c r="F159" s="1" t="s">
        <v>184</v>
      </c>
      <c r="G159" s="1" t="s">
        <v>247</v>
      </c>
      <c r="H159" s="1">
        <v>234</v>
      </c>
      <c r="I159" s="1" t="s">
        <v>182</v>
      </c>
      <c r="J159" s="1" t="s">
        <v>27</v>
      </c>
      <c r="K159" s="1">
        <v>1</v>
      </c>
      <c r="L159" s="1">
        <v>1</v>
      </c>
      <c r="M159" s="2">
        <v>0.37130045232096304</v>
      </c>
      <c r="N159" s="27" t="str">
        <f t="shared" si="100"/>
        <v>Low</v>
      </c>
      <c r="O159" s="1">
        <v>1</v>
      </c>
      <c r="P159" s="6">
        <v>243.3773648990541</v>
      </c>
      <c r="Q159" s="6">
        <v>252.4900530930918</v>
      </c>
      <c r="R159" s="6">
        <v>243.7626830809086</v>
      </c>
      <c r="S159" s="6">
        <v>260.83212393763358</v>
      </c>
      <c r="T159" s="6">
        <v>208</v>
      </c>
      <c r="U159" s="6">
        <v>250.4</v>
      </c>
      <c r="V159" s="6">
        <v>231</v>
      </c>
      <c r="W159" s="6">
        <v>216.25</v>
      </c>
      <c r="X159" s="10">
        <f t="shared" si="82"/>
        <v>0.14536012793846959</v>
      </c>
      <c r="Y159" s="10">
        <f t="shared" si="83"/>
        <v>8.2777640841209879E-3</v>
      </c>
      <c r="Z159" s="10">
        <f t="shared" si="84"/>
        <v>5.2357001160314887E-2</v>
      </c>
      <c r="AA159" s="10">
        <f t="shared" si="85"/>
        <v>0.17092267342152004</v>
      </c>
      <c r="AB159" s="2">
        <f t="shared" si="66"/>
        <v>9.4229391651106373E-2</v>
      </c>
      <c r="AC159" s="6">
        <v>208.89597068431237</v>
      </c>
      <c r="AD159" s="6">
        <v>231.32850298085501</v>
      </c>
      <c r="AE159" s="6">
        <v>204.33229067394404</v>
      </c>
      <c r="AF159" s="6">
        <v>220.71604203136866</v>
      </c>
      <c r="AG159" s="6">
        <v>224</v>
      </c>
      <c r="AH159" s="6">
        <v>194.2</v>
      </c>
      <c r="AI159" s="6">
        <v>178.5</v>
      </c>
      <c r="AJ159" s="6">
        <v>190</v>
      </c>
      <c r="AK159" s="10">
        <f t="shared" si="86"/>
        <v>-7.2304072051792359E-2</v>
      </c>
      <c r="AL159" s="10">
        <f t="shared" si="87"/>
        <v>0.16050120284540903</v>
      </c>
      <c r="AM159" s="10">
        <f t="shared" si="88"/>
        <v>0.12642294856452718</v>
      </c>
      <c r="AN159" s="10">
        <f t="shared" si="89"/>
        <v>0.13916542607720025</v>
      </c>
      <c r="AO159" s="2">
        <f t="shared" si="71"/>
        <v>8.8446376358836037E-2</v>
      </c>
      <c r="AP159" s="2">
        <v>0</v>
      </c>
      <c r="AQ159" s="2">
        <v>0</v>
      </c>
      <c r="AR159" s="2">
        <v>0</v>
      </c>
      <c r="AS159" s="2">
        <v>0</v>
      </c>
      <c r="AT159" s="2">
        <v>0.59</v>
      </c>
      <c r="AU159" s="2">
        <v>0.59</v>
      </c>
      <c r="AV159" s="2">
        <v>0.59</v>
      </c>
      <c r="AW159" s="2">
        <v>0.59</v>
      </c>
      <c r="AX159" s="10" t="str">
        <f t="shared" si="90"/>
        <v/>
      </c>
      <c r="AY159" s="10" t="str">
        <f t="shared" si="91"/>
        <v/>
      </c>
      <c r="AZ159" s="10" t="str">
        <f t="shared" si="92"/>
        <v/>
      </c>
      <c r="BA159" s="10" t="str">
        <f t="shared" si="93"/>
        <v/>
      </c>
      <c r="BB159" s="2" t="str">
        <f t="shared" si="76"/>
        <v>NA</v>
      </c>
      <c r="BC159" s="6">
        <v>115108</v>
      </c>
      <c r="BD159" s="6">
        <v>120071</v>
      </c>
      <c r="BE159" s="6">
        <v>108830</v>
      </c>
      <c r="BF159" s="6">
        <v>114561</v>
      </c>
      <c r="BG159" s="6">
        <v>91894</v>
      </c>
      <c r="BH159" s="6">
        <v>98901</v>
      </c>
      <c r="BI159" s="6">
        <v>72401</v>
      </c>
      <c r="BJ159" s="6">
        <v>76944</v>
      </c>
      <c r="BK159" s="10">
        <f t="shared" si="94"/>
        <v>0.20167147374639469</v>
      </c>
      <c r="BL159" s="10">
        <f t="shared" si="95"/>
        <v>0.17631234852712147</v>
      </c>
      <c r="BM159" s="10">
        <f t="shared" si="96"/>
        <v>0.334733069925572</v>
      </c>
      <c r="BN159" s="10">
        <f t="shared" si="97"/>
        <v>0.32835781810563802</v>
      </c>
      <c r="BO159" s="2">
        <f t="shared" si="81"/>
        <v>0.26026867757618155</v>
      </c>
      <c r="BP159" s="10">
        <v>-8.2078635132387667E-4</v>
      </c>
      <c r="BQ159" s="10">
        <v>-3.8087802186783759E-2</v>
      </c>
      <c r="BR159" s="10">
        <v>-1.8355654188165427E-2</v>
      </c>
      <c r="BS159" s="10">
        <v>4.1680281663749597E-3</v>
      </c>
      <c r="BT159" s="11" t="s">
        <v>459</v>
      </c>
    </row>
    <row r="160" spans="1:72">
      <c r="A160">
        <f>COUNTIFS($J$7:J160,J160,$N$7:N160,N160,$E$7:E160,E160)</f>
        <v>17</v>
      </c>
      <c r="B160" s="16" t="str">
        <f t="shared" si="98"/>
        <v>Low</v>
      </c>
      <c r="C160" s="16" t="str">
        <f t="shared" si="99"/>
        <v>17LowNoRetail</v>
      </c>
      <c r="D160" s="1">
        <v>25215</v>
      </c>
      <c r="E160" s="1" t="s">
        <v>10</v>
      </c>
      <c r="F160" s="1" t="s">
        <v>248</v>
      </c>
      <c r="G160" s="1" t="s">
        <v>249</v>
      </c>
      <c r="H160" s="1">
        <v>75</v>
      </c>
      <c r="I160" s="1" t="s">
        <v>203</v>
      </c>
      <c r="J160" s="1" t="s">
        <v>27</v>
      </c>
      <c r="K160" s="1">
        <v>2</v>
      </c>
      <c r="L160" s="1">
        <v>1</v>
      </c>
      <c r="M160" s="2">
        <v>0.15757906017882239</v>
      </c>
      <c r="N160" s="27" t="str">
        <f t="shared" si="100"/>
        <v>Low</v>
      </c>
      <c r="O160" s="1">
        <v>1</v>
      </c>
      <c r="P160" s="6">
        <v>62.914801033095337</v>
      </c>
      <c r="Q160" s="6">
        <v>64.288994843290354</v>
      </c>
      <c r="R160" s="6">
        <v>67.332123749976773</v>
      </c>
      <c r="S160" s="6">
        <v>66.917310965533076</v>
      </c>
      <c r="T160" s="6">
        <v>97</v>
      </c>
      <c r="U160" s="6">
        <v>97.4</v>
      </c>
      <c r="V160" s="6">
        <v>94.75</v>
      </c>
      <c r="W160" s="6">
        <v>92</v>
      </c>
      <c r="X160" s="10">
        <f t="shared" si="82"/>
        <v>-0.54176757149680377</v>
      </c>
      <c r="Y160" s="10">
        <f t="shared" si="83"/>
        <v>-0.5150337975795144</v>
      </c>
      <c r="Z160" s="10">
        <f t="shared" si="84"/>
        <v>-0.40720349697914709</v>
      </c>
      <c r="AA160" s="10">
        <f t="shared" si="85"/>
        <v>-0.37483109635690831</v>
      </c>
      <c r="AB160" s="2">
        <f t="shared" si="66"/>
        <v>-0.45970899060309339</v>
      </c>
      <c r="AC160" s="6">
        <v>96</v>
      </c>
      <c r="AD160" s="6">
        <v>89</v>
      </c>
      <c r="AE160" s="6">
        <v>87</v>
      </c>
      <c r="AF160" s="6">
        <v>74</v>
      </c>
      <c r="AG160" s="6">
        <v>104.5</v>
      </c>
      <c r="AH160" s="6">
        <v>97.2</v>
      </c>
      <c r="AI160" s="6">
        <v>93</v>
      </c>
      <c r="AJ160" s="6">
        <v>93</v>
      </c>
      <c r="AK160" s="10">
        <f t="shared" si="86"/>
        <v>-8.8541666666666671E-2</v>
      </c>
      <c r="AL160" s="10">
        <f t="shared" si="87"/>
        <v>-9.2134831460674194E-2</v>
      </c>
      <c r="AM160" s="10">
        <f t="shared" si="88"/>
        <v>-6.8965517241379309E-2</v>
      </c>
      <c r="AN160" s="10">
        <f t="shared" si="89"/>
        <v>-0.25675675675675674</v>
      </c>
      <c r="AO160" s="2">
        <f t="shared" si="71"/>
        <v>-0.12659969303136923</v>
      </c>
      <c r="AP160" s="2">
        <v>0</v>
      </c>
      <c r="AQ160" s="2">
        <v>0</v>
      </c>
      <c r="AR160" s="2">
        <v>0</v>
      </c>
      <c r="AS160" s="2">
        <v>0</v>
      </c>
      <c r="AT160" s="2">
        <v>0.8</v>
      </c>
      <c r="AU160" s="2">
        <v>0.8</v>
      </c>
      <c r="AV160" s="2">
        <v>0.8</v>
      </c>
      <c r="AW160" s="2">
        <v>0.8</v>
      </c>
      <c r="AX160" s="10" t="str">
        <f t="shared" si="90"/>
        <v/>
      </c>
      <c r="AY160" s="10" t="str">
        <f t="shared" si="91"/>
        <v/>
      </c>
      <c r="AZ160" s="10" t="str">
        <f t="shared" si="92"/>
        <v/>
      </c>
      <c r="BA160" s="10" t="str">
        <f t="shared" si="93"/>
        <v/>
      </c>
      <c r="BB160" s="2" t="str">
        <f t="shared" si="76"/>
        <v>NA</v>
      </c>
      <c r="BC160" s="6">
        <v>92557</v>
      </c>
      <c r="BD160" s="6">
        <v>87162</v>
      </c>
      <c r="BE160" s="6">
        <v>86507</v>
      </c>
      <c r="BF160" s="6">
        <v>77638</v>
      </c>
      <c r="BG160" s="6">
        <v>84781</v>
      </c>
      <c r="BH160" s="6">
        <v>105000</v>
      </c>
      <c r="BI160" s="6">
        <v>84000</v>
      </c>
      <c r="BJ160" s="6">
        <v>84000</v>
      </c>
      <c r="BK160" s="10">
        <f t="shared" si="94"/>
        <v>8.4013094633577146E-2</v>
      </c>
      <c r="BL160" s="10">
        <f t="shared" si="95"/>
        <v>-0.20465340400633303</v>
      </c>
      <c r="BM160" s="10">
        <f t="shared" si="96"/>
        <v>2.8980313731836731E-2</v>
      </c>
      <c r="BN160" s="10">
        <f t="shared" si="97"/>
        <v>-8.1944408665859503E-2</v>
      </c>
      <c r="BO160" s="2">
        <f t="shared" si="81"/>
        <v>-4.3401101076694662E-2</v>
      </c>
      <c r="BP160" s="10">
        <v>-5.6784204056852694E-2</v>
      </c>
      <c r="BQ160" s="10">
        <v>-3.5501658512436141E-2</v>
      </c>
      <c r="BR160" s="10">
        <v>-3.3510038363596117E-2</v>
      </c>
      <c r="BS160" s="10">
        <v>-0.2246826258483807</v>
      </c>
      <c r="BT160" s="11">
        <v>0</v>
      </c>
    </row>
    <row r="161" spans="1:72">
      <c r="A161">
        <f>COUNTIFS($J$7:J161,J161,$N$7:N161,N161,$E$7:E161,E161)</f>
        <v>18</v>
      </c>
      <c r="B161" s="16" t="str">
        <f t="shared" si="98"/>
        <v>Low</v>
      </c>
      <c r="C161" s="16" t="str">
        <f t="shared" si="99"/>
        <v>18LowNoRetail</v>
      </c>
      <c r="D161" s="1">
        <v>25216</v>
      </c>
      <c r="E161" s="1" t="s">
        <v>10</v>
      </c>
      <c r="F161" s="1" t="s">
        <v>11</v>
      </c>
      <c r="G161" s="1" t="s">
        <v>250</v>
      </c>
      <c r="H161" s="1">
        <v>169</v>
      </c>
      <c r="I161" s="1" t="s">
        <v>190</v>
      </c>
      <c r="J161" s="1" t="s">
        <v>27</v>
      </c>
      <c r="K161" s="1">
        <v>1</v>
      </c>
      <c r="L161" s="1">
        <v>1</v>
      </c>
      <c r="M161" s="2">
        <v>0.38170450463484717</v>
      </c>
      <c r="N161" s="27" t="str">
        <f t="shared" si="100"/>
        <v>Low</v>
      </c>
      <c r="O161" s="1">
        <v>1</v>
      </c>
      <c r="P161" s="6">
        <v>146.12793724782301</v>
      </c>
      <c r="Q161" s="6">
        <v>164.6205692051071</v>
      </c>
      <c r="R161" s="6">
        <v>185.07858458986129</v>
      </c>
      <c r="S161" s="6">
        <v>184.5986813364772</v>
      </c>
      <c r="T161" s="6">
        <v>155</v>
      </c>
      <c r="U161" s="6">
        <v>159.80000000000001</v>
      </c>
      <c r="V161" s="6">
        <v>158.5</v>
      </c>
      <c r="W161" s="6">
        <v>152.25</v>
      </c>
      <c r="X161" s="10">
        <f t="shared" si="82"/>
        <v>-6.07143501733729E-2</v>
      </c>
      <c r="Y161" s="10">
        <f t="shared" si="83"/>
        <v>2.92829093495659E-2</v>
      </c>
      <c r="Z161" s="10">
        <f t="shared" si="84"/>
        <v>0.14360702319374277</v>
      </c>
      <c r="AA161" s="10">
        <f t="shared" si="85"/>
        <v>0.17523787874472216</v>
      </c>
      <c r="AB161" s="2">
        <f t="shared" si="66"/>
        <v>7.1853365278664483E-2</v>
      </c>
      <c r="AC161" s="6">
        <v>140.95558321330827</v>
      </c>
      <c r="AD161" s="6">
        <v>152.35413170675386</v>
      </c>
      <c r="AE161" s="6">
        <v>170.86919514789571</v>
      </c>
      <c r="AF161" s="6">
        <v>166.34987058237922</v>
      </c>
      <c r="AG161" s="6">
        <v>137</v>
      </c>
      <c r="AH161" s="6">
        <v>132.19999999999999</v>
      </c>
      <c r="AI161" s="6">
        <v>153.5</v>
      </c>
      <c r="AJ161" s="6">
        <v>151.5</v>
      </c>
      <c r="AK161" s="10">
        <f t="shared" si="86"/>
        <v>2.8062621736113028E-2</v>
      </c>
      <c r="AL161" s="10">
        <f t="shared" si="87"/>
        <v>0.13228477285765949</v>
      </c>
      <c r="AM161" s="10">
        <f t="shared" si="88"/>
        <v>0.10165199837724884</v>
      </c>
      <c r="AN161" s="10">
        <f t="shared" si="89"/>
        <v>8.9268903729175564E-2</v>
      </c>
      <c r="AO161" s="2">
        <f t="shared" si="71"/>
        <v>8.7817074175049234E-2</v>
      </c>
      <c r="AP161" s="2">
        <v>0</v>
      </c>
      <c r="AQ161" s="2">
        <v>0</v>
      </c>
      <c r="AR161" s="2">
        <v>0</v>
      </c>
      <c r="AS161" s="2">
        <v>0</v>
      </c>
      <c r="AT161" s="2">
        <v>0.85</v>
      </c>
      <c r="AU161" s="2">
        <v>0.81</v>
      </c>
      <c r="AV161" s="2">
        <v>0.85</v>
      </c>
      <c r="AW161" s="2">
        <v>0.85</v>
      </c>
      <c r="AX161" s="10" t="str">
        <f t="shared" si="90"/>
        <v/>
      </c>
      <c r="AY161" s="10" t="str">
        <f t="shared" si="91"/>
        <v/>
      </c>
      <c r="AZ161" s="10" t="str">
        <f t="shared" si="92"/>
        <v/>
      </c>
      <c r="BA161" s="10" t="str">
        <f t="shared" si="93"/>
        <v/>
      </c>
      <c r="BB161" s="2" t="str">
        <f t="shared" si="76"/>
        <v>NA</v>
      </c>
      <c r="BC161" s="6">
        <v>100935</v>
      </c>
      <c r="BD161" s="6">
        <v>105694</v>
      </c>
      <c r="BE161" s="6">
        <v>113105</v>
      </c>
      <c r="BF161" s="6">
        <v>112204</v>
      </c>
      <c r="BG161" s="6">
        <v>96869</v>
      </c>
      <c r="BH161" s="6">
        <v>128470</v>
      </c>
      <c r="BI161" s="6">
        <v>109723</v>
      </c>
      <c r="BJ161" s="6">
        <v>116171</v>
      </c>
      <c r="BK161" s="10">
        <f t="shared" si="94"/>
        <v>4.0283350671224058E-2</v>
      </c>
      <c r="BL161" s="10">
        <f t="shared" si="95"/>
        <v>-0.2154899994323235</v>
      </c>
      <c r="BM161" s="10">
        <f t="shared" si="96"/>
        <v>2.9901419035409577E-2</v>
      </c>
      <c r="BN161" s="10">
        <f t="shared" si="97"/>
        <v>-3.5355245802288687E-2</v>
      </c>
      <c r="BO161" s="2">
        <f t="shared" si="81"/>
        <v>-4.5165118881994634E-2</v>
      </c>
      <c r="BP161" s="10">
        <v>0</v>
      </c>
      <c r="BQ161" s="10">
        <v>0</v>
      </c>
      <c r="BR161" s="10">
        <v>0</v>
      </c>
      <c r="BS161" s="10">
        <v>0</v>
      </c>
      <c r="BT161" s="11" t="s">
        <v>458</v>
      </c>
    </row>
    <row r="162" spans="1:72">
      <c r="A162">
        <f>COUNTIFS($J$7:J162,J162,$N$7:N162,N162,$E$7:E162,E162)</f>
        <v>10</v>
      </c>
      <c r="B162" s="16" t="str">
        <f t="shared" si="98"/>
        <v>Low</v>
      </c>
      <c r="C162" s="16" t="str">
        <f t="shared" si="99"/>
        <v>10LowYesTechnology</v>
      </c>
      <c r="D162" s="1">
        <v>25224</v>
      </c>
      <c r="E162" s="1" t="s">
        <v>23</v>
      </c>
      <c r="F162" s="1" t="s">
        <v>36</v>
      </c>
      <c r="G162" s="1" t="s">
        <v>251</v>
      </c>
      <c r="H162" s="1">
        <v>126</v>
      </c>
      <c r="I162" s="1" t="s">
        <v>38</v>
      </c>
      <c r="J162" s="1" t="s">
        <v>9</v>
      </c>
      <c r="K162" s="1">
        <v>1</v>
      </c>
      <c r="L162" s="1">
        <v>1</v>
      </c>
      <c r="M162" s="2">
        <v>0.28422073697133177</v>
      </c>
      <c r="N162" s="27" t="str">
        <f t="shared" si="100"/>
        <v>Low</v>
      </c>
      <c r="O162" s="1">
        <v>1</v>
      </c>
      <c r="P162" s="6">
        <v>68.664893387190276</v>
      </c>
      <c r="Q162" s="6">
        <v>78.947618264886728</v>
      </c>
      <c r="R162" s="6">
        <v>94.408738655225434</v>
      </c>
      <c r="S162" s="6">
        <v>95.333744113254014</v>
      </c>
      <c r="T162" s="6">
        <v>95</v>
      </c>
      <c r="U162" s="6">
        <v>95</v>
      </c>
      <c r="V162" s="6">
        <v>92.5</v>
      </c>
      <c r="W162" s="6">
        <v>0</v>
      </c>
      <c r="X162" s="10">
        <f t="shared" si="82"/>
        <v>-0.38353087456657509</v>
      </c>
      <c r="Y162" s="10">
        <f t="shared" si="83"/>
        <v>-0.20332952517014483</v>
      </c>
      <c r="Z162" s="10">
        <f t="shared" si="84"/>
        <v>2.0217817570850338E-2</v>
      </c>
      <c r="AA162" s="10">
        <f t="shared" si="85"/>
        <v>1</v>
      </c>
      <c r="AB162" s="2">
        <f t="shared" si="66"/>
        <v>-0.18888086072195653</v>
      </c>
      <c r="AC162" s="6">
        <v>71.071761474865497</v>
      </c>
      <c r="AD162" s="6">
        <v>79.21333363675538</v>
      </c>
      <c r="AE162" s="6">
        <v>97.452245241418225</v>
      </c>
      <c r="AF162" s="6">
        <v>94.589140864631602</v>
      </c>
      <c r="AG162" s="6">
        <v>90</v>
      </c>
      <c r="AH162" s="6">
        <v>91.8</v>
      </c>
      <c r="AI162" s="6">
        <v>98.75</v>
      </c>
      <c r="AJ162" s="6">
        <v>78</v>
      </c>
      <c r="AK162" s="10">
        <f t="shared" si="86"/>
        <v>-0.26632572673506155</v>
      </c>
      <c r="AL162" s="10">
        <f t="shared" si="87"/>
        <v>-0.15889580434731687</v>
      </c>
      <c r="AM162" s="10">
        <f t="shared" si="88"/>
        <v>-1.3316827697164387E-2</v>
      </c>
      <c r="AN162" s="10">
        <f t="shared" si="89"/>
        <v>0.17538102907999398</v>
      </c>
      <c r="AO162" s="2">
        <f t="shared" si="71"/>
        <v>-6.5789332424887215E-2</v>
      </c>
      <c r="AP162" s="2">
        <v>0.76666666666666672</v>
      </c>
      <c r="AQ162" s="2">
        <v>0.76666666666666672</v>
      </c>
      <c r="AR162" s="2">
        <v>0.76666666666666672</v>
      </c>
      <c r="AS162" s="2">
        <v>0.76666666666666672</v>
      </c>
      <c r="AT162" s="2">
        <v>0.75</v>
      </c>
      <c r="AU162" s="2">
        <v>0.75</v>
      </c>
      <c r="AV162" s="2">
        <v>0.75</v>
      </c>
      <c r="AW162" s="2">
        <v>0</v>
      </c>
      <c r="AX162" s="10">
        <f t="shared" si="90"/>
        <v>2.1739130434782674E-2</v>
      </c>
      <c r="AY162" s="10">
        <f t="shared" si="91"/>
        <v>2.1739130434782674E-2</v>
      </c>
      <c r="AZ162" s="10">
        <f t="shared" si="92"/>
        <v>2.1739130434782674E-2</v>
      </c>
      <c r="BA162" s="10">
        <f t="shared" si="93"/>
        <v>1</v>
      </c>
      <c r="BB162" s="2">
        <f t="shared" si="76"/>
        <v>2.1739130434782674E-2</v>
      </c>
      <c r="BC162" s="6">
        <v>19265.52391</v>
      </c>
      <c r="BD162" s="6">
        <v>19688.220560000002</v>
      </c>
      <c r="BE162" s="6">
        <v>20116.519329999999</v>
      </c>
      <c r="BF162" s="6">
        <v>20995.093990000001</v>
      </c>
      <c r="BG162" s="6">
        <v>21522</v>
      </c>
      <c r="BH162" s="6">
        <v>27409</v>
      </c>
      <c r="BI162" s="6">
        <v>23532</v>
      </c>
      <c r="BJ162" s="6">
        <v>18616</v>
      </c>
      <c r="BK162" s="10">
        <f t="shared" si="94"/>
        <v>-0.11712508315586213</v>
      </c>
      <c r="BL162" s="10">
        <f t="shared" si="95"/>
        <v>-0.3921522220086302</v>
      </c>
      <c r="BM162" s="10">
        <f t="shared" si="96"/>
        <v>-0.16978487252048891</v>
      </c>
      <c r="BN162" s="10">
        <f t="shared" si="97"/>
        <v>0.11331666298484626</v>
      </c>
      <c r="BO162" s="2">
        <f t="shared" si="81"/>
        <v>-0.14143637867503375</v>
      </c>
      <c r="BP162" s="10">
        <v>3.0082089995188799E-2</v>
      </c>
      <c r="BQ162" s="10">
        <v>-1.8930746059323766E-2</v>
      </c>
      <c r="BR162" s="10">
        <v>-1.8600507344613937E-2</v>
      </c>
      <c r="BS162" s="10">
        <v>-1.8721370747983856E-2</v>
      </c>
      <c r="BT162" s="11" t="s">
        <v>459</v>
      </c>
    </row>
    <row r="163" spans="1:72">
      <c r="A163">
        <f>COUNTIFS($J$7:J163,J163,$N$7:N163,N163,$E$7:E163,E163)</f>
        <v>11</v>
      </c>
      <c r="B163" s="16" t="str">
        <f t="shared" si="98"/>
        <v>Low</v>
      </c>
      <c r="C163" s="16" t="str">
        <f t="shared" si="99"/>
        <v>11LowYesTechnology</v>
      </c>
      <c r="D163" s="1">
        <v>25229</v>
      </c>
      <c r="E163" s="1" t="s">
        <v>23</v>
      </c>
      <c r="F163" s="1" t="s">
        <v>36</v>
      </c>
      <c r="G163" s="1" t="s">
        <v>252</v>
      </c>
      <c r="H163" s="1">
        <v>700</v>
      </c>
      <c r="I163" s="1" t="s">
        <v>38</v>
      </c>
      <c r="J163" s="1" t="s">
        <v>9</v>
      </c>
      <c r="K163" s="1">
        <v>4</v>
      </c>
      <c r="L163" s="1">
        <v>2</v>
      </c>
      <c r="M163" s="2">
        <v>0.80012824290974871</v>
      </c>
      <c r="N163" s="27" t="str">
        <f t="shared" si="100"/>
        <v>Low</v>
      </c>
      <c r="O163" s="1">
        <v>2</v>
      </c>
      <c r="P163" s="6">
        <v>520.2692014590416</v>
      </c>
      <c r="Q163" s="6">
        <v>559.28881983682641</v>
      </c>
      <c r="R163" s="6">
        <v>545.76414989191517</v>
      </c>
      <c r="S163" s="6">
        <v>534.33994895044725</v>
      </c>
      <c r="T163" s="6">
        <v>688.25</v>
      </c>
      <c r="U163" s="6">
        <v>657.60000000000014</v>
      </c>
      <c r="V163" s="6">
        <v>628.5</v>
      </c>
      <c r="W163" s="6">
        <v>212.32999999999998</v>
      </c>
      <c r="X163" s="10">
        <f t="shared" si="82"/>
        <v>-0.32287284749870543</v>
      </c>
      <c r="Y163" s="10">
        <f t="shared" si="83"/>
        <v>-0.17577891185426558</v>
      </c>
      <c r="Z163" s="10">
        <f t="shared" si="84"/>
        <v>-0.15159634454639445</v>
      </c>
      <c r="AA163" s="10">
        <f t="shared" si="85"/>
        <v>0.60263124548883262</v>
      </c>
      <c r="AB163" s="2">
        <f t="shared" si="66"/>
        <v>-1.1904214602633217E-2</v>
      </c>
      <c r="AC163" s="6">
        <v>542.82674804559292</v>
      </c>
      <c r="AD163" s="6">
        <v>572.61874006945004</v>
      </c>
      <c r="AE163" s="6">
        <v>531.5963258985829</v>
      </c>
      <c r="AF163" s="6">
        <v>561.74407052728759</v>
      </c>
      <c r="AG163" s="6">
        <v>613</v>
      </c>
      <c r="AH163" s="6">
        <v>582.4</v>
      </c>
      <c r="AI163" s="6">
        <v>593.5</v>
      </c>
      <c r="AJ163" s="6">
        <v>447.75</v>
      </c>
      <c r="AK163" s="10">
        <f t="shared" si="86"/>
        <v>-0.12927375485283402</v>
      </c>
      <c r="AL163" s="10">
        <f t="shared" si="87"/>
        <v>-1.7081627348353313E-2</v>
      </c>
      <c r="AM163" s="10">
        <f t="shared" si="88"/>
        <v>-0.11644864925802173</v>
      </c>
      <c r="AN163" s="10">
        <f t="shared" si="89"/>
        <v>0.20292883629423222</v>
      </c>
      <c r="AO163" s="2">
        <f t="shared" si="71"/>
        <v>-1.4968798791244207E-2</v>
      </c>
      <c r="AP163" s="2">
        <v>0.79666666666666675</v>
      </c>
      <c r="AQ163" s="2">
        <v>0.79666666666666675</v>
      </c>
      <c r="AR163" s="2">
        <v>0.79666666666666675</v>
      </c>
      <c r="AS163" s="2">
        <v>0.79666666666666675</v>
      </c>
      <c r="AT163" s="2">
        <v>0.78500000000000003</v>
      </c>
      <c r="AU163" s="2">
        <v>0.78500000000000003</v>
      </c>
      <c r="AV163" s="2">
        <v>0.78500000000000003</v>
      </c>
      <c r="AW163" s="2">
        <v>0.314</v>
      </c>
      <c r="AX163" s="10">
        <f t="shared" si="90"/>
        <v>1.4644351464435204E-2</v>
      </c>
      <c r="AY163" s="10">
        <f t="shared" si="91"/>
        <v>1.4644351464435204E-2</v>
      </c>
      <c r="AZ163" s="10">
        <f t="shared" si="92"/>
        <v>1.4644351464435204E-2</v>
      </c>
      <c r="BA163" s="10">
        <f t="shared" si="93"/>
        <v>0.60585774058577413</v>
      </c>
      <c r="BB163" s="2">
        <f t="shared" si="76"/>
        <v>0.16244769874476994</v>
      </c>
      <c r="BC163" s="6">
        <v>181025.47727999999</v>
      </c>
      <c r="BD163" s="6">
        <v>181187.36225999999</v>
      </c>
      <c r="BE163" s="6">
        <v>182250.65594</v>
      </c>
      <c r="BF163" s="6">
        <v>181847.76786999998</v>
      </c>
      <c r="BG163" s="6">
        <v>159012</v>
      </c>
      <c r="BH163" s="6">
        <v>191452</v>
      </c>
      <c r="BI163" s="6">
        <v>156305</v>
      </c>
      <c r="BJ163" s="6">
        <v>118188</v>
      </c>
      <c r="BK163" s="10">
        <f t="shared" si="94"/>
        <v>0.12160430460266533</v>
      </c>
      <c r="BL163" s="10">
        <f t="shared" si="95"/>
        <v>-5.6652062329106981E-2</v>
      </c>
      <c r="BM163" s="10">
        <f t="shared" si="96"/>
        <v>0.14236248317559827</v>
      </c>
      <c r="BN163" s="10">
        <f t="shared" si="97"/>
        <v>0.35007175845847782</v>
      </c>
      <c r="BO163" s="2">
        <f t="shared" si="81"/>
        <v>0.13934662097690861</v>
      </c>
      <c r="BP163" s="10">
        <v>-2.949841299626077E-2</v>
      </c>
      <c r="BQ163" s="10">
        <v>-2.1738206193015197E-2</v>
      </c>
      <c r="BR163" s="10">
        <v>-2.1356611856360341E-2</v>
      </c>
      <c r="BS163" s="10">
        <v>-2.1518434523542407E-2</v>
      </c>
      <c r="BT163" s="11" t="s">
        <v>459</v>
      </c>
    </row>
    <row r="164" spans="1:72">
      <c r="A164">
        <f>COUNTIFS($J$7:J164,J164,$N$7:N164,N164,$E$7:E164,E164)</f>
        <v>35</v>
      </c>
      <c r="B164" s="16" t="str">
        <f t="shared" si="98"/>
        <v>Low</v>
      </c>
      <c r="C164" s="16" t="str">
        <f t="shared" si="99"/>
        <v>35LowNoTechnology</v>
      </c>
      <c r="D164" s="1">
        <v>25230</v>
      </c>
      <c r="E164" s="1" t="s">
        <v>23</v>
      </c>
      <c r="F164" s="1" t="s">
        <v>33</v>
      </c>
      <c r="G164" s="1" t="s">
        <v>253</v>
      </c>
      <c r="H164" s="1">
        <v>103</v>
      </c>
      <c r="I164" s="1" t="s">
        <v>133</v>
      </c>
      <c r="J164" s="1" t="s">
        <v>27</v>
      </c>
      <c r="K164" s="1">
        <v>1</v>
      </c>
      <c r="L164" s="1">
        <v>1</v>
      </c>
      <c r="M164" s="2">
        <v>0.1144084362748234</v>
      </c>
      <c r="N164" s="27" t="str">
        <f t="shared" si="100"/>
        <v>Low</v>
      </c>
      <c r="O164" s="1">
        <v>1</v>
      </c>
      <c r="P164" s="6">
        <v>88.452000648541045</v>
      </c>
      <c r="Q164" s="6">
        <v>84.642637111349899</v>
      </c>
      <c r="R164" s="6">
        <v>81.019418423146561</v>
      </c>
      <c r="S164" s="6">
        <v>77.573399613543089</v>
      </c>
      <c r="T164" s="6">
        <v>76.25</v>
      </c>
      <c r="U164" s="6">
        <v>82</v>
      </c>
      <c r="V164" s="6">
        <v>94.75</v>
      </c>
      <c r="W164" s="6">
        <v>108.5</v>
      </c>
      <c r="X164" s="10">
        <f t="shared" si="82"/>
        <v>0.13795053316006944</v>
      </c>
      <c r="Y164" s="10">
        <f t="shared" si="83"/>
        <v>3.1221110323789075E-2</v>
      </c>
      <c r="Z164" s="10">
        <f t="shared" si="84"/>
        <v>-0.16947272449107989</v>
      </c>
      <c r="AA164" s="10">
        <f t="shared" si="85"/>
        <v>-0.39867532608507228</v>
      </c>
      <c r="AB164" s="2">
        <f t="shared" si="66"/>
        <v>-9.9744101773073413E-2</v>
      </c>
      <c r="AC164" s="6">
        <v>70.759613700937891</v>
      </c>
      <c r="AD164" s="6">
        <v>75.161714885641828</v>
      </c>
      <c r="AE164" s="6">
        <v>74.325729362053551</v>
      </c>
      <c r="AF164" s="6">
        <v>72.114026257433792</v>
      </c>
      <c r="AG164" s="6">
        <v>70.5</v>
      </c>
      <c r="AH164" s="6">
        <v>75</v>
      </c>
      <c r="AI164" s="6">
        <v>80.75</v>
      </c>
      <c r="AJ164" s="6">
        <v>72</v>
      </c>
      <c r="AK164" s="10">
        <f t="shared" si="86"/>
        <v>3.6689530561194914E-3</v>
      </c>
      <c r="AL164" s="10">
        <f t="shared" si="87"/>
        <v>2.151559286371747E-3</v>
      </c>
      <c r="AM164" s="10">
        <f t="shared" si="88"/>
        <v>-8.6434007349631373E-2</v>
      </c>
      <c r="AN164" s="10">
        <f t="shared" si="89"/>
        <v>1.5811938862869718E-3</v>
      </c>
      <c r="AO164" s="2">
        <f t="shared" si="71"/>
        <v>-1.975807528021329E-2</v>
      </c>
      <c r="AP164" s="2">
        <v>0</v>
      </c>
      <c r="AQ164" s="2">
        <v>0</v>
      </c>
      <c r="AR164" s="2">
        <v>0</v>
      </c>
      <c r="AS164" s="2">
        <v>0</v>
      </c>
      <c r="AT164" s="2">
        <v>0.74</v>
      </c>
      <c r="AU164" s="2">
        <v>0.74</v>
      </c>
      <c r="AV164" s="2">
        <v>0.74</v>
      </c>
      <c r="AW164" s="2">
        <v>0.74</v>
      </c>
      <c r="AX164" s="10" t="str">
        <f t="shared" si="90"/>
        <v/>
      </c>
      <c r="AY164" s="10" t="str">
        <f t="shared" si="91"/>
        <v/>
      </c>
      <c r="AZ164" s="10" t="str">
        <f t="shared" si="92"/>
        <v/>
      </c>
      <c r="BA164" s="10" t="str">
        <f t="shared" si="93"/>
        <v/>
      </c>
      <c r="BB164" s="2" t="str">
        <f t="shared" si="76"/>
        <v>NA</v>
      </c>
      <c r="BC164" s="6">
        <v>21802</v>
      </c>
      <c r="BD164" s="6">
        <v>22113.099999999995</v>
      </c>
      <c r="BE164" s="6">
        <v>23159</v>
      </c>
      <c r="BF164" s="6">
        <v>21674</v>
      </c>
      <c r="BG164" s="6">
        <v>20293</v>
      </c>
      <c r="BH164" s="6">
        <v>26035</v>
      </c>
      <c r="BI164" s="6">
        <v>21073</v>
      </c>
      <c r="BJ164" s="6">
        <v>19033</v>
      </c>
      <c r="BK164" s="10">
        <f t="shared" si="94"/>
        <v>6.9213833593248328E-2</v>
      </c>
      <c r="BL164" s="10">
        <f t="shared" si="95"/>
        <v>-0.17735640864464983</v>
      </c>
      <c r="BM164" s="10">
        <f t="shared" si="96"/>
        <v>9.0072973789887295E-2</v>
      </c>
      <c r="BN164" s="10">
        <f t="shared" si="97"/>
        <v>0.12185106579311618</v>
      </c>
      <c r="BO164" s="2">
        <f t="shared" si="81"/>
        <v>2.5945366132900494E-2</v>
      </c>
      <c r="BP164" s="10">
        <v>-0.10238191689574883</v>
      </c>
      <c r="BQ164" s="10">
        <v>-3.8118951086443864E-2</v>
      </c>
      <c r="BR164" s="10">
        <v>-2.5500288702122342E-2</v>
      </c>
      <c r="BS164" s="10">
        <v>-2.0414408600158418E-3</v>
      </c>
      <c r="BT164" s="11" t="s">
        <v>458</v>
      </c>
    </row>
    <row r="165" spans="1:72">
      <c r="A165">
        <f>COUNTIFS($J$7:J165,J165,$N$7:N165,N165,$E$7:E165,E165)</f>
        <v>19</v>
      </c>
      <c r="B165" s="16" t="str">
        <f t="shared" si="98"/>
        <v>Low</v>
      </c>
      <c r="C165" s="16" t="str">
        <f t="shared" si="99"/>
        <v>19LowNoRetail</v>
      </c>
      <c r="D165" s="1">
        <v>25231</v>
      </c>
      <c r="E165" s="1" t="s">
        <v>10</v>
      </c>
      <c r="F165" s="1" t="s">
        <v>206</v>
      </c>
      <c r="G165" s="1" t="s">
        <v>254</v>
      </c>
      <c r="H165" s="1">
        <v>26</v>
      </c>
      <c r="I165" s="1" t="s">
        <v>208</v>
      </c>
      <c r="J165" s="1" t="s">
        <v>27</v>
      </c>
      <c r="K165" s="1">
        <v>1</v>
      </c>
      <c r="L165" s="1">
        <v>1</v>
      </c>
      <c r="M165" s="2">
        <v>0.23194126373159735</v>
      </c>
      <c r="N165" s="27" t="str">
        <f t="shared" si="100"/>
        <v>Low</v>
      </c>
      <c r="O165" s="1">
        <v>1</v>
      </c>
      <c r="P165" s="6">
        <v>24.875</v>
      </c>
      <c r="Q165" s="6">
        <v>30.65241935483871</v>
      </c>
      <c r="R165" s="6">
        <v>45.504666666666672</v>
      </c>
      <c r="S165" s="6">
        <v>68</v>
      </c>
      <c r="T165" s="6">
        <v>27.25</v>
      </c>
      <c r="U165" s="6">
        <v>28.8</v>
      </c>
      <c r="V165" s="6">
        <v>28</v>
      </c>
      <c r="W165" s="6">
        <v>27</v>
      </c>
      <c r="X165" s="10">
        <f t="shared" ref="X165:X174" si="101">IFERROR(((P165-T165)/P165),"")</f>
        <v>-9.5477386934673364E-2</v>
      </c>
      <c r="Y165" s="10">
        <f t="shared" ref="Y165:Y174" si="102">IFERROR(((Q165-U165)/Q165),"")</f>
        <v>6.0433055329000999E-2</v>
      </c>
      <c r="Z165" s="10">
        <f t="shared" ref="Z165:Z174" si="103">IFERROR(((R165-V165)/R165),"")</f>
        <v>0.38467849451338332</v>
      </c>
      <c r="AA165" s="10">
        <f t="shared" ref="AA165:AA174" si="104">IFERROR(((S165-W165)/S165),"")</f>
        <v>0.6029411764705882</v>
      </c>
      <c r="AB165" s="2">
        <f t="shared" ref="AB165:AB174" si="105">IFERROR(AVERAGEIF(X165:AA165,"&lt;&gt;100%",X165:AA165),"NA")</f>
        <v>0.2381438348445748</v>
      </c>
      <c r="AC165" s="6">
        <v>22.001477272727275</v>
      </c>
      <c r="AD165" s="6">
        <v>29.393939393939398</v>
      </c>
      <c r="AE165" s="6">
        <v>28.948576675849406</v>
      </c>
      <c r="AF165" s="6">
        <v>71</v>
      </c>
      <c r="AG165" s="6">
        <v>29.5</v>
      </c>
      <c r="AH165" s="6">
        <v>34.799999999999997</v>
      </c>
      <c r="AI165" s="6">
        <v>35.5</v>
      </c>
      <c r="AJ165" s="6">
        <v>46.5</v>
      </c>
      <c r="AK165" s="10">
        <f t="shared" ref="AK165:AK174" si="106">IFERROR(((AC165-AG165)/AC165),"")</f>
        <v>-0.34081905657161438</v>
      </c>
      <c r="AL165" s="10">
        <f t="shared" ref="AL165:AL174" si="107">IFERROR(((AD165-AH165)/AD165),"")</f>
        <v>-0.18391752577319562</v>
      </c>
      <c r="AM165" s="10">
        <f t="shared" ref="AM165:AM174" si="108">IFERROR(((AE165-AI165)/AE165),"")</f>
        <v>-0.22631245043616166</v>
      </c>
      <c r="AN165" s="10">
        <f t="shared" ref="AN165:AN174" si="109">IFERROR(((AF165-AJ165)/AF165),"")</f>
        <v>0.34507042253521125</v>
      </c>
      <c r="AO165" s="2">
        <f t="shared" ref="AO165:AO174" si="110">IFERROR(AVERAGEIF(AK165:AN165,"&lt;&gt;100%",AK165:AN165),"NA")</f>
        <v>-0.10149465256144011</v>
      </c>
      <c r="AP165" s="2">
        <v>0</v>
      </c>
      <c r="AQ165" s="2">
        <v>0</v>
      </c>
      <c r="AR165" s="2">
        <v>0</v>
      </c>
      <c r="AS165" s="2">
        <v>0</v>
      </c>
      <c r="AT165" s="2">
        <v>0.5</v>
      </c>
      <c r="AU165" s="2">
        <v>0.5</v>
      </c>
      <c r="AV165" s="2">
        <v>0.53749999999999998</v>
      </c>
      <c r="AW165" s="2">
        <v>0.65</v>
      </c>
      <c r="AX165" s="10" t="str">
        <f t="shared" ref="AX165:AX174" si="111">IFERROR(((AP165-AT165)/AP165),"")</f>
        <v/>
      </c>
      <c r="AY165" s="10" t="str">
        <f t="shared" ref="AY165:AY174" si="112">IFERROR(((AQ165-AU165)/AQ165),"")</f>
        <v/>
      </c>
      <c r="AZ165" s="10" t="str">
        <f t="shared" ref="AZ165:AZ174" si="113">IFERROR(((AR165-AV165)/AR165),"")</f>
        <v/>
      </c>
      <c r="BA165" s="10" t="str">
        <f t="shared" ref="BA165:BA174" si="114">IFERROR(((AS165-AW165)/AS165),"")</f>
        <v/>
      </c>
      <c r="BB165" s="2" t="str">
        <f t="shared" ref="BB165:BB174" si="115">IFERROR(AVERAGEIF(AX165:BA165,"&lt;&gt;100%",AX165:BA165),"NA")</f>
        <v>NA</v>
      </c>
      <c r="BC165" s="6">
        <v>11389</v>
      </c>
      <c r="BD165" s="6">
        <v>14000</v>
      </c>
      <c r="BE165" s="6">
        <v>13000</v>
      </c>
      <c r="BF165" s="6">
        <v>25000</v>
      </c>
      <c r="BG165" s="6">
        <v>10690</v>
      </c>
      <c r="BH165" s="6">
        <v>15751</v>
      </c>
      <c r="BI165" s="6">
        <v>14565</v>
      </c>
      <c r="BJ165" s="6">
        <v>24782</v>
      </c>
      <c r="BK165" s="10">
        <f t="shared" ref="BK165:BK174" si="116">IFERROR(((BC165-BG165)/BC165),"")</f>
        <v>6.1375010975502679E-2</v>
      </c>
      <c r="BL165" s="10">
        <f t="shared" ref="BL165:BL174" si="117">IFERROR(((BD165-BH165)/BD165),"")</f>
        <v>-0.12507142857142858</v>
      </c>
      <c r="BM165" s="10">
        <f t="shared" ref="BM165:BM174" si="118">IFERROR(((BE165-BI165)/BE165),"")</f>
        <v>-0.12038461538461538</v>
      </c>
      <c r="BN165" s="10">
        <f t="shared" ref="BN165:BN174" si="119">IFERROR(((BF165-BJ165)/BF165),"")</f>
        <v>8.7200000000000003E-3</v>
      </c>
      <c r="BO165" s="2">
        <f t="shared" ref="BO165:BO174" si="120">IFERROR(AVERAGEIF(BK165:BN165,"&lt;&gt;100%",BK165:BN165),"NA")</f>
        <v>-4.3840258245135322E-2</v>
      </c>
      <c r="BP165" s="10">
        <v>8.3656376297395196E-2</v>
      </c>
      <c r="BQ165" s="10">
        <v>-1.0744713036556275E-2</v>
      </c>
      <c r="BR165" s="10">
        <v>4.8804783320747364E-3</v>
      </c>
      <c r="BS165" s="10">
        <v>-1.6694105066891285E-2</v>
      </c>
      <c r="BT165" s="11" t="s">
        <v>459</v>
      </c>
    </row>
    <row r="166" spans="1:72">
      <c r="A166">
        <f>COUNTIFS($J$7:J166,J166,$N$7:N166,N166,$E$7:E166,E166)</f>
        <v>3</v>
      </c>
      <c r="B166" s="16" t="str">
        <f t="shared" si="98"/>
        <v>Critical</v>
      </c>
      <c r="C166" s="16" t="str">
        <f t="shared" si="99"/>
        <v>3CriticalNoRetail</v>
      </c>
      <c r="D166" s="1">
        <v>25232</v>
      </c>
      <c r="E166" s="1" t="s">
        <v>10</v>
      </c>
      <c r="F166" s="1" t="s">
        <v>206</v>
      </c>
      <c r="G166" s="1" t="s">
        <v>255</v>
      </c>
      <c r="H166" s="1">
        <v>18</v>
      </c>
      <c r="I166" s="1" t="s">
        <v>208</v>
      </c>
      <c r="J166" s="1" t="s">
        <v>27</v>
      </c>
      <c r="K166" s="1">
        <v>1</v>
      </c>
      <c r="L166" s="1">
        <v>1</v>
      </c>
      <c r="M166" s="2">
        <v>-9.9140675824691382E-2</v>
      </c>
      <c r="N166" s="27" t="str">
        <f t="shared" si="100"/>
        <v>Critical</v>
      </c>
      <c r="O166" s="1">
        <v>1</v>
      </c>
      <c r="P166" s="6">
        <v>16.914999999999999</v>
      </c>
      <c r="Q166" s="6">
        <v>15.952096774193549</v>
      </c>
      <c r="R166" s="6">
        <v>16.583333333333329</v>
      </c>
      <c r="S166" s="6">
        <v>20.895</v>
      </c>
      <c r="T166" s="6">
        <v>14.5</v>
      </c>
      <c r="U166" s="6">
        <v>14</v>
      </c>
      <c r="V166" s="6">
        <v>13.5</v>
      </c>
      <c r="W166" s="6">
        <v>13</v>
      </c>
      <c r="X166" s="10">
        <f t="shared" si="101"/>
        <v>0.1427726869642329</v>
      </c>
      <c r="Y166" s="10">
        <f t="shared" si="102"/>
        <v>0.12237242550782085</v>
      </c>
      <c r="Z166" s="10">
        <f t="shared" si="103"/>
        <v>0.18592964824120581</v>
      </c>
      <c r="AA166" s="10">
        <f t="shared" si="104"/>
        <v>0.37784158889686525</v>
      </c>
      <c r="AB166" s="2">
        <f t="shared" si="105"/>
        <v>0.20722908740253121</v>
      </c>
      <c r="AC166" s="6">
        <v>15.759375233819679</v>
      </c>
      <c r="AD166" s="6">
        <v>11.121050362531845</v>
      </c>
      <c r="AE166" s="6">
        <v>11.338159371492702</v>
      </c>
      <c r="AF166" s="6">
        <v>22</v>
      </c>
      <c r="AG166" s="6">
        <v>12.75</v>
      </c>
      <c r="AH166" s="6">
        <v>12.2</v>
      </c>
      <c r="AI166" s="6">
        <v>12.75</v>
      </c>
      <c r="AJ166" s="6">
        <v>16.75</v>
      </c>
      <c r="AK166" s="10">
        <f t="shared" si="106"/>
        <v>0.19095777523981713</v>
      </c>
      <c r="AL166" s="10">
        <f t="shared" si="107"/>
        <v>-9.7018680996470028E-2</v>
      </c>
      <c r="AM166" s="10">
        <f t="shared" si="108"/>
        <v>-0.12452114864931771</v>
      </c>
      <c r="AN166" s="10">
        <f t="shared" si="109"/>
        <v>0.23863636363636365</v>
      </c>
      <c r="AO166" s="2">
        <f t="shared" si="110"/>
        <v>5.2013577307598258E-2</v>
      </c>
      <c r="AP166" s="2">
        <v>0</v>
      </c>
      <c r="AQ166" s="2">
        <v>0</v>
      </c>
      <c r="AR166" s="2">
        <v>0</v>
      </c>
      <c r="AS166" s="2">
        <v>0</v>
      </c>
      <c r="AT166" s="2">
        <v>0.3</v>
      </c>
      <c r="AU166" s="2">
        <v>0.3</v>
      </c>
      <c r="AV166" s="2">
        <v>0.3</v>
      </c>
      <c r="AW166" s="2">
        <v>0.3</v>
      </c>
      <c r="AX166" s="10" t="str">
        <f t="shared" si="111"/>
        <v/>
      </c>
      <c r="AY166" s="10" t="str">
        <f t="shared" si="112"/>
        <v/>
      </c>
      <c r="AZ166" s="10" t="str">
        <f t="shared" si="113"/>
        <v/>
      </c>
      <c r="BA166" s="10" t="str">
        <f t="shared" si="114"/>
        <v/>
      </c>
      <c r="BB166" s="2" t="str">
        <f t="shared" si="115"/>
        <v>NA</v>
      </c>
      <c r="BC166" s="6">
        <v>6613</v>
      </c>
      <c r="BD166" s="6">
        <v>5973.76</v>
      </c>
      <c r="BE166" s="6">
        <v>6380.4</v>
      </c>
      <c r="BF166" s="6">
        <v>7755.28</v>
      </c>
      <c r="BG166" s="6">
        <v>6060</v>
      </c>
      <c r="BH166" s="6">
        <v>7264</v>
      </c>
      <c r="BI166" s="6">
        <v>5870</v>
      </c>
      <c r="BJ166" s="6">
        <v>7274</v>
      </c>
      <c r="BK166" s="10">
        <f t="shared" si="116"/>
        <v>8.3623166490246481E-2</v>
      </c>
      <c r="BL166" s="10">
        <f t="shared" si="117"/>
        <v>-0.21598457253053349</v>
      </c>
      <c r="BM166" s="10">
        <f t="shared" si="118"/>
        <v>7.9994984640461356E-2</v>
      </c>
      <c r="BN166" s="10">
        <f t="shared" si="119"/>
        <v>6.2058365397509793E-2</v>
      </c>
      <c r="BO166" s="2">
        <f t="shared" si="120"/>
        <v>2.4229859994210345E-3</v>
      </c>
      <c r="BP166" s="10">
        <v>4.9686510841324832E-2</v>
      </c>
      <c r="BQ166" s="10">
        <v>-5.5531975512677356E-3</v>
      </c>
      <c r="BR166" s="10">
        <v>-1.0931087592450234E-3</v>
      </c>
      <c r="BS166" s="10">
        <v>-1.3674110514441173E-2</v>
      </c>
      <c r="BT166" s="11" t="s">
        <v>459</v>
      </c>
    </row>
    <row r="167" spans="1:72">
      <c r="A167">
        <f>COUNTIFS($J$7:J167,J167,$N$7:N167,N167,$E$7:E167,E167)</f>
        <v>8</v>
      </c>
      <c r="B167" s="16" t="str">
        <f t="shared" si="98"/>
        <v>Low</v>
      </c>
      <c r="C167" s="16" t="str">
        <f t="shared" si="99"/>
        <v>8LowNoBFIMG</v>
      </c>
      <c r="D167" s="1">
        <v>25240</v>
      </c>
      <c r="E167" s="1" t="s">
        <v>20</v>
      </c>
      <c r="F167" s="1" t="s">
        <v>186</v>
      </c>
      <c r="G167" s="1" t="s">
        <v>256</v>
      </c>
      <c r="H167" s="1">
        <v>45</v>
      </c>
      <c r="I167" s="1" t="s">
        <v>188</v>
      </c>
      <c r="J167" s="1" t="s">
        <v>27</v>
      </c>
      <c r="K167" s="1">
        <v>1</v>
      </c>
      <c r="L167" s="1">
        <v>1</v>
      </c>
      <c r="M167" s="2">
        <v>0.33190491937901917</v>
      </c>
      <c r="N167" s="27" t="str">
        <f t="shared" si="100"/>
        <v>Low</v>
      </c>
      <c r="O167" s="1">
        <v>1</v>
      </c>
      <c r="P167" s="6">
        <v>31.892908670871972</v>
      </c>
      <c r="Q167" s="6">
        <v>30.858364771154239</v>
      </c>
      <c r="R167" s="6">
        <v>29.863524402397459</v>
      </c>
      <c r="S167" s="6">
        <v>28.906904710382818</v>
      </c>
      <c r="T167" s="6">
        <v>49.5</v>
      </c>
      <c r="U167" s="6">
        <v>47.8</v>
      </c>
      <c r="V167" s="6">
        <v>46.25</v>
      </c>
      <c r="W167" s="6">
        <v>44.75</v>
      </c>
      <c r="X167" s="10">
        <f t="shared" si="101"/>
        <v>-0.55206916091691305</v>
      </c>
      <c r="Y167" s="10">
        <f t="shared" si="102"/>
        <v>-0.54901273461782552</v>
      </c>
      <c r="Z167" s="10">
        <f t="shared" si="103"/>
        <v>-0.54871204673642027</v>
      </c>
      <c r="AA167" s="10">
        <f t="shared" si="104"/>
        <v>-0.54807304512013832</v>
      </c>
      <c r="AB167" s="2">
        <f t="shared" si="105"/>
        <v>-0.54946674684782426</v>
      </c>
      <c r="AC167" s="6">
        <v>44.862451343658819</v>
      </c>
      <c r="AD167" s="6">
        <v>43.072572839506165</v>
      </c>
      <c r="AE167" s="6">
        <v>41.894032968841863</v>
      </c>
      <c r="AF167" s="6">
        <v>41.944647182940514</v>
      </c>
      <c r="AG167" s="6">
        <v>35.75</v>
      </c>
      <c r="AH167" s="6">
        <v>36.799999999999997</v>
      </c>
      <c r="AI167" s="6">
        <v>39.5</v>
      </c>
      <c r="AJ167" s="6">
        <v>37.25</v>
      </c>
      <c r="AK167" s="10">
        <f t="shared" si="106"/>
        <v>0.2031197821504428</v>
      </c>
      <c r="AL167" s="10">
        <f t="shared" si="107"/>
        <v>0.14562800469056178</v>
      </c>
      <c r="AM167" s="10">
        <f t="shared" si="108"/>
        <v>5.7144963117358345E-2</v>
      </c>
      <c r="AN167" s="10">
        <f t="shared" si="109"/>
        <v>0.11192482231320076</v>
      </c>
      <c r="AO167" s="2">
        <f t="shared" si="110"/>
        <v>0.12945439306789092</v>
      </c>
      <c r="AP167" s="2">
        <v>0</v>
      </c>
      <c r="AQ167" s="2">
        <v>0</v>
      </c>
      <c r="AR167" s="2">
        <v>0</v>
      </c>
      <c r="AS167" s="2">
        <v>0</v>
      </c>
      <c r="AT167" s="2">
        <v>0.6</v>
      </c>
      <c r="AU167" s="2">
        <v>0.6</v>
      </c>
      <c r="AV167" s="2">
        <v>0.6</v>
      </c>
      <c r="AW167" s="2">
        <v>0.6</v>
      </c>
      <c r="AX167" s="10" t="str">
        <f t="shared" si="111"/>
        <v/>
      </c>
      <c r="AY167" s="10" t="str">
        <f t="shared" si="112"/>
        <v/>
      </c>
      <c r="AZ167" s="10" t="str">
        <f t="shared" si="113"/>
        <v/>
      </c>
      <c r="BA167" s="10" t="str">
        <f t="shared" si="114"/>
        <v/>
      </c>
      <c r="BB167" s="2" t="str">
        <f t="shared" si="115"/>
        <v>NA</v>
      </c>
      <c r="BC167" s="6">
        <v>33124</v>
      </c>
      <c r="BD167" s="6">
        <v>35585</v>
      </c>
      <c r="BE167" s="6">
        <v>33016</v>
      </c>
      <c r="BF167" s="6">
        <v>34631</v>
      </c>
      <c r="BG167" s="6">
        <v>27904</v>
      </c>
      <c r="BH167" s="6">
        <v>36237</v>
      </c>
      <c r="BI167" s="6">
        <v>31254</v>
      </c>
      <c r="BJ167" s="6">
        <v>30109</v>
      </c>
      <c r="BK167" s="10">
        <f t="shared" si="116"/>
        <v>0.15758966308416858</v>
      </c>
      <c r="BL167" s="10">
        <f t="shared" si="117"/>
        <v>-1.832232682309962E-2</v>
      </c>
      <c r="BM167" s="10">
        <f t="shared" si="118"/>
        <v>5.3368063968984733E-2</v>
      </c>
      <c r="BN167" s="10">
        <f t="shared" si="119"/>
        <v>0.13057665097744794</v>
      </c>
      <c r="BO167" s="2">
        <f t="shared" si="120"/>
        <v>8.0803012801875407E-2</v>
      </c>
      <c r="BP167" s="10">
        <v>-5.2242679528286984E-2</v>
      </c>
      <c r="BQ167" s="10">
        <v>9.8297962021721697E-3</v>
      </c>
      <c r="BR167" s="10">
        <v>-2.3527705074564254E-2</v>
      </c>
      <c r="BS167" s="10">
        <v>-2.0279131847856013E-2</v>
      </c>
      <c r="BT167" s="11" t="s">
        <v>459</v>
      </c>
    </row>
    <row r="168" spans="1:72">
      <c r="A168">
        <f>COUNTIFS($J$7:J168,J168,$N$7:N168,N168,$E$7:E168,E168)</f>
        <v>36</v>
      </c>
      <c r="B168" s="16" t="str">
        <f t="shared" si="98"/>
        <v>Low</v>
      </c>
      <c r="C168" s="16" t="str">
        <f t="shared" si="99"/>
        <v>36LowNoTechnology</v>
      </c>
      <c r="D168" s="1">
        <v>25242</v>
      </c>
      <c r="E168" s="1" t="s">
        <v>23</v>
      </c>
      <c r="F168" s="1" t="s">
        <v>36</v>
      </c>
      <c r="G168" s="1" t="s">
        <v>257</v>
      </c>
      <c r="H168" s="1">
        <v>30</v>
      </c>
      <c r="I168" s="1" t="s">
        <v>38</v>
      </c>
      <c r="J168" s="1" t="s">
        <v>27</v>
      </c>
      <c r="K168" s="1">
        <v>2</v>
      </c>
      <c r="L168" s="1">
        <v>1</v>
      </c>
      <c r="M168" s="2">
        <v>0.26811942931375665</v>
      </c>
      <c r="N168" s="27" t="str">
        <f t="shared" si="100"/>
        <v>Low</v>
      </c>
      <c r="O168" s="1">
        <v>1</v>
      </c>
      <c r="P168" s="6">
        <v>31.85357514370871</v>
      </c>
      <c r="Q168" s="6">
        <v>51.329151232366222</v>
      </c>
      <c r="R168" s="6">
        <v>50.942717659149707</v>
      </c>
      <c r="S168" s="6">
        <v>50.98964125073276</v>
      </c>
      <c r="T168" s="6">
        <v>25.25</v>
      </c>
      <c r="U168" s="6">
        <v>24.2</v>
      </c>
      <c r="V168" s="6">
        <v>23</v>
      </c>
      <c r="W168" s="6">
        <v>70</v>
      </c>
      <c r="X168" s="10">
        <f t="shared" si="101"/>
        <v>0.20731032902637805</v>
      </c>
      <c r="Y168" s="10">
        <f t="shared" si="102"/>
        <v>0.52853301839247258</v>
      </c>
      <c r="Z168" s="10">
        <f t="shared" si="103"/>
        <v>0.54851250469420099</v>
      </c>
      <c r="AA168" s="10">
        <f t="shared" si="104"/>
        <v>-0.37282785842298993</v>
      </c>
      <c r="AB168" s="2">
        <f t="shared" si="105"/>
        <v>0.22788199842251541</v>
      </c>
      <c r="AC168" s="6">
        <v>30.98055525741476</v>
      </c>
      <c r="AD168" s="6">
        <v>36.38737404971171</v>
      </c>
      <c r="AE168" s="6">
        <v>35.44335026773043</v>
      </c>
      <c r="AF168" s="6">
        <v>36.153298033463315</v>
      </c>
      <c r="AG168" s="6">
        <v>29.75</v>
      </c>
      <c r="AH168" s="6">
        <v>29</v>
      </c>
      <c r="AI168" s="6">
        <v>29.25</v>
      </c>
      <c r="AJ168" s="6">
        <v>62.5</v>
      </c>
      <c r="AK168" s="10">
        <f t="shared" si="106"/>
        <v>3.9720245398772974E-2</v>
      </c>
      <c r="AL168" s="10">
        <f t="shared" si="107"/>
        <v>0.20302025751072955</v>
      </c>
      <c r="AM168" s="10">
        <f t="shared" si="108"/>
        <v>0.17473941433152826</v>
      </c>
      <c r="AN168" s="10">
        <f t="shared" si="109"/>
        <v>-0.72874961344191358</v>
      </c>
      <c r="AO168" s="2">
        <f t="shared" si="110"/>
        <v>-7.7817424050220699E-2</v>
      </c>
      <c r="AP168" s="2">
        <v>0</v>
      </c>
      <c r="AQ168" s="2">
        <v>0</v>
      </c>
      <c r="AR168" s="2">
        <v>0</v>
      </c>
      <c r="AS168" s="2">
        <v>0</v>
      </c>
      <c r="AT168" s="2">
        <v>0.75</v>
      </c>
      <c r="AU168" s="2">
        <v>0.75</v>
      </c>
      <c r="AV168" s="2">
        <v>0.75</v>
      </c>
      <c r="AW168" s="2">
        <v>0</v>
      </c>
      <c r="AX168" s="10" t="str">
        <f t="shared" si="111"/>
        <v/>
      </c>
      <c r="AY168" s="10" t="str">
        <f t="shared" si="112"/>
        <v/>
      </c>
      <c r="AZ168" s="10" t="str">
        <f t="shared" si="113"/>
        <v/>
      </c>
      <c r="BA168" s="10" t="str">
        <f t="shared" si="114"/>
        <v/>
      </c>
      <c r="BB168" s="2" t="str">
        <f t="shared" si="115"/>
        <v>NA</v>
      </c>
      <c r="BC168" s="6">
        <v>16626</v>
      </c>
      <c r="BD168" s="6">
        <v>18640</v>
      </c>
      <c r="BE168" s="6">
        <v>19021</v>
      </c>
      <c r="BF168" s="6">
        <v>19402</v>
      </c>
      <c r="BG168" s="6">
        <v>10433</v>
      </c>
      <c r="BH168" s="6">
        <v>12535</v>
      </c>
      <c r="BI168" s="6">
        <v>10141</v>
      </c>
      <c r="BJ168" s="6">
        <v>22046</v>
      </c>
      <c r="BK168" s="10">
        <f t="shared" si="116"/>
        <v>0.37248887284975341</v>
      </c>
      <c r="BL168" s="10">
        <f t="shared" si="117"/>
        <v>0.32752145922746784</v>
      </c>
      <c r="BM168" s="10">
        <f t="shared" si="118"/>
        <v>0.46685242626570633</v>
      </c>
      <c r="BN168" s="10">
        <f t="shared" si="119"/>
        <v>-0.13627461086485929</v>
      </c>
      <c r="BO168" s="2">
        <f t="shared" si="120"/>
        <v>0.25764703686951707</v>
      </c>
      <c r="BP168" s="10">
        <v>-1.8661636698028783E-2</v>
      </c>
      <c r="BQ168" s="10">
        <v>-1.9509638760679737E-2</v>
      </c>
      <c r="BR168" s="10">
        <v>-1.8972411126444266E-2</v>
      </c>
      <c r="BS168" s="10">
        <v>-1.9210202910455165E-2</v>
      </c>
      <c r="BT168" s="11">
        <v>0</v>
      </c>
    </row>
    <row r="169" spans="1:72">
      <c r="A169">
        <f>COUNTIFS($J$7:J169,J169,$N$7:N169,N169,$E$7:E169,E169)</f>
        <v>7</v>
      </c>
      <c r="B169" s="16" t="str">
        <f t="shared" si="98"/>
        <v>Medium</v>
      </c>
      <c r="C169" s="16" t="str">
        <f t="shared" si="99"/>
        <v>7MediumYesTelecom-AT&amp;T</v>
      </c>
      <c r="D169" s="1">
        <v>25243</v>
      </c>
      <c r="E169" s="11" t="s">
        <v>484</v>
      </c>
      <c r="F169" s="1" t="s">
        <v>6</v>
      </c>
      <c r="G169" s="1" t="s">
        <v>258</v>
      </c>
      <c r="H169" s="1">
        <v>13</v>
      </c>
      <c r="I169" s="1" t="s">
        <v>118</v>
      </c>
      <c r="J169" s="1" t="s">
        <v>9</v>
      </c>
      <c r="K169" s="1">
        <v>1</v>
      </c>
      <c r="L169" s="1"/>
      <c r="M169" s="2">
        <v>0</v>
      </c>
      <c r="N169" s="27" t="str">
        <f t="shared" si="100"/>
        <v>Medium</v>
      </c>
      <c r="O169" s="1">
        <v>1</v>
      </c>
      <c r="P169" s="6">
        <v>6.3371013740263979</v>
      </c>
      <c r="Q169" s="6">
        <v>6.0777233770354631</v>
      </c>
      <c r="R169" s="6">
        <v>6.0759270645861738</v>
      </c>
      <c r="S169" s="6">
        <v>6.0759270645861738</v>
      </c>
      <c r="T169" s="6">
        <v>11</v>
      </c>
      <c r="U169" s="6">
        <v>10.4</v>
      </c>
      <c r="V169" s="6">
        <v>10</v>
      </c>
      <c r="W169" s="6">
        <v>9.25</v>
      </c>
      <c r="X169" s="10">
        <f t="shared" si="101"/>
        <v>-0.73580937888814946</v>
      </c>
      <c r="Y169" s="10">
        <f t="shared" si="102"/>
        <v>-0.71116705299490257</v>
      </c>
      <c r="Z169" s="10">
        <f t="shared" si="103"/>
        <v>-0.64583937458457485</v>
      </c>
      <c r="AA169" s="10">
        <f t="shared" si="104"/>
        <v>-0.52240142149073177</v>
      </c>
      <c r="AB169" s="2">
        <f t="shared" si="105"/>
        <v>-0.65380430698958958</v>
      </c>
      <c r="AC169" s="6">
        <v>1.6314028719353886</v>
      </c>
      <c r="AD169" s="6">
        <v>0</v>
      </c>
      <c r="AE169" s="6">
        <v>0</v>
      </c>
      <c r="AF169" s="6">
        <v>0</v>
      </c>
      <c r="AG169" s="6">
        <v>0</v>
      </c>
      <c r="AH169" s="6">
        <v>0</v>
      </c>
      <c r="AI169" s="6">
        <v>0</v>
      </c>
      <c r="AJ169" s="6">
        <v>0</v>
      </c>
      <c r="AK169" s="10">
        <f t="shared" si="106"/>
        <v>1</v>
      </c>
      <c r="AL169" s="10" t="str">
        <f t="shared" si="107"/>
        <v/>
      </c>
      <c r="AM169" s="10" t="str">
        <f t="shared" si="108"/>
        <v/>
      </c>
      <c r="AN169" s="10" t="str">
        <f t="shared" si="109"/>
        <v/>
      </c>
      <c r="AO169" s="2" t="str">
        <f t="shared" si="110"/>
        <v>NA</v>
      </c>
      <c r="AP169" s="2">
        <v>0.72</v>
      </c>
      <c r="AQ169" s="2">
        <v>0</v>
      </c>
      <c r="AR169" s="2">
        <v>0</v>
      </c>
      <c r="AS169" s="2">
        <v>0</v>
      </c>
      <c r="AT169" s="2">
        <v>0.72</v>
      </c>
      <c r="AU169" s="2">
        <v>0.72</v>
      </c>
      <c r="AV169" s="2">
        <v>0.72</v>
      </c>
      <c r="AW169" s="2">
        <v>0.72</v>
      </c>
      <c r="AX169" s="10">
        <f t="shared" si="111"/>
        <v>0</v>
      </c>
      <c r="AY169" s="10" t="str">
        <f t="shared" si="112"/>
        <v/>
      </c>
      <c r="AZ169" s="10" t="str">
        <f t="shared" si="113"/>
        <v/>
      </c>
      <c r="BA169" s="10" t="str">
        <f t="shared" si="114"/>
        <v/>
      </c>
      <c r="BB169" s="2">
        <f t="shared" si="115"/>
        <v>0</v>
      </c>
      <c r="BC169" s="6">
        <v>194.98504200107649</v>
      </c>
      <c r="BD169" s="6">
        <v>0</v>
      </c>
      <c r="BE169" s="6">
        <v>0</v>
      </c>
      <c r="BF169" s="6">
        <v>0</v>
      </c>
      <c r="BG169" s="6">
        <v>200</v>
      </c>
      <c r="BH169" s="6">
        <v>0</v>
      </c>
      <c r="BI169" s="6">
        <v>0</v>
      </c>
      <c r="BJ169" s="6">
        <v>0</v>
      </c>
      <c r="BK169" s="10">
        <f t="shared" si="116"/>
        <v>-2.5719706226982372E-2</v>
      </c>
      <c r="BL169" s="10" t="str">
        <f t="shared" si="117"/>
        <v/>
      </c>
      <c r="BM169" s="10" t="str">
        <f t="shared" si="118"/>
        <v/>
      </c>
      <c r="BN169" s="10" t="str">
        <f t="shared" si="119"/>
        <v/>
      </c>
      <c r="BO169" s="2">
        <f t="shared" si="120"/>
        <v>-2.5719706226982372E-2</v>
      </c>
      <c r="BP169" s="10">
        <v>10.23737157154687</v>
      </c>
      <c r="BQ169" s="10">
        <v>0</v>
      </c>
      <c r="BR169" s="10">
        <v>0</v>
      </c>
      <c r="BS169" s="10">
        <v>0</v>
      </c>
      <c r="BT169" s="11">
        <v>0</v>
      </c>
    </row>
    <row r="170" spans="1:72">
      <c r="A170">
        <f>COUNTIFS($J$7:J170,J170,$N$7:N170,N170,$E$7:E170,E170)</f>
        <v>19</v>
      </c>
      <c r="B170" s="16" t="str">
        <f t="shared" si="98"/>
        <v>Low</v>
      </c>
      <c r="C170" s="16" t="str">
        <f t="shared" si="99"/>
        <v>19LowYesTelecom-AT&amp;T</v>
      </c>
      <c r="D170" s="1">
        <v>25247</v>
      </c>
      <c r="E170" s="11" t="s">
        <v>484</v>
      </c>
      <c r="F170" s="1" t="s">
        <v>6</v>
      </c>
      <c r="G170" s="1" t="s">
        <v>259</v>
      </c>
      <c r="H170" s="1">
        <v>209</v>
      </c>
      <c r="I170" s="1" t="s">
        <v>93</v>
      </c>
      <c r="J170" s="1" t="s">
        <v>9</v>
      </c>
      <c r="K170" s="1">
        <v>1</v>
      </c>
      <c r="L170" s="1">
        <v>1</v>
      </c>
      <c r="M170" s="2">
        <v>0.45818824348261805</v>
      </c>
      <c r="N170" s="27" t="str">
        <f t="shared" si="100"/>
        <v>Low</v>
      </c>
      <c r="O170" s="1">
        <v>1</v>
      </c>
      <c r="P170" s="6">
        <v>202.02730590884269</v>
      </c>
      <c r="Q170" s="6">
        <v>191.19762172838219</v>
      </c>
      <c r="R170" s="6">
        <v>181.00975012464019</v>
      </c>
      <c r="S170" s="6">
        <v>171.4260878703854</v>
      </c>
      <c r="T170" s="6">
        <v>189.5</v>
      </c>
      <c r="U170" s="6">
        <v>184.6</v>
      </c>
      <c r="V170" s="6">
        <v>179.5</v>
      </c>
      <c r="W170" s="6">
        <v>175.5</v>
      </c>
      <c r="X170" s="10">
        <f t="shared" si="101"/>
        <v>6.2007983784603718E-2</v>
      </c>
      <c r="Y170" s="10">
        <f t="shared" si="102"/>
        <v>3.450681901135183E-2</v>
      </c>
      <c r="Z170" s="10">
        <f t="shared" si="103"/>
        <v>8.3407116113944357E-3</v>
      </c>
      <c r="AA170" s="10">
        <f t="shared" si="104"/>
        <v>-2.3764831713915489E-2</v>
      </c>
      <c r="AB170" s="2">
        <f t="shared" si="105"/>
        <v>2.0272670673358625E-2</v>
      </c>
      <c r="AC170" s="6">
        <v>210</v>
      </c>
      <c r="AD170" s="6">
        <v>177</v>
      </c>
      <c r="AE170" s="6">
        <v>163</v>
      </c>
      <c r="AF170" s="6">
        <v>159</v>
      </c>
      <c r="AG170" s="6">
        <v>204.25</v>
      </c>
      <c r="AH170" s="6">
        <v>171.8</v>
      </c>
      <c r="AI170" s="6">
        <v>159.5</v>
      </c>
      <c r="AJ170" s="6">
        <v>153.75</v>
      </c>
      <c r="AK170" s="10">
        <f t="shared" si="106"/>
        <v>2.7380952380952381E-2</v>
      </c>
      <c r="AL170" s="10">
        <f t="shared" si="107"/>
        <v>2.9378531073446262E-2</v>
      </c>
      <c r="AM170" s="10">
        <f t="shared" si="108"/>
        <v>2.1472392638036811E-2</v>
      </c>
      <c r="AN170" s="10">
        <f t="shared" si="109"/>
        <v>3.3018867924528301E-2</v>
      </c>
      <c r="AO170" s="2">
        <f t="shared" si="110"/>
        <v>2.7812686004240937E-2</v>
      </c>
      <c r="AP170" s="2">
        <v>0.85</v>
      </c>
      <c r="AQ170" s="2">
        <v>0.85</v>
      </c>
      <c r="AR170" s="2">
        <v>0.85</v>
      </c>
      <c r="AS170" s="2">
        <v>0.85</v>
      </c>
      <c r="AT170" s="2">
        <v>0.85</v>
      </c>
      <c r="AU170" s="2">
        <v>0.85</v>
      </c>
      <c r="AV170" s="2">
        <v>0.85</v>
      </c>
      <c r="AW170" s="2">
        <v>0.85</v>
      </c>
      <c r="AX170" s="10">
        <f t="shared" si="111"/>
        <v>0</v>
      </c>
      <c r="AY170" s="10">
        <f t="shared" si="112"/>
        <v>0</v>
      </c>
      <c r="AZ170" s="10">
        <f t="shared" si="113"/>
        <v>0</v>
      </c>
      <c r="BA170" s="10">
        <f t="shared" si="114"/>
        <v>0</v>
      </c>
      <c r="BB170" s="2">
        <f t="shared" si="115"/>
        <v>0</v>
      </c>
      <c r="BC170" s="6">
        <v>121546</v>
      </c>
      <c r="BD170" s="6">
        <v>105942</v>
      </c>
      <c r="BE170" s="6">
        <v>94663</v>
      </c>
      <c r="BF170" s="6">
        <v>94989</v>
      </c>
      <c r="BG170" s="6">
        <v>100647</v>
      </c>
      <c r="BH170" s="6">
        <v>109359</v>
      </c>
      <c r="BI170" s="6">
        <v>81625</v>
      </c>
      <c r="BJ170" s="6">
        <v>79741</v>
      </c>
      <c r="BK170" s="10">
        <f t="shared" si="116"/>
        <v>0.17194313264113997</v>
      </c>
      <c r="BL170" s="10">
        <f t="shared" si="117"/>
        <v>-3.2253497196579259E-2</v>
      </c>
      <c r="BM170" s="10">
        <f t="shared" si="118"/>
        <v>0.13773068675195166</v>
      </c>
      <c r="BN170" s="10">
        <f t="shared" si="119"/>
        <v>0.16052385013001505</v>
      </c>
      <c r="BO170" s="2">
        <f t="shared" si="120"/>
        <v>0.10948604308163185</v>
      </c>
      <c r="BP170" s="10">
        <v>-3.9702585807269153E-2</v>
      </c>
      <c r="BQ170" s="10">
        <v>-1.0292200311030952E-2</v>
      </c>
      <c r="BR170" s="10">
        <v>2.2631102819293814E-3</v>
      </c>
      <c r="BS170" s="10">
        <v>1.9045481066738978E-2</v>
      </c>
      <c r="BT170" s="11" t="s">
        <v>459</v>
      </c>
    </row>
    <row r="171" spans="1:72">
      <c r="A171">
        <f>COUNTIFS($J$7:J171,J171,$N$7:N171,N171,$E$7:E171,E171)</f>
        <v>37</v>
      </c>
      <c r="B171" s="16" t="str">
        <f t="shared" si="98"/>
        <v>Low</v>
      </c>
      <c r="C171" s="16" t="str">
        <f t="shared" si="99"/>
        <v>37LowNoTechnology</v>
      </c>
      <c r="D171" s="1">
        <v>25248</v>
      </c>
      <c r="E171" s="1" t="s">
        <v>23</v>
      </c>
      <c r="F171" s="1" t="s">
        <v>161</v>
      </c>
      <c r="G171" s="1" t="s">
        <v>260</v>
      </c>
      <c r="H171" s="1">
        <v>212</v>
      </c>
      <c r="I171" s="1" t="s">
        <v>133</v>
      </c>
      <c r="J171" s="1" t="s">
        <v>27</v>
      </c>
      <c r="K171" s="1">
        <v>1</v>
      </c>
      <c r="L171" s="1">
        <v>1</v>
      </c>
      <c r="M171" s="2">
        <v>0.32207972127688062</v>
      </c>
      <c r="N171" s="27" t="str">
        <f t="shared" si="100"/>
        <v>Low</v>
      </c>
      <c r="O171" s="1">
        <v>1</v>
      </c>
      <c r="P171" s="6">
        <v>171.08252795673479</v>
      </c>
      <c r="Q171" s="6">
        <v>167.80136827862799</v>
      </c>
      <c r="R171" s="6">
        <v>163.58772133004129</v>
      </c>
      <c r="S171" s="6">
        <v>234.75066884197381</v>
      </c>
      <c r="T171" s="6">
        <v>57.5</v>
      </c>
      <c r="U171" s="6">
        <v>62</v>
      </c>
      <c r="V171" s="6">
        <v>82.5</v>
      </c>
      <c r="W171" s="6">
        <v>116.25</v>
      </c>
      <c r="X171" s="10">
        <f t="shared" si="101"/>
        <v>0.66390489615315229</v>
      </c>
      <c r="Y171" s="10">
        <f t="shared" si="102"/>
        <v>0.63051552775748954</v>
      </c>
      <c r="Z171" s="10">
        <f t="shared" si="103"/>
        <v>0.49568342092402701</v>
      </c>
      <c r="AA171" s="10">
        <f t="shared" si="104"/>
        <v>0.50479374319373904</v>
      </c>
      <c r="AB171" s="2">
        <f t="shared" si="105"/>
        <v>0.57372439700710198</v>
      </c>
      <c r="AC171" s="6">
        <v>221</v>
      </c>
      <c r="AD171" s="6">
        <v>211</v>
      </c>
      <c r="AE171" s="6">
        <v>206</v>
      </c>
      <c r="AF171" s="6">
        <v>234</v>
      </c>
      <c r="AG171" s="6">
        <v>85.25</v>
      </c>
      <c r="AH171" s="6">
        <v>77.2</v>
      </c>
      <c r="AI171" s="6">
        <v>76</v>
      </c>
      <c r="AJ171" s="6">
        <v>100.75</v>
      </c>
      <c r="AK171" s="10">
        <f t="shared" si="106"/>
        <v>0.61425339366515841</v>
      </c>
      <c r="AL171" s="10">
        <f t="shared" si="107"/>
        <v>0.63412322274881527</v>
      </c>
      <c r="AM171" s="10">
        <f t="shared" si="108"/>
        <v>0.6310679611650486</v>
      </c>
      <c r="AN171" s="10">
        <f t="shared" si="109"/>
        <v>0.56944444444444442</v>
      </c>
      <c r="AO171" s="2">
        <f t="shared" si="110"/>
        <v>0.61222225550586673</v>
      </c>
      <c r="AP171" s="2">
        <v>0.86</v>
      </c>
      <c r="AQ171" s="2">
        <v>0.86</v>
      </c>
      <c r="AR171" s="2">
        <v>0.86</v>
      </c>
      <c r="AS171" s="2">
        <v>0.86</v>
      </c>
      <c r="AT171" s="2">
        <v>0.86</v>
      </c>
      <c r="AU171" s="2">
        <v>0.86</v>
      </c>
      <c r="AV171" s="2">
        <v>0.86</v>
      </c>
      <c r="AW171" s="2">
        <v>0.86</v>
      </c>
      <c r="AX171" s="10">
        <f t="shared" si="111"/>
        <v>0</v>
      </c>
      <c r="AY171" s="10">
        <f t="shared" si="112"/>
        <v>0</v>
      </c>
      <c r="AZ171" s="10">
        <f t="shared" si="113"/>
        <v>0</v>
      </c>
      <c r="BA171" s="10">
        <f t="shared" si="114"/>
        <v>0</v>
      </c>
      <c r="BB171" s="2">
        <f t="shared" si="115"/>
        <v>0</v>
      </c>
      <c r="BC171" s="6">
        <v>700</v>
      </c>
      <c r="BD171" s="6">
        <v>700</v>
      </c>
      <c r="BE171" s="6">
        <v>700</v>
      </c>
      <c r="BF171" s="6">
        <v>700</v>
      </c>
      <c r="BG171" s="6">
        <v>20568</v>
      </c>
      <c r="BH171" s="6">
        <v>22917</v>
      </c>
      <c r="BI171" s="6">
        <v>17696</v>
      </c>
      <c r="BJ171" s="6">
        <v>23290</v>
      </c>
      <c r="BK171" s="10">
        <f t="shared" si="116"/>
        <v>-28.382857142857144</v>
      </c>
      <c r="BL171" s="10">
        <f t="shared" si="117"/>
        <v>-31.738571428571429</v>
      </c>
      <c r="BM171" s="10">
        <f t="shared" si="118"/>
        <v>-24.28</v>
      </c>
      <c r="BN171" s="10">
        <f t="shared" si="119"/>
        <v>-32.271428571428572</v>
      </c>
      <c r="BO171" s="2">
        <f t="shared" si="120"/>
        <v>-29.168214285714285</v>
      </c>
      <c r="BP171" s="10">
        <v>-8.3696096443385271E-3</v>
      </c>
      <c r="BQ171" s="10">
        <v>-0.10129944023422521</v>
      </c>
      <c r="BR171" s="10">
        <v>-7.3588031223772776E-2</v>
      </c>
      <c r="BS171" s="10">
        <v>1.2466715349592428E-2</v>
      </c>
      <c r="BT171" s="11">
        <v>0</v>
      </c>
    </row>
    <row r="172" spans="1:72">
      <c r="A172">
        <f>COUNTIFS($J$7:J172,J172,$N$7:N172,N172,$E$7:E172,E172)</f>
        <v>7</v>
      </c>
      <c r="B172" s="16" t="str">
        <f t="shared" si="98"/>
        <v>Medium</v>
      </c>
      <c r="C172" s="16" t="str">
        <f t="shared" si="99"/>
        <v>7MediumNoBFIMG</v>
      </c>
      <c r="D172" s="1">
        <v>25250</v>
      </c>
      <c r="E172" s="1" t="s">
        <v>20</v>
      </c>
      <c r="F172" s="1" t="s">
        <v>261</v>
      </c>
      <c r="G172" s="1" t="s">
        <v>262</v>
      </c>
      <c r="H172" s="1">
        <v>153</v>
      </c>
      <c r="I172" s="1" t="s">
        <v>188</v>
      </c>
      <c r="J172" s="1" t="s">
        <v>27</v>
      </c>
      <c r="K172" s="1">
        <v>1</v>
      </c>
      <c r="L172" s="1">
        <v>1</v>
      </c>
      <c r="M172" s="2">
        <v>6.8962035527760757E-2</v>
      </c>
      <c r="N172" s="27" t="str">
        <f t="shared" si="100"/>
        <v>Medium</v>
      </c>
      <c r="O172" s="1">
        <v>1</v>
      </c>
      <c r="P172" s="6">
        <v>130.40941160347961</v>
      </c>
      <c r="Q172" s="6">
        <v>130.3858500176554</v>
      </c>
      <c r="R172" s="6">
        <v>129.31662202334289</v>
      </c>
      <c r="S172" s="6">
        <v>129.16820334264929</v>
      </c>
      <c r="T172" s="6">
        <v>119</v>
      </c>
      <c r="U172" s="6">
        <v>124.6</v>
      </c>
      <c r="V172" s="6">
        <v>123.5</v>
      </c>
      <c r="W172" s="6">
        <v>118</v>
      </c>
      <c r="X172" s="10">
        <f t="shared" si="101"/>
        <v>8.7489173236751136E-2</v>
      </c>
      <c r="Y172" s="10">
        <f t="shared" si="102"/>
        <v>4.4374830680414715E-2</v>
      </c>
      <c r="Z172" s="10">
        <f t="shared" si="103"/>
        <v>4.4979693502146471E-2</v>
      </c>
      <c r="AA172" s="10">
        <f t="shared" si="104"/>
        <v>8.6462481118692841E-2</v>
      </c>
      <c r="AB172" s="2">
        <f t="shared" si="105"/>
        <v>6.5826544634501299E-2</v>
      </c>
      <c r="AC172" s="6">
        <v>125</v>
      </c>
      <c r="AD172" s="6">
        <v>125</v>
      </c>
      <c r="AE172" s="6">
        <v>125</v>
      </c>
      <c r="AF172" s="6">
        <v>125</v>
      </c>
      <c r="AG172" s="6">
        <v>142</v>
      </c>
      <c r="AH172" s="6">
        <v>142</v>
      </c>
      <c r="AI172" s="6">
        <v>142</v>
      </c>
      <c r="AJ172" s="6">
        <v>142</v>
      </c>
      <c r="AK172" s="10">
        <f t="shared" si="106"/>
        <v>-0.13600000000000001</v>
      </c>
      <c r="AL172" s="10">
        <f t="shared" si="107"/>
        <v>-0.13600000000000001</v>
      </c>
      <c r="AM172" s="10">
        <f t="shared" si="108"/>
        <v>-0.13600000000000001</v>
      </c>
      <c r="AN172" s="10">
        <f t="shared" si="109"/>
        <v>-0.13600000000000001</v>
      </c>
      <c r="AO172" s="2">
        <f t="shared" si="110"/>
        <v>-0.13600000000000001</v>
      </c>
      <c r="AP172" s="2">
        <v>1</v>
      </c>
      <c r="AQ172" s="2">
        <v>1</v>
      </c>
      <c r="AR172" s="2">
        <v>1</v>
      </c>
      <c r="AS172" s="2">
        <v>1</v>
      </c>
      <c r="AT172" s="2">
        <v>1</v>
      </c>
      <c r="AU172" s="2">
        <v>1</v>
      </c>
      <c r="AV172" s="2">
        <v>1</v>
      </c>
      <c r="AW172" s="2">
        <v>1</v>
      </c>
      <c r="AX172" s="10">
        <f t="shared" si="111"/>
        <v>0</v>
      </c>
      <c r="AY172" s="10">
        <f t="shared" si="112"/>
        <v>0</v>
      </c>
      <c r="AZ172" s="10">
        <f t="shared" si="113"/>
        <v>0</v>
      </c>
      <c r="BA172" s="10">
        <f t="shared" si="114"/>
        <v>0</v>
      </c>
      <c r="BB172" s="2">
        <f t="shared" si="115"/>
        <v>0</v>
      </c>
      <c r="BC172" s="6">
        <v>0</v>
      </c>
      <c r="BD172" s="6">
        <v>0</v>
      </c>
      <c r="BE172" s="6">
        <v>0</v>
      </c>
      <c r="BF172" s="6">
        <v>0</v>
      </c>
      <c r="BG172" s="6">
        <v>0</v>
      </c>
      <c r="BH172" s="6">
        <v>0</v>
      </c>
      <c r="BI172" s="6">
        <v>0</v>
      </c>
      <c r="BJ172" s="6">
        <v>0</v>
      </c>
      <c r="BK172" s="10" t="str">
        <f t="shared" si="116"/>
        <v/>
      </c>
      <c r="BL172" s="10" t="str">
        <f t="shared" si="117"/>
        <v/>
      </c>
      <c r="BM172" s="10" t="str">
        <f t="shared" si="118"/>
        <v/>
      </c>
      <c r="BN172" s="10" t="str">
        <f t="shared" si="119"/>
        <v/>
      </c>
      <c r="BO172" s="2" t="str">
        <f t="shared" si="120"/>
        <v>NA</v>
      </c>
      <c r="BP172" s="10">
        <v>7.0679095361697586E-3</v>
      </c>
      <c r="BQ172" s="10">
        <v>2.7029435979538663E-3</v>
      </c>
      <c r="BR172" s="10">
        <v>2.748959962886155E-3</v>
      </c>
      <c r="BS172" s="10">
        <v>1.7665031142666265E-3</v>
      </c>
      <c r="BT172" s="11" t="s">
        <v>461</v>
      </c>
    </row>
    <row r="173" spans="1:72">
      <c r="A173">
        <f>COUNTIFS($J$7:J173,J173,$N$7:N173,N173,$E$7:E173,E173)</f>
        <v>38</v>
      </c>
      <c r="B173" s="16" t="str">
        <f t="shared" si="98"/>
        <v>Low</v>
      </c>
      <c r="C173" s="16" t="str">
        <f t="shared" si="99"/>
        <v>38LowNoTechnology</v>
      </c>
      <c r="D173" s="1">
        <v>25251</v>
      </c>
      <c r="E173" s="1" t="s">
        <v>23</v>
      </c>
      <c r="F173" s="1" t="s">
        <v>36</v>
      </c>
      <c r="G173" s="1" t="s">
        <v>263</v>
      </c>
      <c r="H173" s="1">
        <v>67</v>
      </c>
      <c r="I173" s="1" t="s">
        <v>38</v>
      </c>
      <c r="J173" s="1" t="s">
        <v>27</v>
      </c>
      <c r="K173" s="1">
        <v>1</v>
      </c>
      <c r="L173" s="1">
        <v>1</v>
      </c>
      <c r="M173" s="2">
        <v>0.32560913755629578</v>
      </c>
      <c r="N173" s="27" t="str">
        <f t="shared" si="100"/>
        <v>Low</v>
      </c>
      <c r="O173" s="1">
        <v>1</v>
      </c>
      <c r="P173" s="6">
        <v>41.635676695158701</v>
      </c>
      <c r="Q173" s="6">
        <v>47.169477674936473</v>
      </c>
      <c r="R173" s="6">
        <v>46.244167775186952</v>
      </c>
      <c r="S173" s="6">
        <v>43.79574450030087</v>
      </c>
      <c r="T173" s="6">
        <v>13</v>
      </c>
      <c r="U173" s="6">
        <v>12.6</v>
      </c>
      <c r="V173" s="6">
        <v>12</v>
      </c>
      <c r="W173" s="6">
        <v>11.67</v>
      </c>
      <c r="X173" s="10">
        <f t="shared" si="101"/>
        <v>0.68776777437337511</v>
      </c>
      <c r="Y173" s="10">
        <f t="shared" si="102"/>
        <v>0.73287811056905094</v>
      </c>
      <c r="Z173" s="10">
        <f t="shared" si="103"/>
        <v>0.74050781801637711</v>
      </c>
      <c r="AA173" s="10">
        <f t="shared" si="104"/>
        <v>0.73353575482842104</v>
      </c>
      <c r="AB173" s="2">
        <f t="shared" si="105"/>
        <v>0.72367236444680594</v>
      </c>
      <c r="AC173" s="6">
        <v>41.286871900826441</v>
      </c>
      <c r="AD173" s="6">
        <v>44.117971681096684</v>
      </c>
      <c r="AE173" s="6">
        <v>42.763918147382924</v>
      </c>
      <c r="AF173" s="6">
        <v>41.686969593663903</v>
      </c>
      <c r="AG173" s="6">
        <v>15</v>
      </c>
      <c r="AH173" s="6">
        <v>15</v>
      </c>
      <c r="AI173" s="6">
        <v>15</v>
      </c>
      <c r="AJ173" s="6">
        <v>16</v>
      </c>
      <c r="AK173" s="10">
        <f t="shared" si="106"/>
        <v>0.6366883876300703</v>
      </c>
      <c r="AL173" s="10">
        <f t="shared" si="107"/>
        <v>0.66000250173724373</v>
      </c>
      <c r="AM173" s="10">
        <f t="shared" si="108"/>
        <v>0.64923700517095917</v>
      </c>
      <c r="AN173" s="10">
        <f t="shared" si="109"/>
        <v>0.61618702064561015</v>
      </c>
      <c r="AO173" s="2">
        <f t="shared" si="110"/>
        <v>0.64052872879597078</v>
      </c>
      <c r="AP173" s="2">
        <v>0</v>
      </c>
      <c r="AQ173" s="2">
        <v>0</v>
      </c>
      <c r="AR173" s="2">
        <v>0</v>
      </c>
      <c r="AS173" s="2">
        <v>0</v>
      </c>
      <c r="AT173" s="2">
        <v>0.75</v>
      </c>
      <c r="AU173" s="2">
        <v>0.75</v>
      </c>
      <c r="AV173" s="2">
        <v>0.75</v>
      </c>
      <c r="AW173" s="2">
        <v>0.75</v>
      </c>
      <c r="AX173" s="10" t="str">
        <f t="shared" si="111"/>
        <v/>
      </c>
      <c r="AY173" s="10" t="str">
        <f t="shared" si="112"/>
        <v/>
      </c>
      <c r="AZ173" s="10" t="str">
        <f t="shared" si="113"/>
        <v/>
      </c>
      <c r="BA173" s="10" t="str">
        <f t="shared" si="114"/>
        <v/>
      </c>
      <c r="BB173" s="2" t="str">
        <f t="shared" si="115"/>
        <v>NA</v>
      </c>
      <c r="BC173" s="6">
        <v>11989.7076</v>
      </c>
      <c r="BD173" s="6">
        <v>12229.501749999999</v>
      </c>
      <c r="BE173" s="6">
        <v>12418.64183</v>
      </c>
      <c r="BF173" s="6">
        <v>12105.89597</v>
      </c>
      <c r="BG173" s="6">
        <v>5411</v>
      </c>
      <c r="BH173" s="6">
        <v>6502</v>
      </c>
      <c r="BI173" s="6">
        <v>5260</v>
      </c>
      <c r="BJ173" s="6">
        <v>4161</v>
      </c>
      <c r="BK173" s="10">
        <f t="shared" si="116"/>
        <v>0.54869625010705014</v>
      </c>
      <c r="BL173" s="10">
        <f t="shared" si="117"/>
        <v>0.4683348403789222</v>
      </c>
      <c r="BM173" s="10">
        <f t="shared" si="118"/>
        <v>0.57644321561047873</v>
      </c>
      <c r="BN173" s="10">
        <f t="shared" si="119"/>
        <v>0.65628318545678033</v>
      </c>
      <c r="BO173" s="2">
        <f t="shared" si="120"/>
        <v>0.56243937288830781</v>
      </c>
      <c r="BP173" s="10">
        <v>-1.9659245509084711E-2</v>
      </c>
      <c r="BQ173" s="10">
        <v>-1.821700319780073E-2</v>
      </c>
      <c r="BR173" s="10">
        <v>-1.8659788488366913E-2</v>
      </c>
      <c r="BS173" s="10">
        <v>-1.8199516827696605E-2</v>
      </c>
      <c r="BT173" s="11">
        <v>0</v>
      </c>
    </row>
    <row r="174" spans="1:72">
      <c r="A174">
        <f>COUNTIFS($J$7:J174,J174,$N$7:N174,N174,$E$7:E174,E174)</f>
        <v>39</v>
      </c>
      <c r="B174" s="16" t="str">
        <f t="shared" si="98"/>
        <v>Low</v>
      </c>
      <c r="C174" s="16" t="str">
        <f t="shared" si="99"/>
        <v>39LowNoTechnology</v>
      </c>
      <c r="D174" s="1">
        <v>25252</v>
      </c>
      <c r="E174" s="1" t="s">
        <v>23</v>
      </c>
      <c r="F174" s="1" t="s">
        <v>264</v>
      </c>
      <c r="G174" s="1" t="s">
        <v>265</v>
      </c>
      <c r="H174" s="1">
        <v>137</v>
      </c>
      <c r="I174" s="1" t="s">
        <v>203</v>
      </c>
      <c r="J174" s="1" t="s">
        <v>27</v>
      </c>
      <c r="K174" s="1">
        <v>2</v>
      </c>
      <c r="L174" s="1">
        <v>1</v>
      </c>
      <c r="M174" s="2">
        <v>0.16590545879464502</v>
      </c>
      <c r="N174" s="27" t="str">
        <f t="shared" si="100"/>
        <v>Low</v>
      </c>
      <c r="O174" s="1">
        <v>1</v>
      </c>
      <c r="P174" s="6">
        <v>151.3609184901276</v>
      </c>
      <c r="Q174" s="6">
        <v>144.842255716822</v>
      </c>
      <c r="R174" s="6">
        <v>152.88027909446029</v>
      </c>
      <c r="S174" s="6">
        <v>149.16846175121461</v>
      </c>
      <c r="T174" s="6">
        <v>27.75</v>
      </c>
      <c r="U174" s="6">
        <v>26.6</v>
      </c>
      <c r="V174" s="6">
        <v>25.25</v>
      </c>
      <c r="W174" s="6">
        <v>23.75</v>
      </c>
      <c r="X174" s="10">
        <f t="shared" si="101"/>
        <v>0.81666337468869166</v>
      </c>
      <c r="Y174" s="10">
        <f t="shared" si="102"/>
        <v>0.81635193494911396</v>
      </c>
      <c r="Z174" s="10">
        <f t="shared" si="103"/>
        <v>0.83483808278241856</v>
      </c>
      <c r="AA174" s="10">
        <f t="shared" si="104"/>
        <v>0.84078403892365261</v>
      </c>
      <c r="AB174" s="2">
        <f t="shared" si="105"/>
        <v>0.82715935783596917</v>
      </c>
      <c r="AC174" s="6">
        <v>126.26262626262626</v>
      </c>
      <c r="AD174" s="6">
        <v>126.26262626262626</v>
      </c>
      <c r="AE174" s="6">
        <v>132.27513227513228</v>
      </c>
      <c r="AF174" s="6">
        <v>126.26262626262626</v>
      </c>
      <c r="AG174" s="6">
        <v>146</v>
      </c>
      <c r="AH174" s="6">
        <v>150</v>
      </c>
      <c r="AI174" s="6">
        <v>145.5</v>
      </c>
      <c r="AJ174" s="6">
        <v>156</v>
      </c>
      <c r="AK174" s="10">
        <f t="shared" si="106"/>
        <v>-0.15632000000000007</v>
      </c>
      <c r="AL174" s="10">
        <f t="shared" si="107"/>
        <v>-0.18800000000000006</v>
      </c>
      <c r="AM174" s="10">
        <f t="shared" si="108"/>
        <v>-9.9979999999999972E-2</v>
      </c>
      <c r="AN174" s="10">
        <f t="shared" si="109"/>
        <v>-0.23552000000000006</v>
      </c>
      <c r="AO174" s="2">
        <f t="shared" si="110"/>
        <v>-0.16995500000000002</v>
      </c>
      <c r="AP174" s="2">
        <v>1</v>
      </c>
      <c r="AQ174" s="2">
        <v>1</v>
      </c>
      <c r="AR174" s="2">
        <v>1</v>
      </c>
      <c r="AS174" s="2">
        <v>1</v>
      </c>
      <c r="AT174" s="2">
        <v>0.8</v>
      </c>
      <c r="AU174" s="2">
        <v>0.8</v>
      </c>
      <c r="AV174" s="2">
        <v>0.8</v>
      </c>
      <c r="AW174" s="2">
        <v>0.8</v>
      </c>
      <c r="AX174" s="10">
        <f t="shared" si="111"/>
        <v>0.19999999999999996</v>
      </c>
      <c r="AY174" s="10">
        <f t="shared" si="112"/>
        <v>0.19999999999999996</v>
      </c>
      <c r="AZ174" s="10">
        <f t="shared" si="113"/>
        <v>0.19999999999999996</v>
      </c>
      <c r="BA174" s="10">
        <f t="shared" si="114"/>
        <v>0.19999999999999996</v>
      </c>
      <c r="BB174" s="2">
        <f t="shared" si="115"/>
        <v>0.19999999999999996</v>
      </c>
      <c r="BC174" s="6">
        <v>0</v>
      </c>
      <c r="BD174" s="6">
        <v>0</v>
      </c>
      <c r="BE174" s="6">
        <v>0</v>
      </c>
      <c r="BF174" s="6">
        <v>0</v>
      </c>
      <c r="BG174" s="6">
        <v>83585</v>
      </c>
      <c r="BH174" s="6">
        <v>105612</v>
      </c>
      <c r="BI174" s="6">
        <v>81575</v>
      </c>
      <c r="BJ174" s="6">
        <v>88973</v>
      </c>
      <c r="BK174" s="10" t="str">
        <f t="shared" si="116"/>
        <v/>
      </c>
      <c r="BL174" s="10" t="str">
        <f t="shared" si="117"/>
        <v/>
      </c>
      <c r="BM174" s="10" t="str">
        <f t="shared" si="118"/>
        <v/>
      </c>
      <c r="BN174" s="10" t="str">
        <f t="shared" si="119"/>
        <v/>
      </c>
      <c r="BO174" s="2" t="str">
        <f t="shared" si="120"/>
        <v>NA</v>
      </c>
      <c r="BP174" s="10">
        <v>3.9279023804967061E-2</v>
      </c>
      <c r="BQ174" s="10">
        <v>0.11023519958128664</v>
      </c>
      <c r="BR174" s="10">
        <v>8.7982294359572166E-2</v>
      </c>
      <c r="BS174" s="10">
        <v>5.7132259365193727E-2</v>
      </c>
      <c r="BT174" s="11">
        <v>0</v>
      </c>
    </row>
    <row r="175" spans="1:72">
      <c r="A175">
        <f>COUNTIFS($J$7:J175,J175,$N$7:N175,N175,$E$7:E175,E175)</f>
        <v>4</v>
      </c>
      <c r="B175" s="16" t="str">
        <f t="shared" si="98"/>
        <v>Medium</v>
      </c>
      <c r="C175" s="16" t="str">
        <f t="shared" si="99"/>
        <v>4MediumNoRetail</v>
      </c>
      <c r="D175" s="7">
        <v>25255</v>
      </c>
      <c r="E175" s="1" t="s">
        <v>10</v>
      </c>
      <c r="F175" s="1" t="s">
        <v>266</v>
      </c>
      <c r="G175" s="1" t="s">
        <v>267</v>
      </c>
      <c r="H175" s="1">
        <v>9</v>
      </c>
      <c r="I175" s="1" t="s">
        <v>268</v>
      </c>
      <c r="J175" s="1" t="s">
        <v>27</v>
      </c>
      <c r="K175" s="1">
        <v>1</v>
      </c>
      <c r="L175" s="1">
        <v>1</v>
      </c>
      <c r="M175" s="2">
        <v>8.8287652984927537E-2</v>
      </c>
      <c r="N175" s="27" t="str">
        <f t="shared" si="100"/>
        <v>Medium</v>
      </c>
      <c r="O175" s="1">
        <v>1</v>
      </c>
      <c r="P175" s="9">
        <v>13.66451498020928</v>
      </c>
      <c r="Q175" s="9">
        <v>13.35012842886492</v>
      </c>
      <c r="R175" s="9">
        <v>13.46932455734061</v>
      </c>
      <c r="S175" s="9">
        <v>14.064897614799349</v>
      </c>
      <c r="T175" s="107">
        <v>143.5</v>
      </c>
      <c r="U175" s="107">
        <v>139.4</v>
      </c>
      <c r="V175" s="107">
        <v>135.75</v>
      </c>
      <c r="W175" s="107">
        <v>130.75</v>
      </c>
      <c r="X175" s="94">
        <f>(SUM(P175:P178)-T175)/SUM(P175:P178)</f>
        <v>-6.5815206689365496E-2</v>
      </c>
      <c r="Y175" s="94">
        <f>(SUM(Q175:Q178)-U175)/SUM(Q175:Q178)</f>
        <v>-3.5934240085688247E-2</v>
      </c>
      <c r="Z175" s="94">
        <f>(SUM(R175:R178)-V175)/SUM(R175:R178)</f>
        <v>2.6645705090396047E-2</v>
      </c>
      <c r="AA175" s="94">
        <f>(SUM(S175:S178)-W175)/SUM(S175:S178)</f>
        <v>7.9056455430472738E-2</v>
      </c>
      <c r="AB175" s="97">
        <f>AVERAGEIF(X175:AA178,"&lt;&gt;100%",X175:AA178)</f>
        <v>9.881784364537613E-4</v>
      </c>
      <c r="AC175" s="9">
        <v>13</v>
      </c>
      <c r="AD175" s="9">
        <v>13</v>
      </c>
      <c r="AE175" s="9">
        <v>13</v>
      </c>
      <c r="AF175" s="9">
        <v>13</v>
      </c>
      <c r="AG175" s="107">
        <v>138</v>
      </c>
      <c r="AH175" s="107">
        <v>129</v>
      </c>
      <c r="AI175" s="107">
        <v>129</v>
      </c>
      <c r="AJ175" s="107">
        <v>129</v>
      </c>
      <c r="AK175" s="94">
        <f>(SUM(AC175:AC178)-AG175)/SUM(AC175:AC178)</f>
        <v>0</v>
      </c>
      <c r="AL175" s="94">
        <f>(SUM(AD175:AD178)-AH175)/SUM(AD175:AD178)</f>
        <v>3.7313432835820892E-2</v>
      </c>
      <c r="AM175" s="94">
        <f>(SUM(AE175:AE178)-AI175)/SUM(AE175:AE178)</f>
        <v>7.857142857142857E-2</v>
      </c>
      <c r="AN175" s="94">
        <f>(SUM(AF175:AF178)-AJ175)/SUM(AF175:AF178)</f>
        <v>8.5171264449329778E-2</v>
      </c>
      <c r="AO175" s="97">
        <f>AVERAGEIF(AK175:AN178,"&lt;&gt;100%",AK175:AN178)</f>
        <v>5.0264031464144807E-2</v>
      </c>
      <c r="AP175" s="20">
        <v>0</v>
      </c>
      <c r="AQ175" s="20">
        <v>0</v>
      </c>
      <c r="AR175" s="20">
        <v>0</v>
      </c>
      <c r="AS175" s="20">
        <v>0</v>
      </c>
      <c r="AT175" s="115">
        <v>0</v>
      </c>
      <c r="AU175" s="115">
        <v>0</v>
      </c>
      <c r="AV175" s="115">
        <v>0</v>
      </c>
      <c r="AW175" s="115">
        <v>0</v>
      </c>
      <c r="AX175" s="94" t="e">
        <f>(SUM(AP175:AP178)-AT175)/SUM(AP175:AP178)</f>
        <v>#DIV/0!</v>
      </c>
      <c r="AY175" s="94" t="e">
        <f>(SUM(AQ175:AQ178)-AU175)/SUM(AQ175:AQ178)</f>
        <v>#DIV/0!</v>
      </c>
      <c r="AZ175" s="94" t="e">
        <f>(SUM(AR175:AR178)-AV175)/SUM(AR175:AR178)</f>
        <v>#DIV/0!</v>
      </c>
      <c r="BA175" s="94" t="e">
        <f>(SUM(AS175:AS178)-AW175)/SUM(AS175:AS178)</f>
        <v>#DIV/0!</v>
      </c>
      <c r="BB175" s="97" t="e">
        <f>AVERAGEIF(AX175:BA178,"&lt;&gt;100%",AX175:BA178)</f>
        <v>#DIV/0!</v>
      </c>
      <c r="BC175" s="9">
        <v>0</v>
      </c>
      <c r="BD175" s="9">
        <v>0</v>
      </c>
      <c r="BE175" s="9">
        <v>0</v>
      </c>
      <c r="BF175" s="9">
        <v>0</v>
      </c>
      <c r="BG175" s="107">
        <v>0</v>
      </c>
      <c r="BH175" s="107">
        <v>0</v>
      </c>
      <c r="BI175" s="107">
        <v>0</v>
      </c>
      <c r="BJ175" s="107">
        <v>0</v>
      </c>
      <c r="BK175" s="94" t="e">
        <f>(SUM(BC175:BC178)-BG175)/SUM(BC175:BC178)</f>
        <v>#DIV/0!</v>
      </c>
      <c r="BL175" s="94" t="e">
        <f>(SUM(BD175:BD178)-BH175)/SUM(BD175:BD178)</f>
        <v>#DIV/0!</v>
      </c>
      <c r="BM175" s="94" t="e">
        <f>(SUM(BE175:BE178)-BI175)/SUM(BE175:BE178)</f>
        <v>#DIV/0!</v>
      </c>
      <c r="BN175" s="94" t="e">
        <f>(SUM(BF175:BF178)-BJ175)/SUM(BF175:BF178)</f>
        <v>#DIV/0!</v>
      </c>
      <c r="BO175" s="97" t="e">
        <f>AVERAGEIF(BK175:BN178,"&lt;&gt;100%",BK175:BN178)</f>
        <v>#DIV/0!</v>
      </c>
      <c r="BP175" s="10">
        <v>-0.1621340940533435</v>
      </c>
      <c r="BQ175" s="10">
        <v>0</v>
      </c>
      <c r="BR175" s="10">
        <v>0</v>
      </c>
      <c r="BS175" s="10">
        <v>0</v>
      </c>
      <c r="BT175" s="11" t="s">
        <v>461</v>
      </c>
    </row>
    <row r="176" spans="1:72">
      <c r="A176">
        <f>COUNTIFS($J$7:J176,J176,$N$7:N176,N176,$E$7:E176,E176)</f>
        <v>20</v>
      </c>
      <c r="B176" s="16" t="str">
        <f t="shared" si="98"/>
        <v>Low</v>
      </c>
      <c r="C176" s="16" t="str">
        <f t="shared" si="99"/>
        <v>20LowNoRetail</v>
      </c>
      <c r="D176" s="7">
        <v>25257</v>
      </c>
      <c r="E176" s="1" t="s">
        <v>10</v>
      </c>
      <c r="F176" s="1" t="s">
        <v>266</v>
      </c>
      <c r="G176" s="1" t="s">
        <v>269</v>
      </c>
      <c r="H176" s="1">
        <v>96</v>
      </c>
      <c r="I176" s="1" t="s">
        <v>268</v>
      </c>
      <c r="J176" s="1" t="s">
        <v>27</v>
      </c>
      <c r="K176" s="1">
        <v>1</v>
      </c>
      <c r="L176" s="1">
        <v>1</v>
      </c>
      <c r="M176" s="2">
        <v>0.17888950697696113</v>
      </c>
      <c r="N176" s="27" t="str">
        <f t="shared" si="100"/>
        <v>Low</v>
      </c>
      <c r="O176" s="1">
        <v>1</v>
      </c>
      <c r="P176" s="9">
        <v>43.976134537279648</v>
      </c>
      <c r="Q176" s="9">
        <v>42.280887102418717</v>
      </c>
      <c r="R176" s="9">
        <v>46.998824999999997</v>
      </c>
      <c r="S176" s="9">
        <v>47.998800000000003</v>
      </c>
      <c r="T176" s="108"/>
      <c r="U176" s="111"/>
      <c r="V176" s="111"/>
      <c r="W176" s="111"/>
      <c r="X176" s="106"/>
      <c r="Y176" s="106"/>
      <c r="Z176" s="106"/>
      <c r="AA176" s="106"/>
      <c r="AB176" s="113"/>
      <c r="AC176" s="9">
        <v>36</v>
      </c>
      <c r="AD176" s="9">
        <v>42</v>
      </c>
      <c r="AE176" s="9">
        <v>48</v>
      </c>
      <c r="AF176" s="9">
        <v>48</v>
      </c>
      <c r="AG176" s="108"/>
      <c r="AH176" s="111"/>
      <c r="AI176" s="111"/>
      <c r="AJ176" s="111"/>
      <c r="AK176" s="106"/>
      <c r="AL176" s="106"/>
      <c r="AM176" s="106"/>
      <c r="AN176" s="106"/>
      <c r="AO176" s="113"/>
      <c r="AP176" s="20">
        <v>0</v>
      </c>
      <c r="AQ176" s="20">
        <v>0</v>
      </c>
      <c r="AR176" s="20">
        <v>0</v>
      </c>
      <c r="AS176" s="20">
        <v>0</v>
      </c>
      <c r="AT176" s="116"/>
      <c r="AU176" s="116"/>
      <c r="AV176" s="116"/>
      <c r="AW176" s="116"/>
      <c r="AX176" s="106"/>
      <c r="AY176" s="106"/>
      <c r="AZ176" s="106"/>
      <c r="BA176" s="106"/>
      <c r="BB176" s="113"/>
      <c r="BC176" s="9">
        <v>0</v>
      </c>
      <c r="BD176" s="9">
        <v>0</v>
      </c>
      <c r="BE176" s="9">
        <v>0</v>
      </c>
      <c r="BF176" s="9">
        <v>0</v>
      </c>
      <c r="BG176" s="108"/>
      <c r="BH176" s="108"/>
      <c r="BI176" s="108"/>
      <c r="BJ176" s="108"/>
      <c r="BK176" s="106"/>
      <c r="BL176" s="106"/>
      <c r="BM176" s="106"/>
      <c r="BN176" s="106"/>
      <c r="BO176" s="113"/>
      <c r="BP176" s="10">
        <v>0.17645609726542982</v>
      </c>
      <c r="BQ176" s="10">
        <v>0</v>
      </c>
      <c r="BR176" s="10">
        <v>0</v>
      </c>
      <c r="BS176" s="10">
        <v>0</v>
      </c>
      <c r="BT176" s="11" t="s">
        <v>461</v>
      </c>
    </row>
    <row r="177" spans="1:72">
      <c r="A177">
        <f>COUNTIFS($J$7:J177,J177,$N$7:N177,N177,$E$7:E177,E177)</f>
        <v>21</v>
      </c>
      <c r="B177" s="16" t="str">
        <f t="shared" si="98"/>
        <v>Low</v>
      </c>
      <c r="C177" s="16" t="str">
        <f t="shared" si="99"/>
        <v>21LowNoRetail</v>
      </c>
      <c r="D177" s="7">
        <v>25258</v>
      </c>
      <c r="E177" s="1" t="s">
        <v>10</v>
      </c>
      <c r="F177" s="1" t="s">
        <v>266</v>
      </c>
      <c r="G177" s="1" t="s">
        <v>270</v>
      </c>
      <c r="H177" s="1">
        <v>50</v>
      </c>
      <c r="I177" s="1" t="s">
        <v>268</v>
      </c>
      <c r="J177" s="1" t="s">
        <v>27</v>
      </c>
      <c r="K177" s="1">
        <v>1</v>
      </c>
      <c r="L177" s="1">
        <v>1</v>
      </c>
      <c r="M177" s="2">
        <v>0.19026855465116549</v>
      </c>
      <c r="N177" s="27" t="str">
        <f t="shared" si="100"/>
        <v>Low</v>
      </c>
      <c r="O177" s="1">
        <v>1</v>
      </c>
      <c r="P177" s="9">
        <v>50.998725000000007</v>
      </c>
      <c r="Q177" s="9">
        <v>52.934160483870969</v>
      </c>
      <c r="R177" s="9">
        <v>52.998674999999999</v>
      </c>
      <c r="S177" s="9">
        <v>52.998674999999999</v>
      </c>
      <c r="T177" s="108"/>
      <c r="U177" s="111"/>
      <c r="V177" s="111"/>
      <c r="W177" s="111"/>
      <c r="X177" s="106"/>
      <c r="Y177" s="106"/>
      <c r="Z177" s="106"/>
      <c r="AA177" s="106"/>
      <c r="AB177" s="113"/>
      <c r="AC177" s="9">
        <v>64</v>
      </c>
      <c r="AD177" s="9">
        <v>53</v>
      </c>
      <c r="AE177" s="9">
        <v>53</v>
      </c>
      <c r="AF177" s="9">
        <v>53</v>
      </c>
      <c r="AG177" s="108"/>
      <c r="AH177" s="111"/>
      <c r="AI177" s="111"/>
      <c r="AJ177" s="111"/>
      <c r="AK177" s="106"/>
      <c r="AL177" s="106"/>
      <c r="AM177" s="106"/>
      <c r="AN177" s="106"/>
      <c r="AO177" s="113"/>
      <c r="AP177" s="20">
        <v>0</v>
      </c>
      <c r="AQ177" s="20">
        <v>0</v>
      </c>
      <c r="AR177" s="20">
        <v>0</v>
      </c>
      <c r="AS177" s="20">
        <v>0</v>
      </c>
      <c r="AT177" s="116"/>
      <c r="AU177" s="116"/>
      <c r="AV177" s="116"/>
      <c r="AW177" s="116"/>
      <c r="AX177" s="106"/>
      <c r="AY177" s="106"/>
      <c r="AZ177" s="106"/>
      <c r="BA177" s="106"/>
      <c r="BB177" s="113"/>
      <c r="BC177" s="9">
        <v>0</v>
      </c>
      <c r="BD177" s="9">
        <v>0</v>
      </c>
      <c r="BE177" s="9">
        <v>0</v>
      </c>
      <c r="BF177" s="9">
        <v>0</v>
      </c>
      <c r="BG177" s="108"/>
      <c r="BH177" s="108"/>
      <c r="BI177" s="108"/>
      <c r="BJ177" s="108"/>
      <c r="BK177" s="106"/>
      <c r="BL177" s="106"/>
      <c r="BM177" s="106"/>
      <c r="BN177" s="106"/>
      <c r="BO177" s="113"/>
      <c r="BP177" s="10">
        <v>-1.8680120523100863E-2</v>
      </c>
      <c r="BQ177" s="10">
        <v>0</v>
      </c>
      <c r="BR177" s="10">
        <v>0</v>
      </c>
      <c r="BS177" s="10">
        <v>0</v>
      </c>
      <c r="BT177" s="11" t="s">
        <v>461</v>
      </c>
    </row>
    <row r="178" spans="1:72">
      <c r="A178">
        <f>COUNTIFS($J$7:J178,J178,$N$7:N178,N178,$E$7:E178,E178)</f>
        <v>22</v>
      </c>
      <c r="B178" s="16" t="str">
        <f t="shared" si="98"/>
        <v>Low</v>
      </c>
      <c r="C178" s="16" t="str">
        <f t="shared" si="99"/>
        <v>22LowNoRetail</v>
      </c>
      <c r="D178" s="7">
        <v>25260</v>
      </c>
      <c r="E178" s="1" t="s">
        <v>10</v>
      </c>
      <c r="F178" s="1" t="s">
        <v>266</v>
      </c>
      <c r="G178" s="1" t="s">
        <v>271</v>
      </c>
      <c r="H178" s="1">
        <v>18</v>
      </c>
      <c r="I178" s="1" t="s">
        <v>268</v>
      </c>
      <c r="J178" s="1" t="s">
        <v>27</v>
      </c>
      <c r="K178" s="1">
        <v>1</v>
      </c>
      <c r="L178" s="1">
        <v>1</v>
      </c>
      <c r="M178" s="2">
        <v>0.16049309376310761</v>
      </c>
      <c r="N178" s="27" t="str">
        <f t="shared" si="100"/>
        <v>Low</v>
      </c>
      <c r="O178" s="1">
        <v>1</v>
      </c>
      <c r="P178" s="9">
        <v>25.99935</v>
      </c>
      <c r="Q178" s="9">
        <v>25.99935</v>
      </c>
      <c r="R178" s="9">
        <v>25.99935</v>
      </c>
      <c r="S178" s="9">
        <v>26.91158525806452</v>
      </c>
      <c r="T178" s="109"/>
      <c r="U178" s="112"/>
      <c r="V178" s="112"/>
      <c r="W178" s="112"/>
      <c r="X178" s="95"/>
      <c r="Y178" s="95"/>
      <c r="Z178" s="95"/>
      <c r="AA178" s="95"/>
      <c r="AB178" s="114"/>
      <c r="AC178" s="9">
        <v>25</v>
      </c>
      <c r="AD178" s="9">
        <v>26</v>
      </c>
      <c r="AE178" s="9">
        <v>26</v>
      </c>
      <c r="AF178" s="9">
        <v>27.01</v>
      </c>
      <c r="AG178" s="109"/>
      <c r="AH178" s="112"/>
      <c r="AI178" s="112"/>
      <c r="AJ178" s="112"/>
      <c r="AK178" s="95"/>
      <c r="AL178" s="95"/>
      <c r="AM178" s="95"/>
      <c r="AN178" s="95"/>
      <c r="AO178" s="114"/>
      <c r="AP178" s="20">
        <v>0</v>
      </c>
      <c r="AQ178" s="20">
        <v>0</v>
      </c>
      <c r="AR178" s="20">
        <v>0</v>
      </c>
      <c r="AS178" s="20">
        <v>0</v>
      </c>
      <c r="AT178" s="117"/>
      <c r="AU178" s="117"/>
      <c r="AV178" s="117"/>
      <c r="AW178" s="117"/>
      <c r="AX178" s="95"/>
      <c r="AY178" s="95"/>
      <c r="AZ178" s="95"/>
      <c r="BA178" s="95"/>
      <c r="BB178" s="114"/>
      <c r="BC178" s="9">
        <v>0</v>
      </c>
      <c r="BD178" s="9">
        <v>0</v>
      </c>
      <c r="BE178" s="9">
        <v>0</v>
      </c>
      <c r="BF178" s="9">
        <v>0</v>
      </c>
      <c r="BG178" s="109"/>
      <c r="BH178" s="109"/>
      <c r="BI178" s="109"/>
      <c r="BJ178" s="109"/>
      <c r="BK178" s="95"/>
      <c r="BL178" s="95"/>
      <c r="BM178" s="95"/>
      <c r="BN178" s="95"/>
      <c r="BO178" s="114"/>
      <c r="BP178" s="10">
        <v>-8.6417105806295469E-2</v>
      </c>
      <c r="BQ178" s="10">
        <v>0</v>
      </c>
      <c r="BR178" s="10">
        <v>0</v>
      </c>
      <c r="BS178" s="10">
        <v>0</v>
      </c>
      <c r="BT178" s="11" t="s">
        <v>461</v>
      </c>
    </row>
    <row r="179" spans="1:72">
      <c r="A179">
        <f>COUNTIFS($J$7:J179,J179,$N$7:N179,N179,$E$7:E179,E179)</f>
        <v>5</v>
      </c>
      <c r="B179" s="16" t="str">
        <f t="shared" si="98"/>
        <v>Medium</v>
      </c>
      <c r="C179" s="16" t="str">
        <f t="shared" si="99"/>
        <v>5MediumNoRetail</v>
      </c>
      <c r="D179" s="7">
        <v>25261</v>
      </c>
      <c r="E179" s="1" t="s">
        <v>10</v>
      </c>
      <c r="F179" s="1" t="s">
        <v>266</v>
      </c>
      <c r="G179" s="1" t="s">
        <v>272</v>
      </c>
      <c r="H179" s="1">
        <v>19</v>
      </c>
      <c r="I179" s="1" t="s">
        <v>273</v>
      </c>
      <c r="J179" s="1" t="s">
        <v>27</v>
      </c>
      <c r="K179" s="1">
        <v>1</v>
      </c>
      <c r="L179" s="1"/>
      <c r="M179" s="2">
        <v>0</v>
      </c>
      <c r="N179" s="27" t="str">
        <f t="shared" si="100"/>
        <v>Medium</v>
      </c>
      <c r="O179" s="1">
        <v>0</v>
      </c>
      <c r="P179" s="9">
        <v>0</v>
      </c>
      <c r="Q179" s="9">
        <v>0</v>
      </c>
      <c r="R179" s="9">
        <v>0</v>
      </c>
      <c r="S179" s="9">
        <v>0</v>
      </c>
      <c r="T179" s="107">
        <v>136.75</v>
      </c>
      <c r="U179" s="107">
        <v>134.4</v>
      </c>
      <c r="V179" s="107">
        <v>133.75</v>
      </c>
      <c r="W179" s="107">
        <v>137.25</v>
      </c>
      <c r="X179" s="94">
        <f>(SUM(P179:P183)-T179)/SUM(P179:P183)</f>
        <v>0.14162140494950096</v>
      </c>
      <c r="Y179" s="94">
        <f>(SUM(Q179:Q183)-U179)/SUM(Q179:Q183)</f>
        <v>0.21223214925239814</v>
      </c>
      <c r="Z179" s="94">
        <f>(SUM(R179:R183)-V179)/SUM(R179:R183)</f>
        <v>0.11827865681241694</v>
      </c>
      <c r="AA179" s="94">
        <f>(SUM(S179:S183)-W179)/SUM(S179:S183)</f>
        <v>4.1033696381976334E-2</v>
      </c>
      <c r="AB179" s="97">
        <f>AVERAGEIF(X179:AA183,"&lt;&gt;100%",X179:AA183)</f>
        <v>0.12829147684907311</v>
      </c>
      <c r="AC179" s="9">
        <v>0</v>
      </c>
      <c r="AD179" s="9">
        <v>0</v>
      </c>
      <c r="AE179" s="9">
        <v>0</v>
      </c>
      <c r="AF179" s="9">
        <v>0</v>
      </c>
      <c r="AG179" s="107">
        <v>124</v>
      </c>
      <c r="AH179" s="107">
        <v>124</v>
      </c>
      <c r="AI179" s="107">
        <v>124</v>
      </c>
      <c r="AJ179" s="107">
        <v>124</v>
      </c>
      <c r="AK179" s="94">
        <f>(SUM(AC179:AC183)-AG179)/SUM(AC179:AC183)</f>
        <v>0</v>
      </c>
      <c r="AL179" s="94">
        <f>(SUM(AD179:AD183)-AH179)/SUM(AD179:AD183)</f>
        <v>0.27485380116959063</v>
      </c>
      <c r="AM179" s="94">
        <f>(SUM(AE179:AE183)-AI179)/SUM(AE179:AE183)</f>
        <v>0.11428571428571428</v>
      </c>
      <c r="AN179" s="94">
        <f>(SUM(AF179:AF183)-AJ179)/SUM(AF179:AF183)</f>
        <v>8.1481481481481488E-2</v>
      </c>
      <c r="AO179" s="97">
        <f>AVERAGEIF(AK179:AN183,"&lt;&gt;100%",AK179:AN183)</f>
        <v>0.1176552492341966</v>
      </c>
      <c r="AP179" s="20">
        <v>0</v>
      </c>
      <c r="AQ179" s="20">
        <v>0</v>
      </c>
      <c r="AR179" s="20">
        <v>0</v>
      </c>
      <c r="AS179" s="20">
        <v>0</v>
      </c>
      <c r="AT179" s="115">
        <v>0</v>
      </c>
      <c r="AU179" s="115">
        <v>0</v>
      </c>
      <c r="AV179" s="115">
        <v>0</v>
      </c>
      <c r="AW179" s="115">
        <v>0</v>
      </c>
      <c r="AX179" s="94" t="e">
        <f>(SUM(AP179:AP183)-AT179)/SUM(AP179:AP183)</f>
        <v>#DIV/0!</v>
      </c>
      <c r="AY179" s="94" t="e">
        <f>(SUM(AQ179:AQ183)-AU179)/SUM(AQ179:AQ183)</f>
        <v>#DIV/0!</v>
      </c>
      <c r="AZ179" s="94" t="e">
        <f>(SUM(AR179:AR183)-AV179)/SUM(AR179:AR183)</f>
        <v>#DIV/0!</v>
      </c>
      <c r="BA179" s="94" t="e">
        <f>(SUM(AS179:AS183)-AW179)/SUM(AS179:AS183)</f>
        <v>#DIV/0!</v>
      </c>
      <c r="BB179" s="97" t="e">
        <f>AVERAGEIF(AX179:BA183,"&lt;&gt;100%",AX179:BA183)</f>
        <v>#DIV/0!</v>
      </c>
      <c r="BC179" s="9">
        <v>0</v>
      </c>
      <c r="BD179" s="9">
        <v>0</v>
      </c>
      <c r="BE179" s="9">
        <v>0</v>
      </c>
      <c r="BF179" s="9">
        <v>0</v>
      </c>
      <c r="BG179" s="107">
        <v>0</v>
      </c>
      <c r="BH179" s="107">
        <v>0</v>
      </c>
      <c r="BI179" s="107">
        <v>0</v>
      </c>
      <c r="BJ179" s="107">
        <v>0</v>
      </c>
      <c r="BK179" s="94" t="e">
        <f>(SUM(BC179:BC183)-BG179)/SUM(BC179:BC183)</f>
        <v>#DIV/0!</v>
      </c>
      <c r="BL179" s="94" t="e">
        <f>(SUM(BD179:BD183)-BH179)/SUM(BD179:BD183)</f>
        <v>#DIV/0!</v>
      </c>
      <c r="BM179" s="94" t="e">
        <f>(SUM(BE179:BE183)-BI179)/SUM(BE179:BE183)</f>
        <v>#DIV/0!</v>
      </c>
      <c r="BN179" s="94" t="e">
        <f>(SUM(BF179:BF183)-BJ179)/SUM(BF179:BF183)</f>
        <v>#DIV/0!</v>
      </c>
      <c r="BO179" s="97" t="e">
        <f>AVERAGEIF(BK179:BN183,"&lt;&gt;100%",BK179:BN183)</f>
        <v>#DIV/0!</v>
      </c>
      <c r="BP179" s="10">
        <v>0</v>
      </c>
      <c r="BQ179" s="10">
        <v>0</v>
      </c>
      <c r="BR179" s="10">
        <v>0</v>
      </c>
      <c r="BS179" s="10">
        <v>0</v>
      </c>
      <c r="BT179" s="11" t="s">
        <v>461</v>
      </c>
    </row>
    <row r="180" spans="1:72">
      <c r="A180">
        <f>COUNTIFS($J$7:J180,J180,$N$7:N180,N180,$E$7:E180,E180)</f>
        <v>6</v>
      </c>
      <c r="B180" s="16" t="str">
        <f t="shared" si="98"/>
        <v>Medium</v>
      </c>
      <c r="C180" s="16" t="str">
        <f t="shared" si="99"/>
        <v>6MediumNoRetail</v>
      </c>
      <c r="D180" s="7">
        <v>25262</v>
      </c>
      <c r="E180" s="1" t="s">
        <v>10</v>
      </c>
      <c r="F180" s="1" t="s">
        <v>266</v>
      </c>
      <c r="G180" s="1" t="s">
        <v>274</v>
      </c>
      <c r="H180" s="1">
        <v>16</v>
      </c>
      <c r="I180" s="1" t="s">
        <v>273</v>
      </c>
      <c r="J180" s="1" t="s">
        <v>27</v>
      </c>
      <c r="K180" s="1">
        <v>1</v>
      </c>
      <c r="L180" s="1">
        <v>1</v>
      </c>
      <c r="M180" s="2">
        <v>7.5152858821797312E-3</v>
      </c>
      <c r="N180" s="27" t="str">
        <f t="shared" si="100"/>
        <v>Medium</v>
      </c>
      <c r="O180" s="1">
        <v>0</v>
      </c>
      <c r="P180" s="9">
        <v>0</v>
      </c>
      <c r="Q180" s="9">
        <v>0</v>
      </c>
      <c r="R180" s="9">
        <v>0</v>
      </c>
      <c r="S180" s="9">
        <v>0</v>
      </c>
      <c r="T180" s="108"/>
      <c r="U180" s="111"/>
      <c r="V180" s="111"/>
      <c r="W180" s="111"/>
      <c r="X180" s="106"/>
      <c r="Y180" s="106"/>
      <c r="Z180" s="106"/>
      <c r="AA180" s="106"/>
      <c r="AB180" s="113"/>
      <c r="AC180" s="9">
        <v>20</v>
      </c>
      <c r="AD180" s="9">
        <v>0</v>
      </c>
      <c r="AE180" s="9">
        <v>0</v>
      </c>
      <c r="AF180" s="9">
        <v>0</v>
      </c>
      <c r="AG180" s="108"/>
      <c r="AH180" s="108"/>
      <c r="AI180" s="108"/>
      <c r="AJ180" s="108"/>
      <c r="AK180" s="106"/>
      <c r="AL180" s="106"/>
      <c r="AM180" s="106"/>
      <c r="AN180" s="106"/>
      <c r="AO180" s="113"/>
      <c r="AP180" s="20">
        <v>0</v>
      </c>
      <c r="AQ180" s="20">
        <v>0</v>
      </c>
      <c r="AR180" s="20">
        <v>0</v>
      </c>
      <c r="AS180" s="20">
        <v>0</v>
      </c>
      <c r="AT180" s="116"/>
      <c r="AU180" s="116"/>
      <c r="AV180" s="116"/>
      <c r="AW180" s="116"/>
      <c r="AX180" s="106"/>
      <c r="AY180" s="106"/>
      <c r="AZ180" s="106"/>
      <c r="BA180" s="106"/>
      <c r="BB180" s="113"/>
      <c r="BC180" s="9">
        <v>0</v>
      </c>
      <c r="BD180" s="9">
        <v>0</v>
      </c>
      <c r="BE180" s="9">
        <v>0</v>
      </c>
      <c r="BF180" s="9">
        <v>0</v>
      </c>
      <c r="BG180" s="108"/>
      <c r="BH180" s="108"/>
      <c r="BI180" s="108"/>
      <c r="BJ180" s="108"/>
      <c r="BK180" s="106"/>
      <c r="BL180" s="106"/>
      <c r="BM180" s="106"/>
      <c r="BN180" s="106"/>
      <c r="BO180" s="113"/>
      <c r="BP180" s="10">
        <v>-0.31263882416676059</v>
      </c>
      <c r="BQ180" s="10">
        <v>0</v>
      </c>
      <c r="BR180" s="10">
        <v>0</v>
      </c>
      <c r="BS180" s="10">
        <v>0</v>
      </c>
      <c r="BT180" s="11" t="s">
        <v>461</v>
      </c>
    </row>
    <row r="181" spans="1:72">
      <c r="A181">
        <f>COUNTIFS($J$7:J181,J181,$N$7:N181,N181,$E$7:E181,E181)</f>
        <v>7</v>
      </c>
      <c r="B181" s="16" t="str">
        <f t="shared" si="98"/>
        <v>Medium</v>
      </c>
      <c r="C181" s="16" t="str">
        <f t="shared" si="99"/>
        <v>7MediumNoRetail</v>
      </c>
      <c r="D181" s="7">
        <v>25263</v>
      </c>
      <c r="E181" s="1" t="s">
        <v>10</v>
      </c>
      <c r="F181" s="1" t="s">
        <v>266</v>
      </c>
      <c r="G181" s="1" t="s">
        <v>275</v>
      </c>
      <c r="H181" s="1">
        <v>55</v>
      </c>
      <c r="I181" s="1" t="s">
        <v>273</v>
      </c>
      <c r="J181" s="1" t="s">
        <v>27</v>
      </c>
      <c r="K181" s="1">
        <v>1</v>
      </c>
      <c r="L181" s="1"/>
      <c r="M181" s="2">
        <v>0</v>
      </c>
      <c r="N181" s="27" t="str">
        <f t="shared" si="100"/>
        <v>Medium</v>
      </c>
      <c r="O181" s="1">
        <v>1</v>
      </c>
      <c r="P181" s="9">
        <v>52.998674999999999</v>
      </c>
      <c r="Q181" s="9">
        <v>65.579005645161288</v>
      </c>
      <c r="R181" s="9">
        <v>64.733771103262796</v>
      </c>
      <c r="S181" s="9">
        <v>61.980433728346767</v>
      </c>
      <c r="T181" s="108"/>
      <c r="U181" s="111"/>
      <c r="V181" s="111"/>
      <c r="W181" s="111"/>
      <c r="X181" s="106"/>
      <c r="Y181" s="106"/>
      <c r="Z181" s="106"/>
      <c r="AA181" s="106"/>
      <c r="AB181" s="113"/>
      <c r="AC181" s="9">
        <v>55</v>
      </c>
      <c r="AD181" s="9">
        <v>66</v>
      </c>
      <c r="AE181" s="9">
        <v>57</v>
      </c>
      <c r="AF181" s="9">
        <v>58</v>
      </c>
      <c r="AG181" s="108"/>
      <c r="AH181" s="108"/>
      <c r="AI181" s="108"/>
      <c r="AJ181" s="108"/>
      <c r="AK181" s="106"/>
      <c r="AL181" s="106"/>
      <c r="AM181" s="106"/>
      <c r="AN181" s="106"/>
      <c r="AO181" s="113"/>
      <c r="AP181" s="20">
        <v>0</v>
      </c>
      <c r="AQ181" s="20">
        <v>0</v>
      </c>
      <c r="AR181" s="20">
        <v>0</v>
      </c>
      <c r="AS181" s="20">
        <v>0</v>
      </c>
      <c r="AT181" s="116"/>
      <c r="AU181" s="116"/>
      <c r="AV181" s="116"/>
      <c r="AW181" s="116"/>
      <c r="AX181" s="106"/>
      <c r="AY181" s="106"/>
      <c r="AZ181" s="106"/>
      <c r="BA181" s="106"/>
      <c r="BB181" s="113"/>
      <c r="BC181" s="9">
        <v>0</v>
      </c>
      <c r="BD181" s="9">
        <v>0</v>
      </c>
      <c r="BE181" s="9">
        <v>0</v>
      </c>
      <c r="BF181" s="9">
        <v>0</v>
      </c>
      <c r="BG181" s="108"/>
      <c r="BH181" s="108"/>
      <c r="BI181" s="108"/>
      <c r="BJ181" s="108"/>
      <c r="BK181" s="106"/>
      <c r="BL181" s="106"/>
      <c r="BM181" s="106"/>
      <c r="BN181" s="106"/>
      <c r="BO181" s="113"/>
      <c r="BP181" s="10">
        <v>-0.12771460819074984</v>
      </c>
      <c r="BQ181" s="10">
        <v>0</v>
      </c>
      <c r="BR181" s="10">
        <v>0</v>
      </c>
      <c r="BS181" s="10">
        <v>0</v>
      </c>
      <c r="BT181" s="11" t="s">
        <v>461</v>
      </c>
    </row>
    <row r="182" spans="1:72">
      <c r="A182">
        <f>COUNTIFS($J$7:J182,J182,$N$7:N182,N182,$E$7:E182,E182)</f>
        <v>8</v>
      </c>
      <c r="B182" s="16" t="str">
        <f t="shared" si="98"/>
        <v>Medium</v>
      </c>
      <c r="C182" s="16" t="str">
        <f t="shared" si="99"/>
        <v>8MediumNoRetail</v>
      </c>
      <c r="D182" s="7">
        <v>25264</v>
      </c>
      <c r="E182" s="1" t="s">
        <v>10</v>
      </c>
      <c r="F182" s="1" t="s">
        <v>266</v>
      </c>
      <c r="G182" s="1" t="s">
        <v>276</v>
      </c>
      <c r="H182" s="1">
        <v>22</v>
      </c>
      <c r="I182" s="1" t="s">
        <v>273</v>
      </c>
      <c r="J182" s="1" t="s">
        <v>27</v>
      </c>
      <c r="K182" s="1">
        <v>1</v>
      </c>
      <c r="L182" s="1"/>
      <c r="M182" s="2">
        <v>0</v>
      </c>
      <c r="N182" s="27" t="str">
        <f t="shared" si="100"/>
        <v>Medium</v>
      </c>
      <c r="O182" s="1">
        <v>0</v>
      </c>
      <c r="P182" s="9">
        <v>0</v>
      </c>
      <c r="Q182" s="9">
        <v>0</v>
      </c>
      <c r="R182" s="9">
        <v>0</v>
      </c>
      <c r="S182" s="9">
        <v>0</v>
      </c>
      <c r="T182" s="108"/>
      <c r="U182" s="111"/>
      <c r="V182" s="111"/>
      <c r="W182" s="111"/>
      <c r="X182" s="106"/>
      <c r="Y182" s="106"/>
      <c r="Z182" s="106"/>
      <c r="AA182" s="106"/>
      <c r="AB182" s="113"/>
      <c r="AC182" s="9">
        <v>0</v>
      </c>
      <c r="AD182" s="9">
        <v>0</v>
      </c>
      <c r="AE182" s="9">
        <v>0</v>
      </c>
      <c r="AF182" s="9">
        <v>0</v>
      </c>
      <c r="AG182" s="108"/>
      <c r="AH182" s="108"/>
      <c r="AI182" s="108"/>
      <c r="AJ182" s="108"/>
      <c r="AK182" s="106"/>
      <c r="AL182" s="106"/>
      <c r="AM182" s="106"/>
      <c r="AN182" s="106"/>
      <c r="AO182" s="113"/>
      <c r="AP182" s="20">
        <v>0</v>
      </c>
      <c r="AQ182" s="20">
        <v>0</v>
      </c>
      <c r="AR182" s="20">
        <v>0</v>
      </c>
      <c r="AS182" s="20">
        <v>0</v>
      </c>
      <c r="AT182" s="116"/>
      <c r="AU182" s="116"/>
      <c r="AV182" s="116"/>
      <c r="AW182" s="116"/>
      <c r="AX182" s="106"/>
      <c r="AY182" s="106"/>
      <c r="AZ182" s="106"/>
      <c r="BA182" s="106"/>
      <c r="BB182" s="113"/>
      <c r="BC182" s="9">
        <v>0</v>
      </c>
      <c r="BD182" s="9">
        <v>0</v>
      </c>
      <c r="BE182" s="9">
        <v>0</v>
      </c>
      <c r="BF182" s="9">
        <v>0</v>
      </c>
      <c r="BG182" s="108"/>
      <c r="BH182" s="108"/>
      <c r="BI182" s="108"/>
      <c r="BJ182" s="108"/>
      <c r="BK182" s="106"/>
      <c r="BL182" s="106"/>
      <c r="BM182" s="106"/>
      <c r="BN182" s="106"/>
      <c r="BO182" s="113"/>
      <c r="BP182" s="10">
        <v>0.17335965510860274</v>
      </c>
      <c r="BQ182" s="10">
        <v>0</v>
      </c>
      <c r="BR182" s="10">
        <v>0</v>
      </c>
      <c r="BS182" s="10">
        <v>0</v>
      </c>
      <c r="BT182" s="11" t="s">
        <v>461</v>
      </c>
    </row>
    <row r="183" spans="1:72">
      <c r="A183">
        <f>COUNTIFS($J$7:J183,J183,$N$7:N183,N183,$E$7:E183,E183)</f>
        <v>9</v>
      </c>
      <c r="B183" s="16" t="str">
        <f t="shared" si="98"/>
        <v>Medium</v>
      </c>
      <c r="C183" s="16" t="str">
        <f t="shared" si="99"/>
        <v>9MediumNoRetail</v>
      </c>
      <c r="D183" s="7">
        <v>25265</v>
      </c>
      <c r="E183" s="1" t="s">
        <v>10</v>
      </c>
      <c r="F183" s="1" t="s">
        <v>266</v>
      </c>
      <c r="G183" s="1" t="s">
        <v>277</v>
      </c>
      <c r="H183" s="1">
        <v>62</v>
      </c>
      <c r="I183" s="1" t="s">
        <v>273</v>
      </c>
      <c r="J183" s="1" t="s">
        <v>27</v>
      </c>
      <c r="K183" s="1">
        <v>1</v>
      </c>
      <c r="L183" s="1">
        <v>1</v>
      </c>
      <c r="M183" s="2">
        <v>4.2950960311308371E-2</v>
      </c>
      <c r="N183" s="27" t="str">
        <f t="shared" si="100"/>
        <v>Medium</v>
      </c>
      <c r="O183" s="1">
        <v>1</v>
      </c>
      <c r="P183" s="9">
        <v>106.3133124942302</v>
      </c>
      <c r="Q183" s="9">
        <v>105.0296322580645</v>
      </c>
      <c r="R183" s="9">
        <v>86.958144980416662</v>
      </c>
      <c r="S183" s="9">
        <v>81.142426253467093</v>
      </c>
      <c r="T183" s="109"/>
      <c r="U183" s="112"/>
      <c r="V183" s="112"/>
      <c r="W183" s="112"/>
      <c r="X183" s="95"/>
      <c r="Y183" s="95">
        <f>IFERROR(ABS((Q183-U183)/Q183),"")</f>
        <v>1</v>
      </c>
      <c r="Z183" s="95">
        <f>IFERROR(ABS((R183-V183)/R183),"")</f>
        <v>1</v>
      </c>
      <c r="AA183" s="95">
        <f>IFERROR(ABS((S183-W183)/S183),"")</f>
        <v>1</v>
      </c>
      <c r="AB183" s="114"/>
      <c r="AC183" s="9">
        <v>49</v>
      </c>
      <c r="AD183" s="9">
        <v>105</v>
      </c>
      <c r="AE183" s="9">
        <v>83</v>
      </c>
      <c r="AF183" s="9">
        <v>77</v>
      </c>
      <c r="AG183" s="109"/>
      <c r="AH183" s="109"/>
      <c r="AI183" s="109"/>
      <c r="AJ183" s="109"/>
      <c r="AK183" s="95"/>
      <c r="AL183" s="95">
        <f>IFERROR(ABS((AD183-AH183)/AD183),"")</f>
        <v>1</v>
      </c>
      <c r="AM183" s="95">
        <f>IFERROR(ABS((AE183-AI183)/AE183),"")</f>
        <v>1</v>
      </c>
      <c r="AN183" s="95">
        <f>IFERROR(ABS((AF183-AJ183)/AF183),"")</f>
        <v>1</v>
      </c>
      <c r="AO183" s="114"/>
      <c r="AP183" s="20">
        <v>0</v>
      </c>
      <c r="AQ183" s="20">
        <v>0</v>
      </c>
      <c r="AR183" s="20">
        <v>0</v>
      </c>
      <c r="AS183" s="20">
        <v>0</v>
      </c>
      <c r="AT183" s="117"/>
      <c r="AU183" s="117"/>
      <c r="AV183" s="117"/>
      <c r="AW183" s="117"/>
      <c r="AX183" s="95"/>
      <c r="AY183" s="95" t="str">
        <f>IFERROR(ABS((AQ183-AU183)/AQ183),"")</f>
        <v/>
      </c>
      <c r="AZ183" s="95" t="str">
        <f>IFERROR(ABS((AR183-AV183)/AR183),"")</f>
        <v/>
      </c>
      <c r="BA183" s="95" t="str">
        <f>IFERROR(ABS((AS183-AW183)/AS183),"")</f>
        <v/>
      </c>
      <c r="BB183" s="114"/>
      <c r="BC183" s="9">
        <v>0</v>
      </c>
      <c r="BD183" s="9">
        <v>0</v>
      </c>
      <c r="BE183" s="9">
        <v>0</v>
      </c>
      <c r="BF183" s="9">
        <v>0</v>
      </c>
      <c r="BG183" s="109"/>
      <c r="BH183" s="109"/>
      <c r="BI183" s="109"/>
      <c r="BJ183" s="109"/>
      <c r="BK183" s="95"/>
      <c r="BL183" s="95" t="str">
        <f>IFERROR(ABS((BD183-BH183)/BD183),"")</f>
        <v/>
      </c>
      <c r="BM183" s="95" t="str">
        <f>IFERROR(ABS((BE183-BI183)/BE183),"")</f>
        <v/>
      </c>
      <c r="BN183" s="95" t="str">
        <f>IFERROR(ABS((BF183-BJ183)/BF183),"")</f>
        <v/>
      </c>
      <c r="BO183" s="114"/>
      <c r="BP183" s="10">
        <v>9.1392552024008256E-2</v>
      </c>
      <c r="BQ183" s="10">
        <v>0</v>
      </c>
      <c r="BR183" s="10">
        <v>0</v>
      </c>
      <c r="BS183" s="10">
        <v>0</v>
      </c>
      <c r="BT183" s="11" t="s">
        <v>461</v>
      </c>
    </row>
    <row r="184" spans="1:72">
      <c r="A184">
        <f>COUNTIFS($J$7:J184,J184,$N$7:N184,N184,$E$7:E184,E184)</f>
        <v>23</v>
      </c>
      <c r="B184" s="16" t="str">
        <f t="shared" si="98"/>
        <v>Low</v>
      </c>
      <c r="C184" s="16" t="str">
        <f t="shared" si="99"/>
        <v>23LowNoRetail</v>
      </c>
      <c r="D184" s="7">
        <v>25267</v>
      </c>
      <c r="E184" s="1" t="s">
        <v>10</v>
      </c>
      <c r="F184" s="1" t="s">
        <v>266</v>
      </c>
      <c r="G184" s="1" t="s">
        <v>278</v>
      </c>
      <c r="H184" s="1">
        <v>136</v>
      </c>
      <c r="I184" s="1" t="s">
        <v>268</v>
      </c>
      <c r="J184" s="1" t="s">
        <v>27</v>
      </c>
      <c r="K184" s="1">
        <v>1</v>
      </c>
      <c r="L184" s="1">
        <v>1</v>
      </c>
      <c r="M184" s="2">
        <v>0.12040418458851801</v>
      </c>
      <c r="N184" s="27" t="str">
        <f t="shared" si="100"/>
        <v>Low</v>
      </c>
      <c r="O184" s="1">
        <v>1</v>
      </c>
      <c r="P184" s="9">
        <v>97.587188939017949</v>
      </c>
      <c r="Q184" s="9">
        <v>100.65224441956489</v>
      </c>
      <c r="R184" s="9">
        <v>103.0173044296105</v>
      </c>
      <c r="S184" s="9">
        <v>101.8053875505454</v>
      </c>
      <c r="T184" s="107">
        <v>257</v>
      </c>
      <c r="U184" s="107">
        <v>270.2</v>
      </c>
      <c r="V184" s="107">
        <v>272</v>
      </c>
      <c r="W184" s="107">
        <v>275.75</v>
      </c>
      <c r="X184" s="94">
        <f>(SUM(P184:P186)-T184)/SUM(P184:P186)</f>
        <v>-6.9713208834377899E-2</v>
      </c>
      <c r="Y184" s="94">
        <f>(SUM(Q184:Q186)-U184)/SUM(Q184:Q186)</f>
        <v>-3.5263992931784761E-2</v>
      </c>
      <c r="Z184" s="94">
        <f>(SUM(R184:R186)-V184)/SUM(R184:R186)</f>
        <v>-5.2459063688372339E-2</v>
      </c>
      <c r="AA184" s="94">
        <f>(SUM(S184:S186)-W184)/SUM(S184:S186)</f>
        <v>-4.3427912391118491E-2</v>
      </c>
      <c r="AB184" s="97">
        <f>AVERAGEIF(X184:AA186,"&lt;&gt;100%",X184:AA186)</f>
        <v>-5.0216044461413367E-2</v>
      </c>
      <c r="AC184" s="9">
        <v>103</v>
      </c>
      <c r="AD184" s="9">
        <v>100</v>
      </c>
      <c r="AE184" s="9">
        <v>100</v>
      </c>
      <c r="AF184" s="9">
        <v>101</v>
      </c>
      <c r="AG184" s="107">
        <v>254</v>
      </c>
      <c r="AH184" s="107">
        <v>268</v>
      </c>
      <c r="AI184" s="107">
        <v>268</v>
      </c>
      <c r="AJ184" s="107">
        <v>268</v>
      </c>
      <c r="AK184" s="94">
        <f>(SUM(AC184:AC186)-AG184)/SUM(AC184:AC186)</f>
        <v>3.9215686274509803E-3</v>
      </c>
      <c r="AL184" s="94">
        <f>(SUM(AD184:AD186)-AH184)/SUM(AD184:AD186)</f>
        <v>-4.6875E-2</v>
      </c>
      <c r="AM184" s="94">
        <f>(SUM(AE184:AE186)-AI184)/SUM(AE184:AE186)</f>
        <v>-5.9288537549407112E-2</v>
      </c>
      <c r="AN184" s="94">
        <f>(SUM(AF184:AF186)-AJ184)/SUM(AF184:AF186)</f>
        <v>-1.5151515151515152E-2</v>
      </c>
      <c r="AO184" s="97">
        <f>AVERAGEIF(AK184:AN186,"&lt;&gt;100%",AK184:AN186)</f>
        <v>-2.9348371018367823E-2</v>
      </c>
      <c r="AP184" s="20">
        <v>0</v>
      </c>
      <c r="AQ184" s="20">
        <v>0</v>
      </c>
      <c r="AR184" s="20">
        <v>0</v>
      </c>
      <c r="AS184" s="20">
        <v>0</v>
      </c>
      <c r="AT184" s="115">
        <v>0</v>
      </c>
      <c r="AU184" s="115">
        <v>0</v>
      </c>
      <c r="AV184" s="115">
        <v>0</v>
      </c>
      <c r="AW184" s="115">
        <v>0</v>
      </c>
      <c r="AX184" s="94" t="e">
        <f>(SUM(AP184:AP186)-AT184)/SUM(AP184:AP186)</f>
        <v>#DIV/0!</v>
      </c>
      <c r="AY184" s="94" t="e">
        <f>(SUM(AQ184:AQ186)-AU184)/SUM(AQ184:AQ186)</f>
        <v>#DIV/0!</v>
      </c>
      <c r="AZ184" s="94" t="e">
        <f>(SUM(AR184:AR186)-AV184)/SUM(AR184:AR186)</f>
        <v>#DIV/0!</v>
      </c>
      <c r="BA184" s="94" t="e">
        <f>(SUM(AS184:AS186)-AW184)/SUM(AS184:AS186)</f>
        <v>#DIV/0!</v>
      </c>
      <c r="BB184" s="97" t="e">
        <f>AVERAGEIF(AX184:BA186,"&lt;&gt;100%",AX184:BA186)</f>
        <v>#DIV/0!</v>
      </c>
      <c r="BC184" s="9">
        <v>0</v>
      </c>
      <c r="BD184" s="9">
        <v>0</v>
      </c>
      <c r="BE184" s="9">
        <v>0</v>
      </c>
      <c r="BF184" s="9">
        <v>0</v>
      </c>
      <c r="BG184" s="107">
        <v>0</v>
      </c>
      <c r="BH184" s="107">
        <v>0</v>
      </c>
      <c r="BI184" s="107">
        <v>0</v>
      </c>
      <c r="BJ184" s="107">
        <v>0</v>
      </c>
      <c r="BK184" s="94" t="e">
        <f>(SUM(BC184:BC186)-BG184)/SUM(BC184:BC186)</f>
        <v>#DIV/0!</v>
      </c>
      <c r="BL184" s="94" t="e">
        <f>(SUM(BD184:BD186)-BH184)/SUM(BD184:BD186)</f>
        <v>#DIV/0!</v>
      </c>
      <c r="BM184" s="94" t="e">
        <f>(SUM(BE184:BE186)-BI184)/SUM(BE184:BE186)</f>
        <v>#DIV/0!</v>
      </c>
      <c r="BN184" s="94" t="e">
        <f>(SUM(BF184:BF186)-BJ184)/SUM(BF184:BF186)</f>
        <v>#DIV/0!</v>
      </c>
      <c r="BO184" s="97" t="e">
        <f>AVERAGEIF(BK184:BN186,"&lt;&gt;100%",BK184:BN186)</f>
        <v>#DIV/0!</v>
      </c>
      <c r="BP184" s="10">
        <v>0.17653576406049176</v>
      </c>
      <c r="BQ184" s="10">
        <v>0</v>
      </c>
      <c r="BR184" s="10">
        <v>0</v>
      </c>
      <c r="BS184" s="10">
        <v>0</v>
      </c>
      <c r="BT184" s="11" t="s">
        <v>461</v>
      </c>
    </row>
    <row r="185" spans="1:72">
      <c r="A185">
        <f>COUNTIFS($J$7:J185,J185,$N$7:N185,N185,$E$7:E185,E185)</f>
        <v>10</v>
      </c>
      <c r="B185" s="16" t="str">
        <f t="shared" si="98"/>
        <v>Medium</v>
      </c>
      <c r="C185" s="16" t="str">
        <f t="shared" si="99"/>
        <v>10MediumNoRetail</v>
      </c>
      <c r="D185" s="7">
        <v>25268</v>
      </c>
      <c r="E185" s="1" t="s">
        <v>10</v>
      </c>
      <c r="F185" s="1" t="s">
        <v>266</v>
      </c>
      <c r="G185" s="1" t="s">
        <v>279</v>
      </c>
      <c r="H185" s="1">
        <v>74</v>
      </c>
      <c r="I185" s="1" t="s">
        <v>268</v>
      </c>
      <c r="J185" s="1" t="s">
        <v>27</v>
      </c>
      <c r="K185" s="1">
        <v>1</v>
      </c>
      <c r="L185" s="1">
        <v>1</v>
      </c>
      <c r="M185" s="2">
        <v>1.0387142536598257E-2</v>
      </c>
      <c r="N185" s="27" t="str">
        <f t="shared" si="100"/>
        <v>Medium</v>
      </c>
      <c r="O185" s="1">
        <v>1</v>
      </c>
      <c r="P185" s="9">
        <v>74.473278684177245</v>
      </c>
      <c r="Q185" s="9">
        <v>90.252643931713195</v>
      </c>
      <c r="R185" s="9">
        <v>86.831505556043524</v>
      </c>
      <c r="S185" s="9">
        <v>84.833064280772007</v>
      </c>
      <c r="T185" s="108"/>
      <c r="U185" s="108" t="e">
        <v>#N/A</v>
      </c>
      <c r="V185" s="108" t="e">
        <v>#N/A</v>
      </c>
      <c r="W185" s="108" t="e">
        <v>#N/A</v>
      </c>
      <c r="X185" s="106"/>
      <c r="Y185" s="106"/>
      <c r="Z185" s="106"/>
      <c r="AA185" s="106"/>
      <c r="AB185" s="113"/>
      <c r="AC185" s="9">
        <v>78</v>
      </c>
      <c r="AD185" s="9">
        <v>88</v>
      </c>
      <c r="AE185" s="9">
        <v>85</v>
      </c>
      <c r="AF185" s="9">
        <v>85</v>
      </c>
      <c r="AG185" s="108"/>
      <c r="AH185" s="108" t="e">
        <v>#N/A</v>
      </c>
      <c r="AI185" s="108" t="e">
        <v>#N/A</v>
      </c>
      <c r="AJ185" s="108" t="e">
        <v>#N/A</v>
      </c>
      <c r="AK185" s="106"/>
      <c r="AL185" s="106"/>
      <c r="AM185" s="106"/>
      <c r="AN185" s="106"/>
      <c r="AO185" s="113"/>
      <c r="AP185" s="20">
        <v>0</v>
      </c>
      <c r="AQ185" s="20">
        <v>0</v>
      </c>
      <c r="AR185" s="20">
        <v>0</v>
      </c>
      <c r="AS185" s="20">
        <v>0</v>
      </c>
      <c r="AT185" s="116"/>
      <c r="AU185" s="116"/>
      <c r="AV185" s="116"/>
      <c r="AW185" s="116"/>
      <c r="AX185" s="106"/>
      <c r="AY185" s="106"/>
      <c r="AZ185" s="106"/>
      <c r="BA185" s="106"/>
      <c r="BB185" s="113"/>
      <c r="BC185" s="9">
        <v>0</v>
      </c>
      <c r="BD185" s="9">
        <v>0</v>
      </c>
      <c r="BE185" s="9">
        <v>0</v>
      </c>
      <c r="BF185" s="9">
        <v>0</v>
      </c>
      <c r="BG185" s="108"/>
      <c r="BH185" s="108"/>
      <c r="BI185" s="108"/>
      <c r="BJ185" s="108"/>
      <c r="BK185" s="106"/>
      <c r="BL185" s="106"/>
      <c r="BM185" s="106"/>
      <c r="BN185" s="106"/>
      <c r="BO185" s="113"/>
      <c r="BP185" s="10">
        <v>-3.8357871003932231E-2</v>
      </c>
      <c r="BQ185" s="10">
        <v>0</v>
      </c>
      <c r="BR185" s="10">
        <v>0</v>
      </c>
      <c r="BS185" s="10">
        <v>0</v>
      </c>
      <c r="BT185" s="11" t="s">
        <v>461</v>
      </c>
    </row>
    <row r="186" spans="1:72">
      <c r="A186">
        <f>COUNTIFS($J$7:J186,J186,$N$7:N186,N186,$E$7:E186,E186)</f>
        <v>24</v>
      </c>
      <c r="B186" s="16" t="str">
        <f t="shared" si="98"/>
        <v>Low</v>
      </c>
      <c r="C186" s="16" t="str">
        <f t="shared" si="99"/>
        <v>24LowNoRetail</v>
      </c>
      <c r="D186" s="7">
        <v>25269</v>
      </c>
      <c r="E186" s="1" t="s">
        <v>10</v>
      </c>
      <c r="F186" s="1" t="s">
        <v>266</v>
      </c>
      <c r="G186" s="1" t="s">
        <v>280</v>
      </c>
      <c r="H186" s="1">
        <v>67</v>
      </c>
      <c r="I186" s="1" t="s">
        <v>268</v>
      </c>
      <c r="J186" s="1" t="s">
        <v>27</v>
      </c>
      <c r="K186" s="1">
        <v>1</v>
      </c>
      <c r="L186" s="1">
        <v>1</v>
      </c>
      <c r="M186" s="2">
        <v>0.14678049660153705</v>
      </c>
      <c r="N186" s="27" t="str">
        <f t="shared" si="100"/>
        <v>Low</v>
      </c>
      <c r="O186" s="1">
        <v>1</v>
      </c>
      <c r="P186" s="9">
        <v>68.190842613538464</v>
      </c>
      <c r="Q186" s="9">
        <v>70.091342411867885</v>
      </c>
      <c r="R186" s="9">
        <v>68.593546001825786</v>
      </c>
      <c r="S186" s="9">
        <v>77.634716180923647</v>
      </c>
      <c r="T186" s="109"/>
      <c r="U186" s="109" t="e">
        <v>#N/A</v>
      </c>
      <c r="V186" s="109" t="e">
        <v>#N/A</v>
      </c>
      <c r="W186" s="109" t="e">
        <v>#N/A</v>
      </c>
      <c r="X186" s="95"/>
      <c r="Y186" s="95"/>
      <c r="Z186" s="95"/>
      <c r="AA186" s="95"/>
      <c r="AB186" s="114"/>
      <c r="AC186" s="9">
        <v>74</v>
      </c>
      <c r="AD186" s="9">
        <v>68</v>
      </c>
      <c r="AE186" s="9">
        <v>68</v>
      </c>
      <c r="AF186" s="9">
        <v>78</v>
      </c>
      <c r="AG186" s="109"/>
      <c r="AH186" s="109" t="e">
        <v>#N/A</v>
      </c>
      <c r="AI186" s="109" t="e">
        <v>#N/A</v>
      </c>
      <c r="AJ186" s="109" t="e">
        <v>#N/A</v>
      </c>
      <c r="AK186" s="95"/>
      <c r="AL186" s="95"/>
      <c r="AM186" s="95"/>
      <c r="AN186" s="95"/>
      <c r="AO186" s="114"/>
      <c r="AP186" s="20">
        <v>0</v>
      </c>
      <c r="AQ186" s="20">
        <v>0</v>
      </c>
      <c r="AR186" s="20">
        <v>0</v>
      </c>
      <c r="AS186" s="20">
        <v>0</v>
      </c>
      <c r="AT186" s="117"/>
      <c r="AU186" s="117"/>
      <c r="AV186" s="117"/>
      <c r="AW186" s="117"/>
      <c r="AX186" s="95"/>
      <c r="AY186" s="95"/>
      <c r="AZ186" s="95"/>
      <c r="BA186" s="95"/>
      <c r="BB186" s="114"/>
      <c r="BC186" s="9">
        <v>0</v>
      </c>
      <c r="BD186" s="9">
        <v>0</v>
      </c>
      <c r="BE186" s="9">
        <v>0</v>
      </c>
      <c r="BF186" s="9">
        <v>0</v>
      </c>
      <c r="BG186" s="109"/>
      <c r="BH186" s="109"/>
      <c r="BI186" s="109"/>
      <c r="BJ186" s="109"/>
      <c r="BK186" s="95"/>
      <c r="BL186" s="95"/>
      <c r="BM186" s="95"/>
      <c r="BN186" s="95"/>
      <c r="BO186" s="114"/>
      <c r="BP186" s="10">
        <v>-0.1871615997482638</v>
      </c>
      <c r="BQ186" s="10">
        <v>0</v>
      </c>
      <c r="BR186" s="10">
        <v>0</v>
      </c>
      <c r="BS186" s="10">
        <v>0</v>
      </c>
      <c r="BT186" s="11" t="s">
        <v>461</v>
      </c>
    </row>
    <row r="187" spans="1:72">
      <c r="A187">
        <f>COUNTIFS($J$7:J187,J187,$N$7:N187,N187,$E$7:E187,E187)</f>
        <v>25</v>
      </c>
      <c r="B187" s="16" t="str">
        <f t="shared" si="98"/>
        <v>Low</v>
      </c>
      <c r="C187" s="16" t="str">
        <f t="shared" si="99"/>
        <v>25LowNoRetail</v>
      </c>
      <c r="D187" s="1">
        <v>25270</v>
      </c>
      <c r="E187" s="1" t="s">
        <v>10</v>
      </c>
      <c r="F187" s="1" t="s">
        <v>195</v>
      </c>
      <c r="G187" s="1" t="s">
        <v>281</v>
      </c>
      <c r="H187" s="1">
        <v>133</v>
      </c>
      <c r="I187" s="1" t="s">
        <v>197</v>
      </c>
      <c r="J187" s="1" t="s">
        <v>27</v>
      </c>
      <c r="K187" s="1">
        <v>1</v>
      </c>
      <c r="L187" s="1">
        <v>1</v>
      </c>
      <c r="M187" s="2">
        <v>0.27663366425533159</v>
      </c>
      <c r="N187" s="27" t="str">
        <f t="shared" si="100"/>
        <v>Low</v>
      </c>
      <c r="O187" s="1">
        <v>1</v>
      </c>
      <c r="P187" s="6">
        <v>121.8138068787154</v>
      </c>
      <c r="Q187" s="6">
        <v>119.62972114658599</v>
      </c>
      <c r="R187" s="6">
        <v>119.64544291106409</v>
      </c>
      <c r="S187" s="6">
        <v>119.6603957750158</v>
      </c>
      <c r="T187" s="6">
        <v>0</v>
      </c>
      <c r="U187" s="6">
        <v>0</v>
      </c>
      <c r="V187" s="6">
        <v>0</v>
      </c>
      <c r="W187" s="6">
        <v>0</v>
      </c>
      <c r="X187" s="10">
        <f t="shared" ref="X187:X218" si="121">IFERROR(((P187-T187)/P187),"")</f>
        <v>1</v>
      </c>
      <c r="Y187" s="10">
        <f t="shared" ref="Y187:Y218" si="122">IFERROR(((Q187-U187)/Q187),"")</f>
        <v>1</v>
      </c>
      <c r="Z187" s="10">
        <f t="shared" ref="Z187:Z218" si="123">IFERROR(((R187-V187)/R187),"")</f>
        <v>1</v>
      </c>
      <c r="AA187" s="10">
        <f t="shared" ref="AA187:AA218" si="124">IFERROR(((S187-W187)/S187),"")</f>
        <v>1</v>
      </c>
      <c r="AB187" s="2" t="str">
        <f t="shared" ref="AB187:AB250" si="125">IFERROR(AVERAGEIF(X187:AA187,"&lt;&gt;100%",X187:AA187),"NA")</f>
        <v>NA</v>
      </c>
      <c r="AC187" s="6">
        <v>113.45</v>
      </c>
      <c r="AD187" s="6">
        <v>120</v>
      </c>
      <c r="AE187" s="6">
        <v>120</v>
      </c>
      <c r="AF187" s="6">
        <v>120</v>
      </c>
      <c r="AG187" s="6">
        <v>0</v>
      </c>
      <c r="AH187" s="6">
        <v>0</v>
      </c>
      <c r="AI187" s="6">
        <v>0</v>
      </c>
      <c r="AJ187" s="6">
        <v>0</v>
      </c>
      <c r="AK187" s="10">
        <f t="shared" ref="AK187:AK218" si="126">IFERROR(((AC187-AG187)/AC187),"")</f>
        <v>1</v>
      </c>
      <c r="AL187" s="10">
        <f t="shared" ref="AL187:AL218" si="127">IFERROR(((AD187-AH187)/AD187),"")</f>
        <v>1</v>
      </c>
      <c r="AM187" s="10">
        <f t="shared" ref="AM187:AM218" si="128">IFERROR(((AE187-AI187)/AE187),"")</f>
        <v>1</v>
      </c>
      <c r="AN187" s="10">
        <f t="shared" ref="AN187:AN218" si="129">IFERROR(((AF187-AJ187)/AF187),"")</f>
        <v>1</v>
      </c>
      <c r="AO187" s="2" t="str">
        <f t="shared" ref="AO187:AO250" si="130">IFERROR(AVERAGEIF(AK187:AN187,"&lt;&gt;100%",AK187:AN187),"NA")</f>
        <v>NA</v>
      </c>
      <c r="AP187" s="2">
        <v>1</v>
      </c>
      <c r="AQ187" s="2">
        <v>1</v>
      </c>
      <c r="AR187" s="2">
        <v>1</v>
      </c>
      <c r="AS187" s="2">
        <v>1</v>
      </c>
      <c r="AT187" s="2">
        <v>0</v>
      </c>
      <c r="AU187" s="2">
        <v>0</v>
      </c>
      <c r="AV187" s="2">
        <v>0</v>
      </c>
      <c r="AW187" s="2">
        <v>0</v>
      </c>
      <c r="AX187" s="10">
        <f t="shared" ref="AX187:AX218" si="131">IFERROR(((AP187-AT187)/AP187),"")</f>
        <v>1</v>
      </c>
      <c r="AY187" s="10">
        <f t="shared" ref="AY187:AY218" si="132">IFERROR(((AQ187-AU187)/AQ187),"")</f>
        <v>1</v>
      </c>
      <c r="AZ187" s="10">
        <f t="shared" ref="AZ187:AZ218" si="133">IFERROR(((AR187-AV187)/AR187),"")</f>
        <v>1</v>
      </c>
      <c r="BA187" s="10">
        <f t="shared" ref="BA187:BA218" si="134">IFERROR(((AS187-AW187)/AS187),"")</f>
        <v>1</v>
      </c>
      <c r="BB187" s="2" t="str">
        <f t="shared" ref="BB187:BB250" si="135">IFERROR(AVERAGEIF(AX187:BA187,"&lt;&gt;100%",AX187:BA187),"NA")</f>
        <v>NA</v>
      </c>
      <c r="BC187" s="6">
        <v>0</v>
      </c>
      <c r="BD187" s="6">
        <v>0</v>
      </c>
      <c r="BE187" s="6">
        <v>0</v>
      </c>
      <c r="BF187" s="6">
        <v>0</v>
      </c>
      <c r="BG187" s="6">
        <v>0</v>
      </c>
      <c r="BH187" s="6">
        <v>0</v>
      </c>
      <c r="BI187" s="6">
        <v>0</v>
      </c>
      <c r="BJ187" s="6">
        <v>0</v>
      </c>
      <c r="BK187" s="10" t="str">
        <f t="shared" ref="BK187:BK218" si="136">IFERROR(((BC187-BG187)/BC187),"")</f>
        <v/>
      </c>
      <c r="BL187" s="10" t="str">
        <f t="shared" ref="BL187:BL218" si="137">IFERROR(((BD187-BH187)/BD187),"")</f>
        <v/>
      </c>
      <c r="BM187" s="10" t="str">
        <f t="shared" ref="BM187:BM218" si="138">IFERROR(((BE187-BI187)/BE187),"")</f>
        <v/>
      </c>
      <c r="BN187" s="10" t="str">
        <f t="shared" ref="BN187:BN218" si="139">IFERROR(((BF187-BJ187)/BF187),"")</f>
        <v/>
      </c>
      <c r="BO187" s="2" t="str">
        <f t="shared" ref="BO187:BO250" si="140">IFERROR(AVERAGEIF(BK187:BN187,"&lt;&gt;100%",BK187:BN187),"NA")</f>
        <v>NA</v>
      </c>
      <c r="BP187" s="10">
        <v>-8.2088218989516681E-3</v>
      </c>
      <c r="BQ187" s="10">
        <v>-6.5434295620761529E-3</v>
      </c>
      <c r="BR187" s="10">
        <v>-1.3419952591919471E-2</v>
      </c>
      <c r="BS187" s="10">
        <v>-1.2143377804984756E-2</v>
      </c>
      <c r="BT187" s="11" t="s">
        <v>461</v>
      </c>
    </row>
    <row r="188" spans="1:72">
      <c r="A188">
        <f>COUNTIFS($J$7:J188,J188,$N$7:N188,N188,$E$7:E188,E188)</f>
        <v>26</v>
      </c>
      <c r="B188" s="16" t="str">
        <f t="shared" si="98"/>
        <v>Low</v>
      </c>
      <c r="C188" s="16" t="str">
        <f t="shared" si="99"/>
        <v>26LowNoRetail</v>
      </c>
      <c r="D188" s="1">
        <v>25271</v>
      </c>
      <c r="E188" s="1" t="s">
        <v>10</v>
      </c>
      <c r="F188" s="1" t="s">
        <v>195</v>
      </c>
      <c r="G188" s="1" t="s">
        <v>282</v>
      </c>
      <c r="H188" s="1">
        <v>237</v>
      </c>
      <c r="I188" s="1" t="s">
        <v>197</v>
      </c>
      <c r="J188" s="1" t="s">
        <v>27</v>
      </c>
      <c r="K188" s="1">
        <v>1</v>
      </c>
      <c r="L188" s="1">
        <v>1</v>
      </c>
      <c r="M188" s="2">
        <v>0.29564884429824573</v>
      </c>
      <c r="N188" s="27" t="str">
        <f t="shared" si="100"/>
        <v>Low</v>
      </c>
      <c r="O188" s="1">
        <v>1</v>
      </c>
      <c r="P188" s="6">
        <v>237.98032874265999</v>
      </c>
      <c r="Q188" s="6">
        <v>272.8318887096774</v>
      </c>
      <c r="R188" s="6">
        <v>308.15896249999997</v>
      </c>
      <c r="S188" s="6">
        <v>322.21775080645159</v>
      </c>
      <c r="T188" s="6">
        <v>0</v>
      </c>
      <c r="U188" s="6">
        <v>0</v>
      </c>
      <c r="V188" s="6">
        <v>0</v>
      </c>
      <c r="W188" s="6">
        <v>0</v>
      </c>
      <c r="X188" s="10">
        <f t="shared" si="121"/>
        <v>1</v>
      </c>
      <c r="Y188" s="10">
        <f t="shared" si="122"/>
        <v>1</v>
      </c>
      <c r="Z188" s="10">
        <f t="shared" si="123"/>
        <v>1</v>
      </c>
      <c r="AA188" s="10">
        <f t="shared" si="124"/>
        <v>1</v>
      </c>
      <c r="AB188" s="2" t="str">
        <f t="shared" si="125"/>
        <v>NA</v>
      </c>
      <c r="AC188" s="6">
        <v>242.04</v>
      </c>
      <c r="AD188" s="6">
        <v>274</v>
      </c>
      <c r="AE188" s="6">
        <v>315</v>
      </c>
      <c r="AF188" s="6">
        <v>323</v>
      </c>
      <c r="AG188" s="6">
        <v>0</v>
      </c>
      <c r="AH188" s="6">
        <v>0</v>
      </c>
      <c r="AI188" s="6">
        <v>0</v>
      </c>
      <c r="AJ188" s="6">
        <v>0</v>
      </c>
      <c r="AK188" s="10">
        <f t="shared" si="126"/>
        <v>1</v>
      </c>
      <c r="AL188" s="10">
        <f t="shared" si="127"/>
        <v>1</v>
      </c>
      <c r="AM188" s="10">
        <f t="shared" si="128"/>
        <v>1</v>
      </c>
      <c r="AN188" s="10">
        <f t="shared" si="129"/>
        <v>1</v>
      </c>
      <c r="AO188" s="2" t="str">
        <f t="shared" si="130"/>
        <v>NA</v>
      </c>
      <c r="AP188" s="2">
        <v>1</v>
      </c>
      <c r="AQ188" s="2">
        <v>1</v>
      </c>
      <c r="AR188" s="2">
        <v>1</v>
      </c>
      <c r="AS188" s="2">
        <v>1</v>
      </c>
      <c r="AT188" s="2">
        <v>0</v>
      </c>
      <c r="AU188" s="2">
        <v>0</v>
      </c>
      <c r="AV188" s="2">
        <v>0</v>
      </c>
      <c r="AW188" s="2">
        <v>0</v>
      </c>
      <c r="AX188" s="10">
        <f t="shared" si="131"/>
        <v>1</v>
      </c>
      <c r="AY188" s="10">
        <f t="shared" si="132"/>
        <v>1</v>
      </c>
      <c r="AZ188" s="10">
        <f t="shared" si="133"/>
        <v>1</v>
      </c>
      <c r="BA188" s="10">
        <f t="shared" si="134"/>
        <v>1</v>
      </c>
      <c r="BB188" s="2" t="str">
        <f t="shared" si="135"/>
        <v>NA</v>
      </c>
      <c r="BC188" s="6">
        <v>0</v>
      </c>
      <c r="BD188" s="6">
        <v>0</v>
      </c>
      <c r="BE188" s="6">
        <v>0</v>
      </c>
      <c r="BF188" s="6">
        <v>0</v>
      </c>
      <c r="BG188" s="6">
        <v>0</v>
      </c>
      <c r="BH188" s="6">
        <v>0</v>
      </c>
      <c r="BI188" s="6">
        <v>0</v>
      </c>
      <c r="BJ188" s="6">
        <v>0</v>
      </c>
      <c r="BK188" s="10" t="str">
        <f t="shared" si="136"/>
        <v/>
      </c>
      <c r="BL188" s="10" t="str">
        <f t="shared" si="137"/>
        <v/>
      </c>
      <c r="BM188" s="10" t="str">
        <f t="shared" si="138"/>
        <v/>
      </c>
      <c r="BN188" s="10" t="str">
        <f t="shared" si="139"/>
        <v/>
      </c>
      <c r="BO188" s="2" t="str">
        <f t="shared" si="140"/>
        <v>NA</v>
      </c>
      <c r="BP188" s="10">
        <v>2.9523059743094549E-3</v>
      </c>
      <c r="BQ188" s="10">
        <v>-4.0388481051792935E-3</v>
      </c>
      <c r="BR188" s="10">
        <v>-4.7143919407970913E-3</v>
      </c>
      <c r="BS188" s="10">
        <v>1.7948610210427596E-3</v>
      </c>
      <c r="BT188" s="11" t="s">
        <v>461</v>
      </c>
    </row>
    <row r="189" spans="1:72">
      <c r="A189">
        <f>COUNTIFS($J$7:J189,J189,$N$7:N189,N189,$E$7:E189,E189)</f>
        <v>2</v>
      </c>
      <c r="B189" s="16" t="str">
        <f t="shared" si="98"/>
        <v>Critical</v>
      </c>
      <c r="C189" s="16" t="str">
        <f t="shared" si="99"/>
        <v>2CriticalNoTravel</v>
      </c>
      <c r="D189" s="1">
        <v>25289</v>
      </c>
      <c r="E189" s="1" t="s">
        <v>79</v>
      </c>
      <c r="F189" s="1" t="s">
        <v>221</v>
      </c>
      <c r="G189" s="1" t="s">
        <v>283</v>
      </c>
      <c r="H189" s="1">
        <v>28</v>
      </c>
      <c r="I189" s="1" t="s">
        <v>98</v>
      </c>
      <c r="J189" s="1" t="s">
        <v>27</v>
      </c>
      <c r="K189" s="1">
        <v>1</v>
      </c>
      <c r="L189" s="1">
        <v>1</v>
      </c>
      <c r="M189" s="2">
        <v>-0.22946135324510467</v>
      </c>
      <c r="N189" s="27" t="str">
        <f t="shared" si="100"/>
        <v>Critical</v>
      </c>
      <c r="O189" s="1">
        <v>1</v>
      </c>
      <c r="P189" s="6">
        <v>19.960637213390442</v>
      </c>
      <c r="Q189" s="6">
        <v>21.928514708584899</v>
      </c>
      <c r="R189" s="6">
        <v>28.031166739643091</v>
      </c>
      <c r="S189" s="6">
        <v>24.323148047194469</v>
      </c>
      <c r="T189" s="6">
        <v>34.5</v>
      </c>
      <c r="U189" s="6">
        <v>32.6</v>
      </c>
      <c r="V189" s="6">
        <v>31</v>
      </c>
      <c r="W189" s="6">
        <v>29.5</v>
      </c>
      <c r="X189" s="10">
        <f t="shared" si="121"/>
        <v>-0.7284017354343747</v>
      </c>
      <c r="Y189" s="10">
        <f t="shared" si="122"/>
        <v>-0.48664879647490544</v>
      </c>
      <c r="Z189" s="10">
        <f t="shared" si="123"/>
        <v>-0.10591186902535298</v>
      </c>
      <c r="AA189" s="10">
        <f t="shared" si="124"/>
        <v>-0.21283642819427934</v>
      </c>
      <c r="AB189" s="2">
        <f t="shared" si="125"/>
        <v>-0.3834497072822281</v>
      </c>
      <c r="AC189" s="6">
        <v>29.882576156731027</v>
      </c>
      <c r="AD189" s="6">
        <v>41.302438790827082</v>
      </c>
      <c r="AE189" s="6">
        <v>41.535726204033253</v>
      </c>
      <c r="AF189" s="6">
        <v>29.452137010276541</v>
      </c>
      <c r="AG189" s="6">
        <v>35</v>
      </c>
      <c r="AH189" s="6">
        <v>47.6</v>
      </c>
      <c r="AI189" s="6">
        <v>48.75</v>
      </c>
      <c r="AJ189" s="6">
        <v>40.75</v>
      </c>
      <c r="AK189" s="10">
        <f t="shared" si="126"/>
        <v>-0.1712510934943699</v>
      </c>
      <c r="AL189" s="10">
        <f t="shared" si="127"/>
        <v>-0.15247431855214208</v>
      </c>
      <c r="AM189" s="10">
        <f t="shared" si="128"/>
        <v>-0.17368839924763896</v>
      </c>
      <c r="AN189" s="10">
        <f t="shared" si="129"/>
        <v>-0.38360078882497967</v>
      </c>
      <c r="AO189" s="2">
        <f t="shared" si="130"/>
        <v>-0.22025365002978264</v>
      </c>
      <c r="AP189" s="2">
        <v>1</v>
      </c>
      <c r="AQ189" s="2">
        <v>1</v>
      </c>
      <c r="AR189" s="2">
        <v>1</v>
      </c>
      <c r="AS189" s="2">
        <v>1</v>
      </c>
      <c r="AT189" s="2">
        <v>0.35</v>
      </c>
      <c r="AU189" s="2">
        <v>0.35</v>
      </c>
      <c r="AV189" s="2">
        <v>0.35</v>
      </c>
      <c r="AW189" s="2">
        <v>0.35</v>
      </c>
      <c r="AX189" s="10">
        <f t="shared" si="131"/>
        <v>0.65</v>
      </c>
      <c r="AY189" s="10">
        <f t="shared" si="132"/>
        <v>0.65</v>
      </c>
      <c r="AZ189" s="10">
        <f t="shared" si="133"/>
        <v>0.65</v>
      </c>
      <c r="BA189" s="10">
        <f t="shared" si="134"/>
        <v>0.65</v>
      </c>
      <c r="BB189" s="2">
        <f t="shared" si="135"/>
        <v>0.65</v>
      </c>
      <c r="BC189" s="6">
        <v>10421.153748999999</v>
      </c>
      <c r="BD189" s="6">
        <v>14048.167192000001</v>
      </c>
      <c r="BE189" s="6">
        <v>15465.654101</v>
      </c>
      <c r="BF189" s="6">
        <v>12330</v>
      </c>
      <c r="BG189" s="6">
        <v>7650</v>
      </c>
      <c r="BH189" s="6">
        <v>13788</v>
      </c>
      <c r="BI189" s="6">
        <v>11916</v>
      </c>
      <c r="BJ189" s="6">
        <v>9843</v>
      </c>
      <c r="BK189" s="10">
        <f t="shared" si="136"/>
        <v>0.26591621386124503</v>
      </c>
      <c r="BL189" s="10">
        <f t="shared" si="137"/>
        <v>1.8519653734485591E-2</v>
      </c>
      <c r="BM189" s="10">
        <f t="shared" si="138"/>
        <v>0.22951852393818128</v>
      </c>
      <c r="BN189" s="10">
        <f t="shared" si="139"/>
        <v>0.20170316301703162</v>
      </c>
      <c r="BO189" s="2">
        <f t="shared" si="140"/>
        <v>0.1789143886377359</v>
      </c>
      <c r="BP189" s="10">
        <v>0.38127752204260801</v>
      </c>
      <c r="BQ189" s="10">
        <v>0.12584970034984011</v>
      </c>
      <c r="BR189" s="10">
        <v>0.12333075825563705</v>
      </c>
      <c r="BS189" s="10">
        <v>0.14842152371452169</v>
      </c>
      <c r="BT189" s="11">
        <v>0</v>
      </c>
    </row>
    <row r="190" spans="1:72">
      <c r="A190">
        <f>COUNTIFS($J$7:J190,J190,$N$7:N190,N190,$E$7:E190,E190)</f>
        <v>3</v>
      </c>
      <c r="B190" s="16" t="str">
        <f t="shared" si="98"/>
        <v>Critical</v>
      </c>
      <c r="C190" s="16" t="str">
        <f t="shared" si="99"/>
        <v>3CriticalNoTravel</v>
      </c>
      <c r="D190" s="1">
        <v>25290</v>
      </c>
      <c r="E190" s="1" t="s">
        <v>79</v>
      </c>
      <c r="F190" s="1" t="s">
        <v>221</v>
      </c>
      <c r="G190" s="1" t="s">
        <v>284</v>
      </c>
      <c r="H190" s="1">
        <v>33</v>
      </c>
      <c r="I190" s="1" t="s">
        <v>98</v>
      </c>
      <c r="J190" s="1" t="s">
        <v>27</v>
      </c>
      <c r="K190" s="1">
        <v>1</v>
      </c>
      <c r="L190" s="1">
        <v>1</v>
      </c>
      <c r="M190" s="2">
        <v>-0.33560412656576738</v>
      </c>
      <c r="N190" s="27" t="str">
        <f t="shared" si="100"/>
        <v>Critical</v>
      </c>
      <c r="O190" s="1">
        <v>1</v>
      </c>
      <c r="P190" s="6">
        <v>25.691023641861332</v>
      </c>
      <c r="Q190" s="6">
        <v>26.918851222386991</v>
      </c>
      <c r="R190" s="6">
        <v>25.908489377627301</v>
      </c>
      <c r="S190" s="6">
        <v>24.942253922582189</v>
      </c>
      <c r="T190" s="6">
        <v>40</v>
      </c>
      <c r="U190" s="6">
        <v>38.6</v>
      </c>
      <c r="V190" s="6">
        <v>36.5</v>
      </c>
      <c r="W190" s="6">
        <v>34.75</v>
      </c>
      <c r="X190" s="10">
        <f t="shared" si="121"/>
        <v>-0.55696404151150336</v>
      </c>
      <c r="Y190" s="10">
        <f t="shared" si="122"/>
        <v>-0.43393934908702247</v>
      </c>
      <c r="Z190" s="10">
        <f t="shared" si="123"/>
        <v>-0.4088046380472789</v>
      </c>
      <c r="AA190" s="10">
        <f t="shared" si="124"/>
        <v>-0.39321811524571504</v>
      </c>
      <c r="AB190" s="2">
        <f t="shared" si="125"/>
        <v>-0.44823153597287996</v>
      </c>
      <c r="AC190" s="6">
        <v>22.002517804058638</v>
      </c>
      <c r="AD190" s="6">
        <v>28.544193617639941</v>
      </c>
      <c r="AE190" s="6">
        <v>28.258925745828673</v>
      </c>
      <c r="AF190" s="6">
        <v>26.252411866576775</v>
      </c>
      <c r="AG190" s="6">
        <v>32.25</v>
      </c>
      <c r="AH190" s="6">
        <v>39</v>
      </c>
      <c r="AI190" s="6">
        <v>30.5</v>
      </c>
      <c r="AJ190" s="6">
        <v>37.5</v>
      </c>
      <c r="AK190" s="10">
        <f t="shared" si="126"/>
        <v>-0.46574134320441668</v>
      </c>
      <c r="AL190" s="10">
        <f t="shared" si="127"/>
        <v>-0.36630239138717535</v>
      </c>
      <c r="AM190" s="10">
        <f t="shared" si="128"/>
        <v>-7.9305005233687415E-2</v>
      </c>
      <c r="AN190" s="10">
        <f t="shared" si="129"/>
        <v>-0.42844018258539807</v>
      </c>
      <c r="AO190" s="2">
        <f t="shared" si="130"/>
        <v>-0.3349472306026694</v>
      </c>
      <c r="AP190" s="2">
        <v>1</v>
      </c>
      <c r="AQ190" s="2">
        <v>1</v>
      </c>
      <c r="AR190" s="2">
        <v>1</v>
      </c>
      <c r="AS190" s="2">
        <v>1</v>
      </c>
      <c r="AT190" s="2">
        <v>0.53749999999999998</v>
      </c>
      <c r="AU190" s="2">
        <v>0.51600000000000001</v>
      </c>
      <c r="AV190" s="2">
        <v>0.53</v>
      </c>
      <c r="AW190" s="2">
        <v>0.48499999999999999</v>
      </c>
      <c r="AX190" s="10">
        <f t="shared" si="131"/>
        <v>0.46250000000000002</v>
      </c>
      <c r="AY190" s="10">
        <f t="shared" si="132"/>
        <v>0.48399999999999999</v>
      </c>
      <c r="AZ190" s="10">
        <f t="shared" si="133"/>
        <v>0.47</v>
      </c>
      <c r="BA190" s="10">
        <f t="shared" si="134"/>
        <v>0.51500000000000001</v>
      </c>
      <c r="BB190" s="2">
        <f t="shared" si="135"/>
        <v>0.48287500000000005</v>
      </c>
      <c r="BC190" s="6">
        <v>10570</v>
      </c>
      <c r="BD190" s="6">
        <v>13824</v>
      </c>
      <c r="BE190" s="6">
        <v>14401</v>
      </c>
      <c r="BF190" s="6">
        <v>13619</v>
      </c>
      <c r="BG190" s="6">
        <v>9848</v>
      </c>
      <c r="BH190" s="6">
        <v>15543</v>
      </c>
      <c r="BI190" s="6">
        <v>10022</v>
      </c>
      <c r="BJ190" s="6">
        <v>11206</v>
      </c>
      <c r="BK190" s="10">
        <f t="shared" si="136"/>
        <v>6.830652790917692E-2</v>
      </c>
      <c r="BL190" s="10">
        <f t="shared" si="137"/>
        <v>-0.12434895833333333</v>
      </c>
      <c r="BM190" s="10">
        <f t="shared" si="138"/>
        <v>0.30407610582598432</v>
      </c>
      <c r="BN190" s="10">
        <f t="shared" si="139"/>
        <v>0.17717894118510905</v>
      </c>
      <c r="BO190" s="2">
        <f t="shared" si="140"/>
        <v>0.10630315414673425</v>
      </c>
      <c r="BP190" s="10">
        <v>0.46690736648051684</v>
      </c>
      <c r="BQ190" s="10">
        <v>0.31793367693636471</v>
      </c>
      <c r="BR190" s="10">
        <v>0.27350692630439677</v>
      </c>
      <c r="BS190" s="10">
        <v>5.4717421692240982E-2</v>
      </c>
      <c r="BT190" s="11">
        <v>0</v>
      </c>
    </row>
    <row r="191" spans="1:72">
      <c r="A191">
        <f>COUNTIFS($J$7:J191,J191,$N$7:N191,N191,$E$7:E191,E191)</f>
        <v>11</v>
      </c>
      <c r="B191" s="16" t="str">
        <f t="shared" si="98"/>
        <v>Medium</v>
      </c>
      <c r="C191" s="16" t="str">
        <f t="shared" si="99"/>
        <v>11MediumNoRetail</v>
      </c>
      <c r="D191" s="1">
        <v>25291</v>
      </c>
      <c r="E191" s="1" t="s">
        <v>10</v>
      </c>
      <c r="F191" s="1" t="s">
        <v>198</v>
      </c>
      <c r="G191" s="1" t="s">
        <v>285</v>
      </c>
      <c r="H191" s="1">
        <v>38</v>
      </c>
      <c r="I191" s="1" t="s">
        <v>200</v>
      </c>
      <c r="J191" s="1" t="s">
        <v>27</v>
      </c>
      <c r="K191" s="1">
        <v>1</v>
      </c>
      <c r="L191" s="1"/>
      <c r="M191" s="2">
        <v>0</v>
      </c>
      <c r="N191" s="27" t="str">
        <f t="shared" si="100"/>
        <v>Medium</v>
      </c>
      <c r="O191" s="1">
        <v>0</v>
      </c>
      <c r="P191" s="6">
        <v>0</v>
      </c>
      <c r="Q191" s="6">
        <v>0</v>
      </c>
      <c r="R191" s="6">
        <v>0</v>
      </c>
      <c r="S191" s="6">
        <v>0</v>
      </c>
      <c r="T191" s="6">
        <v>4</v>
      </c>
      <c r="U191" s="6">
        <v>4</v>
      </c>
      <c r="V191" s="6">
        <v>4</v>
      </c>
      <c r="W191" s="6">
        <v>3.5</v>
      </c>
      <c r="X191" s="10" t="str">
        <f t="shared" si="121"/>
        <v/>
      </c>
      <c r="Y191" s="10" t="str">
        <f t="shared" si="122"/>
        <v/>
      </c>
      <c r="Z191" s="10" t="str">
        <f t="shared" si="123"/>
        <v/>
      </c>
      <c r="AA191" s="10" t="str">
        <f t="shared" si="124"/>
        <v/>
      </c>
      <c r="AB191" s="2" t="str">
        <f t="shared" si="125"/>
        <v>NA</v>
      </c>
      <c r="AC191" s="6">
        <v>0</v>
      </c>
      <c r="AD191" s="6">
        <v>0</v>
      </c>
      <c r="AE191" s="6">
        <v>0</v>
      </c>
      <c r="AF191" s="6">
        <v>0</v>
      </c>
      <c r="AG191" s="6">
        <v>2.75</v>
      </c>
      <c r="AH191" s="6">
        <v>2.2000000000000002</v>
      </c>
      <c r="AI191" s="6">
        <v>3</v>
      </c>
      <c r="AJ191" s="6">
        <v>2.5</v>
      </c>
      <c r="AK191" s="10" t="str">
        <f t="shared" si="126"/>
        <v/>
      </c>
      <c r="AL191" s="10" t="str">
        <f t="shared" si="127"/>
        <v/>
      </c>
      <c r="AM191" s="10" t="str">
        <f t="shared" si="128"/>
        <v/>
      </c>
      <c r="AN191" s="10" t="str">
        <f t="shared" si="129"/>
        <v/>
      </c>
      <c r="AO191" s="2" t="str">
        <f t="shared" si="130"/>
        <v>NA</v>
      </c>
      <c r="AP191" s="2">
        <v>0</v>
      </c>
      <c r="AQ191" s="2">
        <v>0</v>
      </c>
      <c r="AR191" s="2">
        <v>0</v>
      </c>
      <c r="AS191" s="2">
        <v>0</v>
      </c>
      <c r="AT191" s="2">
        <v>0.84</v>
      </c>
      <c r="AU191" s="2">
        <v>0.84</v>
      </c>
      <c r="AV191" s="2">
        <v>0.84</v>
      </c>
      <c r="AW191" s="2">
        <v>0.84</v>
      </c>
      <c r="AX191" s="10" t="str">
        <f t="shared" si="131"/>
        <v/>
      </c>
      <c r="AY191" s="10" t="str">
        <f t="shared" si="132"/>
        <v/>
      </c>
      <c r="AZ191" s="10" t="str">
        <f t="shared" si="133"/>
        <v/>
      </c>
      <c r="BA191" s="10" t="str">
        <f t="shared" si="134"/>
        <v/>
      </c>
      <c r="BB191" s="2" t="str">
        <f t="shared" si="135"/>
        <v>NA</v>
      </c>
      <c r="BC191" s="6">
        <v>0</v>
      </c>
      <c r="BD191" s="6">
        <v>0</v>
      </c>
      <c r="BE191" s="6">
        <v>0</v>
      </c>
      <c r="BF191" s="6">
        <v>0</v>
      </c>
      <c r="BG191" s="6">
        <v>1321</v>
      </c>
      <c r="BH191" s="6">
        <v>1408</v>
      </c>
      <c r="BI191" s="6">
        <v>1378</v>
      </c>
      <c r="BJ191" s="6">
        <v>1247</v>
      </c>
      <c r="BK191" s="10" t="str">
        <f t="shared" si="136"/>
        <v/>
      </c>
      <c r="BL191" s="10" t="str">
        <f t="shared" si="137"/>
        <v/>
      </c>
      <c r="BM191" s="10" t="str">
        <f t="shared" si="138"/>
        <v/>
      </c>
      <c r="BN191" s="10" t="str">
        <f t="shared" si="139"/>
        <v/>
      </c>
      <c r="BO191" s="2" t="str">
        <f t="shared" si="140"/>
        <v>NA</v>
      </c>
      <c r="BP191" s="10">
        <v>0</v>
      </c>
      <c r="BQ191" s="10">
        <v>0</v>
      </c>
      <c r="BR191" s="10">
        <v>0</v>
      </c>
      <c r="BS191" s="10">
        <v>0</v>
      </c>
      <c r="BT191" s="11">
        <v>0</v>
      </c>
    </row>
    <row r="192" spans="1:72">
      <c r="A192">
        <f>COUNTIFS($J$7:J192,J192,$N$7:N192,N192,$E$7:E192,E192)</f>
        <v>27</v>
      </c>
      <c r="B192" s="16" t="str">
        <f t="shared" si="98"/>
        <v>Low</v>
      </c>
      <c r="C192" s="16" t="str">
        <f t="shared" si="99"/>
        <v>27LowNoRetail</v>
      </c>
      <c r="D192" s="1">
        <v>25293</v>
      </c>
      <c r="E192" s="1" t="s">
        <v>10</v>
      </c>
      <c r="F192" s="1" t="s">
        <v>198</v>
      </c>
      <c r="G192" s="1" t="s">
        <v>286</v>
      </c>
      <c r="H192" s="1">
        <v>26</v>
      </c>
      <c r="I192" s="1" t="s">
        <v>200</v>
      </c>
      <c r="J192" s="1" t="s">
        <v>27</v>
      </c>
      <c r="K192" s="1">
        <v>1</v>
      </c>
      <c r="L192" s="1">
        <v>1</v>
      </c>
      <c r="M192" s="2">
        <v>0.3423748590405935</v>
      </c>
      <c r="N192" s="27" t="str">
        <f t="shared" si="100"/>
        <v>Low</v>
      </c>
      <c r="O192" s="1">
        <v>1</v>
      </c>
      <c r="P192" s="6">
        <v>24.040740431880639</v>
      </c>
      <c r="Q192" s="6">
        <v>23.149135795917609</v>
      </c>
      <c r="R192" s="6">
        <v>24.069735865460391</v>
      </c>
      <c r="S192" s="6">
        <v>24.327773150390421</v>
      </c>
      <c r="T192" s="6">
        <v>21.5</v>
      </c>
      <c r="U192" s="6">
        <v>20</v>
      </c>
      <c r="V192" s="6">
        <v>19.5</v>
      </c>
      <c r="W192" s="6">
        <v>18</v>
      </c>
      <c r="X192" s="10">
        <f t="shared" si="121"/>
        <v>0.10568478284102019</v>
      </c>
      <c r="Y192" s="10">
        <f t="shared" si="122"/>
        <v>0.13603686218268954</v>
      </c>
      <c r="Z192" s="10">
        <f t="shared" si="123"/>
        <v>0.18985400965774096</v>
      </c>
      <c r="AA192" s="10">
        <f t="shared" si="124"/>
        <v>0.26010490607887266</v>
      </c>
      <c r="AB192" s="2">
        <f t="shared" si="125"/>
        <v>0.17292014019008084</v>
      </c>
      <c r="AC192" s="6">
        <v>45</v>
      </c>
      <c r="AD192" s="6">
        <v>30</v>
      </c>
      <c r="AE192" s="6">
        <v>31</v>
      </c>
      <c r="AF192" s="6">
        <v>31</v>
      </c>
      <c r="AG192" s="6">
        <v>17.5</v>
      </c>
      <c r="AH192" s="6">
        <v>19</v>
      </c>
      <c r="AI192" s="6">
        <v>20</v>
      </c>
      <c r="AJ192" s="6">
        <v>19</v>
      </c>
      <c r="AK192" s="10">
        <f t="shared" si="126"/>
        <v>0.61111111111111116</v>
      </c>
      <c r="AL192" s="10">
        <f t="shared" si="127"/>
        <v>0.36666666666666664</v>
      </c>
      <c r="AM192" s="10">
        <f t="shared" si="128"/>
        <v>0.35483870967741937</v>
      </c>
      <c r="AN192" s="10">
        <f t="shared" si="129"/>
        <v>0.38709677419354838</v>
      </c>
      <c r="AO192" s="2">
        <f t="shared" si="130"/>
        <v>0.42992831541218646</v>
      </c>
      <c r="AP192" s="2">
        <v>0.98999999999999988</v>
      </c>
      <c r="AQ192" s="2">
        <v>0.98999999999999988</v>
      </c>
      <c r="AR192" s="2">
        <v>0.98999999999999988</v>
      </c>
      <c r="AS192" s="2">
        <v>0.98999999999999988</v>
      </c>
      <c r="AT192" s="2">
        <v>0.75</v>
      </c>
      <c r="AU192" s="2">
        <v>0.76800000000000002</v>
      </c>
      <c r="AV192" s="2">
        <v>0.84</v>
      </c>
      <c r="AW192" s="2">
        <v>0.84</v>
      </c>
      <c r="AX192" s="10">
        <f t="shared" si="131"/>
        <v>0.24242424242424232</v>
      </c>
      <c r="AY192" s="10">
        <f t="shared" si="132"/>
        <v>0.22424242424242413</v>
      </c>
      <c r="AZ192" s="10">
        <f t="shared" si="133"/>
        <v>0.15151515151515144</v>
      </c>
      <c r="BA192" s="10">
        <f t="shared" si="134"/>
        <v>0.15151515151515144</v>
      </c>
      <c r="BB192" s="2">
        <f t="shared" si="135"/>
        <v>0.19242424242424233</v>
      </c>
      <c r="BC192" s="6">
        <v>0</v>
      </c>
      <c r="BD192" s="6">
        <v>0</v>
      </c>
      <c r="BE192" s="6">
        <v>0</v>
      </c>
      <c r="BF192" s="6">
        <v>0</v>
      </c>
      <c r="BG192" s="6">
        <v>10132</v>
      </c>
      <c r="BH192" s="6">
        <v>14477</v>
      </c>
      <c r="BI192" s="6">
        <v>13304</v>
      </c>
      <c r="BJ192" s="6">
        <v>12781</v>
      </c>
      <c r="BK192" s="10" t="str">
        <f t="shared" si="136"/>
        <v/>
      </c>
      <c r="BL192" s="10" t="str">
        <f t="shared" si="137"/>
        <v/>
      </c>
      <c r="BM192" s="10" t="str">
        <f t="shared" si="138"/>
        <v/>
      </c>
      <c r="BN192" s="10" t="str">
        <f t="shared" si="139"/>
        <v/>
      </c>
      <c r="BO192" s="2" t="str">
        <f t="shared" si="140"/>
        <v>NA</v>
      </c>
      <c r="BP192" s="10">
        <v>2.2253538375857418E-2</v>
      </c>
      <c r="BQ192" s="10">
        <v>5.6574416096352165E-3</v>
      </c>
      <c r="BR192" s="10">
        <v>9.2237406535322641E-4</v>
      </c>
      <c r="BS192" s="10">
        <v>1.4359770797978122E-4</v>
      </c>
      <c r="BT192" s="11" t="s">
        <v>461</v>
      </c>
    </row>
    <row r="193" spans="1:72">
      <c r="A193">
        <f>COUNTIFS($J$7:J193,J193,$N$7:N193,N193,$E$7:E193,E193)</f>
        <v>28</v>
      </c>
      <c r="B193" s="16" t="str">
        <f t="shared" si="98"/>
        <v>Low</v>
      </c>
      <c r="C193" s="16" t="str">
        <f t="shared" si="99"/>
        <v>28LowNoRetail</v>
      </c>
      <c r="D193" s="1">
        <v>25294</v>
      </c>
      <c r="E193" s="1" t="s">
        <v>10</v>
      </c>
      <c r="F193" s="1" t="s">
        <v>198</v>
      </c>
      <c r="G193" s="1" t="s">
        <v>287</v>
      </c>
      <c r="H193" s="1">
        <v>56</v>
      </c>
      <c r="I193" s="1" t="s">
        <v>200</v>
      </c>
      <c r="J193" s="1" t="s">
        <v>27</v>
      </c>
      <c r="K193" s="1">
        <v>1</v>
      </c>
      <c r="L193" s="1">
        <v>1</v>
      </c>
      <c r="M193" s="2">
        <v>0.40576640067734443</v>
      </c>
      <c r="N193" s="27" t="str">
        <f t="shared" si="100"/>
        <v>Low</v>
      </c>
      <c r="O193" s="1">
        <v>1</v>
      </c>
      <c r="P193" s="6">
        <v>45.043735806231112</v>
      </c>
      <c r="Q193" s="6">
        <v>44.998874999999998</v>
      </c>
      <c r="R193" s="6">
        <v>44.998874999999998</v>
      </c>
      <c r="S193" s="6">
        <v>44.998874999999998</v>
      </c>
      <c r="T193" s="6">
        <v>53.5</v>
      </c>
      <c r="U193" s="6">
        <v>51.2</v>
      </c>
      <c r="V193" s="6">
        <v>49</v>
      </c>
      <c r="W193" s="6">
        <v>47</v>
      </c>
      <c r="X193" s="10">
        <f t="shared" si="121"/>
        <v>-0.18773452162462717</v>
      </c>
      <c r="Y193" s="10">
        <f t="shared" si="122"/>
        <v>-0.13780622293335121</v>
      </c>
      <c r="Z193" s="10">
        <f t="shared" si="123"/>
        <v>-8.8916111791683725E-2</v>
      </c>
      <c r="AA193" s="10">
        <f t="shared" si="124"/>
        <v>-4.4470556208349693E-2</v>
      </c>
      <c r="AB193" s="2">
        <f t="shared" si="125"/>
        <v>-0.11473185313950296</v>
      </c>
      <c r="AC193" s="6">
        <v>50</v>
      </c>
      <c r="AD193" s="6">
        <v>45</v>
      </c>
      <c r="AE193" s="6">
        <v>45</v>
      </c>
      <c r="AF193" s="6">
        <v>45</v>
      </c>
      <c r="AG193" s="6">
        <v>50</v>
      </c>
      <c r="AH193" s="6">
        <v>50</v>
      </c>
      <c r="AI193" s="6">
        <v>50</v>
      </c>
      <c r="AJ193" s="6">
        <v>50</v>
      </c>
      <c r="AK193" s="10">
        <f t="shared" si="126"/>
        <v>0</v>
      </c>
      <c r="AL193" s="10">
        <f t="shared" si="127"/>
        <v>-0.1111111111111111</v>
      </c>
      <c r="AM193" s="10">
        <f t="shared" si="128"/>
        <v>-0.1111111111111111</v>
      </c>
      <c r="AN193" s="10">
        <f t="shared" si="129"/>
        <v>-0.1111111111111111</v>
      </c>
      <c r="AO193" s="2">
        <f t="shared" si="130"/>
        <v>-8.3333333333333329E-2</v>
      </c>
      <c r="AP193" s="2">
        <v>0.99</v>
      </c>
      <c r="AQ193" s="2">
        <v>0.99</v>
      </c>
      <c r="AR193" s="2">
        <v>0.99</v>
      </c>
      <c r="AS193" s="2">
        <v>0.99</v>
      </c>
      <c r="AT193" s="2">
        <v>0</v>
      </c>
      <c r="AU193" s="2">
        <v>0</v>
      </c>
      <c r="AV193" s="2">
        <v>0</v>
      </c>
      <c r="AW193" s="2">
        <v>0</v>
      </c>
      <c r="AX193" s="10">
        <f t="shared" si="131"/>
        <v>1</v>
      </c>
      <c r="AY193" s="10">
        <f t="shared" si="132"/>
        <v>1</v>
      </c>
      <c r="AZ193" s="10">
        <f t="shared" si="133"/>
        <v>1</v>
      </c>
      <c r="BA193" s="10">
        <f t="shared" si="134"/>
        <v>1</v>
      </c>
      <c r="BB193" s="2" t="str">
        <f t="shared" si="135"/>
        <v>NA</v>
      </c>
      <c r="BC193" s="6">
        <v>0</v>
      </c>
      <c r="BD193" s="6">
        <v>0</v>
      </c>
      <c r="BE193" s="6">
        <v>0</v>
      </c>
      <c r="BF193" s="6">
        <v>0</v>
      </c>
      <c r="BG193" s="6">
        <v>0</v>
      </c>
      <c r="BH193" s="6">
        <v>0</v>
      </c>
      <c r="BI193" s="6">
        <v>0</v>
      </c>
      <c r="BJ193" s="6">
        <v>0</v>
      </c>
      <c r="BK193" s="10" t="str">
        <f t="shared" si="136"/>
        <v/>
      </c>
      <c r="BL193" s="10" t="str">
        <f t="shared" si="137"/>
        <v/>
      </c>
      <c r="BM193" s="10" t="str">
        <f t="shared" si="138"/>
        <v/>
      </c>
      <c r="BN193" s="10" t="str">
        <f t="shared" si="139"/>
        <v/>
      </c>
      <c r="BO193" s="2" t="str">
        <f t="shared" si="140"/>
        <v>NA</v>
      </c>
      <c r="BP193" s="10">
        <v>-5.8105410304665206E-4</v>
      </c>
      <c r="BQ193" s="10">
        <v>-8.0802377897770672E-3</v>
      </c>
      <c r="BR193" s="10">
        <v>-8.1975867866701524E-3</v>
      </c>
      <c r="BS193" s="10">
        <v>-7.8654586282487227E-3</v>
      </c>
      <c r="BT193" s="11" t="s">
        <v>461</v>
      </c>
    </row>
    <row r="194" spans="1:72">
      <c r="A194">
        <f>COUNTIFS($J$7:J194,J194,$N$7:N194,N194,$E$7:E194,E194)</f>
        <v>2</v>
      </c>
      <c r="B194" s="16" t="str">
        <f t="shared" si="98"/>
        <v>Medium</v>
      </c>
      <c r="C194" s="16" t="str">
        <f t="shared" si="99"/>
        <v>2MediumYesTechnology</v>
      </c>
      <c r="D194" s="1">
        <v>25295</v>
      </c>
      <c r="E194" s="1" t="s">
        <v>23</v>
      </c>
      <c r="F194" s="1" t="s">
        <v>39</v>
      </c>
      <c r="G194" s="1" t="s">
        <v>288</v>
      </c>
      <c r="H194" s="1">
        <v>22</v>
      </c>
      <c r="I194" s="1" t="s">
        <v>44</v>
      </c>
      <c r="J194" s="1" t="s">
        <v>9</v>
      </c>
      <c r="K194" s="1">
        <v>1</v>
      </c>
      <c r="L194" s="1">
        <v>1</v>
      </c>
      <c r="M194" s="2">
        <v>8.4313261069961107E-2</v>
      </c>
      <c r="N194" s="27" t="str">
        <f t="shared" si="100"/>
        <v>Medium</v>
      </c>
      <c r="O194" s="1">
        <v>1</v>
      </c>
      <c r="P194" s="6">
        <v>20.91999269386552</v>
      </c>
      <c r="Q194" s="6">
        <v>20.368981253961689</v>
      </c>
      <c r="R194" s="6">
        <v>19.877315228849231</v>
      </c>
      <c r="S194" s="6">
        <v>19.240584248403628</v>
      </c>
      <c r="T194" s="6">
        <v>18.5</v>
      </c>
      <c r="U194" s="6">
        <v>18</v>
      </c>
      <c r="V194" s="6">
        <v>17</v>
      </c>
      <c r="W194" s="6">
        <v>17</v>
      </c>
      <c r="X194" s="10">
        <f t="shared" si="121"/>
        <v>0.11567846744875525</v>
      </c>
      <c r="Y194" s="10">
        <f t="shared" si="122"/>
        <v>0.11630337445084206</v>
      </c>
      <c r="Z194" s="10">
        <f t="shared" si="123"/>
        <v>0.14475371526398079</v>
      </c>
      <c r="AA194" s="10">
        <f t="shared" si="124"/>
        <v>0.11645094657609098</v>
      </c>
      <c r="AB194" s="2">
        <f t="shared" si="125"/>
        <v>0.12329662593491728</v>
      </c>
      <c r="AC194" s="6">
        <v>19.523868341384407</v>
      </c>
      <c r="AD194" s="6">
        <v>20.665974666758899</v>
      </c>
      <c r="AE194" s="6">
        <v>18.433156969411009</v>
      </c>
      <c r="AF194" s="6">
        <v>17.57395745014308</v>
      </c>
      <c r="AG194" s="6">
        <v>19.5</v>
      </c>
      <c r="AH194" s="6">
        <v>19.8</v>
      </c>
      <c r="AI194" s="6">
        <v>18.25</v>
      </c>
      <c r="AJ194" s="6">
        <v>17.75</v>
      </c>
      <c r="AK194" s="10">
        <f t="shared" si="126"/>
        <v>1.2225211196396912E-3</v>
      </c>
      <c r="AL194" s="10">
        <f t="shared" si="127"/>
        <v>4.1903403092418072E-2</v>
      </c>
      <c r="AM194" s="10">
        <f t="shared" si="128"/>
        <v>9.9362778559825317E-3</v>
      </c>
      <c r="AN194" s="10">
        <f t="shared" si="129"/>
        <v>-1.0017240018723644E-2</v>
      </c>
      <c r="AO194" s="2">
        <f t="shared" si="130"/>
        <v>1.0761240512329164E-2</v>
      </c>
      <c r="AP194" s="2">
        <v>0.50297333370014563</v>
      </c>
      <c r="AQ194" s="2">
        <v>0.51221538030399505</v>
      </c>
      <c r="AR194" s="2">
        <v>0.49303359324864909</v>
      </c>
      <c r="AS194" s="2">
        <v>0.48442372105465786</v>
      </c>
      <c r="AT194" s="2">
        <v>0.505</v>
      </c>
      <c r="AU194" s="2">
        <v>0.504</v>
      </c>
      <c r="AV194" s="2">
        <v>0.49</v>
      </c>
      <c r="AW194" s="2">
        <v>0.48249999999999998</v>
      </c>
      <c r="AX194" s="10">
        <f t="shared" si="131"/>
        <v>-4.0293712689400719E-3</v>
      </c>
      <c r="AY194" s="10">
        <f t="shared" si="132"/>
        <v>1.6038917650460425E-2</v>
      </c>
      <c r="AZ194" s="10">
        <f t="shared" si="133"/>
        <v>6.1529138991532895E-3</v>
      </c>
      <c r="BA194" s="10">
        <f t="shared" si="134"/>
        <v>3.9711537050036898E-3</v>
      </c>
      <c r="BB194" s="2">
        <f t="shared" si="135"/>
        <v>5.5334034964193328E-3</v>
      </c>
      <c r="BC194" s="6">
        <v>21658.295195912804</v>
      </c>
      <c r="BD194" s="6">
        <v>22812.000000000004</v>
      </c>
      <c r="BE194" s="6">
        <v>19966.596758819182</v>
      </c>
      <c r="BF194" s="6">
        <v>18992.939259682411</v>
      </c>
      <c r="BG194" s="6">
        <v>19741</v>
      </c>
      <c r="BH194" s="6">
        <v>25310</v>
      </c>
      <c r="BI194" s="6">
        <v>17881</v>
      </c>
      <c r="BJ194" s="6">
        <v>17162</v>
      </c>
      <c r="BK194" s="10">
        <f t="shared" si="136"/>
        <v>8.8524751305200697E-2</v>
      </c>
      <c r="BL194" s="10">
        <f t="shared" si="137"/>
        <v>-0.10950376994564247</v>
      </c>
      <c r="BM194" s="10">
        <f t="shared" si="138"/>
        <v>0.10445429353893172</v>
      </c>
      <c r="BN194" s="10">
        <f t="shared" si="139"/>
        <v>9.6401048550135093E-2</v>
      </c>
      <c r="BO194" s="2">
        <f t="shared" si="140"/>
        <v>4.4969080862156258E-2</v>
      </c>
      <c r="BP194" s="10">
        <v>-2.9446269547567683E-2</v>
      </c>
      <c r="BQ194" s="10">
        <v>-8.1357412423571696E-2</v>
      </c>
      <c r="BR194" s="10">
        <v>-0.13144040599698736</v>
      </c>
      <c r="BS194" s="10">
        <v>-4.187839280310976E-2</v>
      </c>
      <c r="BT194" s="11" t="s">
        <v>459</v>
      </c>
    </row>
    <row r="195" spans="1:72">
      <c r="A195">
        <f>COUNTIFS($J$7:J195,J195,$N$7:N195,N195,$E$7:E195,E195)</f>
        <v>5</v>
      </c>
      <c r="B195" s="16" t="str">
        <f t="shared" si="98"/>
        <v>Medium</v>
      </c>
      <c r="C195" s="16" t="str">
        <f t="shared" si="99"/>
        <v>5MediumNoTelecom-Non AT&amp;T</v>
      </c>
      <c r="D195" s="1">
        <v>25299</v>
      </c>
      <c r="E195" s="1" t="s">
        <v>485</v>
      </c>
      <c r="F195" s="1" t="s">
        <v>289</v>
      </c>
      <c r="G195" s="1" t="s">
        <v>290</v>
      </c>
      <c r="H195" s="1">
        <v>61</v>
      </c>
      <c r="I195" s="1" t="s">
        <v>68</v>
      </c>
      <c r="J195" s="1" t="s">
        <v>27</v>
      </c>
      <c r="K195" s="1">
        <v>1</v>
      </c>
      <c r="L195" s="1">
        <v>1</v>
      </c>
      <c r="M195" s="2">
        <v>8.7604148753782571E-2</v>
      </c>
      <c r="N195" s="27" t="str">
        <f t="shared" si="100"/>
        <v>Medium</v>
      </c>
      <c r="O195" s="1">
        <v>1</v>
      </c>
      <c r="P195" s="6">
        <v>52.999254687499992</v>
      </c>
      <c r="Q195" s="6">
        <v>52.999254687499999</v>
      </c>
      <c r="R195" s="6">
        <v>52.999254687499992</v>
      </c>
      <c r="S195" s="6">
        <v>52.999254687499999</v>
      </c>
      <c r="T195" s="6">
        <v>46</v>
      </c>
      <c r="U195" s="6">
        <v>43.6</v>
      </c>
      <c r="V195" s="6">
        <v>41</v>
      </c>
      <c r="W195" s="6">
        <v>39.5</v>
      </c>
      <c r="X195" s="10">
        <f t="shared" si="121"/>
        <v>0.13206326633779594</v>
      </c>
      <c r="Y195" s="10">
        <f t="shared" si="122"/>
        <v>0.17734692200712843</v>
      </c>
      <c r="Z195" s="10">
        <f t="shared" si="123"/>
        <v>0.22640421564890509</v>
      </c>
      <c r="AA195" s="10">
        <f t="shared" si="124"/>
        <v>0.25470650044223792</v>
      </c>
      <c r="AB195" s="2">
        <f t="shared" si="125"/>
        <v>0.19763022610901687</v>
      </c>
      <c r="AC195" s="6">
        <v>51</v>
      </c>
      <c r="AD195" s="6">
        <v>51</v>
      </c>
      <c r="AE195" s="6">
        <v>51</v>
      </c>
      <c r="AF195" s="6">
        <v>51</v>
      </c>
      <c r="AG195" s="6">
        <v>44</v>
      </c>
      <c r="AH195" s="6">
        <v>44</v>
      </c>
      <c r="AI195" s="6">
        <v>44</v>
      </c>
      <c r="AJ195" s="6">
        <v>44</v>
      </c>
      <c r="AK195" s="10">
        <f t="shared" si="126"/>
        <v>0.13725490196078433</v>
      </c>
      <c r="AL195" s="10">
        <f t="shared" si="127"/>
        <v>0.13725490196078433</v>
      </c>
      <c r="AM195" s="10">
        <f t="shared" si="128"/>
        <v>0.13725490196078433</v>
      </c>
      <c r="AN195" s="10">
        <f t="shared" si="129"/>
        <v>0.13725490196078433</v>
      </c>
      <c r="AO195" s="2">
        <f t="shared" si="130"/>
        <v>0.13725490196078433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U195" s="2">
        <v>0</v>
      </c>
      <c r="AV195" s="2">
        <v>0</v>
      </c>
      <c r="AW195" s="2">
        <v>0</v>
      </c>
      <c r="AX195" s="10" t="str">
        <f t="shared" si="131"/>
        <v/>
      </c>
      <c r="AY195" s="10" t="str">
        <f t="shared" si="132"/>
        <v/>
      </c>
      <c r="AZ195" s="10" t="str">
        <f t="shared" si="133"/>
        <v/>
      </c>
      <c r="BA195" s="10" t="str">
        <f t="shared" si="134"/>
        <v/>
      </c>
      <c r="BB195" s="2" t="str">
        <f t="shared" si="135"/>
        <v>NA</v>
      </c>
      <c r="BC195" s="6">
        <v>0</v>
      </c>
      <c r="BD195" s="6">
        <v>0</v>
      </c>
      <c r="BE195" s="6">
        <v>0</v>
      </c>
      <c r="BF195" s="6">
        <v>0</v>
      </c>
      <c r="BG195" s="6">
        <v>0</v>
      </c>
      <c r="BH195" s="6">
        <v>0</v>
      </c>
      <c r="BI195" s="6">
        <v>0</v>
      </c>
      <c r="BJ195" s="6">
        <v>0</v>
      </c>
      <c r="BK195" s="10" t="str">
        <f t="shared" si="136"/>
        <v/>
      </c>
      <c r="BL195" s="10" t="str">
        <f t="shared" si="137"/>
        <v/>
      </c>
      <c r="BM195" s="10" t="str">
        <f t="shared" si="138"/>
        <v/>
      </c>
      <c r="BN195" s="10" t="str">
        <f t="shared" si="139"/>
        <v/>
      </c>
      <c r="BO195" s="2" t="str">
        <f t="shared" si="140"/>
        <v>NA</v>
      </c>
      <c r="BP195" s="10">
        <v>0</v>
      </c>
      <c r="BQ195" s="10">
        <v>0</v>
      </c>
      <c r="BR195" s="10">
        <v>0</v>
      </c>
      <c r="BS195" s="10">
        <v>0</v>
      </c>
      <c r="BT195" s="11" t="s">
        <v>460</v>
      </c>
    </row>
    <row r="196" spans="1:72">
      <c r="A196">
        <f>COUNTIFS($J$7:J196,J196,$N$7:N196,N196,$E$7:E196,E196)</f>
        <v>6</v>
      </c>
      <c r="B196" s="16" t="str">
        <f t="shared" si="98"/>
        <v>Medium</v>
      </c>
      <c r="C196" s="16" t="str">
        <f t="shared" si="99"/>
        <v>6MediumNoTelecom-Non AT&amp;T</v>
      </c>
      <c r="D196" s="1">
        <v>25300</v>
      </c>
      <c r="E196" s="1" t="s">
        <v>485</v>
      </c>
      <c r="F196" s="1" t="s">
        <v>289</v>
      </c>
      <c r="G196" s="1" t="s">
        <v>291</v>
      </c>
      <c r="H196" s="1">
        <v>86</v>
      </c>
      <c r="I196" s="1" t="s">
        <v>68</v>
      </c>
      <c r="J196" s="1" t="s">
        <v>27</v>
      </c>
      <c r="K196" s="1">
        <v>1</v>
      </c>
      <c r="L196" s="1">
        <v>1</v>
      </c>
      <c r="M196" s="2">
        <v>9.8883653164862334E-2</v>
      </c>
      <c r="N196" s="27" t="str">
        <f t="shared" si="100"/>
        <v>Medium</v>
      </c>
      <c r="O196" s="1">
        <v>1</v>
      </c>
      <c r="P196" s="6">
        <v>62.120014537283957</v>
      </c>
      <c r="Q196" s="6">
        <v>62.116093217291542</v>
      </c>
      <c r="R196" s="6">
        <v>62.112322388979329</v>
      </c>
      <c r="S196" s="6">
        <v>62.108696431758517</v>
      </c>
      <c r="T196" s="6">
        <v>71.25</v>
      </c>
      <c r="U196" s="6">
        <v>68</v>
      </c>
      <c r="V196" s="6">
        <v>64</v>
      </c>
      <c r="W196" s="6">
        <v>61.25</v>
      </c>
      <c r="X196" s="10">
        <f t="shared" si="121"/>
        <v>-0.14697333107087887</v>
      </c>
      <c r="Y196" s="10">
        <f t="shared" si="122"/>
        <v>-9.4724353673140013E-2</v>
      </c>
      <c r="Z196" s="10">
        <f t="shared" si="123"/>
        <v>-3.0391354539910161E-2</v>
      </c>
      <c r="AA196" s="10">
        <f t="shared" si="124"/>
        <v>1.3825703662964551E-2</v>
      </c>
      <c r="AB196" s="2">
        <f t="shared" si="125"/>
        <v>-6.4565833905241121E-2</v>
      </c>
      <c r="AC196" s="6">
        <v>42</v>
      </c>
      <c r="AD196" s="6">
        <v>42</v>
      </c>
      <c r="AE196" s="6">
        <v>42</v>
      </c>
      <c r="AF196" s="6">
        <v>42</v>
      </c>
      <c r="AG196" s="6">
        <v>61</v>
      </c>
      <c r="AH196" s="6">
        <v>49</v>
      </c>
      <c r="AI196" s="6">
        <v>49</v>
      </c>
      <c r="AJ196" s="6">
        <v>49</v>
      </c>
      <c r="AK196" s="10">
        <f t="shared" si="126"/>
        <v>-0.45238095238095238</v>
      </c>
      <c r="AL196" s="10">
        <f t="shared" si="127"/>
        <v>-0.16666666666666666</v>
      </c>
      <c r="AM196" s="10">
        <f t="shared" si="128"/>
        <v>-0.16666666666666666</v>
      </c>
      <c r="AN196" s="10">
        <f t="shared" si="129"/>
        <v>-0.16666666666666666</v>
      </c>
      <c r="AO196" s="2">
        <f t="shared" si="130"/>
        <v>-0.23809523809523808</v>
      </c>
      <c r="AP196" s="2">
        <v>0</v>
      </c>
      <c r="AQ196" s="2">
        <v>0</v>
      </c>
      <c r="AR196" s="2">
        <v>0</v>
      </c>
      <c r="AS196" s="2">
        <v>0</v>
      </c>
      <c r="AT196" s="2">
        <v>0</v>
      </c>
      <c r="AU196" s="2">
        <v>0</v>
      </c>
      <c r="AV196" s="2">
        <v>0</v>
      </c>
      <c r="AW196" s="2">
        <v>0</v>
      </c>
      <c r="AX196" s="10" t="str">
        <f t="shared" si="131"/>
        <v/>
      </c>
      <c r="AY196" s="10" t="str">
        <f t="shared" si="132"/>
        <v/>
      </c>
      <c r="AZ196" s="10" t="str">
        <f t="shared" si="133"/>
        <v/>
      </c>
      <c r="BA196" s="10" t="str">
        <f t="shared" si="134"/>
        <v/>
      </c>
      <c r="BB196" s="2" t="str">
        <f t="shared" si="135"/>
        <v>NA</v>
      </c>
      <c r="BC196" s="6">
        <v>0</v>
      </c>
      <c r="BD196" s="6">
        <v>0</v>
      </c>
      <c r="BE196" s="6">
        <v>0</v>
      </c>
      <c r="BF196" s="6">
        <v>0</v>
      </c>
      <c r="BG196" s="6">
        <v>14955</v>
      </c>
      <c r="BH196" s="6">
        <v>20984</v>
      </c>
      <c r="BI196" s="6">
        <v>17954</v>
      </c>
      <c r="BJ196" s="6">
        <v>19216</v>
      </c>
      <c r="BK196" s="10" t="str">
        <f t="shared" si="136"/>
        <v/>
      </c>
      <c r="BL196" s="10" t="str">
        <f t="shared" si="137"/>
        <v/>
      </c>
      <c r="BM196" s="10" t="str">
        <f t="shared" si="138"/>
        <v/>
      </c>
      <c r="BN196" s="10" t="str">
        <f t="shared" si="139"/>
        <v/>
      </c>
      <c r="BO196" s="2" t="str">
        <f t="shared" si="140"/>
        <v>NA</v>
      </c>
      <c r="BP196" s="10">
        <v>-2.7601776478322071E-3</v>
      </c>
      <c r="BQ196" s="10">
        <v>-2.1017381781913258E-2</v>
      </c>
      <c r="BR196" s="10">
        <v>-1.9792051652147702E-2</v>
      </c>
      <c r="BS196" s="10">
        <v>-1.555711911360258E-2</v>
      </c>
      <c r="BT196" s="11" t="s">
        <v>460</v>
      </c>
    </row>
    <row r="197" spans="1:72">
      <c r="A197">
        <f>COUNTIFS($J$7:J197,J197,$N$7:N197,N197,$E$7:E197,E197)</f>
        <v>20</v>
      </c>
      <c r="B197" s="16" t="str">
        <f t="shared" si="98"/>
        <v>Low</v>
      </c>
      <c r="C197" s="16" t="str">
        <f t="shared" si="99"/>
        <v>20LowYesTelecom-AT&amp;T</v>
      </c>
      <c r="D197" s="1">
        <v>25301</v>
      </c>
      <c r="E197" s="11" t="s">
        <v>484</v>
      </c>
      <c r="F197" s="1" t="s">
        <v>6</v>
      </c>
      <c r="G197" s="1" t="s">
        <v>292</v>
      </c>
      <c r="H197" s="1">
        <v>25</v>
      </c>
      <c r="I197" s="1" t="s">
        <v>118</v>
      </c>
      <c r="J197" s="1" t="s">
        <v>9</v>
      </c>
      <c r="K197" s="1">
        <v>1</v>
      </c>
      <c r="L197" s="1">
        <v>1</v>
      </c>
      <c r="M197" s="2">
        <v>0.30774832196123703</v>
      </c>
      <c r="N197" s="27" t="str">
        <f t="shared" si="100"/>
        <v>Low</v>
      </c>
      <c r="O197" s="1">
        <v>1</v>
      </c>
      <c r="P197" s="6">
        <v>24.967896525356721</v>
      </c>
      <c r="Q197" s="6">
        <v>0.80164022636445542</v>
      </c>
      <c r="R197" s="6">
        <v>0</v>
      </c>
      <c r="S197" s="6">
        <v>0</v>
      </c>
      <c r="T197" s="6">
        <v>22.75</v>
      </c>
      <c r="U197" s="6">
        <v>0</v>
      </c>
      <c r="V197" s="6">
        <v>0</v>
      </c>
      <c r="W197" s="6">
        <v>0</v>
      </c>
      <c r="X197" s="10">
        <f t="shared" si="121"/>
        <v>8.8829930991755179E-2</v>
      </c>
      <c r="Y197" s="10">
        <f t="shared" si="122"/>
        <v>1</v>
      </c>
      <c r="Z197" s="10" t="str">
        <f t="shared" si="123"/>
        <v/>
      </c>
      <c r="AA197" s="10" t="str">
        <f t="shared" si="124"/>
        <v/>
      </c>
      <c r="AB197" s="2">
        <f t="shared" si="125"/>
        <v>8.8829930991755179E-2</v>
      </c>
      <c r="AC197" s="6">
        <v>23.792766843239523</v>
      </c>
      <c r="AD197" s="6">
        <v>0</v>
      </c>
      <c r="AE197" s="6">
        <v>0</v>
      </c>
      <c r="AF197" s="6">
        <v>0</v>
      </c>
      <c r="AG197" s="6">
        <v>22</v>
      </c>
      <c r="AH197" s="6">
        <v>0</v>
      </c>
      <c r="AI197" s="6">
        <v>0</v>
      </c>
      <c r="AJ197" s="6">
        <v>0</v>
      </c>
      <c r="AK197" s="10">
        <f t="shared" si="126"/>
        <v>7.5349237650724085E-2</v>
      </c>
      <c r="AL197" s="10" t="str">
        <f t="shared" si="127"/>
        <v/>
      </c>
      <c r="AM197" s="10" t="str">
        <f t="shared" si="128"/>
        <v/>
      </c>
      <c r="AN197" s="10" t="str">
        <f t="shared" si="129"/>
        <v/>
      </c>
      <c r="AO197" s="2">
        <f t="shared" si="130"/>
        <v>7.5349237650724085E-2</v>
      </c>
      <c r="AP197" s="2">
        <v>0</v>
      </c>
      <c r="AQ197" s="2">
        <v>0</v>
      </c>
      <c r="AR197" s="2">
        <v>0</v>
      </c>
      <c r="AS197" s="2">
        <v>0</v>
      </c>
      <c r="AT197" s="2">
        <v>0.8</v>
      </c>
      <c r="AU197" s="2">
        <v>0.8</v>
      </c>
      <c r="AV197" s="2">
        <v>0.8</v>
      </c>
      <c r="AW197" s="2">
        <v>0.8</v>
      </c>
      <c r="AX197" s="10" t="str">
        <f t="shared" si="131"/>
        <v/>
      </c>
      <c r="AY197" s="10" t="str">
        <f t="shared" si="132"/>
        <v/>
      </c>
      <c r="AZ197" s="10" t="str">
        <f t="shared" si="133"/>
        <v/>
      </c>
      <c r="BA197" s="10" t="str">
        <f t="shared" si="134"/>
        <v/>
      </c>
      <c r="BB197" s="2" t="str">
        <f t="shared" si="135"/>
        <v>NA</v>
      </c>
      <c r="BC197" s="6">
        <v>22</v>
      </c>
      <c r="BD197" s="6">
        <v>0</v>
      </c>
      <c r="BE197" s="6">
        <v>0</v>
      </c>
      <c r="BF197" s="6">
        <v>0</v>
      </c>
      <c r="BG197" s="6">
        <v>88</v>
      </c>
      <c r="BH197" s="6">
        <v>0</v>
      </c>
      <c r="BI197" s="6">
        <v>0</v>
      </c>
      <c r="BJ197" s="6">
        <v>0</v>
      </c>
      <c r="BK197" s="10">
        <f t="shared" si="136"/>
        <v>-3</v>
      </c>
      <c r="BL197" s="10" t="str">
        <f t="shared" si="137"/>
        <v/>
      </c>
      <c r="BM197" s="10" t="str">
        <f t="shared" si="138"/>
        <v/>
      </c>
      <c r="BN197" s="10" t="str">
        <f t="shared" si="139"/>
        <v/>
      </c>
      <c r="BO197" s="2">
        <f t="shared" si="140"/>
        <v>-3</v>
      </c>
      <c r="BP197" s="10">
        <v>-1.7688895145064776E-2</v>
      </c>
      <c r="BQ197" s="10">
        <v>0</v>
      </c>
      <c r="BR197" s="10">
        <v>0</v>
      </c>
      <c r="BS197" s="10">
        <v>0</v>
      </c>
      <c r="BT197" s="11" t="s">
        <v>460</v>
      </c>
    </row>
    <row r="198" spans="1:72">
      <c r="A198">
        <f>COUNTIFS($J$7:J198,J198,$N$7:N198,N198,$E$7:E198,E198)</f>
        <v>40</v>
      </c>
      <c r="B198" s="16" t="str">
        <f t="shared" si="98"/>
        <v>Low</v>
      </c>
      <c r="C198" s="16" t="str">
        <f t="shared" si="99"/>
        <v>40LowNoTechnology</v>
      </c>
      <c r="D198" s="1">
        <v>25302</v>
      </c>
      <c r="E198" s="1" t="s">
        <v>23</v>
      </c>
      <c r="F198" s="1" t="s">
        <v>51</v>
      </c>
      <c r="G198" s="1" t="s">
        <v>56</v>
      </c>
      <c r="H198" s="1">
        <v>43</v>
      </c>
      <c r="I198" s="1" t="s">
        <v>53</v>
      </c>
      <c r="J198" s="1" t="s">
        <v>27</v>
      </c>
      <c r="K198" s="1">
        <v>1</v>
      </c>
      <c r="L198" s="1">
        <v>1</v>
      </c>
      <c r="M198" s="2">
        <v>0.2535112464543724</v>
      </c>
      <c r="N198" s="27" t="str">
        <f t="shared" si="100"/>
        <v>Low</v>
      </c>
      <c r="O198" s="1">
        <v>1</v>
      </c>
      <c r="P198" s="6">
        <v>40.222382428770743</v>
      </c>
      <c r="Q198" s="6">
        <v>39.993937972240708</v>
      </c>
      <c r="R198" s="6">
        <v>39.993937476268833</v>
      </c>
      <c r="S198" s="6">
        <v>39.993937476268833</v>
      </c>
      <c r="T198" s="6">
        <v>34</v>
      </c>
      <c r="U198" s="6">
        <v>34</v>
      </c>
      <c r="V198" s="6">
        <v>34</v>
      </c>
      <c r="W198" s="6">
        <v>34</v>
      </c>
      <c r="X198" s="10">
        <f t="shared" si="121"/>
        <v>0.154699499458787</v>
      </c>
      <c r="Y198" s="10">
        <f t="shared" si="122"/>
        <v>0.14987116238468504</v>
      </c>
      <c r="Z198" s="10">
        <f t="shared" si="123"/>
        <v>0.14987115184208732</v>
      </c>
      <c r="AA198" s="10">
        <f t="shared" si="124"/>
        <v>0.14987115184208732</v>
      </c>
      <c r="AB198" s="2">
        <f t="shared" si="125"/>
        <v>0.15107824138191167</v>
      </c>
      <c r="AC198" s="6">
        <v>40</v>
      </c>
      <c r="AD198" s="6">
        <v>40</v>
      </c>
      <c r="AE198" s="6">
        <v>40</v>
      </c>
      <c r="AF198" s="6">
        <v>40</v>
      </c>
      <c r="AG198" s="6">
        <v>40</v>
      </c>
      <c r="AH198" s="6">
        <v>40</v>
      </c>
      <c r="AI198" s="6">
        <v>40</v>
      </c>
      <c r="AJ198" s="6">
        <v>40</v>
      </c>
      <c r="AK198" s="10">
        <f t="shared" si="126"/>
        <v>0</v>
      </c>
      <c r="AL198" s="10">
        <f t="shared" si="127"/>
        <v>0</v>
      </c>
      <c r="AM198" s="10">
        <f t="shared" si="128"/>
        <v>0</v>
      </c>
      <c r="AN198" s="10">
        <f t="shared" si="129"/>
        <v>0</v>
      </c>
      <c r="AO198" s="2">
        <f t="shared" si="130"/>
        <v>0</v>
      </c>
      <c r="AP198" s="2">
        <v>0</v>
      </c>
      <c r="AQ198" s="2">
        <v>0</v>
      </c>
      <c r="AR198" s="2">
        <v>0</v>
      </c>
      <c r="AS198" s="2">
        <v>0</v>
      </c>
      <c r="AT198" s="2">
        <v>0.7</v>
      </c>
      <c r="AU198" s="2">
        <v>0.7</v>
      </c>
      <c r="AV198" s="2">
        <v>0.7</v>
      </c>
      <c r="AW198" s="2">
        <v>0.7</v>
      </c>
      <c r="AX198" s="10" t="str">
        <f t="shared" si="131"/>
        <v/>
      </c>
      <c r="AY198" s="10" t="str">
        <f t="shared" si="132"/>
        <v/>
      </c>
      <c r="AZ198" s="10" t="str">
        <f t="shared" si="133"/>
        <v/>
      </c>
      <c r="BA198" s="10" t="str">
        <f t="shared" si="134"/>
        <v/>
      </c>
      <c r="BB198" s="2" t="str">
        <f t="shared" si="135"/>
        <v>NA</v>
      </c>
      <c r="BC198" s="6">
        <v>0</v>
      </c>
      <c r="BD198" s="6">
        <v>0</v>
      </c>
      <c r="BE198" s="6">
        <v>0</v>
      </c>
      <c r="BF198" s="6">
        <v>0</v>
      </c>
      <c r="BG198" s="6">
        <v>0</v>
      </c>
      <c r="BH198" s="6">
        <v>0</v>
      </c>
      <c r="BI198" s="6">
        <v>0</v>
      </c>
      <c r="BJ198" s="6">
        <v>0</v>
      </c>
      <c r="BK198" s="10" t="str">
        <f t="shared" si="136"/>
        <v/>
      </c>
      <c r="BL198" s="10" t="str">
        <f t="shared" si="137"/>
        <v/>
      </c>
      <c r="BM198" s="10" t="str">
        <f t="shared" si="138"/>
        <v/>
      </c>
      <c r="BN198" s="10" t="str">
        <f t="shared" si="139"/>
        <v/>
      </c>
      <c r="BO198" s="2" t="str">
        <f t="shared" si="140"/>
        <v>NA</v>
      </c>
      <c r="BP198" s="10">
        <v>9.1569456965443496E-3</v>
      </c>
      <c r="BQ198" s="10">
        <v>1.3331357308414282E-3</v>
      </c>
      <c r="BR198" s="10">
        <v>3.2675917527313914E-10</v>
      </c>
      <c r="BS198" s="10">
        <v>0</v>
      </c>
      <c r="BT198" s="11" t="s">
        <v>460</v>
      </c>
    </row>
    <row r="199" spans="1:72">
      <c r="A199">
        <f>COUNTIFS($J$7:J199,J199,$N$7:N199,N199,$E$7:E199,E199)</f>
        <v>41</v>
      </c>
      <c r="B199" s="16" t="str">
        <f t="shared" si="98"/>
        <v>Low</v>
      </c>
      <c r="C199" s="16" t="str">
        <f t="shared" si="99"/>
        <v>41LowNoTechnology</v>
      </c>
      <c r="D199" s="1">
        <v>25303</v>
      </c>
      <c r="E199" s="1" t="s">
        <v>23</v>
      </c>
      <c r="F199" s="1" t="s">
        <v>51</v>
      </c>
      <c r="G199" s="1" t="s">
        <v>293</v>
      </c>
      <c r="H199" s="1">
        <v>28</v>
      </c>
      <c r="I199" s="1" t="s">
        <v>53</v>
      </c>
      <c r="J199" s="1" t="s">
        <v>27</v>
      </c>
      <c r="K199" s="1">
        <v>2</v>
      </c>
      <c r="L199" s="1">
        <v>1</v>
      </c>
      <c r="M199" s="2">
        <v>0.26330926561282819</v>
      </c>
      <c r="N199" s="27" t="str">
        <f t="shared" si="100"/>
        <v>Low</v>
      </c>
      <c r="O199" s="1">
        <v>1</v>
      </c>
      <c r="P199" s="6">
        <v>38.917663761246637</v>
      </c>
      <c r="Q199" s="6">
        <v>38.401914880017813</v>
      </c>
      <c r="R199" s="6">
        <v>37.381680682071547</v>
      </c>
      <c r="S199" s="6">
        <v>36.345657402617903</v>
      </c>
      <c r="T199" s="6">
        <v>33</v>
      </c>
      <c r="U199" s="6">
        <v>31</v>
      </c>
      <c r="V199" s="6">
        <v>30</v>
      </c>
      <c r="W199" s="6">
        <v>29.25</v>
      </c>
      <c r="X199" s="10">
        <f t="shared" si="121"/>
        <v>0.15205598664787576</v>
      </c>
      <c r="Y199" s="10">
        <f t="shared" si="122"/>
        <v>0.19274858827077271</v>
      </c>
      <c r="Z199" s="10">
        <f t="shared" si="123"/>
        <v>0.19746786520521106</v>
      </c>
      <c r="AA199" s="10">
        <f t="shared" si="124"/>
        <v>0.19522710303506072</v>
      </c>
      <c r="AB199" s="2">
        <f t="shared" si="125"/>
        <v>0.18437488578973008</v>
      </c>
      <c r="AC199" s="6">
        <v>15.889229372375437</v>
      </c>
      <c r="AD199" s="6">
        <v>24.818513894668701</v>
      </c>
      <c r="AE199" s="6">
        <v>23.690399626729214</v>
      </c>
      <c r="AF199" s="6">
        <v>23.690399626729214</v>
      </c>
      <c r="AG199" s="6">
        <v>35</v>
      </c>
      <c r="AH199" s="6">
        <v>35.799999999999997</v>
      </c>
      <c r="AI199" s="6">
        <v>35</v>
      </c>
      <c r="AJ199" s="6">
        <v>34</v>
      </c>
      <c r="AK199" s="10">
        <f t="shared" si="126"/>
        <v>-1.2027500000000002</v>
      </c>
      <c r="AL199" s="10">
        <f t="shared" si="127"/>
        <v>-0.4424715416860735</v>
      </c>
      <c r="AM199" s="10">
        <f t="shared" si="128"/>
        <v>-0.4773917093619004</v>
      </c>
      <c r="AN199" s="10">
        <f t="shared" si="129"/>
        <v>-0.43518051766584609</v>
      </c>
      <c r="AO199" s="2">
        <f t="shared" si="130"/>
        <v>-0.63944844217845498</v>
      </c>
      <c r="AP199" s="2">
        <v>0</v>
      </c>
      <c r="AQ199" s="2">
        <v>0</v>
      </c>
      <c r="AR199" s="2">
        <v>0</v>
      </c>
      <c r="AS199" s="2">
        <v>0</v>
      </c>
      <c r="AT199" s="2">
        <v>0.72</v>
      </c>
      <c r="AU199" s="2">
        <v>0.72</v>
      </c>
      <c r="AV199" s="2">
        <v>0.72</v>
      </c>
      <c r="AW199" s="2">
        <v>0.72</v>
      </c>
      <c r="AX199" s="10" t="str">
        <f t="shared" si="131"/>
        <v/>
      </c>
      <c r="AY199" s="10" t="str">
        <f t="shared" si="132"/>
        <v/>
      </c>
      <c r="AZ199" s="10" t="str">
        <f t="shared" si="133"/>
        <v/>
      </c>
      <c r="BA199" s="10" t="str">
        <f t="shared" si="134"/>
        <v/>
      </c>
      <c r="BB199" s="2" t="str">
        <f t="shared" si="135"/>
        <v>NA</v>
      </c>
      <c r="BC199" s="6">
        <v>7200</v>
      </c>
      <c r="BD199" s="6">
        <v>10735</v>
      </c>
      <c r="BE199" s="6">
        <v>10735</v>
      </c>
      <c r="BF199" s="6">
        <v>10735</v>
      </c>
      <c r="BG199" s="6">
        <v>10267</v>
      </c>
      <c r="BH199" s="6">
        <v>13187</v>
      </c>
      <c r="BI199" s="6">
        <v>10360</v>
      </c>
      <c r="BJ199" s="6">
        <v>9889</v>
      </c>
      <c r="BK199" s="10">
        <f t="shared" si="136"/>
        <v>-0.4259722222222222</v>
      </c>
      <c r="BL199" s="10">
        <f t="shared" si="137"/>
        <v>-0.22841173730787145</v>
      </c>
      <c r="BM199" s="10">
        <f t="shared" si="138"/>
        <v>3.4932463903120631E-2</v>
      </c>
      <c r="BN199" s="10">
        <f t="shared" si="139"/>
        <v>7.8807638565440152E-2</v>
      </c>
      <c r="BO199" s="2">
        <f t="shared" si="140"/>
        <v>-0.13516096426538321</v>
      </c>
      <c r="BP199" s="10">
        <v>6.6159847444738684E-2</v>
      </c>
      <c r="BQ199" s="10">
        <v>-3.5399332177204368E-2</v>
      </c>
      <c r="BR199" s="10">
        <v>-2.977857158488556E-2</v>
      </c>
      <c r="BS199" s="10">
        <v>-5.4551890025024752E-2</v>
      </c>
      <c r="BT199" s="11" t="s">
        <v>458</v>
      </c>
    </row>
    <row r="200" spans="1:72">
      <c r="A200">
        <f>COUNTIFS($J$7:J200,J200,$N$7:N200,N200,$E$7:E200,E200)</f>
        <v>42</v>
      </c>
      <c r="B200" s="16" t="str">
        <f t="shared" ref="B200:B263" si="141">N200</f>
        <v>Low</v>
      </c>
      <c r="C200" s="16" t="str">
        <f t="shared" ref="C200:C263" si="142">A200&amp;B200&amp;J200&amp;E200</f>
        <v>42LowNoTechnology</v>
      </c>
      <c r="D200" s="1">
        <v>25304</v>
      </c>
      <c r="E200" s="1" t="s">
        <v>23</v>
      </c>
      <c r="F200" s="1" t="s">
        <v>51</v>
      </c>
      <c r="G200" s="1" t="s">
        <v>294</v>
      </c>
      <c r="H200" s="1">
        <v>28</v>
      </c>
      <c r="I200" s="1" t="s">
        <v>53</v>
      </c>
      <c r="J200" s="1" t="s">
        <v>27</v>
      </c>
      <c r="K200" s="1">
        <v>1</v>
      </c>
      <c r="L200" s="1">
        <v>1</v>
      </c>
      <c r="M200" s="2">
        <v>0.19125787162122265</v>
      </c>
      <c r="N200" s="27" t="str">
        <f t="shared" ref="N200:N263" si="143">IF(M200="","",IF(M200&lt;0%,"Critical",IF(AND(M200&gt;=0%,M200&lt;=10%),"Medium",IF(M200&gt;10%,"Low"))))</f>
        <v>Low</v>
      </c>
      <c r="O200" s="1">
        <v>1</v>
      </c>
      <c r="P200" s="6">
        <v>32.064003536326609</v>
      </c>
      <c r="Q200" s="6">
        <v>31.592752531021201</v>
      </c>
      <c r="R200" s="6">
        <v>30.574236293654579</v>
      </c>
      <c r="S200" s="6">
        <v>29.59485033395617</v>
      </c>
      <c r="T200" s="6">
        <v>10</v>
      </c>
      <c r="U200" s="6">
        <v>10</v>
      </c>
      <c r="V200" s="6">
        <v>10</v>
      </c>
      <c r="W200" s="6">
        <v>10</v>
      </c>
      <c r="X200" s="10">
        <f t="shared" si="121"/>
        <v>0.68812378689172127</v>
      </c>
      <c r="Y200" s="10">
        <f t="shared" si="122"/>
        <v>0.68347170794374712</v>
      </c>
      <c r="Z200" s="10">
        <f t="shared" si="123"/>
        <v>0.6729272350761738</v>
      </c>
      <c r="AA200" s="10">
        <f t="shared" si="124"/>
        <v>0.6621033765281007</v>
      </c>
      <c r="AB200" s="2">
        <f t="shared" si="125"/>
        <v>0.67665652660993569</v>
      </c>
      <c r="AC200" s="6">
        <v>32.216547497446378</v>
      </c>
      <c r="AD200" s="6">
        <v>28.228999464954526</v>
      </c>
      <c r="AE200" s="6">
        <v>26.945863125638407</v>
      </c>
      <c r="AF200" s="6">
        <v>26.945863125638407</v>
      </c>
      <c r="AG200" s="6">
        <v>7</v>
      </c>
      <c r="AH200" s="6">
        <v>7</v>
      </c>
      <c r="AI200" s="6">
        <v>7</v>
      </c>
      <c r="AJ200" s="6">
        <v>7</v>
      </c>
      <c r="AK200" s="10">
        <f t="shared" si="126"/>
        <v>0.78272035510462912</v>
      </c>
      <c r="AL200" s="10">
        <f t="shared" si="127"/>
        <v>0.75202805155420782</v>
      </c>
      <c r="AM200" s="10">
        <f t="shared" si="128"/>
        <v>0.74021986353297953</v>
      </c>
      <c r="AN200" s="10">
        <f t="shared" si="129"/>
        <v>0.74021986353297953</v>
      </c>
      <c r="AO200" s="2">
        <f t="shared" si="130"/>
        <v>0.75379703343119897</v>
      </c>
      <c r="AP200" s="2">
        <v>0</v>
      </c>
      <c r="AQ200" s="2">
        <v>0</v>
      </c>
      <c r="AR200" s="2">
        <v>0</v>
      </c>
      <c r="AS200" s="2">
        <v>0</v>
      </c>
      <c r="AT200" s="2">
        <v>0.75</v>
      </c>
      <c r="AU200" s="2">
        <v>0.75</v>
      </c>
      <c r="AV200" s="2">
        <v>0.75</v>
      </c>
      <c r="AW200" s="2">
        <v>0.75</v>
      </c>
      <c r="AX200" s="10" t="str">
        <f t="shared" si="131"/>
        <v/>
      </c>
      <c r="AY200" s="10" t="str">
        <f t="shared" si="132"/>
        <v/>
      </c>
      <c r="AZ200" s="10" t="str">
        <f t="shared" si="133"/>
        <v/>
      </c>
      <c r="BA200" s="10" t="str">
        <f t="shared" si="134"/>
        <v/>
      </c>
      <c r="BB200" s="2" t="str">
        <f t="shared" si="135"/>
        <v>NA</v>
      </c>
      <c r="BC200" s="6">
        <v>4731</v>
      </c>
      <c r="BD200" s="6">
        <v>3957</v>
      </c>
      <c r="BE200" s="6">
        <v>3957</v>
      </c>
      <c r="BF200" s="6">
        <v>3957</v>
      </c>
      <c r="BG200" s="6">
        <v>1600</v>
      </c>
      <c r="BH200" s="6">
        <v>2000</v>
      </c>
      <c r="BI200" s="6">
        <v>1600</v>
      </c>
      <c r="BJ200" s="6">
        <v>1600</v>
      </c>
      <c r="BK200" s="10">
        <f t="shared" si="136"/>
        <v>0.66180511519763263</v>
      </c>
      <c r="BL200" s="10">
        <f t="shared" si="137"/>
        <v>0.49456659085165527</v>
      </c>
      <c r="BM200" s="10">
        <f t="shared" si="138"/>
        <v>0.59565327268132429</v>
      </c>
      <c r="BN200" s="10">
        <f t="shared" si="139"/>
        <v>0.59565327268132429</v>
      </c>
      <c r="BO200" s="2">
        <f t="shared" si="140"/>
        <v>0.58691956285298408</v>
      </c>
      <c r="BP200" s="10">
        <v>-1.0053105741582136E-2</v>
      </c>
      <c r="BQ200" s="10">
        <v>-4.525694709391348E-4</v>
      </c>
      <c r="BR200" s="10">
        <v>1.4362104769632955E-4</v>
      </c>
      <c r="BS200" s="10">
        <v>-8.0597567275547677E-4</v>
      </c>
      <c r="BT200" s="11" t="s">
        <v>458</v>
      </c>
    </row>
    <row r="201" spans="1:72">
      <c r="A201">
        <f>COUNTIFS($J$7:J201,J201,$N$7:N201,N201,$E$7:E201,E201)</f>
        <v>21</v>
      </c>
      <c r="B201" s="16" t="str">
        <f t="shared" si="141"/>
        <v>Low</v>
      </c>
      <c r="C201" s="16" t="str">
        <f t="shared" si="142"/>
        <v>21LowYesTelecom-AT&amp;T</v>
      </c>
      <c r="D201" s="1">
        <v>25305</v>
      </c>
      <c r="E201" s="11" t="s">
        <v>484</v>
      </c>
      <c r="F201" s="1" t="s">
        <v>6</v>
      </c>
      <c r="G201" s="1" t="s">
        <v>295</v>
      </c>
      <c r="H201" s="1">
        <v>165</v>
      </c>
      <c r="I201" s="1" t="s">
        <v>113</v>
      </c>
      <c r="J201" s="1" t="s">
        <v>9</v>
      </c>
      <c r="K201" s="1">
        <v>2</v>
      </c>
      <c r="L201" s="1">
        <v>1</v>
      </c>
      <c r="M201" s="2">
        <v>0.19941138644690939</v>
      </c>
      <c r="N201" s="27" t="str">
        <f t="shared" si="143"/>
        <v>Low</v>
      </c>
      <c r="O201" s="1">
        <v>1</v>
      </c>
      <c r="P201" s="6">
        <v>153</v>
      </c>
      <c r="Q201" s="6">
        <v>153</v>
      </c>
      <c r="R201" s="6">
        <v>153</v>
      </c>
      <c r="S201" s="6">
        <v>153</v>
      </c>
      <c r="T201" s="6">
        <v>146</v>
      </c>
      <c r="U201" s="6">
        <v>173.2</v>
      </c>
      <c r="V201" s="6">
        <v>187.5</v>
      </c>
      <c r="W201" s="6">
        <v>190.25</v>
      </c>
      <c r="X201" s="10">
        <f t="shared" si="121"/>
        <v>4.5751633986928102E-2</v>
      </c>
      <c r="Y201" s="10">
        <f t="shared" si="122"/>
        <v>-0.13202614379084959</v>
      </c>
      <c r="Z201" s="10">
        <f t="shared" si="123"/>
        <v>-0.22549019607843138</v>
      </c>
      <c r="AA201" s="10">
        <f t="shared" si="124"/>
        <v>-0.24346405228758169</v>
      </c>
      <c r="AB201" s="2">
        <f t="shared" si="125"/>
        <v>-0.13880718954248364</v>
      </c>
      <c r="AC201" s="6">
        <v>195.20000000000005</v>
      </c>
      <c r="AD201" s="6">
        <v>228.14000000000004</v>
      </c>
      <c r="AE201" s="6">
        <v>228.14000000000004</v>
      </c>
      <c r="AF201" s="6">
        <v>228.14000000000004</v>
      </c>
      <c r="AG201" s="6">
        <v>161</v>
      </c>
      <c r="AH201" s="6">
        <v>161</v>
      </c>
      <c r="AI201" s="6">
        <v>161</v>
      </c>
      <c r="AJ201" s="6">
        <v>161</v>
      </c>
      <c r="AK201" s="10">
        <f t="shared" si="126"/>
        <v>0.17520491803278707</v>
      </c>
      <c r="AL201" s="10">
        <f t="shared" si="127"/>
        <v>0.29429297799596754</v>
      </c>
      <c r="AM201" s="10">
        <f t="shared" si="128"/>
        <v>0.29429297799596754</v>
      </c>
      <c r="AN201" s="10">
        <f t="shared" si="129"/>
        <v>0.29429297799596754</v>
      </c>
      <c r="AO201" s="2">
        <f t="shared" si="130"/>
        <v>0.26452096300517242</v>
      </c>
      <c r="AP201" s="2">
        <v>0.9</v>
      </c>
      <c r="AQ201" s="2">
        <v>0.9</v>
      </c>
      <c r="AR201" s="2">
        <v>0.9</v>
      </c>
      <c r="AS201" s="2">
        <v>0.9</v>
      </c>
      <c r="AT201" s="2">
        <v>0.9</v>
      </c>
      <c r="AU201" s="2">
        <v>0.9</v>
      </c>
      <c r="AV201" s="2">
        <v>0.9</v>
      </c>
      <c r="AW201" s="2">
        <v>0.9</v>
      </c>
      <c r="AX201" s="10">
        <f t="shared" si="131"/>
        <v>0</v>
      </c>
      <c r="AY201" s="10">
        <f t="shared" si="132"/>
        <v>0</v>
      </c>
      <c r="AZ201" s="10">
        <f t="shared" si="133"/>
        <v>0</v>
      </c>
      <c r="BA201" s="10">
        <f t="shared" si="134"/>
        <v>0</v>
      </c>
      <c r="BB201" s="2">
        <f t="shared" si="135"/>
        <v>0</v>
      </c>
      <c r="BC201" s="6">
        <v>0</v>
      </c>
      <c r="BD201" s="6">
        <v>0</v>
      </c>
      <c r="BE201" s="6">
        <v>0</v>
      </c>
      <c r="BF201" s="6">
        <v>0</v>
      </c>
      <c r="BG201" s="6">
        <v>0</v>
      </c>
      <c r="BH201" s="6">
        <v>0</v>
      </c>
      <c r="BI201" s="6">
        <v>0</v>
      </c>
      <c r="BJ201" s="6">
        <v>0</v>
      </c>
      <c r="BK201" s="10" t="str">
        <f t="shared" si="136"/>
        <v/>
      </c>
      <c r="BL201" s="10" t="str">
        <f t="shared" si="137"/>
        <v/>
      </c>
      <c r="BM201" s="10" t="str">
        <f t="shared" si="138"/>
        <v/>
      </c>
      <c r="BN201" s="10" t="str">
        <f t="shared" si="139"/>
        <v/>
      </c>
      <c r="BO201" s="2" t="str">
        <f t="shared" si="140"/>
        <v>NA</v>
      </c>
      <c r="BP201" s="10">
        <v>9.8595648223825827E-2</v>
      </c>
      <c r="BQ201" s="10">
        <v>6.6296904544966451E-2</v>
      </c>
      <c r="BR201" s="10">
        <v>3.5884674453530663E-2</v>
      </c>
      <c r="BS201" s="10">
        <v>4.3484628503393352E-2</v>
      </c>
      <c r="BT201" s="11">
        <v>0</v>
      </c>
    </row>
    <row r="202" spans="1:72">
      <c r="A202">
        <f>COUNTIFS($J$7:J202,J202,$N$7:N202,N202,$E$7:E202,E202)</f>
        <v>43</v>
      </c>
      <c r="B202" s="16" t="str">
        <f t="shared" si="141"/>
        <v>Low</v>
      </c>
      <c r="C202" s="16" t="str">
        <f t="shared" si="142"/>
        <v>43LowNoTechnology</v>
      </c>
      <c r="D202" s="1">
        <v>25306</v>
      </c>
      <c r="E202" s="1" t="s">
        <v>23</v>
      </c>
      <c r="F202" s="1" t="s">
        <v>202</v>
      </c>
      <c r="G202" s="1" t="s">
        <v>296</v>
      </c>
      <c r="H202" s="1">
        <v>43</v>
      </c>
      <c r="I202" s="1" t="s">
        <v>297</v>
      </c>
      <c r="J202" s="1" t="s">
        <v>27</v>
      </c>
      <c r="K202" s="1">
        <v>2</v>
      </c>
      <c r="L202" s="1">
        <v>1</v>
      </c>
      <c r="M202" s="2">
        <v>0.20116857566916516</v>
      </c>
      <c r="N202" s="27" t="str">
        <f t="shared" si="143"/>
        <v>Low</v>
      </c>
      <c r="O202" s="1">
        <v>1</v>
      </c>
      <c r="P202" s="6">
        <v>33.981265123619067</v>
      </c>
      <c r="Q202" s="6">
        <v>33.981265123619153</v>
      </c>
      <c r="R202" s="6">
        <v>33.981265123619153</v>
      </c>
      <c r="S202" s="6">
        <v>33.981265123619153</v>
      </c>
      <c r="T202" s="6">
        <v>24.75</v>
      </c>
      <c r="U202" s="6">
        <v>23.6</v>
      </c>
      <c r="V202" s="6">
        <v>22.75</v>
      </c>
      <c r="W202" s="6">
        <v>0</v>
      </c>
      <c r="X202" s="10">
        <f t="shared" si="121"/>
        <v>0.27165748803162632</v>
      </c>
      <c r="Y202" s="10">
        <f t="shared" si="122"/>
        <v>0.30549966535541101</v>
      </c>
      <c r="Z202" s="10">
        <f t="shared" si="123"/>
        <v>0.33051344859472892</v>
      </c>
      <c r="AA202" s="10">
        <f t="shared" si="124"/>
        <v>1</v>
      </c>
      <c r="AB202" s="2">
        <f t="shared" si="125"/>
        <v>0.3025568673272554</v>
      </c>
      <c r="AC202" s="6">
        <v>44</v>
      </c>
      <c r="AD202" s="6">
        <v>40</v>
      </c>
      <c r="AE202" s="6">
        <v>39</v>
      </c>
      <c r="AF202" s="6">
        <v>38</v>
      </c>
      <c r="AG202" s="6">
        <v>30</v>
      </c>
      <c r="AH202" s="6">
        <v>30</v>
      </c>
      <c r="AI202" s="6">
        <v>26.25</v>
      </c>
      <c r="AJ202" s="6">
        <v>0</v>
      </c>
      <c r="AK202" s="10">
        <f t="shared" si="126"/>
        <v>0.31818181818181818</v>
      </c>
      <c r="AL202" s="10">
        <f t="shared" si="127"/>
        <v>0.25</v>
      </c>
      <c r="AM202" s="10">
        <f t="shared" si="128"/>
        <v>0.32692307692307693</v>
      </c>
      <c r="AN202" s="10">
        <f t="shared" si="129"/>
        <v>1</v>
      </c>
      <c r="AO202" s="2">
        <f t="shared" si="130"/>
        <v>0.29836829836829831</v>
      </c>
      <c r="AP202" s="2">
        <v>1</v>
      </c>
      <c r="AQ202" s="2">
        <v>1</v>
      </c>
      <c r="AR202" s="2">
        <v>1</v>
      </c>
      <c r="AS202" s="2">
        <v>1</v>
      </c>
      <c r="AT202" s="2">
        <v>0.55000000000000004</v>
      </c>
      <c r="AU202" s="2">
        <v>0.55000000000000004</v>
      </c>
      <c r="AV202" s="2">
        <v>0.55000000000000004</v>
      </c>
      <c r="AW202" s="2">
        <v>0</v>
      </c>
      <c r="AX202" s="10">
        <f t="shared" si="131"/>
        <v>0.44999999999999996</v>
      </c>
      <c r="AY202" s="10">
        <f t="shared" si="132"/>
        <v>0.44999999999999996</v>
      </c>
      <c r="AZ202" s="10">
        <f t="shared" si="133"/>
        <v>0.44999999999999996</v>
      </c>
      <c r="BA202" s="10">
        <f t="shared" si="134"/>
        <v>1</v>
      </c>
      <c r="BB202" s="2">
        <f t="shared" si="135"/>
        <v>0.44999999999999996</v>
      </c>
      <c r="BC202" s="6">
        <v>31549</v>
      </c>
      <c r="BD202" s="6">
        <v>27000</v>
      </c>
      <c r="BE202" s="6">
        <v>27000</v>
      </c>
      <c r="BF202" s="6">
        <v>27000</v>
      </c>
      <c r="BG202" s="6">
        <v>21374</v>
      </c>
      <c r="BH202" s="6">
        <v>26577</v>
      </c>
      <c r="BI202" s="6">
        <v>18584</v>
      </c>
      <c r="BJ202" s="6">
        <v>0</v>
      </c>
      <c r="BK202" s="10">
        <f t="shared" si="136"/>
        <v>0.32251418428476336</v>
      </c>
      <c r="BL202" s="10">
        <f t="shared" si="137"/>
        <v>1.5666666666666666E-2</v>
      </c>
      <c r="BM202" s="10">
        <f t="shared" si="138"/>
        <v>0.31170370370370371</v>
      </c>
      <c r="BN202" s="10">
        <f t="shared" si="139"/>
        <v>1</v>
      </c>
      <c r="BO202" s="2">
        <f t="shared" si="140"/>
        <v>0.21662818488504457</v>
      </c>
      <c r="BP202" s="10">
        <v>-4.3380520648091836E-2</v>
      </c>
      <c r="BQ202" s="10">
        <v>6.2978683032954175E-2</v>
      </c>
      <c r="BR202" s="10">
        <v>4.7076748155290504E-2</v>
      </c>
      <c r="BS202" s="10">
        <v>3.2378143519356306E-2</v>
      </c>
      <c r="BT202" s="11" t="s">
        <v>460</v>
      </c>
    </row>
    <row r="203" spans="1:72">
      <c r="A203">
        <f>COUNTIFS($J$7:J203,J203,$N$7:N203,N203,$E$7:E203,E203)</f>
        <v>29</v>
      </c>
      <c r="B203" s="16" t="str">
        <f t="shared" si="141"/>
        <v>Low</v>
      </c>
      <c r="C203" s="16" t="str">
        <f t="shared" si="142"/>
        <v>29LowNoRetail</v>
      </c>
      <c r="D203" s="1">
        <v>25307</v>
      </c>
      <c r="E203" s="1" t="s">
        <v>10</v>
      </c>
      <c r="F203" s="1" t="s">
        <v>298</v>
      </c>
      <c r="G203" s="1" t="s">
        <v>299</v>
      </c>
      <c r="H203" s="1">
        <v>10</v>
      </c>
      <c r="I203" s="1" t="s">
        <v>41</v>
      </c>
      <c r="J203" s="1" t="s">
        <v>27</v>
      </c>
      <c r="K203" s="1">
        <v>1</v>
      </c>
      <c r="L203" s="1">
        <v>1</v>
      </c>
      <c r="M203" s="2">
        <v>0.43627914296936038</v>
      </c>
      <c r="N203" s="27" t="str">
        <f t="shared" si="143"/>
        <v>Low</v>
      </c>
      <c r="O203" s="1">
        <v>1</v>
      </c>
      <c r="P203" s="6">
        <v>9</v>
      </c>
      <c r="Q203" s="6">
        <v>9</v>
      </c>
      <c r="R203" s="6">
        <v>9</v>
      </c>
      <c r="S203" s="6">
        <v>9</v>
      </c>
      <c r="T203" s="6">
        <v>8.75</v>
      </c>
      <c r="U203" s="6">
        <v>8</v>
      </c>
      <c r="V203" s="6">
        <v>8</v>
      </c>
      <c r="W203" s="6">
        <v>8</v>
      </c>
      <c r="X203" s="10">
        <f t="shared" si="121"/>
        <v>2.7777777777777776E-2</v>
      </c>
      <c r="Y203" s="10">
        <f t="shared" si="122"/>
        <v>0.1111111111111111</v>
      </c>
      <c r="Z203" s="10">
        <f t="shared" si="123"/>
        <v>0.1111111111111111</v>
      </c>
      <c r="AA203" s="10">
        <f t="shared" si="124"/>
        <v>0.1111111111111111</v>
      </c>
      <c r="AB203" s="2">
        <f t="shared" si="125"/>
        <v>9.0277777777777776E-2</v>
      </c>
      <c r="AC203" s="6">
        <v>9</v>
      </c>
      <c r="AD203" s="6">
        <v>9</v>
      </c>
      <c r="AE203" s="6">
        <v>9</v>
      </c>
      <c r="AF203" s="6">
        <v>9</v>
      </c>
      <c r="AG203" s="6">
        <v>9</v>
      </c>
      <c r="AH203" s="6">
        <v>9</v>
      </c>
      <c r="AI203" s="6">
        <v>9</v>
      </c>
      <c r="AJ203" s="6">
        <v>9</v>
      </c>
      <c r="AK203" s="10">
        <f t="shared" si="126"/>
        <v>0</v>
      </c>
      <c r="AL203" s="10">
        <f t="shared" si="127"/>
        <v>0</v>
      </c>
      <c r="AM203" s="10">
        <f t="shared" si="128"/>
        <v>0</v>
      </c>
      <c r="AN203" s="10">
        <f t="shared" si="129"/>
        <v>0</v>
      </c>
      <c r="AO203" s="2">
        <f t="shared" si="130"/>
        <v>0</v>
      </c>
      <c r="AP203" s="2">
        <v>1</v>
      </c>
      <c r="AQ203" s="2">
        <v>1</v>
      </c>
      <c r="AR203" s="2">
        <v>1</v>
      </c>
      <c r="AS203" s="2">
        <v>1</v>
      </c>
      <c r="AT203" s="2">
        <v>0</v>
      </c>
      <c r="AU203" s="2">
        <v>0</v>
      </c>
      <c r="AV203" s="2">
        <v>0</v>
      </c>
      <c r="AW203" s="2">
        <v>0</v>
      </c>
      <c r="AX203" s="10">
        <f t="shared" si="131"/>
        <v>1</v>
      </c>
      <c r="AY203" s="10">
        <f t="shared" si="132"/>
        <v>1</v>
      </c>
      <c r="AZ203" s="10">
        <f t="shared" si="133"/>
        <v>1</v>
      </c>
      <c r="BA203" s="10">
        <f t="shared" si="134"/>
        <v>1</v>
      </c>
      <c r="BB203" s="2" t="str">
        <f t="shared" si="135"/>
        <v>NA</v>
      </c>
      <c r="BC203" s="6">
        <v>0</v>
      </c>
      <c r="BD203" s="6">
        <v>0</v>
      </c>
      <c r="BE203" s="6">
        <v>0</v>
      </c>
      <c r="BF203" s="6">
        <v>0</v>
      </c>
      <c r="BG203" s="6">
        <v>0</v>
      </c>
      <c r="BH203" s="6">
        <v>0</v>
      </c>
      <c r="BI203" s="6">
        <v>0</v>
      </c>
      <c r="BJ203" s="6">
        <v>0</v>
      </c>
      <c r="BK203" s="10" t="str">
        <f t="shared" si="136"/>
        <v/>
      </c>
      <c r="BL203" s="10" t="str">
        <f t="shared" si="137"/>
        <v/>
      </c>
      <c r="BM203" s="10" t="str">
        <f t="shared" si="138"/>
        <v/>
      </c>
      <c r="BN203" s="10" t="str">
        <f t="shared" si="139"/>
        <v/>
      </c>
      <c r="BO203" s="2" t="str">
        <f t="shared" si="140"/>
        <v>NA</v>
      </c>
      <c r="BP203" s="10">
        <v>-1.1403274130246888E-2</v>
      </c>
      <c r="BQ203" s="10">
        <v>-9.9893217818006752E-3</v>
      </c>
      <c r="BR203" s="10">
        <v>-9.9893217818006752E-3</v>
      </c>
      <c r="BS203" s="10">
        <v>-9.9893217818006752E-3</v>
      </c>
      <c r="BT203" s="11" t="s">
        <v>461</v>
      </c>
    </row>
    <row r="204" spans="1:72">
      <c r="A204">
        <f>COUNTIFS($J$7:J204,J204,$N$7:N204,N204,$E$7:E204,E204)</f>
        <v>44</v>
      </c>
      <c r="B204" s="16" t="str">
        <f t="shared" si="141"/>
        <v>Low</v>
      </c>
      <c r="C204" s="16" t="str">
        <f t="shared" si="142"/>
        <v>44LowNoTechnology</v>
      </c>
      <c r="D204" s="1">
        <v>25308</v>
      </c>
      <c r="E204" s="1" t="s">
        <v>23</v>
      </c>
      <c r="F204" s="1" t="s">
        <v>300</v>
      </c>
      <c r="G204" s="1" t="s">
        <v>301</v>
      </c>
      <c r="H204" s="1">
        <v>211</v>
      </c>
      <c r="I204" s="1" t="s">
        <v>302</v>
      </c>
      <c r="J204" s="1" t="s">
        <v>27</v>
      </c>
      <c r="K204" s="1">
        <v>1</v>
      </c>
      <c r="L204" s="1">
        <v>1</v>
      </c>
      <c r="M204" s="2">
        <v>0.24389743996268642</v>
      </c>
      <c r="N204" s="27" t="str">
        <f t="shared" si="143"/>
        <v>Low</v>
      </c>
      <c r="O204" s="1">
        <v>1</v>
      </c>
      <c r="P204" s="6">
        <v>190.5031527445268</v>
      </c>
      <c r="Q204" s="6">
        <v>185.34255517001699</v>
      </c>
      <c r="R204" s="6">
        <v>180.35277833681849</v>
      </c>
      <c r="S204" s="6">
        <v>175.52837199774149</v>
      </c>
      <c r="T204" s="6">
        <v>212.25</v>
      </c>
      <c r="U204" s="6">
        <v>217.6</v>
      </c>
      <c r="V204" s="6">
        <v>213</v>
      </c>
      <c r="W204" s="6">
        <v>209.33</v>
      </c>
      <c r="X204" s="10">
        <f t="shared" si="121"/>
        <v>-0.11415478926291939</v>
      </c>
      <c r="Y204" s="10">
        <f t="shared" si="122"/>
        <v>-0.17404230129660644</v>
      </c>
      <c r="Z204" s="10">
        <f t="shared" si="123"/>
        <v>-0.18101867885955752</v>
      </c>
      <c r="AA204" s="10">
        <f t="shared" si="124"/>
        <v>-0.19257073724066356</v>
      </c>
      <c r="AB204" s="2">
        <f t="shared" si="125"/>
        <v>-0.16544662666493673</v>
      </c>
      <c r="AC204" s="6">
        <v>262</v>
      </c>
      <c r="AD204" s="6">
        <v>284.3</v>
      </c>
      <c r="AE204" s="6">
        <v>287.3</v>
      </c>
      <c r="AF204" s="6">
        <v>279</v>
      </c>
      <c r="AG204" s="6">
        <v>215.25</v>
      </c>
      <c r="AH204" s="6">
        <v>214.4</v>
      </c>
      <c r="AI204" s="6">
        <v>224.5</v>
      </c>
      <c r="AJ204" s="6">
        <v>228</v>
      </c>
      <c r="AK204" s="10">
        <f t="shared" si="126"/>
        <v>0.1784351145038168</v>
      </c>
      <c r="AL204" s="10">
        <f t="shared" si="127"/>
        <v>0.2458670418571931</v>
      </c>
      <c r="AM204" s="10">
        <f t="shared" si="128"/>
        <v>0.21858684302123219</v>
      </c>
      <c r="AN204" s="10">
        <f t="shared" si="129"/>
        <v>0.18279569892473119</v>
      </c>
      <c r="AO204" s="2">
        <f t="shared" si="130"/>
        <v>0.2064211745767433</v>
      </c>
      <c r="AP204" s="2">
        <v>0.98599999999999999</v>
      </c>
      <c r="AQ204" s="2">
        <v>0.98599999999999999</v>
      </c>
      <c r="AR204" s="2">
        <v>0.98599999999999999</v>
      </c>
      <c r="AS204" s="2">
        <v>0.98599999999999999</v>
      </c>
      <c r="AT204" s="2">
        <v>0.85</v>
      </c>
      <c r="AU204" s="2">
        <v>0.85</v>
      </c>
      <c r="AV204" s="2">
        <v>0.85</v>
      </c>
      <c r="AW204" s="2">
        <v>0.85</v>
      </c>
      <c r="AX204" s="10">
        <f t="shared" si="131"/>
        <v>0.13793103448275862</v>
      </c>
      <c r="AY204" s="10">
        <f t="shared" si="132"/>
        <v>0.13793103448275862</v>
      </c>
      <c r="AZ204" s="10">
        <f t="shared" si="133"/>
        <v>0.13793103448275862</v>
      </c>
      <c r="BA204" s="10">
        <f t="shared" si="134"/>
        <v>0.13793103448275862</v>
      </c>
      <c r="BB204" s="2">
        <f t="shared" si="135"/>
        <v>0.13793103448275862</v>
      </c>
      <c r="BC204" s="6">
        <v>0</v>
      </c>
      <c r="BD204" s="6">
        <v>0</v>
      </c>
      <c r="BE204" s="6">
        <v>0</v>
      </c>
      <c r="BF204" s="6">
        <v>0</v>
      </c>
      <c r="BG204" s="6">
        <v>0</v>
      </c>
      <c r="BH204" s="6">
        <v>0</v>
      </c>
      <c r="BI204" s="6">
        <v>0</v>
      </c>
      <c r="BJ204" s="6">
        <v>0</v>
      </c>
      <c r="BK204" s="10" t="str">
        <f t="shared" si="136"/>
        <v/>
      </c>
      <c r="BL204" s="10" t="str">
        <f t="shared" si="137"/>
        <v/>
      </c>
      <c r="BM204" s="10" t="str">
        <f t="shared" si="138"/>
        <v/>
      </c>
      <c r="BN204" s="10" t="str">
        <f t="shared" si="139"/>
        <v/>
      </c>
      <c r="BO204" s="2" t="str">
        <f t="shared" si="140"/>
        <v>NA</v>
      </c>
      <c r="BP204" s="10">
        <v>-3.8341156984256219E-3</v>
      </c>
      <c r="BQ204" s="10">
        <v>1.210335163170223E-2</v>
      </c>
      <c r="BR204" s="10">
        <v>-1.8304635867249508E-3</v>
      </c>
      <c r="BS204" s="10">
        <v>1.7727165433537473E-2</v>
      </c>
      <c r="BT204" s="11" t="s">
        <v>461</v>
      </c>
    </row>
    <row r="205" spans="1:72">
      <c r="A205">
        <f>COUNTIFS($J$7:J205,J205,$N$7:N205,N205,$E$7:E205,E205)</f>
        <v>30</v>
      </c>
      <c r="B205" s="16" t="str">
        <f t="shared" si="141"/>
        <v>Low</v>
      </c>
      <c r="C205" s="16" t="str">
        <f t="shared" si="142"/>
        <v>30LowNoRetail</v>
      </c>
      <c r="D205" s="1">
        <v>25310</v>
      </c>
      <c r="E205" s="1" t="s">
        <v>10</v>
      </c>
      <c r="F205" s="1" t="s">
        <v>195</v>
      </c>
      <c r="G205" s="1" t="s">
        <v>303</v>
      </c>
      <c r="H205" s="1">
        <v>39</v>
      </c>
      <c r="I205" s="1" t="s">
        <v>197</v>
      </c>
      <c r="J205" s="1" t="s">
        <v>27</v>
      </c>
      <c r="K205" s="1">
        <v>1</v>
      </c>
      <c r="L205" s="1">
        <v>1</v>
      </c>
      <c r="M205" s="2">
        <v>0.40390808753628699</v>
      </c>
      <c r="N205" s="27" t="str">
        <f t="shared" si="143"/>
        <v>Low</v>
      </c>
      <c r="O205" s="1">
        <v>1</v>
      </c>
      <c r="P205" s="6">
        <v>38.672171701577298</v>
      </c>
      <c r="Q205" s="6">
        <v>40.073799708616612</v>
      </c>
      <c r="R205" s="6">
        <v>59.583766902200828</v>
      </c>
      <c r="S205" s="6">
        <v>61.011411951765531</v>
      </c>
      <c r="T205" s="6">
        <v>0</v>
      </c>
      <c r="U205" s="6">
        <v>0</v>
      </c>
      <c r="V205" s="6">
        <v>0</v>
      </c>
      <c r="W205" s="6">
        <v>0</v>
      </c>
      <c r="X205" s="10">
        <f t="shared" si="121"/>
        <v>1</v>
      </c>
      <c r="Y205" s="10">
        <f t="shared" si="122"/>
        <v>1</v>
      </c>
      <c r="Z205" s="10">
        <f t="shared" si="123"/>
        <v>1</v>
      </c>
      <c r="AA205" s="10">
        <f t="shared" si="124"/>
        <v>1</v>
      </c>
      <c r="AB205" s="2" t="str">
        <f t="shared" si="125"/>
        <v>NA</v>
      </c>
      <c r="AC205" s="6">
        <v>36.32</v>
      </c>
      <c r="AD205" s="6">
        <v>40</v>
      </c>
      <c r="AE205" s="6">
        <v>60</v>
      </c>
      <c r="AF205" s="6">
        <v>60</v>
      </c>
      <c r="AG205" s="6">
        <v>0</v>
      </c>
      <c r="AH205" s="6">
        <v>0</v>
      </c>
      <c r="AI205" s="6">
        <v>0</v>
      </c>
      <c r="AJ205" s="6">
        <v>0</v>
      </c>
      <c r="AK205" s="10">
        <f t="shared" si="126"/>
        <v>1</v>
      </c>
      <c r="AL205" s="10">
        <f t="shared" si="127"/>
        <v>1</v>
      </c>
      <c r="AM205" s="10">
        <f t="shared" si="128"/>
        <v>1</v>
      </c>
      <c r="AN205" s="10">
        <f t="shared" si="129"/>
        <v>1</v>
      </c>
      <c r="AO205" s="2" t="str">
        <f t="shared" si="130"/>
        <v>NA</v>
      </c>
      <c r="AP205" s="2">
        <v>1</v>
      </c>
      <c r="AQ205" s="2">
        <v>1</v>
      </c>
      <c r="AR205" s="2">
        <v>1</v>
      </c>
      <c r="AS205" s="2">
        <v>1</v>
      </c>
      <c r="AT205" s="2">
        <v>0</v>
      </c>
      <c r="AU205" s="2">
        <v>0</v>
      </c>
      <c r="AV205" s="2">
        <v>0</v>
      </c>
      <c r="AW205" s="2">
        <v>0</v>
      </c>
      <c r="AX205" s="10">
        <f t="shared" si="131"/>
        <v>1</v>
      </c>
      <c r="AY205" s="10">
        <f t="shared" si="132"/>
        <v>1</v>
      </c>
      <c r="AZ205" s="10">
        <f t="shared" si="133"/>
        <v>1</v>
      </c>
      <c r="BA205" s="10">
        <f t="shared" si="134"/>
        <v>1</v>
      </c>
      <c r="BB205" s="2" t="str">
        <f t="shared" si="135"/>
        <v>NA</v>
      </c>
      <c r="BC205" s="6">
        <v>0</v>
      </c>
      <c r="BD205" s="6">
        <v>0</v>
      </c>
      <c r="BE205" s="6">
        <v>0</v>
      </c>
      <c r="BF205" s="6">
        <v>0</v>
      </c>
      <c r="BG205" s="6">
        <v>0</v>
      </c>
      <c r="BH205" s="6">
        <v>0</v>
      </c>
      <c r="BI205" s="6">
        <v>0</v>
      </c>
      <c r="BJ205" s="6">
        <v>0</v>
      </c>
      <c r="BK205" s="10" t="str">
        <f t="shared" si="136"/>
        <v/>
      </c>
      <c r="BL205" s="10" t="str">
        <f t="shared" si="137"/>
        <v/>
      </c>
      <c r="BM205" s="10" t="str">
        <f t="shared" si="138"/>
        <v/>
      </c>
      <c r="BN205" s="10" t="str">
        <f t="shared" si="139"/>
        <v/>
      </c>
      <c r="BO205" s="2" t="str">
        <f t="shared" si="140"/>
        <v>NA</v>
      </c>
      <c r="BP205" s="10">
        <v>4.0496006017558157E-2</v>
      </c>
      <c r="BQ205" s="10">
        <v>7.0430401140467724E-3</v>
      </c>
      <c r="BR205" s="10">
        <v>-1.8350394179290075E-2</v>
      </c>
      <c r="BS205" s="10">
        <v>1.7507998936304392E-2</v>
      </c>
      <c r="BT205" s="11" t="s">
        <v>461</v>
      </c>
    </row>
    <row r="206" spans="1:72">
      <c r="A206">
        <f>COUNTIFS($J$7:J206,J206,$N$7:N206,N206,$E$7:E206,E206)</f>
        <v>45</v>
      </c>
      <c r="B206" s="16" t="str">
        <f t="shared" si="141"/>
        <v>Low</v>
      </c>
      <c r="C206" s="16" t="str">
        <f t="shared" si="142"/>
        <v>45LowNoTechnology</v>
      </c>
      <c r="D206" s="1">
        <v>25313</v>
      </c>
      <c r="E206" s="1" t="s">
        <v>23</v>
      </c>
      <c r="F206" s="1" t="s">
        <v>304</v>
      </c>
      <c r="G206" s="1" t="s">
        <v>305</v>
      </c>
      <c r="H206" s="1">
        <v>12</v>
      </c>
      <c r="I206" s="1" t="s">
        <v>138</v>
      </c>
      <c r="J206" s="1" t="s">
        <v>27</v>
      </c>
      <c r="K206" s="1">
        <v>1</v>
      </c>
      <c r="L206" s="1">
        <v>1</v>
      </c>
      <c r="M206" s="2">
        <v>0.24826385863434314</v>
      </c>
      <c r="N206" s="27" t="str">
        <f t="shared" si="143"/>
        <v>Low</v>
      </c>
      <c r="O206" s="1">
        <v>1</v>
      </c>
      <c r="P206" s="6">
        <v>13.61910646268959</v>
      </c>
      <c r="Q206" s="6">
        <v>13.04269175276656</v>
      </c>
      <c r="R206" s="6">
        <v>12.9994921875</v>
      </c>
      <c r="S206" s="6">
        <v>12.637128957376451</v>
      </c>
      <c r="T206" s="6">
        <v>5</v>
      </c>
      <c r="U206" s="6">
        <v>4</v>
      </c>
      <c r="V206" s="6">
        <v>4</v>
      </c>
      <c r="W206" s="6">
        <v>4</v>
      </c>
      <c r="X206" s="10">
        <f t="shared" si="121"/>
        <v>0.63286871912648468</v>
      </c>
      <c r="Y206" s="10">
        <f t="shared" si="122"/>
        <v>0.69331484053883763</v>
      </c>
      <c r="Z206" s="10">
        <f t="shared" si="123"/>
        <v>0.69229567260740354</v>
      </c>
      <c r="AA206" s="10">
        <f t="shared" si="124"/>
        <v>0.68347240789490005</v>
      </c>
      <c r="AB206" s="2">
        <f t="shared" si="125"/>
        <v>0.67548791004190656</v>
      </c>
      <c r="AC206" s="6">
        <v>8</v>
      </c>
      <c r="AD206" s="6">
        <v>8</v>
      </c>
      <c r="AE206" s="6">
        <v>8</v>
      </c>
      <c r="AF206" s="6">
        <v>8</v>
      </c>
      <c r="AG206" s="6">
        <v>5</v>
      </c>
      <c r="AH206" s="6">
        <v>5</v>
      </c>
      <c r="AI206" s="6">
        <v>4.5</v>
      </c>
      <c r="AJ206" s="6">
        <v>4.5</v>
      </c>
      <c r="AK206" s="10">
        <f t="shared" si="126"/>
        <v>0.375</v>
      </c>
      <c r="AL206" s="10">
        <f t="shared" si="127"/>
        <v>0.375</v>
      </c>
      <c r="AM206" s="10">
        <f t="shared" si="128"/>
        <v>0.4375</v>
      </c>
      <c r="AN206" s="10">
        <f t="shared" si="129"/>
        <v>0.4375</v>
      </c>
      <c r="AO206" s="2">
        <f t="shared" si="130"/>
        <v>0.40625</v>
      </c>
      <c r="AP206" s="2">
        <v>0</v>
      </c>
      <c r="AQ206" s="2">
        <v>0</v>
      </c>
      <c r="AR206" s="2">
        <v>0</v>
      </c>
      <c r="AS206" s="2">
        <v>0</v>
      </c>
      <c r="AT206" s="2">
        <v>0.6</v>
      </c>
      <c r="AU206" s="2">
        <v>0.6</v>
      </c>
      <c r="AV206" s="2">
        <v>0.6</v>
      </c>
      <c r="AW206" s="2">
        <v>0.6</v>
      </c>
      <c r="AX206" s="10" t="str">
        <f t="shared" si="131"/>
        <v/>
      </c>
      <c r="AY206" s="10" t="str">
        <f t="shared" si="132"/>
        <v/>
      </c>
      <c r="AZ206" s="10" t="str">
        <f t="shared" si="133"/>
        <v/>
      </c>
      <c r="BA206" s="10" t="str">
        <f t="shared" si="134"/>
        <v/>
      </c>
      <c r="BB206" s="2" t="str">
        <f t="shared" si="135"/>
        <v>NA</v>
      </c>
      <c r="BC206" s="6">
        <v>0</v>
      </c>
      <c r="BD206" s="6">
        <v>0</v>
      </c>
      <c r="BE206" s="6">
        <v>0</v>
      </c>
      <c r="BF206" s="6">
        <v>0</v>
      </c>
      <c r="BG206" s="6">
        <v>4086</v>
      </c>
      <c r="BH206" s="6">
        <v>5086</v>
      </c>
      <c r="BI206" s="6">
        <v>3691</v>
      </c>
      <c r="BJ206" s="6">
        <v>3303</v>
      </c>
      <c r="BK206" s="10" t="str">
        <f t="shared" si="136"/>
        <v/>
      </c>
      <c r="BL206" s="10" t="str">
        <f t="shared" si="137"/>
        <v/>
      </c>
      <c r="BM206" s="10" t="str">
        <f t="shared" si="138"/>
        <v/>
      </c>
      <c r="BN206" s="10" t="str">
        <f t="shared" si="139"/>
        <v/>
      </c>
      <c r="BO206" s="2" t="str">
        <f t="shared" si="140"/>
        <v>NA</v>
      </c>
      <c r="BP206" s="10">
        <v>-9.1011453281344079E-2</v>
      </c>
      <c r="BQ206" s="10">
        <v>5.2710367827453086E-2</v>
      </c>
      <c r="BR206" s="10">
        <v>7.0713866849015372E-2</v>
      </c>
      <c r="BS206" s="10">
        <v>8.3195350019634295E-2</v>
      </c>
      <c r="BT206" s="11" t="s">
        <v>460</v>
      </c>
    </row>
    <row r="207" spans="1:72">
      <c r="A207">
        <f>COUNTIFS($J$7:J207,J207,$N$7:N207,N207,$E$7:E207,E207)</f>
        <v>22</v>
      </c>
      <c r="B207" s="16" t="str">
        <f t="shared" si="141"/>
        <v>Low</v>
      </c>
      <c r="C207" s="16" t="str">
        <f t="shared" si="142"/>
        <v>22LowYesTelecom-AT&amp;T</v>
      </c>
      <c r="D207" s="1">
        <v>25314</v>
      </c>
      <c r="E207" s="11" t="s">
        <v>484</v>
      </c>
      <c r="F207" s="1" t="s">
        <v>6</v>
      </c>
      <c r="G207" s="1" t="s">
        <v>306</v>
      </c>
      <c r="H207" s="1">
        <v>48</v>
      </c>
      <c r="I207" s="1" t="s">
        <v>118</v>
      </c>
      <c r="J207" s="1" t="s">
        <v>9</v>
      </c>
      <c r="K207" s="1">
        <v>1</v>
      </c>
      <c r="L207" s="1">
        <v>1</v>
      </c>
      <c r="M207" s="2">
        <v>0.3009780095139683</v>
      </c>
      <c r="N207" s="27" t="str">
        <f t="shared" si="143"/>
        <v>Low</v>
      </c>
      <c r="O207" s="1">
        <v>1</v>
      </c>
      <c r="P207" s="6">
        <v>3.641538706780473</v>
      </c>
      <c r="Q207" s="6">
        <v>0</v>
      </c>
      <c r="R207" s="6">
        <v>0</v>
      </c>
      <c r="S207" s="6">
        <v>0</v>
      </c>
      <c r="T207" s="6">
        <v>73.75</v>
      </c>
      <c r="U207" s="6">
        <v>86.4</v>
      </c>
      <c r="V207" s="6">
        <v>101.5</v>
      </c>
      <c r="W207" s="6">
        <v>95.5</v>
      </c>
      <c r="X207" s="10">
        <f t="shared" si="121"/>
        <v>-19.252427871404734</v>
      </c>
      <c r="Y207" s="10" t="str">
        <f t="shared" si="122"/>
        <v/>
      </c>
      <c r="Z207" s="10" t="str">
        <f t="shared" si="123"/>
        <v/>
      </c>
      <c r="AA207" s="10" t="str">
        <f t="shared" si="124"/>
        <v/>
      </c>
      <c r="AB207" s="2">
        <f t="shared" si="125"/>
        <v>-19.252427871404734</v>
      </c>
      <c r="AC207" s="6">
        <v>35.166744685498934</v>
      </c>
      <c r="AD207" s="6">
        <v>22.077026245238198</v>
      </c>
      <c r="AE207" s="6">
        <v>20.992133764562169</v>
      </c>
      <c r="AF207" s="6">
        <v>20.165482743705923</v>
      </c>
      <c r="AG207" s="6">
        <v>50</v>
      </c>
      <c r="AH207" s="6">
        <v>63.8</v>
      </c>
      <c r="AI207" s="6">
        <v>58.75</v>
      </c>
      <c r="AJ207" s="6">
        <v>63</v>
      </c>
      <c r="AK207" s="10">
        <f t="shared" si="126"/>
        <v>-0.42179779354492214</v>
      </c>
      <c r="AL207" s="10">
        <f t="shared" si="127"/>
        <v>-1.8898819655913142</v>
      </c>
      <c r="AM207" s="10">
        <f t="shared" si="128"/>
        <v>-1.7986673798343789</v>
      </c>
      <c r="AN207" s="10">
        <f t="shared" si="129"/>
        <v>-2.124150351404984</v>
      </c>
      <c r="AO207" s="2">
        <f t="shared" si="130"/>
        <v>-1.5586243725938997</v>
      </c>
      <c r="AP207" s="2">
        <v>0.79</v>
      </c>
      <c r="AQ207" s="2">
        <v>0.79</v>
      </c>
      <c r="AR207" s="2">
        <v>0.79</v>
      </c>
      <c r="AS207" s="2">
        <v>0.79</v>
      </c>
      <c r="AT207" s="2">
        <v>0.52669999999999995</v>
      </c>
      <c r="AU207" s="2">
        <v>0.52669999999999995</v>
      </c>
      <c r="AV207" s="2">
        <v>0.52669999999999995</v>
      </c>
      <c r="AW207" s="2">
        <v>0.52669999999999995</v>
      </c>
      <c r="AX207" s="10">
        <f t="shared" si="131"/>
        <v>0.33329113924050641</v>
      </c>
      <c r="AY207" s="10">
        <f t="shared" si="132"/>
        <v>0.33329113924050641</v>
      </c>
      <c r="AZ207" s="10">
        <f t="shared" si="133"/>
        <v>0.33329113924050641</v>
      </c>
      <c r="BA207" s="10">
        <f t="shared" si="134"/>
        <v>0.33329113924050641</v>
      </c>
      <c r="BB207" s="2">
        <f t="shared" si="135"/>
        <v>0.33329113924050641</v>
      </c>
      <c r="BC207" s="6">
        <v>17363.715649054338</v>
      </c>
      <c r="BD207" s="6">
        <v>9689.7772500630163</v>
      </c>
      <c r="BE207" s="6">
        <v>8904.6640457317008</v>
      </c>
      <c r="BF207" s="6">
        <v>8868.6067505113551</v>
      </c>
      <c r="BG207" s="6">
        <v>22667</v>
      </c>
      <c r="BH207" s="6">
        <v>38350</v>
      </c>
      <c r="BI207" s="6">
        <v>29959</v>
      </c>
      <c r="BJ207" s="6">
        <v>32994</v>
      </c>
      <c r="BK207" s="10">
        <f t="shared" si="136"/>
        <v>-0.3054233585790429</v>
      </c>
      <c r="BL207" s="10">
        <f t="shared" si="137"/>
        <v>-2.9577793183791297</v>
      </c>
      <c r="BM207" s="10">
        <f t="shared" si="138"/>
        <v>-2.3644166524575776</v>
      </c>
      <c r="BN207" s="10">
        <f t="shared" si="139"/>
        <v>-2.7203137909004251</v>
      </c>
      <c r="BO207" s="2">
        <f t="shared" si="140"/>
        <v>-2.086983280079044</v>
      </c>
      <c r="BP207" s="10">
        <v>-0.58946605772148375</v>
      </c>
      <c r="BQ207" s="10">
        <v>-0.33044372682269996</v>
      </c>
      <c r="BR207" s="10">
        <v>-0.31201864115219691</v>
      </c>
      <c r="BS207" s="10">
        <v>-0.3503693553478695</v>
      </c>
      <c r="BT207" s="11" t="s">
        <v>458</v>
      </c>
    </row>
    <row r="208" spans="1:72">
      <c r="A208">
        <f>COUNTIFS($J$7:J208,J208,$N$7:N208,N208,$E$7:E208,E208)</f>
        <v>31</v>
      </c>
      <c r="B208" s="16" t="str">
        <f t="shared" si="141"/>
        <v>Low</v>
      </c>
      <c r="C208" s="16" t="str">
        <f t="shared" si="142"/>
        <v>31LowNoRetail</v>
      </c>
      <c r="D208" s="1">
        <v>25315</v>
      </c>
      <c r="E208" s="1" t="s">
        <v>10</v>
      </c>
      <c r="F208" s="1" t="s">
        <v>307</v>
      </c>
      <c r="G208" s="1" t="s">
        <v>308</v>
      </c>
      <c r="H208" s="1">
        <v>218</v>
      </c>
      <c r="I208" s="1" t="s">
        <v>309</v>
      </c>
      <c r="J208" s="1" t="s">
        <v>27</v>
      </c>
      <c r="K208" s="1">
        <v>1</v>
      </c>
      <c r="L208" s="1">
        <v>1</v>
      </c>
      <c r="M208" s="2">
        <v>0.18232375827999708</v>
      </c>
      <c r="N208" s="27" t="str">
        <f t="shared" si="143"/>
        <v>Low</v>
      </c>
      <c r="O208" s="1">
        <v>1</v>
      </c>
      <c r="P208" s="6">
        <v>212.77000508944829</v>
      </c>
      <c r="Q208" s="6">
        <v>216.0214709463981</v>
      </c>
      <c r="R208" s="6">
        <v>248.57587476550901</v>
      </c>
      <c r="S208" s="6">
        <v>277.05942665166788</v>
      </c>
      <c r="T208" s="6">
        <v>102</v>
      </c>
      <c r="U208" s="6">
        <v>97</v>
      </c>
      <c r="V208" s="6">
        <v>88.5</v>
      </c>
      <c r="W208" s="6">
        <v>81.5</v>
      </c>
      <c r="X208" s="10">
        <f t="shared" si="121"/>
        <v>0.52060911989394698</v>
      </c>
      <c r="Y208" s="10">
        <f t="shared" si="122"/>
        <v>0.5509705605880777</v>
      </c>
      <c r="Z208" s="10">
        <f t="shared" si="123"/>
        <v>0.6439718855118769</v>
      </c>
      <c r="AA208" s="10">
        <f t="shared" si="124"/>
        <v>0.70583928153989284</v>
      </c>
      <c r="AB208" s="2">
        <f t="shared" si="125"/>
        <v>0.6053477118834486</v>
      </c>
      <c r="AC208" s="6">
        <v>113</v>
      </c>
      <c r="AD208" s="6">
        <v>118</v>
      </c>
      <c r="AE208" s="6">
        <v>116.82000507518796</v>
      </c>
      <c r="AF208" s="6">
        <v>116.82000305023921</v>
      </c>
      <c r="AG208" s="6">
        <v>90.5</v>
      </c>
      <c r="AH208" s="6">
        <v>61.6</v>
      </c>
      <c r="AI208" s="6">
        <v>0</v>
      </c>
      <c r="AJ208" s="6">
        <v>0</v>
      </c>
      <c r="AK208" s="10">
        <f t="shared" si="126"/>
        <v>0.19911504424778761</v>
      </c>
      <c r="AL208" s="10">
        <f t="shared" si="127"/>
        <v>0.47796610169491527</v>
      </c>
      <c r="AM208" s="10">
        <f t="shared" si="128"/>
        <v>1</v>
      </c>
      <c r="AN208" s="10">
        <f t="shared" si="129"/>
        <v>1</v>
      </c>
      <c r="AO208" s="2">
        <f t="shared" si="130"/>
        <v>0.33854057297135143</v>
      </c>
      <c r="AP208" s="2">
        <v>0</v>
      </c>
      <c r="AQ208" s="2">
        <v>0</v>
      </c>
      <c r="AR208" s="2">
        <v>0</v>
      </c>
      <c r="AS208" s="2">
        <v>0</v>
      </c>
      <c r="AT208" s="2">
        <v>0.68</v>
      </c>
      <c r="AU208" s="2">
        <v>0.68</v>
      </c>
      <c r="AV208" s="2">
        <v>0.68</v>
      </c>
      <c r="AW208" s="2">
        <v>0.68</v>
      </c>
      <c r="AX208" s="10" t="str">
        <f t="shared" si="131"/>
        <v/>
      </c>
      <c r="AY208" s="10" t="str">
        <f t="shared" si="132"/>
        <v/>
      </c>
      <c r="AZ208" s="10" t="str">
        <f t="shared" si="133"/>
        <v/>
      </c>
      <c r="BA208" s="10" t="str">
        <f t="shared" si="134"/>
        <v/>
      </c>
      <c r="BB208" s="2" t="str">
        <f t="shared" si="135"/>
        <v>NA</v>
      </c>
      <c r="BC208" s="6">
        <v>82850</v>
      </c>
      <c r="BD208" s="6">
        <v>86327</v>
      </c>
      <c r="BE208" s="6">
        <v>83420.460000000006</v>
      </c>
      <c r="BF208" s="6">
        <v>86235.34</v>
      </c>
      <c r="BG208" s="6">
        <v>63206</v>
      </c>
      <c r="BH208" s="6">
        <v>56310</v>
      </c>
      <c r="BI208" s="6">
        <v>0</v>
      </c>
      <c r="BJ208" s="6">
        <v>0</v>
      </c>
      <c r="BK208" s="10">
        <f t="shared" si="136"/>
        <v>0.23710319855159928</v>
      </c>
      <c r="BL208" s="10">
        <f t="shared" si="137"/>
        <v>0.34771276657360967</v>
      </c>
      <c r="BM208" s="10">
        <f t="shared" si="138"/>
        <v>1</v>
      </c>
      <c r="BN208" s="10">
        <f t="shared" si="139"/>
        <v>1</v>
      </c>
      <c r="BO208" s="2">
        <f t="shared" si="140"/>
        <v>0.29240798256260447</v>
      </c>
      <c r="BP208" s="10">
        <v>-6.1607841651810935E-2</v>
      </c>
      <c r="BQ208" s="10">
        <v>-9.6738223213299612E-3</v>
      </c>
      <c r="BR208" s="10">
        <v>-3.7268815852652626E-2</v>
      </c>
      <c r="BS208" s="10">
        <v>3.8250765765351358E-3</v>
      </c>
      <c r="BT208" s="11" t="s">
        <v>459</v>
      </c>
    </row>
    <row r="209" spans="1:72">
      <c r="A209">
        <f>COUNTIFS($J$7:J209,J209,$N$7:N209,N209,$E$7:E209,E209)</f>
        <v>7</v>
      </c>
      <c r="B209" s="16" t="str">
        <f t="shared" si="141"/>
        <v>Medium</v>
      </c>
      <c r="C209" s="16" t="str">
        <f t="shared" si="142"/>
        <v>7MediumNoTechnology</v>
      </c>
      <c r="D209" s="1">
        <v>25317</v>
      </c>
      <c r="E209" s="1" t="s">
        <v>23</v>
      </c>
      <c r="F209" s="1" t="s">
        <v>219</v>
      </c>
      <c r="G209" s="1" t="s">
        <v>310</v>
      </c>
      <c r="H209" s="1">
        <v>145</v>
      </c>
      <c r="I209" s="1" t="s">
        <v>68</v>
      </c>
      <c r="J209" s="1" t="s">
        <v>27</v>
      </c>
      <c r="K209" s="1">
        <v>1</v>
      </c>
      <c r="L209" s="1"/>
      <c r="M209" s="2">
        <v>0</v>
      </c>
      <c r="N209" s="27" t="str">
        <f t="shared" si="143"/>
        <v>Medium</v>
      </c>
      <c r="O209" s="1">
        <v>0</v>
      </c>
      <c r="P209" s="6">
        <v>0</v>
      </c>
      <c r="Q209" s="6">
        <v>0</v>
      </c>
      <c r="R209" s="6">
        <v>0</v>
      </c>
      <c r="S209" s="6">
        <v>0</v>
      </c>
      <c r="T209" s="6">
        <v>135.25</v>
      </c>
      <c r="U209" s="6">
        <v>132.4</v>
      </c>
      <c r="V209" s="6">
        <v>129.25</v>
      </c>
      <c r="W209" s="6">
        <v>138</v>
      </c>
      <c r="X209" s="10" t="str">
        <f t="shared" si="121"/>
        <v/>
      </c>
      <c r="Y209" s="10" t="str">
        <f t="shared" si="122"/>
        <v/>
      </c>
      <c r="Z209" s="10" t="str">
        <f t="shared" si="123"/>
        <v/>
      </c>
      <c r="AA209" s="10" t="str">
        <f t="shared" si="124"/>
        <v/>
      </c>
      <c r="AB209" s="2" t="str">
        <f t="shared" si="125"/>
        <v>NA</v>
      </c>
      <c r="AC209" s="6">
        <v>0</v>
      </c>
      <c r="AD209" s="6">
        <v>0</v>
      </c>
      <c r="AE209" s="6">
        <v>0</v>
      </c>
      <c r="AF209" s="6">
        <v>0</v>
      </c>
      <c r="AG209" s="6">
        <v>141</v>
      </c>
      <c r="AH209" s="6">
        <v>141</v>
      </c>
      <c r="AI209" s="6">
        <v>141</v>
      </c>
      <c r="AJ209" s="6">
        <v>141</v>
      </c>
      <c r="AK209" s="10" t="str">
        <f t="shared" si="126"/>
        <v/>
      </c>
      <c r="AL209" s="10" t="str">
        <f t="shared" si="127"/>
        <v/>
      </c>
      <c r="AM209" s="10" t="str">
        <f t="shared" si="128"/>
        <v/>
      </c>
      <c r="AN209" s="10" t="str">
        <f t="shared" si="129"/>
        <v/>
      </c>
      <c r="AO209" s="2" t="str">
        <f t="shared" si="130"/>
        <v>NA</v>
      </c>
      <c r="AP209" s="2">
        <v>0</v>
      </c>
      <c r="AQ209" s="2">
        <v>0</v>
      </c>
      <c r="AR209" s="2">
        <v>0</v>
      </c>
      <c r="AS209" s="2">
        <v>0</v>
      </c>
      <c r="AT209" s="2">
        <v>0.85</v>
      </c>
      <c r="AU209" s="2">
        <v>0.85</v>
      </c>
      <c r="AV209" s="2">
        <v>0.85</v>
      </c>
      <c r="AW209" s="2">
        <v>0.85</v>
      </c>
      <c r="AX209" s="10" t="str">
        <f t="shared" si="131"/>
        <v/>
      </c>
      <c r="AY209" s="10" t="str">
        <f t="shared" si="132"/>
        <v/>
      </c>
      <c r="AZ209" s="10" t="str">
        <f t="shared" si="133"/>
        <v/>
      </c>
      <c r="BA209" s="10" t="str">
        <f t="shared" si="134"/>
        <v/>
      </c>
      <c r="BB209" s="2" t="str">
        <f t="shared" si="135"/>
        <v>NA</v>
      </c>
      <c r="BC209" s="6">
        <v>0</v>
      </c>
      <c r="BD209" s="6">
        <v>0</v>
      </c>
      <c r="BE209" s="6">
        <v>0</v>
      </c>
      <c r="BF209" s="6">
        <v>0</v>
      </c>
      <c r="BG209" s="6">
        <v>0</v>
      </c>
      <c r="BH209" s="6">
        <v>0</v>
      </c>
      <c r="BI209" s="6">
        <v>0</v>
      </c>
      <c r="BJ209" s="6">
        <v>0</v>
      </c>
      <c r="BK209" s="10" t="str">
        <f t="shared" si="136"/>
        <v/>
      </c>
      <c r="BL209" s="10" t="str">
        <f t="shared" si="137"/>
        <v/>
      </c>
      <c r="BM209" s="10" t="str">
        <f t="shared" si="138"/>
        <v/>
      </c>
      <c r="BN209" s="10" t="str">
        <f t="shared" si="139"/>
        <v/>
      </c>
      <c r="BO209" s="2" t="str">
        <f t="shared" si="140"/>
        <v>NA</v>
      </c>
      <c r="BP209" s="10">
        <v>0</v>
      </c>
      <c r="BQ209" s="10">
        <v>0</v>
      </c>
      <c r="BR209" s="10">
        <v>0</v>
      </c>
      <c r="BS209" s="10">
        <v>0</v>
      </c>
      <c r="BT209" s="11">
        <v>0</v>
      </c>
    </row>
    <row r="210" spans="1:72">
      <c r="A210">
        <f>COUNTIFS($J$7:J210,J210,$N$7:N210,N210,$E$7:E210,E210)</f>
        <v>12</v>
      </c>
      <c r="B210" s="16" t="str">
        <f t="shared" si="141"/>
        <v>Medium</v>
      </c>
      <c r="C210" s="16" t="str">
        <f t="shared" si="142"/>
        <v>12MediumNoRetail</v>
      </c>
      <c r="D210" s="1">
        <v>25318</v>
      </c>
      <c r="E210" s="1" t="s">
        <v>10</v>
      </c>
      <c r="F210" s="1" t="s">
        <v>311</v>
      </c>
      <c r="G210" s="1" t="s">
        <v>312</v>
      </c>
      <c r="H210" s="1">
        <v>51</v>
      </c>
      <c r="I210" s="1" t="s">
        <v>309</v>
      </c>
      <c r="J210" s="1" t="s">
        <v>27</v>
      </c>
      <c r="K210" s="1">
        <v>1</v>
      </c>
      <c r="L210" s="1">
        <v>1</v>
      </c>
      <c r="M210" s="2">
        <v>5.036794913823698E-2</v>
      </c>
      <c r="N210" s="27" t="str">
        <f t="shared" si="143"/>
        <v>Medium</v>
      </c>
      <c r="O210" s="1">
        <v>1</v>
      </c>
      <c r="P210" s="6">
        <v>48.980483324419588</v>
      </c>
      <c r="Q210" s="6">
        <v>48.980483533120292</v>
      </c>
      <c r="R210" s="6">
        <v>48.980483533120413</v>
      </c>
      <c r="S210" s="6">
        <v>48.980483533120413</v>
      </c>
      <c r="T210" s="6">
        <v>0</v>
      </c>
      <c r="U210" s="6">
        <v>0</v>
      </c>
      <c r="V210" s="6">
        <v>0</v>
      </c>
      <c r="W210" s="6">
        <v>0</v>
      </c>
      <c r="X210" s="10">
        <f t="shared" si="121"/>
        <v>1</v>
      </c>
      <c r="Y210" s="10">
        <f t="shared" si="122"/>
        <v>1</v>
      </c>
      <c r="Z210" s="10">
        <f t="shared" si="123"/>
        <v>1</v>
      </c>
      <c r="AA210" s="10">
        <f t="shared" si="124"/>
        <v>1</v>
      </c>
      <c r="AB210" s="2" t="str">
        <f t="shared" si="125"/>
        <v>NA</v>
      </c>
      <c r="AC210" s="6">
        <v>49</v>
      </c>
      <c r="AD210" s="6">
        <v>49</v>
      </c>
      <c r="AE210" s="6">
        <v>49</v>
      </c>
      <c r="AF210" s="6">
        <v>49</v>
      </c>
      <c r="AG210" s="6">
        <v>0</v>
      </c>
      <c r="AH210" s="6">
        <v>0</v>
      </c>
      <c r="AI210" s="6">
        <v>0</v>
      </c>
      <c r="AJ210" s="6">
        <v>0</v>
      </c>
      <c r="AK210" s="10">
        <f t="shared" si="126"/>
        <v>1</v>
      </c>
      <c r="AL210" s="10">
        <f t="shared" si="127"/>
        <v>1</v>
      </c>
      <c r="AM210" s="10">
        <f t="shared" si="128"/>
        <v>1</v>
      </c>
      <c r="AN210" s="10">
        <f t="shared" si="129"/>
        <v>1</v>
      </c>
      <c r="AO210" s="2" t="str">
        <f t="shared" si="130"/>
        <v>NA</v>
      </c>
      <c r="AP210" s="2">
        <v>1</v>
      </c>
      <c r="AQ210" s="2">
        <v>1</v>
      </c>
      <c r="AR210" s="2">
        <v>1</v>
      </c>
      <c r="AS210" s="2">
        <v>1</v>
      </c>
      <c r="AT210" s="2">
        <v>0</v>
      </c>
      <c r="AU210" s="2">
        <v>0</v>
      </c>
      <c r="AV210" s="2">
        <v>0</v>
      </c>
      <c r="AW210" s="2">
        <v>0</v>
      </c>
      <c r="AX210" s="10">
        <f t="shared" si="131"/>
        <v>1</v>
      </c>
      <c r="AY210" s="10">
        <f t="shared" si="132"/>
        <v>1</v>
      </c>
      <c r="AZ210" s="10">
        <f t="shared" si="133"/>
        <v>1</v>
      </c>
      <c r="BA210" s="10">
        <f t="shared" si="134"/>
        <v>1</v>
      </c>
      <c r="BB210" s="2" t="str">
        <f t="shared" si="135"/>
        <v>NA</v>
      </c>
      <c r="BC210" s="6">
        <v>0</v>
      </c>
      <c r="BD210" s="6">
        <v>0</v>
      </c>
      <c r="BE210" s="6">
        <v>0</v>
      </c>
      <c r="BF210" s="6">
        <v>0</v>
      </c>
      <c r="BG210" s="6">
        <v>0</v>
      </c>
      <c r="BH210" s="6">
        <v>0</v>
      </c>
      <c r="BI210" s="6">
        <v>0</v>
      </c>
      <c r="BJ210" s="6">
        <v>0</v>
      </c>
      <c r="BK210" s="10" t="str">
        <f t="shared" si="136"/>
        <v/>
      </c>
      <c r="BL210" s="10" t="str">
        <f t="shared" si="137"/>
        <v/>
      </c>
      <c r="BM210" s="10" t="str">
        <f t="shared" si="138"/>
        <v/>
      </c>
      <c r="BN210" s="10" t="str">
        <f t="shared" si="139"/>
        <v/>
      </c>
      <c r="BO210" s="2" t="str">
        <f t="shared" si="140"/>
        <v>NA</v>
      </c>
      <c r="BP210" s="10">
        <v>-2.3748579016161786E-3</v>
      </c>
      <c r="BQ210" s="10">
        <v>-2.6348308331123338E-3</v>
      </c>
      <c r="BR210" s="10">
        <v>8.4921191713017707E-3</v>
      </c>
      <c r="BS210" s="10">
        <v>4.3345873260139944E-3</v>
      </c>
      <c r="BT210" s="11" t="s">
        <v>461</v>
      </c>
    </row>
    <row r="211" spans="1:72">
      <c r="A211">
        <f>COUNTIFS($J$7:J211,J211,$N$7:N211,N211,$E$7:E211,E211)</f>
        <v>46</v>
      </c>
      <c r="B211" s="16" t="str">
        <f t="shared" si="141"/>
        <v>Low</v>
      </c>
      <c r="C211" s="16" t="str">
        <f t="shared" si="142"/>
        <v>46LowNoTechnology</v>
      </c>
      <c r="D211" s="1">
        <v>25325</v>
      </c>
      <c r="E211" s="1" t="s">
        <v>23</v>
      </c>
      <c r="F211" s="1" t="s">
        <v>33</v>
      </c>
      <c r="G211" s="1" t="s">
        <v>313</v>
      </c>
      <c r="H211" s="1">
        <v>31</v>
      </c>
      <c r="I211" s="1" t="s">
        <v>133</v>
      </c>
      <c r="J211" s="1" t="s">
        <v>27</v>
      </c>
      <c r="K211" s="1">
        <v>2</v>
      </c>
      <c r="L211" s="1">
        <v>1</v>
      </c>
      <c r="M211" s="2">
        <v>0.41608908459636695</v>
      </c>
      <c r="N211" s="27" t="str">
        <f t="shared" si="143"/>
        <v>Low</v>
      </c>
      <c r="O211" s="1">
        <v>1</v>
      </c>
      <c r="P211" s="6">
        <v>30.532346743202311</v>
      </c>
      <c r="Q211" s="6">
        <v>29.54193682502212</v>
      </c>
      <c r="R211" s="6">
        <v>28.589536672170631</v>
      </c>
      <c r="S211" s="6">
        <v>38.852412459929383</v>
      </c>
      <c r="T211" s="6">
        <v>36</v>
      </c>
      <c r="U211" s="6">
        <v>45.8</v>
      </c>
      <c r="V211" s="6">
        <v>46.5</v>
      </c>
      <c r="W211" s="6">
        <v>50.5</v>
      </c>
      <c r="X211" s="10">
        <f t="shared" si="121"/>
        <v>-0.17907739954561475</v>
      </c>
      <c r="Y211" s="10">
        <f t="shared" si="122"/>
        <v>-0.55033843147370232</v>
      </c>
      <c r="Z211" s="10">
        <f t="shared" si="123"/>
        <v>-0.62646917063415064</v>
      </c>
      <c r="AA211" s="10">
        <f t="shared" si="124"/>
        <v>-0.29979058706028644</v>
      </c>
      <c r="AB211" s="2">
        <f t="shared" si="125"/>
        <v>-0.41391889717843855</v>
      </c>
      <c r="AC211" s="6">
        <v>35</v>
      </c>
      <c r="AD211" s="6">
        <v>34</v>
      </c>
      <c r="AE211" s="6">
        <v>32</v>
      </c>
      <c r="AF211" s="6">
        <v>40</v>
      </c>
      <c r="AG211" s="6">
        <v>35</v>
      </c>
      <c r="AH211" s="6">
        <v>42.8</v>
      </c>
      <c r="AI211" s="6">
        <v>44.25</v>
      </c>
      <c r="AJ211" s="6">
        <v>47.5</v>
      </c>
      <c r="AK211" s="10">
        <f t="shared" si="126"/>
        <v>0</v>
      </c>
      <c r="AL211" s="10">
        <f t="shared" si="127"/>
        <v>-0.25882352941176462</v>
      </c>
      <c r="AM211" s="10">
        <f t="shared" si="128"/>
        <v>-0.3828125</v>
      </c>
      <c r="AN211" s="10">
        <f t="shared" si="129"/>
        <v>-0.1875</v>
      </c>
      <c r="AO211" s="2">
        <f t="shared" si="130"/>
        <v>-0.20728400735294117</v>
      </c>
      <c r="AP211" s="2">
        <v>0.85</v>
      </c>
      <c r="AQ211" s="2">
        <v>0.85</v>
      </c>
      <c r="AR211" s="2">
        <v>0.85</v>
      </c>
      <c r="AS211" s="2">
        <v>0.85</v>
      </c>
      <c r="AT211" s="2">
        <v>0.85</v>
      </c>
      <c r="AU211" s="2">
        <v>0.85</v>
      </c>
      <c r="AV211" s="2">
        <v>0.85</v>
      </c>
      <c r="AW211" s="2">
        <v>0.85</v>
      </c>
      <c r="AX211" s="10">
        <f t="shared" si="131"/>
        <v>0</v>
      </c>
      <c r="AY211" s="10">
        <f t="shared" si="132"/>
        <v>0</v>
      </c>
      <c r="AZ211" s="10">
        <f t="shared" si="133"/>
        <v>0</v>
      </c>
      <c r="BA211" s="10">
        <f t="shared" si="134"/>
        <v>0</v>
      </c>
      <c r="BB211" s="2">
        <f t="shared" si="135"/>
        <v>0</v>
      </c>
      <c r="BC211" s="6">
        <v>0</v>
      </c>
      <c r="BD211" s="6">
        <v>0</v>
      </c>
      <c r="BE211" s="6">
        <v>0</v>
      </c>
      <c r="BF211" s="6">
        <v>0</v>
      </c>
      <c r="BG211" s="6">
        <v>24242</v>
      </c>
      <c r="BH211" s="6">
        <v>33187</v>
      </c>
      <c r="BI211" s="6">
        <v>27873</v>
      </c>
      <c r="BJ211" s="6">
        <v>29677</v>
      </c>
      <c r="BK211" s="10" t="str">
        <f t="shared" si="136"/>
        <v/>
      </c>
      <c r="BL211" s="10" t="str">
        <f t="shared" si="137"/>
        <v/>
      </c>
      <c r="BM211" s="10" t="str">
        <f t="shared" si="138"/>
        <v/>
      </c>
      <c r="BN211" s="10" t="str">
        <f t="shared" si="139"/>
        <v/>
      </c>
      <c r="BO211" s="2" t="str">
        <f t="shared" si="140"/>
        <v>NA</v>
      </c>
      <c r="BP211" s="10">
        <v>-4.875373631230584E-3</v>
      </c>
      <c r="BQ211" s="10">
        <v>-4.2224747383938999E-2</v>
      </c>
      <c r="BR211" s="10">
        <v>-2.0112223703378285E-2</v>
      </c>
      <c r="BS211" s="10">
        <v>9.7765590622068688E-3</v>
      </c>
      <c r="BT211" s="11">
        <v>0</v>
      </c>
    </row>
    <row r="212" spans="1:72">
      <c r="A212">
        <f>COUNTIFS($J$7:J212,J212,$N$7:N212,N212,$E$7:E212,E212)</f>
        <v>7</v>
      </c>
      <c r="B212" s="16" t="str">
        <f t="shared" si="141"/>
        <v>Medium</v>
      </c>
      <c r="C212" s="16" t="str">
        <f t="shared" si="142"/>
        <v>7MediumNoTelecom-Non AT&amp;T</v>
      </c>
      <c r="D212" s="1">
        <v>25326</v>
      </c>
      <c r="E212" s="1" t="s">
        <v>485</v>
      </c>
      <c r="F212" s="1" t="s">
        <v>184</v>
      </c>
      <c r="G212" s="1" t="s">
        <v>314</v>
      </c>
      <c r="H212" s="1">
        <v>61</v>
      </c>
      <c r="I212" s="1" t="s">
        <v>315</v>
      </c>
      <c r="J212" s="1" t="s">
        <v>27</v>
      </c>
      <c r="K212" s="1">
        <v>1</v>
      </c>
      <c r="L212" s="1"/>
      <c r="M212" s="2">
        <v>0</v>
      </c>
      <c r="N212" s="27" t="str">
        <f t="shared" si="143"/>
        <v>Medium</v>
      </c>
      <c r="O212" s="1">
        <v>0</v>
      </c>
      <c r="P212" s="6">
        <v>0</v>
      </c>
      <c r="Q212" s="6">
        <v>0</v>
      </c>
      <c r="R212" s="6">
        <v>0</v>
      </c>
      <c r="S212" s="6">
        <v>0</v>
      </c>
      <c r="T212" s="6">
        <v>53.25</v>
      </c>
      <c r="U212" s="6">
        <v>121.2</v>
      </c>
      <c r="V212" s="6">
        <v>148.25</v>
      </c>
      <c r="W212" s="6">
        <v>144.75</v>
      </c>
      <c r="X212" s="10" t="str">
        <f t="shared" si="121"/>
        <v/>
      </c>
      <c r="Y212" s="10" t="str">
        <f t="shared" si="122"/>
        <v/>
      </c>
      <c r="Z212" s="10" t="str">
        <f t="shared" si="123"/>
        <v/>
      </c>
      <c r="AA212" s="10" t="str">
        <f t="shared" si="124"/>
        <v/>
      </c>
      <c r="AB212" s="2" t="str">
        <f t="shared" si="125"/>
        <v>NA</v>
      </c>
      <c r="AC212" s="6">
        <v>0</v>
      </c>
      <c r="AD212" s="6">
        <v>0</v>
      </c>
      <c r="AE212" s="6">
        <v>0</v>
      </c>
      <c r="AF212" s="6">
        <v>0</v>
      </c>
      <c r="AG212" s="6">
        <v>76.25</v>
      </c>
      <c r="AH212" s="6">
        <v>111.6</v>
      </c>
      <c r="AI212" s="6">
        <v>139.5</v>
      </c>
      <c r="AJ212" s="6">
        <v>144</v>
      </c>
      <c r="AK212" s="10" t="str">
        <f t="shared" si="126"/>
        <v/>
      </c>
      <c r="AL212" s="10" t="str">
        <f t="shared" si="127"/>
        <v/>
      </c>
      <c r="AM212" s="10" t="str">
        <f t="shared" si="128"/>
        <v/>
      </c>
      <c r="AN212" s="10" t="str">
        <f t="shared" si="129"/>
        <v/>
      </c>
      <c r="AO212" s="2" t="str">
        <f t="shared" si="130"/>
        <v>NA</v>
      </c>
      <c r="AP212" s="2">
        <v>0</v>
      </c>
      <c r="AQ212" s="2">
        <v>0</v>
      </c>
      <c r="AR212" s="2">
        <v>0</v>
      </c>
      <c r="AS212" s="2">
        <v>0</v>
      </c>
      <c r="AT212" s="2">
        <v>0.7</v>
      </c>
      <c r="AU212" s="2">
        <v>0.7</v>
      </c>
      <c r="AV212" s="2">
        <v>0.7</v>
      </c>
      <c r="AW212" s="2">
        <v>0.7</v>
      </c>
      <c r="AX212" s="10" t="str">
        <f t="shared" si="131"/>
        <v/>
      </c>
      <c r="AY212" s="10" t="str">
        <f t="shared" si="132"/>
        <v/>
      </c>
      <c r="AZ212" s="10" t="str">
        <f t="shared" si="133"/>
        <v/>
      </c>
      <c r="BA212" s="10" t="str">
        <f t="shared" si="134"/>
        <v/>
      </c>
      <c r="BB212" s="2" t="str">
        <f t="shared" si="135"/>
        <v>NA</v>
      </c>
      <c r="BC212" s="6">
        <v>0</v>
      </c>
      <c r="BD212" s="6">
        <v>0</v>
      </c>
      <c r="BE212" s="6">
        <v>0</v>
      </c>
      <c r="BF212" s="6">
        <v>0</v>
      </c>
      <c r="BG212" s="6">
        <v>24302</v>
      </c>
      <c r="BH212" s="6">
        <v>44583</v>
      </c>
      <c r="BI212" s="6">
        <v>44049</v>
      </c>
      <c r="BJ212" s="6">
        <v>45588</v>
      </c>
      <c r="BK212" s="10" t="str">
        <f t="shared" si="136"/>
        <v/>
      </c>
      <c r="BL212" s="10" t="str">
        <f t="shared" si="137"/>
        <v/>
      </c>
      <c r="BM212" s="10" t="str">
        <f t="shared" si="138"/>
        <v/>
      </c>
      <c r="BN212" s="10" t="str">
        <f t="shared" si="139"/>
        <v/>
      </c>
      <c r="BO212" s="2" t="str">
        <f t="shared" si="140"/>
        <v>NA</v>
      </c>
      <c r="BP212" s="10">
        <v>0</v>
      </c>
      <c r="BQ212" s="10">
        <v>0</v>
      </c>
      <c r="BR212" s="10">
        <v>0</v>
      </c>
      <c r="BS212" s="10">
        <v>0</v>
      </c>
      <c r="BT212" s="11">
        <v>0</v>
      </c>
    </row>
    <row r="213" spans="1:72">
      <c r="A213">
        <f>COUNTIFS($J$7:J213,J213,$N$7:N213,N213,$E$7:E213,E213)</f>
        <v>8</v>
      </c>
      <c r="B213" s="16" t="str">
        <f t="shared" si="141"/>
        <v>Medium</v>
      </c>
      <c r="C213" s="16" t="str">
        <f t="shared" si="142"/>
        <v>8MediumNoBFIMG</v>
      </c>
      <c r="D213" s="1">
        <v>25330</v>
      </c>
      <c r="E213" s="1" t="s">
        <v>20</v>
      </c>
      <c r="F213" s="1" t="s">
        <v>316</v>
      </c>
      <c r="G213" s="1" t="s">
        <v>317</v>
      </c>
      <c r="H213" s="1">
        <v>93</v>
      </c>
      <c r="I213" s="1" t="s">
        <v>318</v>
      </c>
      <c r="J213" s="1" t="s">
        <v>27</v>
      </c>
      <c r="K213" s="1">
        <v>3</v>
      </c>
      <c r="L213" s="1"/>
      <c r="M213" s="2">
        <v>0</v>
      </c>
      <c r="N213" s="27" t="str">
        <f t="shared" si="143"/>
        <v>Medium</v>
      </c>
      <c r="O213" s="1">
        <v>1</v>
      </c>
      <c r="P213" s="6">
        <v>109.86651526227701</v>
      </c>
      <c r="Q213" s="6">
        <v>94.988090299929837</v>
      </c>
      <c r="R213" s="6">
        <v>90.518592215194062</v>
      </c>
      <c r="S213" s="6">
        <v>98.177685536297673</v>
      </c>
      <c r="T213" s="6">
        <v>144</v>
      </c>
      <c r="U213" s="6">
        <v>149.19999999999999</v>
      </c>
      <c r="V213" s="6">
        <v>145.5</v>
      </c>
      <c r="W213" s="6">
        <v>148.5</v>
      </c>
      <c r="X213" s="10">
        <f t="shared" si="121"/>
        <v>-0.31068141786638453</v>
      </c>
      <c r="Y213" s="10">
        <f t="shared" si="122"/>
        <v>-0.57072322992170099</v>
      </c>
      <c r="Z213" s="10">
        <f t="shared" si="123"/>
        <v>-0.60740458329374014</v>
      </c>
      <c r="AA213" s="10">
        <f t="shared" si="124"/>
        <v>-0.51256366646672946</v>
      </c>
      <c r="AB213" s="2">
        <f t="shared" si="125"/>
        <v>-0.50034322438713874</v>
      </c>
      <c r="AC213" s="6">
        <v>0</v>
      </c>
      <c r="AD213" s="6">
        <v>0</v>
      </c>
      <c r="AE213" s="6">
        <v>0</v>
      </c>
      <c r="AF213" s="6">
        <v>0</v>
      </c>
      <c r="AG213" s="6">
        <v>144</v>
      </c>
      <c r="AH213" s="6">
        <v>149.19999999999999</v>
      </c>
      <c r="AI213" s="6">
        <v>145.5</v>
      </c>
      <c r="AJ213" s="6">
        <v>148.5</v>
      </c>
      <c r="AK213" s="10" t="str">
        <f t="shared" si="126"/>
        <v/>
      </c>
      <c r="AL213" s="10" t="str">
        <f t="shared" si="127"/>
        <v/>
      </c>
      <c r="AM213" s="10" t="str">
        <f t="shared" si="128"/>
        <v/>
      </c>
      <c r="AN213" s="10" t="str">
        <f t="shared" si="129"/>
        <v/>
      </c>
      <c r="AO213" s="2" t="str">
        <f t="shared" si="130"/>
        <v>NA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10" t="str">
        <f t="shared" si="131"/>
        <v/>
      </c>
      <c r="AY213" s="10" t="str">
        <f t="shared" si="132"/>
        <v/>
      </c>
      <c r="AZ213" s="10" t="str">
        <f t="shared" si="133"/>
        <v/>
      </c>
      <c r="BA213" s="10" t="str">
        <f t="shared" si="134"/>
        <v/>
      </c>
      <c r="BB213" s="2" t="str">
        <f t="shared" si="135"/>
        <v>NA</v>
      </c>
      <c r="BC213" s="6">
        <v>0</v>
      </c>
      <c r="BD213" s="6">
        <v>0</v>
      </c>
      <c r="BE213" s="6">
        <v>0</v>
      </c>
      <c r="BF213" s="6">
        <v>0</v>
      </c>
      <c r="BG213" s="6">
        <v>0</v>
      </c>
      <c r="BH213" s="6">
        <v>0</v>
      </c>
      <c r="BI213" s="6">
        <v>0</v>
      </c>
      <c r="BJ213" s="6">
        <v>0</v>
      </c>
      <c r="BK213" s="10" t="str">
        <f t="shared" si="136"/>
        <v/>
      </c>
      <c r="BL213" s="10" t="str">
        <f t="shared" si="137"/>
        <v/>
      </c>
      <c r="BM213" s="10" t="str">
        <f t="shared" si="138"/>
        <v/>
      </c>
      <c r="BN213" s="10" t="str">
        <f t="shared" si="139"/>
        <v/>
      </c>
      <c r="BO213" s="2" t="str">
        <f t="shared" si="140"/>
        <v>NA</v>
      </c>
      <c r="BP213" s="10">
        <v>0.33283365907077722</v>
      </c>
      <c r="BQ213" s="10">
        <v>0.41564849067229354</v>
      </c>
      <c r="BR213" s="10">
        <v>0.33638775422104034</v>
      </c>
      <c r="BS213" s="10">
        <v>0.45160203727393433</v>
      </c>
      <c r="BT213" s="11" t="s">
        <v>458</v>
      </c>
    </row>
    <row r="214" spans="1:72">
      <c r="A214">
        <f>COUNTIFS($J$7:J214,J214,$N$7:N214,N214,$E$7:E214,E214)</f>
        <v>5</v>
      </c>
      <c r="B214" s="16" t="str">
        <f t="shared" si="141"/>
        <v>Critical</v>
      </c>
      <c r="C214" s="16" t="str">
        <f t="shared" si="142"/>
        <v>5CriticalNoTelecom-Non AT&amp;T</v>
      </c>
      <c r="D214" s="1">
        <v>25331</v>
      </c>
      <c r="E214" s="1" t="s">
        <v>485</v>
      </c>
      <c r="F214" s="1" t="s">
        <v>153</v>
      </c>
      <c r="G214" s="1" t="s">
        <v>319</v>
      </c>
      <c r="H214" s="1">
        <v>65</v>
      </c>
      <c r="I214" s="1" t="s">
        <v>138</v>
      </c>
      <c r="J214" s="1" t="s">
        <v>27</v>
      </c>
      <c r="K214" s="1">
        <v>1</v>
      </c>
      <c r="L214" s="1">
        <v>1</v>
      </c>
      <c r="M214" s="2">
        <v>-0.164130796626556</v>
      </c>
      <c r="N214" s="27" t="str">
        <f t="shared" si="143"/>
        <v>Critical</v>
      </c>
      <c r="O214" s="1">
        <v>1</v>
      </c>
      <c r="P214" s="6">
        <v>63</v>
      </c>
      <c r="Q214" s="6">
        <v>63</v>
      </c>
      <c r="R214" s="6">
        <v>63</v>
      </c>
      <c r="S214" s="6">
        <v>63</v>
      </c>
      <c r="T214" s="6">
        <v>69.25</v>
      </c>
      <c r="U214" s="6">
        <v>66.400000000000006</v>
      </c>
      <c r="V214" s="6">
        <v>0</v>
      </c>
      <c r="W214" s="6">
        <v>0</v>
      </c>
      <c r="X214" s="10">
        <f t="shared" si="121"/>
        <v>-9.9206349206349201E-2</v>
      </c>
      <c r="Y214" s="10">
        <f t="shared" si="122"/>
        <v>-5.3968253968254061E-2</v>
      </c>
      <c r="Z214" s="10">
        <f t="shared" si="123"/>
        <v>1</v>
      </c>
      <c r="AA214" s="10">
        <f t="shared" si="124"/>
        <v>1</v>
      </c>
      <c r="AB214" s="2">
        <f t="shared" si="125"/>
        <v>-7.6587301587301634E-2</v>
      </c>
      <c r="AC214" s="6">
        <v>0</v>
      </c>
      <c r="AD214" s="6">
        <v>0</v>
      </c>
      <c r="AE214" s="6">
        <v>0</v>
      </c>
      <c r="AF214" s="6">
        <v>0</v>
      </c>
      <c r="AG214" s="6">
        <v>38.75</v>
      </c>
      <c r="AH214" s="6">
        <v>37.200000000000003</v>
      </c>
      <c r="AI214" s="6">
        <v>0</v>
      </c>
      <c r="AJ214" s="6">
        <v>0</v>
      </c>
      <c r="AK214" s="10" t="str">
        <f t="shared" si="126"/>
        <v/>
      </c>
      <c r="AL214" s="10" t="str">
        <f t="shared" si="127"/>
        <v/>
      </c>
      <c r="AM214" s="10" t="str">
        <f t="shared" si="128"/>
        <v/>
      </c>
      <c r="AN214" s="10" t="str">
        <f t="shared" si="129"/>
        <v/>
      </c>
      <c r="AO214" s="2" t="str">
        <f t="shared" si="130"/>
        <v>NA</v>
      </c>
      <c r="AP214" s="2">
        <v>0</v>
      </c>
      <c r="AQ214" s="2">
        <v>0</v>
      </c>
      <c r="AR214" s="2">
        <v>0</v>
      </c>
      <c r="AS214" s="2">
        <v>0</v>
      </c>
      <c r="AT214" s="2">
        <v>0.60750000000000004</v>
      </c>
      <c r="AU214" s="2">
        <v>0.6</v>
      </c>
      <c r="AV214" s="2">
        <v>0</v>
      </c>
      <c r="AW214" s="2">
        <v>0</v>
      </c>
      <c r="AX214" s="10" t="str">
        <f t="shared" si="131"/>
        <v/>
      </c>
      <c r="AY214" s="10" t="str">
        <f t="shared" si="132"/>
        <v/>
      </c>
      <c r="AZ214" s="10" t="str">
        <f t="shared" si="133"/>
        <v/>
      </c>
      <c r="BA214" s="10" t="str">
        <f t="shared" si="134"/>
        <v/>
      </c>
      <c r="BB214" s="2" t="str">
        <f t="shared" si="135"/>
        <v>NA</v>
      </c>
      <c r="BC214" s="6">
        <v>0</v>
      </c>
      <c r="BD214" s="6">
        <v>0</v>
      </c>
      <c r="BE214" s="6">
        <v>0</v>
      </c>
      <c r="BF214" s="6">
        <v>0</v>
      </c>
      <c r="BG214" s="6">
        <v>7354</v>
      </c>
      <c r="BH214" s="6">
        <v>9190</v>
      </c>
      <c r="BI214" s="6">
        <v>0</v>
      </c>
      <c r="BJ214" s="6">
        <v>0</v>
      </c>
      <c r="BK214" s="10" t="str">
        <f t="shared" si="136"/>
        <v/>
      </c>
      <c r="BL214" s="10" t="str">
        <f t="shared" si="137"/>
        <v/>
      </c>
      <c r="BM214" s="10" t="str">
        <f t="shared" si="138"/>
        <v/>
      </c>
      <c r="BN214" s="10" t="str">
        <f t="shared" si="139"/>
        <v/>
      </c>
      <c r="BO214" s="2" t="str">
        <f t="shared" si="140"/>
        <v>NA</v>
      </c>
      <c r="BP214" s="10">
        <v>9.6431732958800198E-3</v>
      </c>
      <c r="BQ214" s="10">
        <v>0</v>
      </c>
      <c r="BR214" s="10">
        <v>0</v>
      </c>
      <c r="BS214" s="10">
        <v>0</v>
      </c>
      <c r="BT214" s="11">
        <v>0</v>
      </c>
    </row>
    <row r="215" spans="1:72">
      <c r="A215">
        <f>COUNTIFS($J$7:J215,J215,$N$7:N215,N215,$E$7:E215,E215)</f>
        <v>47</v>
      </c>
      <c r="B215" s="16" t="str">
        <f t="shared" si="141"/>
        <v>Low</v>
      </c>
      <c r="C215" s="16" t="str">
        <f t="shared" si="142"/>
        <v>47LowNoTechnology</v>
      </c>
      <c r="D215" s="1">
        <v>25332</v>
      </c>
      <c r="E215" s="1" t="s">
        <v>23</v>
      </c>
      <c r="F215" s="1" t="s">
        <v>320</v>
      </c>
      <c r="G215" s="1" t="s">
        <v>321</v>
      </c>
      <c r="H215" s="1">
        <v>96</v>
      </c>
      <c r="I215" s="1" t="s">
        <v>66</v>
      </c>
      <c r="J215" s="1" t="s">
        <v>27</v>
      </c>
      <c r="K215" s="1">
        <v>1</v>
      </c>
      <c r="L215" s="1">
        <v>1</v>
      </c>
      <c r="M215" s="2">
        <v>0.31512281307063028</v>
      </c>
      <c r="N215" s="27" t="str">
        <f t="shared" si="143"/>
        <v>Low</v>
      </c>
      <c r="O215" s="1">
        <v>1</v>
      </c>
      <c r="P215" s="6">
        <v>80.771121081159038</v>
      </c>
      <c r="Q215" s="6">
        <v>95.395415948951722</v>
      </c>
      <c r="R215" s="6">
        <v>93.822273945286227</v>
      </c>
      <c r="S215" s="6">
        <v>95.047256917271753</v>
      </c>
      <c r="T215" s="6">
        <v>73.5</v>
      </c>
      <c r="U215" s="6">
        <v>71.2</v>
      </c>
      <c r="V215" s="6">
        <v>69</v>
      </c>
      <c r="W215" s="6">
        <v>50</v>
      </c>
      <c r="X215" s="10">
        <f t="shared" si="121"/>
        <v>9.0021297015959401E-2</v>
      </c>
      <c r="Y215" s="10">
        <f t="shared" si="122"/>
        <v>0.25363289952946211</v>
      </c>
      <c r="Z215" s="10">
        <f t="shared" si="123"/>
        <v>0.26456696156993259</v>
      </c>
      <c r="AA215" s="10">
        <f t="shared" si="124"/>
        <v>0.47394589153141436</v>
      </c>
      <c r="AB215" s="2">
        <f t="shared" si="125"/>
        <v>0.27054176241169209</v>
      </c>
      <c r="AC215" s="6">
        <v>78.2</v>
      </c>
      <c r="AD215" s="6">
        <v>83.905265689999993</v>
      </c>
      <c r="AE215" s="6">
        <v>84.238238769999995</v>
      </c>
      <c r="AF215" s="6">
        <v>85</v>
      </c>
      <c r="AG215" s="6">
        <v>79</v>
      </c>
      <c r="AH215" s="6">
        <v>77.8</v>
      </c>
      <c r="AI215" s="6">
        <v>76.75</v>
      </c>
      <c r="AJ215" s="6">
        <v>57</v>
      </c>
      <c r="AK215" s="10">
        <f t="shared" si="126"/>
        <v>-1.0230179028132955E-2</v>
      </c>
      <c r="AL215" s="10">
        <f t="shared" si="127"/>
        <v>7.2763796643666834E-2</v>
      </c>
      <c r="AM215" s="10">
        <f t="shared" si="128"/>
        <v>8.8893581814376718E-2</v>
      </c>
      <c r="AN215" s="10">
        <f t="shared" si="129"/>
        <v>0.32941176470588235</v>
      </c>
      <c r="AO215" s="2">
        <f t="shared" si="130"/>
        <v>0.12020974103394824</v>
      </c>
      <c r="AP215" s="2">
        <v>1</v>
      </c>
      <c r="AQ215" s="2">
        <v>1</v>
      </c>
      <c r="AR215" s="2">
        <v>1</v>
      </c>
      <c r="AS215" s="2">
        <v>1</v>
      </c>
      <c r="AT215" s="2">
        <v>0.8075</v>
      </c>
      <c r="AU215" s="2">
        <v>0.8</v>
      </c>
      <c r="AV215" s="2">
        <v>0.79500000000000004</v>
      </c>
      <c r="AW215" s="2">
        <v>0.78749999999999998</v>
      </c>
      <c r="AX215" s="10">
        <f t="shared" si="131"/>
        <v>0.1925</v>
      </c>
      <c r="AY215" s="10">
        <f t="shared" si="132"/>
        <v>0.19999999999999996</v>
      </c>
      <c r="AZ215" s="10">
        <f t="shared" si="133"/>
        <v>0.20499999999999996</v>
      </c>
      <c r="BA215" s="10">
        <f t="shared" si="134"/>
        <v>0.21250000000000002</v>
      </c>
      <c r="BB215" s="2">
        <f t="shared" si="135"/>
        <v>0.20249999999999999</v>
      </c>
      <c r="BC215" s="6">
        <v>0</v>
      </c>
      <c r="BD215" s="6">
        <v>0</v>
      </c>
      <c r="BE215" s="6">
        <v>0</v>
      </c>
      <c r="BF215" s="6">
        <v>0</v>
      </c>
      <c r="BG215" s="6">
        <v>31392</v>
      </c>
      <c r="BH215" s="6">
        <v>35608</v>
      </c>
      <c r="BI215" s="6">
        <v>24483</v>
      </c>
      <c r="BJ215" s="6">
        <v>20944</v>
      </c>
      <c r="BK215" s="10" t="str">
        <f t="shared" si="136"/>
        <v/>
      </c>
      <c r="BL215" s="10" t="str">
        <f t="shared" si="137"/>
        <v/>
      </c>
      <c r="BM215" s="10" t="str">
        <f t="shared" si="138"/>
        <v/>
      </c>
      <c r="BN215" s="10" t="str">
        <f t="shared" si="139"/>
        <v/>
      </c>
      <c r="BO215" s="2" t="str">
        <f t="shared" si="140"/>
        <v>NA</v>
      </c>
      <c r="BP215" s="10">
        <v>2.6371691037505252E-2</v>
      </c>
      <c r="BQ215" s="10">
        <v>3.1413070757864814E-2</v>
      </c>
      <c r="BR215" s="10">
        <v>-4.5625872759982977E-2</v>
      </c>
      <c r="BS215" s="10">
        <v>2.2312137138634058E-2</v>
      </c>
      <c r="BT215" s="11" t="s">
        <v>461</v>
      </c>
    </row>
    <row r="216" spans="1:72">
      <c r="A216">
        <f>COUNTIFS($J$7:J216,J216,$N$7:N216,N216,$E$7:E216,E216)</f>
        <v>32</v>
      </c>
      <c r="B216" s="16" t="str">
        <f t="shared" si="141"/>
        <v>Low</v>
      </c>
      <c r="C216" s="16" t="str">
        <f t="shared" si="142"/>
        <v>32LowNoRetail</v>
      </c>
      <c r="D216" s="1">
        <v>25333</v>
      </c>
      <c r="E216" s="1" t="s">
        <v>10</v>
      </c>
      <c r="F216" s="1" t="s">
        <v>307</v>
      </c>
      <c r="G216" s="1" t="s">
        <v>322</v>
      </c>
      <c r="H216" s="1">
        <v>14</v>
      </c>
      <c r="I216" s="1" t="s">
        <v>35</v>
      </c>
      <c r="J216" s="1" t="s">
        <v>27</v>
      </c>
      <c r="K216" s="1">
        <v>1</v>
      </c>
      <c r="L216" s="1">
        <v>1</v>
      </c>
      <c r="M216" s="2">
        <v>0.29809281626753131</v>
      </c>
      <c r="N216" s="27" t="str">
        <f t="shared" si="143"/>
        <v>Low</v>
      </c>
      <c r="O216" s="1">
        <v>1</v>
      </c>
      <c r="P216" s="6">
        <v>10.22510496188794</v>
      </c>
      <c r="Q216" s="6">
        <v>9.6079860354423143</v>
      </c>
      <c r="R216" s="6">
        <v>9.0955451593057166</v>
      </c>
      <c r="S216" s="6">
        <v>8.5654815869086356</v>
      </c>
      <c r="T216" s="6">
        <v>32.5</v>
      </c>
      <c r="U216" s="6">
        <v>31.2</v>
      </c>
      <c r="V216" s="6">
        <v>29.25</v>
      </c>
      <c r="W216" s="6">
        <v>28.5</v>
      </c>
      <c r="X216" s="10">
        <f t="shared" si="121"/>
        <v>-2.178451480071582</v>
      </c>
      <c r="Y216" s="10">
        <f t="shared" si="122"/>
        <v>-2.2472986414539138</v>
      </c>
      <c r="Z216" s="10">
        <f t="shared" si="123"/>
        <v>-2.2158600158313897</v>
      </c>
      <c r="AA216" s="10">
        <f t="shared" si="124"/>
        <v>-2.3273085361083501</v>
      </c>
      <c r="AB216" s="2">
        <f t="shared" si="125"/>
        <v>-2.242229668366309</v>
      </c>
      <c r="AC216" s="6">
        <v>32</v>
      </c>
      <c r="AD216" s="6">
        <v>30</v>
      </c>
      <c r="AE216" s="6">
        <v>29</v>
      </c>
      <c r="AF216" s="6">
        <v>29</v>
      </c>
      <c r="AG216" s="6">
        <v>28.25</v>
      </c>
      <c r="AH216" s="6">
        <v>22</v>
      </c>
      <c r="AI216" s="6">
        <v>0</v>
      </c>
      <c r="AJ216" s="6">
        <v>0</v>
      </c>
      <c r="AK216" s="10">
        <f t="shared" si="126"/>
        <v>0.1171875</v>
      </c>
      <c r="AL216" s="10">
        <f t="shared" si="127"/>
        <v>0.26666666666666666</v>
      </c>
      <c r="AM216" s="10">
        <f t="shared" si="128"/>
        <v>1</v>
      </c>
      <c r="AN216" s="10">
        <f t="shared" si="129"/>
        <v>1</v>
      </c>
      <c r="AO216" s="2">
        <f t="shared" si="130"/>
        <v>0.19192708333333333</v>
      </c>
      <c r="AP216" s="2">
        <v>0</v>
      </c>
      <c r="AQ216" s="2">
        <v>0</v>
      </c>
      <c r="AR216" s="2">
        <v>0</v>
      </c>
      <c r="AS216" s="2">
        <v>0</v>
      </c>
      <c r="AT216" s="2">
        <v>0.56000000000000005</v>
      </c>
      <c r="AU216" s="2">
        <v>0.56000000000000005</v>
      </c>
      <c r="AV216" s="2">
        <v>0.56000000000000005</v>
      </c>
      <c r="AW216" s="2">
        <v>0.56000000000000005</v>
      </c>
      <c r="AX216" s="10" t="str">
        <f t="shared" si="131"/>
        <v/>
      </c>
      <c r="AY216" s="10" t="str">
        <f t="shared" si="132"/>
        <v/>
      </c>
      <c r="AZ216" s="10" t="str">
        <f t="shared" si="133"/>
        <v/>
      </c>
      <c r="BA216" s="10" t="str">
        <f t="shared" si="134"/>
        <v/>
      </c>
      <c r="BB216" s="2" t="str">
        <f t="shared" si="135"/>
        <v>NA</v>
      </c>
      <c r="BC216" s="6">
        <v>18335</v>
      </c>
      <c r="BD216" s="6">
        <v>18746</v>
      </c>
      <c r="BE216" s="6">
        <v>18941</v>
      </c>
      <c r="BF216" s="6">
        <v>23254</v>
      </c>
      <c r="BG216" s="6">
        <v>16670</v>
      </c>
      <c r="BH216" s="6">
        <v>17046</v>
      </c>
      <c r="BI216" s="6">
        <v>0</v>
      </c>
      <c r="BJ216" s="6">
        <v>0</v>
      </c>
      <c r="BK216" s="10">
        <f t="shared" si="136"/>
        <v>9.0809926370329974E-2</v>
      </c>
      <c r="BL216" s="10">
        <f t="shared" si="137"/>
        <v>9.0686013016110109E-2</v>
      </c>
      <c r="BM216" s="10">
        <f t="shared" si="138"/>
        <v>1</v>
      </c>
      <c r="BN216" s="10">
        <f t="shared" si="139"/>
        <v>1</v>
      </c>
      <c r="BO216" s="2">
        <f t="shared" si="140"/>
        <v>9.0747969693220049E-2</v>
      </c>
      <c r="BP216" s="10">
        <v>5.3916351535453266E-2</v>
      </c>
      <c r="BQ216" s="10">
        <v>-4.7524269673464459E-2</v>
      </c>
      <c r="BR216" s="10">
        <v>-3.8266701040560236E-2</v>
      </c>
      <c r="BS216" s="10">
        <v>-4.4704425996494157E-2</v>
      </c>
      <c r="BT216" s="11" t="s">
        <v>459</v>
      </c>
    </row>
    <row r="217" spans="1:72">
      <c r="A217">
        <f>COUNTIFS($J$7:J217,J217,$N$7:N217,N217,$E$7:E217,E217)</f>
        <v>13</v>
      </c>
      <c r="B217" s="16" t="str">
        <f t="shared" si="141"/>
        <v>Low</v>
      </c>
      <c r="C217" s="16" t="str">
        <f t="shared" si="142"/>
        <v>13LowNoTelecom-Non AT&amp;T</v>
      </c>
      <c r="D217" s="1">
        <v>25334</v>
      </c>
      <c r="E217" s="1" t="s">
        <v>485</v>
      </c>
      <c r="F217" s="1" t="s">
        <v>94</v>
      </c>
      <c r="G217" s="1" t="s">
        <v>323</v>
      </c>
      <c r="H217" s="1">
        <v>205</v>
      </c>
      <c r="I217" s="1" t="s">
        <v>88</v>
      </c>
      <c r="J217" s="1" t="s">
        <v>27</v>
      </c>
      <c r="K217" s="1">
        <v>1</v>
      </c>
      <c r="L217" s="1">
        <v>1</v>
      </c>
      <c r="M217" s="2">
        <v>0.27496066316651679</v>
      </c>
      <c r="N217" s="27" t="str">
        <f t="shared" si="143"/>
        <v>Low</v>
      </c>
      <c r="O217" s="1">
        <v>1</v>
      </c>
      <c r="P217" s="6">
        <v>220</v>
      </c>
      <c r="Q217" s="6">
        <v>240</v>
      </c>
      <c r="R217" s="6">
        <v>260</v>
      </c>
      <c r="S217" s="6">
        <v>280</v>
      </c>
      <c r="T217" s="6" t="s">
        <v>422</v>
      </c>
      <c r="U217" s="6" t="s">
        <v>422</v>
      </c>
      <c r="V217" s="6" t="s">
        <v>422</v>
      </c>
      <c r="W217" s="6" t="s">
        <v>422</v>
      </c>
      <c r="X217" s="10" t="str">
        <f t="shared" si="121"/>
        <v/>
      </c>
      <c r="Y217" s="10" t="str">
        <f t="shared" si="122"/>
        <v/>
      </c>
      <c r="Z217" s="10" t="str">
        <f t="shared" si="123"/>
        <v/>
      </c>
      <c r="AA217" s="10" t="str">
        <f t="shared" si="124"/>
        <v/>
      </c>
      <c r="AB217" s="2" t="str">
        <f t="shared" si="125"/>
        <v>NA</v>
      </c>
      <c r="AC217" s="6">
        <v>270</v>
      </c>
      <c r="AD217" s="6">
        <v>280</v>
      </c>
      <c r="AE217" s="6">
        <v>290</v>
      </c>
      <c r="AF217" s="6">
        <v>300</v>
      </c>
      <c r="AG217" s="6" t="s">
        <v>422</v>
      </c>
      <c r="AH217" s="6" t="s">
        <v>422</v>
      </c>
      <c r="AI217" s="6" t="s">
        <v>422</v>
      </c>
      <c r="AJ217" s="6" t="s">
        <v>422</v>
      </c>
      <c r="AK217" s="10" t="str">
        <f t="shared" si="126"/>
        <v/>
      </c>
      <c r="AL217" s="10" t="str">
        <f t="shared" si="127"/>
        <v/>
      </c>
      <c r="AM217" s="10" t="str">
        <f t="shared" si="128"/>
        <v/>
      </c>
      <c r="AN217" s="10" t="str">
        <f t="shared" si="129"/>
        <v/>
      </c>
      <c r="AO217" s="2" t="str">
        <f t="shared" si="130"/>
        <v>NA</v>
      </c>
      <c r="AP217" s="2">
        <v>0.9</v>
      </c>
      <c r="AQ217" s="2">
        <v>0.9</v>
      </c>
      <c r="AR217" s="2">
        <v>0.9</v>
      </c>
      <c r="AS217" s="2">
        <v>0.9</v>
      </c>
      <c r="AT217" s="2" t="s">
        <v>422</v>
      </c>
      <c r="AU217" s="2" t="s">
        <v>422</v>
      </c>
      <c r="AV217" s="2" t="s">
        <v>422</v>
      </c>
      <c r="AW217" s="2" t="s">
        <v>422</v>
      </c>
      <c r="AX217" s="10" t="str">
        <f t="shared" si="131"/>
        <v/>
      </c>
      <c r="AY217" s="10" t="str">
        <f t="shared" si="132"/>
        <v/>
      </c>
      <c r="AZ217" s="10" t="str">
        <f t="shared" si="133"/>
        <v/>
      </c>
      <c r="BA217" s="10" t="str">
        <f t="shared" si="134"/>
        <v/>
      </c>
      <c r="BB217" s="2" t="str">
        <f t="shared" si="135"/>
        <v>NA</v>
      </c>
      <c r="BC217" s="6">
        <v>0</v>
      </c>
      <c r="BD217" s="6">
        <v>0</v>
      </c>
      <c r="BE217" s="6">
        <v>0</v>
      </c>
      <c r="BF217" s="6">
        <v>0</v>
      </c>
      <c r="BG217" s="6" t="s">
        <v>422</v>
      </c>
      <c r="BH217" s="6" t="s">
        <v>422</v>
      </c>
      <c r="BI217" s="6" t="s">
        <v>422</v>
      </c>
      <c r="BJ217" s="6" t="s">
        <v>422</v>
      </c>
      <c r="BK217" s="10" t="str">
        <f t="shared" si="136"/>
        <v/>
      </c>
      <c r="BL217" s="10" t="str">
        <f t="shared" si="137"/>
        <v/>
      </c>
      <c r="BM217" s="10" t="str">
        <f t="shared" si="138"/>
        <v/>
      </c>
      <c r="BN217" s="10" t="str">
        <f t="shared" si="139"/>
        <v/>
      </c>
      <c r="BO217" s="2" t="str">
        <f t="shared" si="140"/>
        <v>NA</v>
      </c>
      <c r="BP217" s="10">
        <v>-1.8795901993473585E-3</v>
      </c>
      <c r="BQ217" s="10">
        <v>-8.3091284033797175E-3</v>
      </c>
      <c r="BR217" s="10">
        <v>-4.9886138113479639E-3</v>
      </c>
      <c r="BS217" s="10">
        <v>9.3284500417606386E-3</v>
      </c>
      <c r="BT217" s="11" t="s">
        <v>461</v>
      </c>
    </row>
    <row r="218" spans="1:72">
      <c r="A218">
        <f>COUNTIFS($J$7:J218,J218,$N$7:N218,N218,$E$7:E218,E218)</f>
        <v>4</v>
      </c>
      <c r="B218" s="16" t="str">
        <f t="shared" si="141"/>
        <v>Critical</v>
      </c>
      <c r="C218" s="16" t="str">
        <f t="shared" si="142"/>
        <v>4CriticalNoRetail</v>
      </c>
      <c r="D218" s="1">
        <v>27001</v>
      </c>
      <c r="E218" s="1" t="s">
        <v>10</v>
      </c>
      <c r="F218" s="1" t="s">
        <v>11</v>
      </c>
      <c r="G218" s="1" t="s">
        <v>324</v>
      </c>
      <c r="H218" s="1">
        <v>639</v>
      </c>
      <c r="I218" s="1" t="s">
        <v>16</v>
      </c>
      <c r="J218" s="1" t="s">
        <v>27</v>
      </c>
      <c r="K218" s="1">
        <v>1</v>
      </c>
      <c r="L218" s="1">
        <v>1</v>
      </c>
      <c r="M218" s="2">
        <v>-5.1577632853254375E-2</v>
      </c>
      <c r="N218" s="27" t="str">
        <f t="shared" si="143"/>
        <v>Critical</v>
      </c>
      <c r="O218" s="1">
        <v>1</v>
      </c>
      <c r="P218" s="6">
        <v>374.62418143124779</v>
      </c>
      <c r="Q218" s="6">
        <v>456.45678548684123</v>
      </c>
      <c r="R218" s="6">
        <v>448.37156567274081</v>
      </c>
      <c r="S218" s="6">
        <v>530.14534406615314</v>
      </c>
      <c r="T218" s="6">
        <v>445.5</v>
      </c>
      <c r="U218" s="6">
        <v>496.59999999999997</v>
      </c>
      <c r="V218" s="6">
        <v>613.5</v>
      </c>
      <c r="W218" s="6">
        <v>615</v>
      </c>
      <c r="X218" s="10">
        <f t="shared" si="121"/>
        <v>-0.18919178761491551</v>
      </c>
      <c r="Y218" s="10">
        <f t="shared" si="122"/>
        <v>-8.7945268401133217E-2</v>
      </c>
      <c r="Z218" s="10">
        <f t="shared" si="123"/>
        <v>-0.36828480432183286</v>
      </c>
      <c r="AA218" s="10">
        <f t="shared" si="124"/>
        <v>-0.1600592307064729</v>
      </c>
      <c r="AB218" s="2">
        <f t="shared" si="125"/>
        <v>-0.20137027276108863</v>
      </c>
      <c r="AC218" s="6">
        <v>450.4510598075878</v>
      </c>
      <c r="AD218" s="6">
        <v>372.39780301476344</v>
      </c>
      <c r="AE218" s="6">
        <v>374.99350539537693</v>
      </c>
      <c r="AF218" s="6">
        <v>631.75022701291903</v>
      </c>
      <c r="AG218" s="6">
        <v>418</v>
      </c>
      <c r="AH218" s="6">
        <v>443.8</v>
      </c>
      <c r="AI218" s="6">
        <v>530</v>
      </c>
      <c r="AJ218" s="6">
        <v>590.75</v>
      </c>
      <c r="AK218" s="10">
        <f t="shared" si="126"/>
        <v>7.2041255317391001E-2</v>
      </c>
      <c r="AL218" s="10">
        <f t="shared" si="127"/>
        <v>-0.19173635399348982</v>
      </c>
      <c r="AM218" s="10">
        <f t="shared" si="128"/>
        <v>-0.41335781120046583</v>
      </c>
      <c r="AN218" s="10">
        <f t="shared" si="129"/>
        <v>6.48994258486916E-2</v>
      </c>
      <c r="AO218" s="2">
        <f t="shared" si="130"/>
        <v>-0.11703837100696826</v>
      </c>
      <c r="AP218" s="2">
        <v>0</v>
      </c>
      <c r="AQ218" s="2">
        <v>0</v>
      </c>
      <c r="AR218" s="2">
        <v>0</v>
      </c>
      <c r="AS218" s="2">
        <v>0</v>
      </c>
      <c r="AT218" s="2">
        <v>0.78</v>
      </c>
      <c r="AU218" s="2">
        <v>0.82499999999999996</v>
      </c>
      <c r="AV218" s="2">
        <v>0.82499999999999996</v>
      </c>
      <c r="AW218" s="2">
        <v>0.86624999999999996</v>
      </c>
      <c r="AX218" s="10" t="str">
        <f t="shared" si="131"/>
        <v/>
      </c>
      <c r="AY218" s="10" t="str">
        <f t="shared" si="132"/>
        <v/>
      </c>
      <c r="AZ218" s="10" t="str">
        <f t="shared" si="133"/>
        <v/>
      </c>
      <c r="BA218" s="10" t="str">
        <f t="shared" si="134"/>
        <v/>
      </c>
      <c r="BB218" s="2" t="str">
        <f t="shared" si="135"/>
        <v>NA</v>
      </c>
      <c r="BC218" s="6">
        <v>283573</v>
      </c>
      <c r="BD218" s="6">
        <v>230174</v>
      </c>
      <c r="BE218" s="6">
        <v>240105</v>
      </c>
      <c r="BF218" s="6">
        <v>386736</v>
      </c>
      <c r="BG218" s="6">
        <v>225954</v>
      </c>
      <c r="BH218" s="6">
        <v>310173</v>
      </c>
      <c r="BI218" s="6">
        <v>293786</v>
      </c>
      <c r="BJ218" s="6">
        <v>379538</v>
      </c>
      <c r="BK218" s="10">
        <f t="shared" si="136"/>
        <v>0.20318930222552922</v>
      </c>
      <c r="BL218" s="10">
        <f t="shared" si="137"/>
        <v>-0.34755880334008188</v>
      </c>
      <c r="BM218" s="10">
        <f t="shared" si="138"/>
        <v>-0.22357302013702338</v>
      </c>
      <c r="BN218" s="10">
        <f t="shared" si="139"/>
        <v>1.8612179884986139E-2</v>
      </c>
      <c r="BO218" s="2">
        <f t="shared" si="140"/>
        <v>-8.7332585341647465E-2</v>
      </c>
      <c r="BP218" s="10">
        <v>-0.16422839557721861</v>
      </c>
      <c r="BQ218" s="10">
        <v>9.6429068431210796E-2</v>
      </c>
      <c r="BR218" s="10">
        <v>9.1678244568450196E-2</v>
      </c>
      <c r="BS218" s="10">
        <v>-0.10797964200766175</v>
      </c>
      <c r="BT218" s="11" t="s">
        <v>458</v>
      </c>
    </row>
    <row r="219" spans="1:72">
      <c r="A219">
        <f>COUNTIFS($J$7:J219,J219,$N$7:N219,N219,$E$7:E219,E219)</f>
        <v>23</v>
      </c>
      <c r="B219" s="16" t="str">
        <f t="shared" si="141"/>
        <v>Low</v>
      </c>
      <c r="C219" s="16" t="str">
        <f t="shared" si="142"/>
        <v>23LowYesTelecom-AT&amp;T</v>
      </c>
      <c r="D219" s="1">
        <v>27003</v>
      </c>
      <c r="E219" s="11" t="s">
        <v>484</v>
      </c>
      <c r="F219" s="1" t="s">
        <v>6</v>
      </c>
      <c r="G219" s="1" t="s">
        <v>325</v>
      </c>
      <c r="H219" s="1">
        <v>331</v>
      </c>
      <c r="I219" s="1" t="s">
        <v>121</v>
      </c>
      <c r="J219" s="1" t="s">
        <v>9</v>
      </c>
      <c r="K219" s="1">
        <v>1</v>
      </c>
      <c r="L219" s="1">
        <v>1</v>
      </c>
      <c r="M219" s="2">
        <v>0.11643662296121388</v>
      </c>
      <c r="N219" s="27" t="str">
        <f t="shared" si="143"/>
        <v>Low</v>
      </c>
      <c r="O219" s="1">
        <v>1</v>
      </c>
      <c r="P219" s="6">
        <v>292.26206656442179</v>
      </c>
      <c r="Q219" s="6">
        <v>301.23601314963241</v>
      </c>
      <c r="R219" s="6">
        <v>283.30029002632642</v>
      </c>
      <c r="S219" s="6">
        <v>283.98827216500848</v>
      </c>
      <c r="T219" s="6">
        <v>242</v>
      </c>
      <c r="U219" s="6">
        <v>246.8</v>
      </c>
      <c r="V219" s="6">
        <v>247.25</v>
      </c>
      <c r="W219" s="6">
        <v>244</v>
      </c>
      <c r="X219" s="10">
        <f t="shared" ref="X219:X251" si="144">IFERROR(((P219-T219)/P219),"")</f>
        <v>0.17197601849346666</v>
      </c>
      <c r="Y219" s="10">
        <f t="shared" ref="Y219:Y251" si="145">IFERROR(((Q219-U219)/Q219),"")</f>
        <v>0.1807088487875867</v>
      </c>
      <c r="Z219" s="10">
        <f t="shared" ref="Z219:Z251" si="146">IFERROR(((R219-V219)/R219),"")</f>
        <v>0.12725115820734373</v>
      </c>
      <c r="AA219" s="10">
        <f t="shared" ref="AA219:AA251" si="147">IFERROR(((S219-W219)/S219),"")</f>
        <v>0.14080958998818693</v>
      </c>
      <c r="AB219" s="2">
        <f t="shared" si="125"/>
        <v>0.15518640386914601</v>
      </c>
      <c r="AC219" s="6">
        <v>266</v>
      </c>
      <c r="AD219" s="6">
        <v>256</v>
      </c>
      <c r="AE219" s="6">
        <v>229</v>
      </c>
      <c r="AF219" s="6">
        <v>252</v>
      </c>
      <c r="AG219" s="6">
        <v>263</v>
      </c>
      <c r="AH219" s="6">
        <v>248.4</v>
      </c>
      <c r="AI219" s="6">
        <v>226.25</v>
      </c>
      <c r="AJ219" s="6">
        <v>247.75</v>
      </c>
      <c r="AK219" s="10">
        <f t="shared" ref="AK219:AK251" si="148">IFERROR(((AC219-AG219)/AC219),"")</f>
        <v>1.1278195488721804E-2</v>
      </c>
      <c r="AL219" s="10">
        <f t="shared" ref="AL219:AL251" si="149">IFERROR(((AD219-AH219)/AD219),"")</f>
        <v>2.9687499999999978E-2</v>
      </c>
      <c r="AM219" s="10">
        <f t="shared" ref="AM219:AM251" si="150">IFERROR(((AE219-AI219)/AE219),"")</f>
        <v>1.2008733624454149E-2</v>
      </c>
      <c r="AN219" s="10">
        <f t="shared" ref="AN219:AN251" si="151">IFERROR(((AF219-AJ219)/AF219),"")</f>
        <v>1.6865079365079364E-2</v>
      </c>
      <c r="AO219" s="2">
        <f t="shared" si="130"/>
        <v>1.7459877119563823E-2</v>
      </c>
      <c r="AP219" s="2">
        <v>0.8</v>
      </c>
      <c r="AQ219" s="2">
        <v>0.8</v>
      </c>
      <c r="AR219" s="2">
        <v>0.8</v>
      </c>
      <c r="AS219" s="2">
        <v>0.8</v>
      </c>
      <c r="AT219" s="2">
        <v>0.8</v>
      </c>
      <c r="AU219" s="2">
        <v>0.8</v>
      </c>
      <c r="AV219" s="2">
        <v>0.8</v>
      </c>
      <c r="AW219" s="2">
        <v>0.8</v>
      </c>
      <c r="AX219" s="10">
        <f t="shared" ref="AX219:AX251" si="152">IFERROR(((AP219-AT219)/AP219),"")</f>
        <v>0</v>
      </c>
      <c r="AY219" s="10">
        <f t="shared" ref="AY219:AY251" si="153">IFERROR(((AQ219-AU219)/AQ219),"")</f>
        <v>0</v>
      </c>
      <c r="AZ219" s="10">
        <f t="shared" ref="AZ219:AZ251" si="154">IFERROR(((AR219-AV219)/AR219),"")</f>
        <v>0</v>
      </c>
      <c r="BA219" s="10">
        <f t="shared" ref="BA219:BA251" si="155">IFERROR(((AS219-AW219)/AS219),"")</f>
        <v>0</v>
      </c>
      <c r="BB219" s="2">
        <f t="shared" si="135"/>
        <v>0</v>
      </c>
      <c r="BC219" s="6">
        <v>136500</v>
      </c>
      <c r="BD219" s="6">
        <v>133881</v>
      </c>
      <c r="BE219" s="6">
        <v>121374</v>
      </c>
      <c r="BF219" s="6">
        <v>131477</v>
      </c>
      <c r="BG219" s="6">
        <v>124200</v>
      </c>
      <c r="BH219" s="6">
        <v>155292</v>
      </c>
      <c r="BI219" s="6">
        <v>101503</v>
      </c>
      <c r="BJ219" s="6">
        <v>118390</v>
      </c>
      <c r="BK219" s="10">
        <f t="shared" ref="BK219:BK251" si="156">IFERROR(((BC219-BG219)/BC219),"")</f>
        <v>9.0109890109890109E-2</v>
      </c>
      <c r="BL219" s="10">
        <f t="shared" ref="BL219:BL251" si="157">IFERROR(((BD219-BH219)/BD219),"")</f>
        <v>-0.15992560557510027</v>
      </c>
      <c r="BM219" s="10">
        <f t="shared" ref="BM219:BM251" si="158">IFERROR(((BE219-BI219)/BE219),"")</f>
        <v>0.16371710580519716</v>
      </c>
      <c r="BN219" s="10">
        <f t="shared" ref="BN219:BN251" si="159">IFERROR(((BF219-BJ219)/BF219),"")</f>
        <v>9.953832229211193E-2</v>
      </c>
      <c r="BO219" s="2">
        <f t="shared" si="140"/>
        <v>4.8359928158024729E-2</v>
      </c>
      <c r="BP219" s="10">
        <v>-6.8155236513428863E-2</v>
      </c>
      <c r="BQ219" s="10">
        <v>-1.3797517496244416E-2</v>
      </c>
      <c r="BR219" s="10">
        <v>3.8380983498824128E-3</v>
      </c>
      <c r="BS219" s="10">
        <v>-7.5144262856999378E-2</v>
      </c>
      <c r="BT219" s="11" t="s">
        <v>459</v>
      </c>
    </row>
    <row r="220" spans="1:72">
      <c r="A220">
        <f>COUNTIFS($J$7:J220,J220,$N$7:N220,N220,$E$7:E220,E220)</f>
        <v>14</v>
      </c>
      <c r="B220" s="16" t="str">
        <f t="shared" si="141"/>
        <v>Low</v>
      </c>
      <c r="C220" s="16" t="str">
        <f t="shared" si="142"/>
        <v>14LowNoTelecom-Non AT&amp;T</v>
      </c>
      <c r="D220" s="1">
        <v>27006</v>
      </c>
      <c r="E220" s="1" t="s">
        <v>485</v>
      </c>
      <c r="F220" s="1" t="s">
        <v>151</v>
      </c>
      <c r="G220" s="1" t="s">
        <v>326</v>
      </c>
      <c r="H220" s="1">
        <v>61</v>
      </c>
      <c r="I220" s="1" t="s">
        <v>152</v>
      </c>
      <c r="J220" s="1" t="s">
        <v>27</v>
      </c>
      <c r="K220" s="1">
        <v>1</v>
      </c>
      <c r="L220" s="1">
        <v>1</v>
      </c>
      <c r="M220" s="2">
        <v>0.10195688986025088</v>
      </c>
      <c r="N220" s="27" t="str">
        <f t="shared" si="143"/>
        <v>Low</v>
      </c>
      <c r="O220" s="1">
        <v>1</v>
      </c>
      <c r="P220" s="6">
        <v>54.910060534935219</v>
      </c>
      <c r="Q220" s="6">
        <v>55.437574045013307</v>
      </c>
      <c r="R220" s="6">
        <v>54.93761205240412</v>
      </c>
      <c r="S220" s="6">
        <v>55.223787970291461</v>
      </c>
      <c r="T220" s="6">
        <v>44.75</v>
      </c>
      <c r="U220" s="6">
        <v>42.8</v>
      </c>
      <c r="V220" s="6">
        <v>42</v>
      </c>
      <c r="W220" s="6">
        <v>41</v>
      </c>
      <c r="X220" s="10">
        <f t="shared" si="144"/>
        <v>0.18503094762518288</v>
      </c>
      <c r="Y220" s="10">
        <f t="shared" si="145"/>
        <v>0.22796044492769571</v>
      </c>
      <c r="Z220" s="10">
        <f t="shared" si="146"/>
        <v>0.23549643985368596</v>
      </c>
      <c r="AA220" s="10">
        <f t="shared" si="147"/>
        <v>0.25756632228747839</v>
      </c>
      <c r="AB220" s="2">
        <f t="shared" si="125"/>
        <v>0.22651353867351076</v>
      </c>
      <c r="AC220" s="6">
        <v>31.856418375013419</v>
      </c>
      <c r="AD220" s="6">
        <v>30.737587862407487</v>
      </c>
      <c r="AE220" s="6">
        <v>31.140008821654831</v>
      </c>
      <c r="AF220" s="6">
        <v>28.208168858995304</v>
      </c>
      <c r="AG220" s="6">
        <v>31.25</v>
      </c>
      <c r="AH220" s="6">
        <v>31</v>
      </c>
      <c r="AI220" s="6">
        <v>30.25</v>
      </c>
      <c r="AJ220" s="6">
        <v>31</v>
      </c>
      <c r="AK220" s="10">
        <f t="shared" si="148"/>
        <v>1.903598728126522E-2</v>
      </c>
      <c r="AL220" s="10">
        <f t="shared" si="149"/>
        <v>-8.5371740543585938E-3</v>
      </c>
      <c r="AM220" s="10">
        <f t="shared" si="150"/>
        <v>2.8580878918567199E-2</v>
      </c>
      <c r="AN220" s="10">
        <f t="shared" si="151"/>
        <v>-9.8972434366806084E-2</v>
      </c>
      <c r="AO220" s="2">
        <f t="shared" si="130"/>
        <v>-1.4973185555333064E-2</v>
      </c>
      <c r="AP220" s="2">
        <v>0</v>
      </c>
      <c r="AQ220" s="2">
        <v>0</v>
      </c>
      <c r="AR220" s="2">
        <v>0</v>
      </c>
      <c r="AS220" s="2">
        <v>0</v>
      </c>
      <c r="AT220" s="2">
        <v>0.8</v>
      </c>
      <c r="AU220" s="2">
        <v>0.8</v>
      </c>
      <c r="AV220" s="2">
        <v>0.8</v>
      </c>
      <c r="AW220" s="2">
        <v>0.8</v>
      </c>
      <c r="AX220" s="10" t="str">
        <f t="shared" si="152"/>
        <v/>
      </c>
      <c r="AY220" s="10" t="str">
        <f t="shared" si="153"/>
        <v/>
      </c>
      <c r="AZ220" s="10" t="str">
        <f t="shared" si="154"/>
        <v/>
      </c>
      <c r="BA220" s="10" t="str">
        <f t="shared" si="155"/>
        <v/>
      </c>
      <c r="BB220" s="2" t="str">
        <f t="shared" si="135"/>
        <v>NA</v>
      </c>
      <c r="BC220" s="6">
        <v>34352</v>
      </c>
      <c r="BD220" s="6">
        <v>31751</v>
      </c>
      <c r="BE220" s="6">
        <v>34390</v>
      </c>
      <c r="BF220" s="6">
        <v>31067</v>
      </c>
      <c r="BG220" s="6">
        <v>29727</v>
      </c>
      <c r="BH220" s="6">
        <v>37991</v>
      </c>
      <c r="BI220" s="6">
        <v>29906</v>
      </c>
      <c r="BJ220" s="6">
        <v>30515</v>
      </c>
      <c r="BK220" s="10">
        <f t="shared" si="156"/>
        <v>0.1346355379599441</v>
      </c>
      <c r="BL220" s="10">
        <f t="shared" si="157"/>
        <v>-0.19652924317344336</v>
      </c>
      <c r="BM220" s="10">
        <f t="shared" si="158"/>
        <v>0.13038674033149172</v>
      </c>
      <c r="BN220" s="10">
        <f t="shared" si="159"/>
        <v>1.7768049699037565E-2</v>
      </c>
      <c r="BO220" s="2">
        <f t="shared" si="140"/>
        <v>2.1565271204257504E-2</v>
      </c>
      <c r="BP220" s="10">
        <v>-0.10230927611497276</v>
      </c>
      <c r="BQ220" s="10">
        <v>-0.11096874656892158</v>
      </c>
      <c r="BR220" s="10">
        <v>-0.14033699042828379</v>
      </c>
      <c r="BS220" s="10">
        <v>-9.2505929194327041E-2</v>
      </c>
      <c r="BT220" s="11" t="s">
        <v>458</v>
      </c>
    </row>
    <row r="221" spans="1:72">
      <c r="A221">
        <f>COUNTIFS($J$7:J221,J221,$N$7:N221,N221,$E$7:E221,E221)</f>
        <v>5</v>
      </c>
      <c r="B221" s="16" t="str">
        <f t="shared" si="141"/>
        <v>Critical</v>
      </c>
      <c r="C221" s="16" t="str">
        <f t="shared" si="142"/>
        <v>5CriticalNoRetail</v>
      </c>
      <c r="D221" s="1">
        <v>27008</v>
      </c>
      <c r="E221" s="1" t="s">
        <v>10</v>
      </c>
      <c r="F221" s="1" t="s">
        <v>11</v>
      </c>
      <c r="G221" s="1" t="s">
        <v>327</v>
      </c>
      <c r="H221" s="1">
        <v>133</v>
      </c>
      <c r="I221" s="1" t="s">
        <v>16</v>
      </c>
      <c r="J221" s="1" t="s">
        <v>27</v>
      </c>
      <c r="K221" s="1">
        <v>2</v>
      </c>
      <c r="L221" s="1">
        <v>1</v>
      </c>
      <c r="M221" s="2">
        <v>-6.3736196330427361E-2</v>
      </c>
      <c r="N221" s="27" t="str">
        <f t="shared" si="143"/>
        <v>Critical</v>
      </c>
      <c r="O221" s="1">
        <v>1</v>
      </c>
      <c r="P221" s="6">
        <v>81.560091935379532</v>
      </c>
      <c r="Q221" s="6">
        <v>84.028848532458355</v>
      </c>
      <c r="R221" s="6">
        <v>82.599006380676201</v>
      </c>
      <c r="S221" s="6">
        <v>84.705380535055355</v>
      </c>
      <c r="T221" s="6">
        <v>64.25</v>
      </c>
      <c r="U221" s="6">
        <v>63</v>
      </c>
      <c r="V221" s="6">
        <v>66.75</v>
      </c>
      <c r="W221" s="6">
        <v>67.25</v>
      </c>
      <c r="X221" s="10">
        <f t="shared" si="144"/>
        <v>0.21223727836273656</v>
      </c>
      <c r="Y221" s="10">
        <f t="shared" si="145"/>
        <v>0.25025748775238077</v>
      </c>
      <c r="Z221" s="10">
        <f t="shared" si="146"/>
        <v>0.19187889873193475</v>
      </c>
      <c r="AA221" s="10">
        <f t="shared" si="147"/>
        <v>0.20607168546786042</v>
      </c>
      <c r="AB221" s="2">
        <f t="shared" si="125"/>
        <v>0.21511133757872813</v>
      </c>
      <c r="AC221" s="6">
        <v>57.2737672691973</v>
      </c>
      <c r="AD221" s="6">
        <v>59.526321507967445</v>
      </c>
      <c r="AE221" s="6">
        <v>69.137971653164328</v>
      </c>
      <c r="AF221" s="6">
        <v>104.58501268846095</v>
      </c>
      <c r="AG221" s="6">
        <v>60.75</v>
      </c>
      <c r="AH221" s="6">
        <v>60.8</v>
      </c>
      <c r="AI221" s="6">
        <v>65.25</v>
      </c>
      <c r="AJ221" s="6">
        <v>63.5</v>
      </c>
      <c r="AK221" s="10">
        <f t="shared" si="148"/>
        <v>-6.0695024904923102E-2</v>
      </c>
      <c r="AL221" s="10">
        <f t="shared" si="149"/>
        <v>-2.1396895688608496E-2</v>
      </c>
      <c r="AM221" s="10">
        <f t="shared" si="150"/>
        <v>5.6234968429051131E-2</v>
      </c>
      <c r="AN221" s="10">
        <f t="shared" si="151"/>
        <v>0.39283843480370806</v>
      </c>
      <c r="AO221" s="2">
        <f t="shared" si="130"/>
        <v>9.1745370659806896E-2</v>
      </c>
      <c r="AP221" s="2">
        <v>0</v>
      </c>
      <c r="AQ221" s="2">
        <v>0</v>
      </c>
      <c r="AR221" s="2">
        <v>0</v>
      </c>
      <c r="AS221" s="2">
        <v>0</v>
      </c>
      <c r="AT221" s="2">
        <v>0.69874999999999998</v>
      </c>
      <c r="AU221" s="2">
        <v>0.71300000000000008</v>
      </c>
      <c r="AV221" s="2">
        <v>0.73499999999999999</v>
      </c>
      <c r="AW221" s="2">
        <v>0.73750000000000004</v>
      </c>
      <c r="AX221" s="10" t="str">
        <f t="shared" si="152"/>
        <v/>
      </c>
      <c r="AY221" s="10" t="str">
        <f t="shared" si="153"/>
        <v/>
      </c>
      <c r="AZ221" s="10" t="str">
        <f t="shared" si="154"/>
        <v/>
      </c>
      <c r="BA221" s="10" t="str">
        <f t="shared" si="155"/>
        <v/>
      </c>
      <c r="BB221" s="2" t="str">
        <f t="shared" si="135"/>
        <v>NA</v>
      </c>
      <c r="BC221" s="6">
        <v>27771.477500000001</v>
      </c>
      <c r="BD221" s="6">
        <v>26067.445050000002</v>
      </c>
      <c r="BE221" s="6">
        <v>34387</v>
      </c>
      <c r="BF221" s="6">
        <v>27668</v>
      </c>
      <c r="BG221" s="6">
        <v>25375</v>
      </c>
      <c r="BH221" s="6">
        <v>32064</v>
      </c>
      <c r="BI221" s="6">
        <v>27888</v>
      </c>
      <c r="BJ221" s="6">
        <v>27667</v>
      </c>
      <c r="BK221" s="10">
        <f t="shared" si="156"/>
        <v>8.629276206136316E-2</v>
      </c>
      <c r="BL221" s="10">
        <f t="shared" si="157"/>
        <v>-0.23003999580695375</v>
      </c>
      <c r="BM221" s="10">
        <f t="shared" si="158"/>
        <v>0.18899584145171142</v>
      </c>
      <c r="BN221" s="10">
        <f t="shared" si="159"/>
        <v>3.6142836489807719E-5</v>
      </c>
      <c r="BO221" s="2">
        <f t="shared" si="140"/>
        <v>1.1321187635652659E-2</v>
      </c>
      <c r="BP221" s="10">
        <v>8.1071105533477683E-2</v>
      </c>
      <c r="BQ221" s="10">
        <v>0.21855108149754077</v>
      </c>
      <c r="BR221" s="10">
        <v>-5.6861995365464657E-2</v>
      </c>
      <c r="BS221" s="10">
        <v>0.27737702154062455</v>
      </c>
      <c r="BT221" s="11" t="s">
        <v>458</v>
      </c>
    </row>
    <row r="222" spans="1:72">
      <c r="A222">
        <f>COUNTIFS($J$7:J222,J222,$N$7:N222,N222,$E$7:E222,E222)</f>
        <v>48</v>
      </c>
      <c r="B222" s="16" t="str">
        <f t="shared" si="141"/>
        <v>Low</v>
      </c>
      <c r="C222" s="16" t="str">
        <f t="shared" si="142"/>
        <v>48LowNoTechnology</v>
      </c>
      <c r="D222" s="1">
        <v>27009</v>
      </c>
      <c r="E222" s="1" t="s">
        <v>23</v>
      </c>
      <c r="F222" s="1" t="s">
        <v>328</v>
      </c>
      <c r="G222" s="1" t="s">
        <v>328</v>
      </c>
      <c r="H222" s="1">
        <v>44</v>
      </c>
      <c r="I222" s="1" t="s">
        <v>208</v>
      </c>
      <c r="J222" s="1" t="s">
        <v>27</v>
      </c>
      <c r="K222" s="1">
        <v>1</v>
      </c>
      <c r="L222" s="1">
        <v>1</v>
      </c>
      <c r="M222" s="2">
        <v>0.13267389739885893</v>
      </c>
      <c r="N222" s="27" t="str">
        <f t="shared" si="143"/>
        <v>Low</v>
      </c>
      <c r="O222" s="1">
        <v>0</v>
      </c>
      <c r="P222" s="6">
        <v>0</v>
      </c>
      <c r="Q222" s="6">
        <v>0</v>
      </c>
      <c r="R222" s="6">
        <v>0</v>
      </c>
      <c r="S222" s="6">
        <v>0</v>
      </c>
      <c r="T222" s="6">
        <v>42.25</v>
      </c>
      <c r="U222" s="6">
        <v>40.799999999999997</v>
      </c>
      <c r="V222" s="6">
        <v>39.5</v>
      </c>
      <c r="W222" s="6">
        <v>38.25</v>
      </c>
      <c r="X222" s="10" t="str">
        <f t="shared" si="144"/>
        <v/>
      </c>
      <c r="Y222" s="10" t="str">
        <f t="shared" si="145"/>
        <v/>
      </c>
      <c r="Z222" s="10" t="str">
        <f t="shared" si="146"/>
        <v/>
      </c>
      <c r="AA222" s="10" t="str">
        <f t="shared" si="147"/>
        <v/>
      </c>
      <c r="AB222" s="2" t="str">
        <f t="shared" si="125"/>
        <v>NA</v>
      </c>
      <c r="AC222" s="6">
        <v>41</v>
      </c>
      <c r="AD222" s="6">
        <v>41</v>
      </c>
      <c r="AE222" s="6">
        <v>41</v>
      </c>
      <c r="AF222" s="6">
        <v>41</v>
      </c>
      <c r="AG222" s="6">
        <v>44</v>
      </c>
      <c r="AH222" s="6">
        <v>44</v>
      </c>
      <c r="AI222" s="6">
        <v>44</v>
      </c>
      <c r="AJ222" s="6">
        <v>44</v>
      </c>
      <c r="AK222" s="10">
        <f t="shared" si="148"/>
        <v>-7.3170731707317069E-2</v>
      </c>
      <c r="AL222" s="10">
        <f t="shared" si="149"/>
        <v>-7.3170731707317069E-2</v>
      </c>
      <c r="AM222" s="10">
        <f t="shared" si="150"/>
        <v>-7.3170731707317069E-2</v>
      </c>
      <c r="AN222" s="10">
        <f t="shared" si="151"/>
        <v>-7.3170731707317069E-2</v>
      </c>
      <c r="AO222" s="2">
        <f t="shared" si="130"/>
        <v>-7.3170731707317069E-2</v>
      </c>
      <c r="AP222" s="2">
        <v>0</v>
      </c>
      <c r="AQ222" s="2">
        <v>0</v>
      </c>
      <c r="AR222" s="2">
        <v>0</v>
      </c>
      <c r="AS222" s="2">
        <v>0</v>
      </c>
      <c r="AT222" s="2">
        <v>0.74</v>
      </c>
      <c r="AU222" s="2">
        <v>0.74</v>
      </c>
      <c r="AV222" s="2">
        <v>0.74</v>
      </c>
      <c r="AW222" s="2">
        <v>0.74</v>
      </c>
      <c r="AX222" s="10" t="str">
        <f t="shared" si="152"/>
        <v/>
      </c>
      <c r="AY222" s="10" t="str">
        <f t="shared" si="153"/>
        <v/>
      </c>
      <c r="AZ222" s="10" t="str">
        <f t="shared" si="154"/>
        <v/>
      </c>
      <c r="BA222" s="10" t="str">
        <f t="shared" si="155"/>
        <v/>
      </c>
      <c r="BB222" s="2" t="str">
        <f t="shared" si="135"/>
        <v>NA</v>
      </c>
      <c r="BC222" s="6">
        <v>0</v>
      </c>
      <c r="BD222" s="6">
        <v>0</v>
      </c>
      <c r="BE222" s="6">
        <v>0</v>
      </c>
      <c r="BF222" s="6">
        <v>0</v>
      </c>
      <c r="BG222" s="6">
        <v>0</v>
      </c>
      <c r="BH222" s="6">
        <v>0</v>
      </c>
      <c r="BI222" s="6">
        <v>0</v>
      </c>
      <c r="BJ222" s="6">
        <v>0</v>
      </c>
      <c r="BK222" s="10" t="str">
        <f t="shared" si="156"/>
        <v/>
      </c>
      <c r="BL222" s="10" t="str">
        <f t="shared" si="157"/>
        <v/>
      </c>
      <c r="BM222" s="10" t="str">
        <f t="shared" si="158"/>
        <v/>
      </c>
      <c r="BN222" s="10" t="str">
        <f t="shared" si="159"/>
        <v/>
      </c>
      <c r="BO222" s="2" t="str">
        <f t="shared" si="140"/>
        <v>NA</v>
      </c>
      <c r="BP222" s="10">
        <v>-0.47723369132512794</v>
      </c>
      <c r="BQ222" s="10">
        <v>-0.48392100629981483</v>
      </c>
      <c r="BR222" s="10">
        <v>-0.49909326064890475</v>
      </c>
      <c r="BS222" s="10">
        <v>-0.48913307294290448</v>
      </c>
      <c r="BT222" s="11">
        <v>0</v>
      </c>
    </row>
    <row r="223" spans="1:72">
      <c r="A223">
        <f>COUNTIFS($J$7:J223,J223,$N$7:N223,N223,$E$7:E223,E223)</f>
        <v>13</v>
      </c>
      <c r="B223" s="16" t="str">
        <f t="shared" si="141"/>
        <v>Medium</v>
      </c>
      <c r="C223" s="16" t="str">
        <f t="shared" si="142"/>
        <v>13MediumNoRetail</v>
      </c>
      <c r="D223" s="1">
        <v>27010</v>
      </c>
      <c r="E223" s="1" t="s">
        <v>10</v>
      </c>
      <c r="F223" s="1" t="s">
        <v>329</v>
      </c>
      <c r="G223" s="1" t="s">
        <v>330</v>
      </c>
      <c r="H223" s="1">
        <v>246</v>
      </c>
      <c r="I223" s="1" t="s">
        <v>309</v>
      </c>
      <c r="J223" s="1" t="s">
        <v>27</v>
      </c>
      <c r="K223" s="1">
        <v>2</v>
      </c>
      <c r="L223" s="1">
        <v>1</v>
      </c>
      <c r="M223" s="2">
        <v>5.9109486078410718E-3</v>
      </c>
      <c r="N223" s="27" t="str">
        <f t="shared" si="143"/>
        <v>Medium</v>
      </c>
      <c r="O223" s="1">
        <v>1</v>
      </c>
      <c r="P223" s="6">
        <v>213.74166957053271</v>
      </c>
      <c r="Q223" s="6">
        <v>206.9790430948909</v>
      </c>
      <c r="R223" s="6">
        <v>194.49901176092189</v>
      </c>
      <c r="S223" s="6">
        <v>181.1245316539945</v>
      </c>
      <c r="T223" s="6">
        <v>214.5</v>
      </c>
      <c r="U223" s="6">
        <v>223.4</v>
      </c>
      <c r="V223" s="6">
        <v>228</v>
      </c>
      <c r="W223" s="6">
        <v>212.25</v>
      </c>
      <c r="X223" s="10">
        <f t="shared" si="144"/>
        <v>-3.5478829700871734E-3</v>
      </c>
      <c r="Y223" s="10">
        <f t="shared" si="145"/>
        <v>-7.9336326323534184E-2</v>
      </c>
      <c r="Z223" s="10">
        <f t="shared" si="146"/>
        <v>-0.17224245992703302</v>
      </c>
      <c r="AA223" s="10">
        <f t="shared" si="147"/>
        <v>-0.17184568021666471</v>
      </c>
      <c r="AB223" s="2">
        <f t="shared" si="125"/>
        <v>-0.10674308735932977</v>
      </c>
      <c r="AC223" s="6">
        <v>222</v>
      </c>
      <c r="AD223" s="6">
        <v>208</v>
      </c>
      <c r="AE223" s="6">
        <v>195</v>
      </c>
      <c r="AF223" s="6">
        <v>182</v>
      </c>
      <c r="AG223" s="6">
        <v>202</v>
      </c>
      <c r="AH223" s="6">
        <v>211.6</v>
      </c>
      <c r="AI223" s="6">
        <v>201.5</v>
      </c>
      <c r="AJ223" s="6">
        <v>197.75</v>
      </c>
      <c r="AK223" s="10">
        <f t="shared" si="148"/>
        <v>9.0090090090090086E-2</v>
      </c>
      <c r="AL223" s="10">
        <f t="shared" si="149"/>
        <v>-1.7307692307692281E-2</v>
      </c>
      <c r="AM223" s="10">
        <f t="shared" si="150"/>
        <v>-3.3333333333333333E-2</v>
      </c>
      <c r="AN223" s="10">
        <f t="shared" si="151"/>
        <v>-8.6538461538461536E-2</v>
      </c>
      <c r="AO223" s="2">
        <f t="shared" si="130"/>
        <v>-1.1772349272349264E-2</v>
      </c>
      <c r="AP223" s="2">
        <v>0.93500000000000005</v>
      </c>
      <c r="AQ223" s="2">
        <v>0.93500000000000005</v>
      </c>
      <c r="AR223" s="2">
        <v>0.93500000000000005</v>
      </c>
      <c r="AS223" s="2">
        <v>0.93500000000000005</v>
      </c>
      <c r="AT223" s="2">
        <v>0.88</v>
      </c>
      <c r="AU223" s="2">
        <v>0.88</v>
      </c>
      <c r="AV223" s="2">
        <v>0.88</v>
      </c>
      <c r="AW223" s="2">
        <v>0.88</v>
      </c>
      <c r="AX223" s="10">
        <f t="shared" si="152"/>
        <v>5.8823529411764754E-2</v>
      </c>
      <c r="AY223" s="10">
        <f t="shared" si="153"/>
        <v>5.8823529411764754E-2</v>
      </c>
      <c r="AZ223" s="10">
        <f t="shared" si="154"/>
        <v>5.8823529411764754E-2</v>
      </c>
      <c r="BA223" s="10">
        <f t="shared" si="155"/>
        <v>5.8823529411764754E-2</v>
      </c>
      <c r="BB223" s="2">
        <f t="shared" si="135"/>
        <v>5.8823529411764754E-2</v>
      </c>
      <c r="BC223" s="6">
        <v>0</v>
      </c>
      <c r="BD223" s="6">
        <v>0</v>
      </c>
      <c r="BE223" s="6">
        <v>0</v>
      </c>
      <c r="BF223" s="6">
        <v>0</v>
      </c>
      <c r="BG223" s="6">
        <v>0</v>
      </c>
      <c r="BH223" s="6">
        <v>0</v>
      </c>
      <c r="BI223" s="6">
        <v>0</v>
      </c>
      <c r="BJ223" s="6">
        <v>0</v>
      </c>
      <c r="BK223" s="10" t="str">
        <f t="shared" si="156"/>
        <v/>
      </c>
      <c r="BL223" s="10" t="str">
        <f t="shared" si="157"/>
        <v/>
      </c>
      <c r="BM223" s="10" t="str">
        <f t="shared" si="158"/>
        <v/>
      </c>
      <c r="BN223" s="10" t="str">
        <f t="shared" si="159"/>
        <v/>
      </c>
      <c r="BO223" s="2" t="str">
        <f t="shared" si="140"/>
        <v>NA</v>
      </c>
      <c r="BP223" s="10">
        <v>6.3036458572159559E-2</v>
      </c>
      <c r="BQ223" s="10">
        <v>3.7318840669954945E-2</v>
      </c>
      <c r="BR223" s="10">
        <v>1.6157025967203309E-2</v>
      </c>
      <c r="BS223" s="10">
        <v>5.2812975417142305E-2</v>
      </c>
      <c r="BT223" s="11" t="s">
        <v>461</v>
      </c>
    </row>
    <row r="224" spans="1:72">
      <c r="A224">
        <f>COUNTIFS($J$7:J224,J224,$N$7:N224,N224,$E$7:E224,E224)</f>
        <v>14</v>
      </c>
      <c r="B224" s="16" t="str">
        <f t="shared" si="141"/>
        <v>Medium</v>
      </c>
      <c r="C224" s="16" t="str">
        <f t="shared" si="142"/>
        <v>14MediumNoRetail</v>
      </c>
      <c r="D224" s="1">
        <v>27011</v>
      </c>
      <c r="E224" s="1" t="s">
        <v>10</v>
      </c>
      <c r="F224" s="1" t="s">
        <v>11</v>
      </c>
      <c r="G224" s="1" t="s">
        <v>331</v>
      </c>
      <c r="H224" s="1">
        <v>22</v>
      </c>
      <c r="I224" s="1" t="s">
        <v>16</v>
      </c>
      <c r="J224" s="1" t="s">
        <v>27</v>
      </c>
      <c r="K224" s="1">
        <v>1</v>
      </c>
      <c r="L224" s="1">
        <v>1</v>
      </c>
      <c r="M224" s="2">
        <v>6.9313603067497634E-2</v>
      </c>
      <c r="N224" s="27" t="str">
        <f t="shared" si="143"/>
        <v>Medium</v>
      </c>
      <c r="O224" s="1">
        <v>1</v>
      </c>
      <c r="P224" s="6">
        <v>18.040386811336809</v>
      </c>
      <c r="Q224" s="6">
        <v>17.073330943412319</v>
      </c>
      <c r="R224" s="6">
        <v>16.163586868526369</v>
      </c>
      <c r="S224" s="6">
        <v>15.30779673977033</v>
      </c>
      <c r="T224" s="6">
        <v>10.25</v>
      </c>
      <c r="U224" s="6">
        <v>10</v>
      </c>
      <c r="V224" s="6">
        <v>9.5</v>
      </c>
      <c r="W224" s="6">
        <v>9</v>
      </c>
      <c r="X224" s="10">
        <f t="shared" si="144"/>
        <v>0.43183036443770878</v>
      </c>
      <c r="Y224" s="10">
        <f t="shared" si="145"/>
        <v>0.41429121047650852</v>
      </c>
      <c r="Z224" s="10">
        <f t="shared" si="146"/>
        <v>0.4122591676419089</v>
      </c>
      <c r="AA224" s="10">
        <f t="shared" si="147"/>
        <v>0.41206431252006348</v>
      </c>
      <c r="AB224" s="2">
        <f t="shared" si="125"/>
        <v>0.41761126376904745</v>
      </c>
      <c r="AC224" s="6">
        <v>7.9619244391971664</v>
      </c>
      <c r="AD224" s="6">
        <v>11.453050917336633</v>
      </c>
      <c r="AE224" s="6">
        <v>11.716925751016662</v>
      </c>
      <c r="AF224" s="6">
        <v>12.518447461629281</v>
      </c>
      <c r="AG224" s="6">
        <v>10</v>
      </c>
      <c r="AH224" s="6">
        <v>9.1999999999999993</v>
      </c>
      <c r="AI224" s="6">
        <v>9</v>
      </c>
      <c r="AJ224" s="6">
        <v>9</v>
      </c>
      <c r="AK224" s="10">
        <f t="shared" si="148"/>
        <v>-0.25597775718257648</v>
      </c>
      <c r="AL224" s="10">
        <f t="shared" si="149"/>
        <v>0.19672058856615757</v>
      </c>
      <c r="AM224" s="10">
        <f t="shared" si="150"/>
        <v>0.23188042740485215</v>
      </c>
      <c r="AN224" s="10">
        <f t="shared" si="151"/>
        <v>0.28106100795755973</v>
      </c>
      <c r="AO224" s="2">
        <f t="shared" si="130"/>
        <v>0.11342106668649823</v>
      </c>
      <c r="AP224" s="2">
        <v>0</v>
      </c>
      <c r="AQ224" s="2">
        <v>0</v>
      </c>
      <c r="AR224" s="2">
        <v>0</v>
      </c>
      <c r="AS224" s="2">
        <v>0</v>
      </c>
      <c r="AT224" s="2">
        <v>0.45750000000000002</v>
      </c>
      <c r="AU224" s="2">
        <v>0.45</v>
      </c>
      <c r="AV224" s="2">
        <v>0.51749999999999996</v>
      </c>
      <c r="AW224" s="2">
        <v>0.48</v>
      </c>
      <c r="AX224" s="10" t="str">
        <f t="shared" si="152"/>
        <v/>
      </c>
      <c r="AY224" s="10" t="str">
        <f t="shared" si="153"/>
        <v/>
      </c>
      <c r="AZ224" s="10" t="str">
        <f t="shared" si="154"/>
        <v/>
      </c>
      <c r="BA224" s="10" t="str">
        <f t="shared" si="155"/>
        <v/>
      </c>
      <c r="BB224" s="2" t="str">
        <f t="shared" si="135"/>
        <v>NA</v>
      </c>
      <c r="BC224" s="6">
        <v>7470</v>
      </c>
      <c r="BD224" s="6">
        <v>10257</v>
      </c>
      <c r="BE224" s="6">
        <v>10993</v>
      </c>
      <c r="BF224" s="6">
        <v>11745</v>
      </c>
      <c r="BG224" s="6">
        <v>5661</v>
      </c>
      <c r="BH224" s="6">
        <v>6761</v>
      </c>
      <c r="BI224" s="6">
        <v>5950</v>
      </c>
      <c r="BJ224" s="6">
        <v>5237</v>
      </c>
      <c r="BK224" s="10">
        <f t="shared" si="156"/>
        <v>0.24216867469879519</v>
      </c>
      <c r="BL224" s="10">
        <f t="shared" si="157"/>
        <v>0.3408404016769036</v>
      </c>
      <c r="BM224" s="10">
        <f t="shared" si="158"/>
        <v>0.45874647502956428</v>
      </c>
      <c r="BN224" s="10">
        <f t="shared" si="159"/>
        <v>0.55410813111962542</v>
      </c>
      <c r="BO224" s="2">
        <f t="shared" si="140"/>
        <v>0.3989659206312221</v>
      </c>
      <c r="BP224" s="10">
        <v>-5.7188776646746931E-2</v>
      </c>
      <c r="BQ224" s="10">
        <v>-0.12760063958893808</v>
      </c>
      <c r="BR224" s="10">
        <v>-8.0410521170932503E-2</v>
      </c>
      <c r="BS224" s="10">
        <v>-8.8672519070002731E-2</v>
      </c>
      <c r="BT224" s="11" t="s">
        <v>458</v>
      </c>
    </row>
    <row r="225" spans="1:72">
      <c r="A225">
        <f>COUNTIFS($J$7:J225,J225,$N$7:N225,N225,$E$7:E225,E225)</f>
        <v>33</v>
      </c>
      <c r="B225" s="16" t="str">
        <f t="shared" si="141"/>
        <v>Low</v>
      </c>
      <c r="C225" s="16" t="str">
        <f t="shared" si="142"/>
        <v>33LowNoRetail</v>
      </c>
      <c r="D225" s="1">
        <v>27012</v>
      </c>
      <c r="E225" s="1" t="s">
        <v>10</v>
      </c>
      <c r="F225" s="1" t="s">
        <v>332</v>
      </c>
      <c r="G225" s="1" t="s">
        <v>332</v>
      </c>
      <c r="H225" s="1">
        <v>46</v>
      </c>
      <c r="I225" s="1" t="s">
        <v>208</v>
      </c>
      <c r="J225" s="1" t="s">
        <v>27</v>
      </c>
      <c r="K225" s="1">
        <v>1</v>
      </c>
      <c r="L225" s="1">
        <v>1</v>
      </c>
      <c r="M225" s="2">
        <v>0.39011891879617389</v>
      </c>
      <c r="N225" s="27" t="str">
        <f t="shared" si="143"/>
        <v>Low</v>
      </c>
      <c r="O225" s="1">
        <v>1</v>
      </c>
      <c r="P225" s="6">
        <v>34.075220477119757</v>
      </c>
      <c r="Q225" s="6">
        <v>44.330648494093303</v>
      </c>
      <c r="R225" s="6">
        <v>146.70267204098079</v>
      </c>
      <c r="S225" s="6">
        <v>123.3167430248235</v>
      </c>
      <c r="T225" s="6">
        <v>34.25</v>
      </c>
      <c r="U225" s="6">
        <v>32.6</v>
      </c>
      <c r="V225" s="6">
        <v>31.25</v>
      </c>
      <c r="W225" s="6">
        <v>29.75</v>
      </c>
      <c r="X225" s="10">
        <f t="shared" si="144"/>
        <v>-5.1292264711126686E-3</v>
      </c>
      <c r="Y225" s="10">
        <f t="shared" si="145"/>
        <v>0.26461711913951169</v>
      </c>
      <c r="Z225" s="10">
        <f t="shared" si="146"/>
        <v>0.78698411170540616</v>
      </c>
      <c r="AA225" s="10">
        <f t="shared" si="147"/>
        <v>0.7587513319743503</v>
      </c>
      <c r="AB225" s="2">
        <f t="shared" si="125"/>
        <v>0.45130583408703884</v>
      </c>
      <c r="AC225" s="6">
        <v>37</v>
      </c>
      <c r="AD225" s="6">
        <v>57</v>
      </c>
      <c r="AE225" s="6">
        <v>160</v>
      </c>
      <c r="AF225" s="6">
        <v>116</v>
      </c>
      <c r="AG225" s="6">
        <v>36</v>
      </c>
      <c r="AH225" s="6">
        <v>36</v>
      </c>
      <c r="AI225" s="6">
        <v>36</v>
      </c>
      <c r="AJ225" s="6">
        <v>36</v>
      </c>
      <c r="AK225" s="10">
        <f t="shared" si="148"/>
        <v>2.7027027027027029E-2</v>
      </c>
      <c r="AL225" s="10">
        <f t="shared" si="149"/>
        <v>0.36842105263157893</v>
      </c>
      <c r="AM225" s="10">
        <f t="shared" si="150"/>
        <v>0.77500000000000002</v>
      </c>
      <c r="AN225" s="10">
        <f t="shared" si="151"/>
        <v>0.68965517241379315</v>
      </c>
      <c r="AO225" s="2">
        <f t="shared" si="130"/>
        <v>0.46502581301809975</v>
      </c>
      <c r="AP225" s="2">
        <v>1</v>
      </c>
      <c r="AQ225" s="2">
        <v>0.9607</v>
      </c>
      <c r="AR225" s="2">
        <v>0.97870000000000001</v>
      </c>
      <c r="AS225" s="2">
        <v>0.91100000000000003</v>
      </c>
      <c r="AT225" s="2">
        <v>0</v>
      </c>
      <c r="AU225" s="2">
        <v>0</v>
      </c>
      <c r="AV225" s="2">
        <v>0</v>
      </c>
      <c r="AW225" s="2">
        <v>0</v>
      </c>
      <c r="AX225" s="10">
        <f t="shared" si="152"/>
        <v>1</v>
      </c>
      <c r="AY225" s="10">
        <f t="shared" si="153"/>
        <v>1</v>
      </c>
      <c r="AZ225" s="10">
        <f t="shared" si="154"/>
        <v>1</v>
      </c>
      <c r="BA225" s="10">
        <f t="shared" si="155"/>
        <v>1</v>
      </c>
      <c r="BB225" s="2" t="str">
        <f t="shared" si="135"/>
        <v>NA</v>
      </c>
      <c r="BC225" s="6">
        <v>0</v>
      </c>
      <c r="BD225" s="6">
        <v>0</v>
      </c>
      <c r="BE225" s="6">
        <v>0</v>
      </c>
      <c r="BF225" s="6">
        <v>0</v>
      </c>
      <c r="BG225" s="6">
        <v>0</v>
      </c>
      <c r="BH225" s="6">
        <v>0</v>
      </c>
      <c r="BI225" s="6">
        <v>0</v>
      </c>
      <c r="BJ225" s="6">
        <v>0</v>
      </c>
      <c r="BK225" s="10" t="str">
        <f t="shared" si="156"/>
        <v/>
      </c>
      <c r="BL225" s="10" t="str">
        <f t="shared" si="157"/>
        <v/>
      </c>
      <c r="BM225" s="10" t="str">
        <f t="shared" si="158"/>
        <v/>
      </c>
      <c r="BN225" s="10" t="str">
        <f t="shared" si="159"/>
        <v/>
      </c>
      <c r="BO225" s="2" t="str">
        <f t="shared" si="140"/>
        <v>NA</v>
      </c>
      <c r="BP225" s="10">
        <v>0.17790834635103875</v>
      </c>
      <c r="BQ225" s="10">
        <v>-8.9595287590829298E-2</v>
      </c>
      <c r="BR225" s="10">
        <v>7.2383563362799941E-2</v>
      </c>
      <c r="BS225" s="10">
        <v>0.18120059137123878</v>
      </c>
      <c r="BT225" s="11" t="s">
        <v>461</v>
      </c>
    </row>
    <row r="226" spans="1:72">
      <c r="A226">
        <f>COUNTIFS($J$7:J226,J226,$N$7:N226,N226,$E$7:E226,E226)</f>
        <v>6</v>
      </c>
      <c r="B226" s="16" t="str">
        <f t="shared" si="141"/>
        <v>Critical</v>
      </c>
      <c r="C226" s="16" t="str">
        <f t="shared" si="142"/>
        <v>6CriticalNoTechnology</v>
      </c>
      <c r="D226" s="1">
        <v>27013</v>
      </c>
      <c r="E226" s="1" t="s">
        <v>23</v>
      </c>
      <c r="F226" s="1" t="s">
        <v>36</v>
      </c>
      <c r="G226" s="1" t="s">
        <v>333</v>
      </c>
      <c r="H226" s="1">
        <v>46</v>
      </c>
      <c r="I226" s="1" t="s">
        <v>38</v>
      </c>
      <c r="J226" s="1" t="s">
        <v>27</v>
      </c>
      <c r="K226" s="1">
        <v>1</v>
      </c>
      <c r="L226" s="1">
        <v>1</v>
      </c>
      <c r="M226" s="2">
        <v>-0.10896353219148359</v>
      </c>
      <c r="N226" s="27" t="str">
        <f t="shared" si="143"/>
        <v>Critical</v>
      </c>
      <c r="O226" s="1">
        <v>1</v>
      </c>
      <c r="P226" s="6">
        <v>31.68452455243246</v>
      </c>
      <c r="Q226" s="6">
        <v>33.810421269160713</v>
      </c>
      <c r="R226" s="6">
        <v>41.17599310683083</v>
      </c>
      <c r="S226" s="6">
        <v>57.36193592605936</v>
      </c>
      <c r="T226" s="6">
        <v>34</v>
      </c>
      <c r="U226" s="6">
        <v>32.200000000000003</v>
      </c>
      <c r="V226" s="6">
        <v>30.5</v>
      </c>
      <c r="W226" s="6">
        <v>0</v>
      </c>
      <c r="X226" s="10">
        <f t="shared" si="144"/>
        <v>-7.3079065577765709E-2</v>
      </c>
      <c r="Y226" s="10">
        <f t="shared" si="145"/>
        <v>4.7630914040979834E-2</v>
      </c>
      <c r="Z226" s="10">
        <f t="shared" si="146"/>
        <v>0.25927712488031657</v>
      </c>
      <c r="AA226" s="10">
        <f t="shared" si="147"/>
        <v>1</v>
      </c>
      <c r="AB226" s="2">
        <f t="shared" si="125"/>
        <v>7.7942991114510238E-2</v>
      </c>
      <c r="AC226" s="6">
        <v>30.866896235078048</v>
      </c>
      <c r="AD226" s="6">
        <v>29.086099086099086</v>
      </c>
      <c r="AE226" s="6">
        <v>37.483930211202939</v>
      </c>
      <c r="AF226" s="6">
        <v>31.861034588307309</v>
      </c>
      <c r="AG226" s="6">
        <v>37.75</v>
      </c>
      <c r="AH226" s="6">
        <v>37.4</v>
      </c>
      <c r="AI226" s="6">
        <v>47.75</v>
      </c>
      <c r="AJ226" s="6">
        <v>30</v>
      </c>
      <c r="AK226" s="10">
        <f t="shared" si="148"/>
        <v>-0.22299306391226309</v>
      </c>
      <c r="AL226" s="10">
        <f t="shared" si="149"/>
        <v>-0.28583760542417724</v>
      </c>
      <c r="AM226" s="10">
        <f t="shared" si="150"/>
        <v>-0.27387922586967173</v>
      </c>
      <c r="AN226" s="10">
        <f t="shared" si="151"/>
        <v>5.8410990488999705E-2</v>
      </c>
      <c r="AO226" s="2">
        <f t="shared" si="130"/>
        <v>-0.18107472617927811</v>
      </c>
      <c r="AP226" s="2">
        <v>0</v>
      </c>
      <c r="AQ226" s="2">
        <v>0</v>
      </c>
      <c r="AR226" s="2">
        <v>0</v>
      </c>
      <c r="AS226" s="2">
        <v>0</v>
      </c>
      <c r="AT226" s="2">
        <v>0.75</v>
      </c>
      <c r="AU226" s="2">
        <v>0.75</v>
      </c>
      <c r="AV226" s="2">
        <v>0.75</v>
      </c>
      <c r="AW226" s="2">
        <v>0</v>
      </c>
      <c r="AX226" s="10" t="str">
        <f t="shared" si="152"/>
        <v/>
      </c>
      <c r="AY226" s="10" t="str">
        <f t="shared" si="153"/>
        <v/>
      </c>
      <c r="AZ226" s="10" t="str">
        <f t="shared" si="154"/>
        <v/>
      </c>
      <c r="BA226" s="10" t="str">
        <f t="shared" si="155"/>
        <v/>
      </c>
      <c r="BB226" s="2" t="str">
        <f t="shared" si="135"/>
        <v>NA</v>
      </c>
      <c r="BC226" s="6">
        <v>18849</v>
      </c>
      <c r="BD226" s="6">
        <v>18141</v>
      </c>
      <c r="BE226" s="6">
        <v>24492</v>
      </c>
      <c r="BF226" s="6">
        <v>20818</v>
      </c>
      <c r="BG226" s="6">
        <v>18804</v>
      </c>
      <c r="BH226" s="6">
        <v>23485</v>
      </c>
      <c r="BI226" s="6">
        <v>23893</v>
      </c>
      <c r="BJ226" s="6">
        <v>15138</v>
      </c>
      <c r="BK226" s="10">
        <f t="shared" si="156"/>
        <v>2.3873945567404104E-3</v>
      </c>
      <c r="BL226" s="10">
        <f t="shared" si="157"/>
        <v>-0.29458133509729345</v>
      </c>
      <c r="BM226" s="10">
        <f t="shared" si="158"/>
        <v>2.4456965539768089E-2</v>
      </c>
      <c r="BN226" s="10">
        <f t="shared" si="159"/>
        <v>0.27284081083677586</v>
      </c>
      <c r="BO226" s="2">
        <f t="shared" si="140"/>
        <v>1.2759589589977222E-3</v>
      </c>
      <c r="BP226" s="10">
        <v>-6.0379771648152281E-2</v>
      </c>
      <c r="BQ226" s="10">
        <v>-0.23248363874949116</v>
      </c>
      <c r="BR226" s="10">
        <v>-0.17705130378688522</v>
      </c>
      <c r="BS226" s="10">
        <v>5.3509294616933156E-2</v>
      </c>
      <c r="BT226" s="11" t="s">
        <v>459</v>
      </c>
    </row>
    <row r="227" spans="1:72">
      <c r="A227">
        <f>COUNTIFS($J$7:J227,J227,$N$7:N227,N227,$E$7:E227,E227)</f>
        <v>6</v>
      </c>
      <c r="B227" s="16" t="str">
        <f t="shared" si="141"/>
        <v>Critical</v>
      </c>
      <c r="C227" s="16" t="str">
        <f t="shared" si="142"/>
        <v>6CriticalNoRetail</v>
      </c>
      <c r="D227" s="1">
        <v>27014</v>
      </c>
      <c r="E227" s="1" t="s">
        <v>10</v>
      </c>
      <c r="F227" s="1" t="s">
        <v>11</v>
      </c>
      <c r="G227" s="1" t="s">
        <v>14</v>
      </c>
      <c r="H227" s="1">
        <v>99</v>
      </c>
      <c r="I227" s="1" t="s">
        <v>16</v>
      </c>
      <c r="J227" s="1" t="s">
        <v>27</v>
      </c>
      <c r="K227" s="1">
        <v>2</v>
      </c>
      <c r="L227" s="1">
        <v>1</v>
      </c>
      <c r="M227" s="2">
        <v>-6.9976625557209168E-2</v>
      </c>
      <c r="N227" s="27" t="str">
        <f t="shared" si="143"/>
        <v>Critical</v>
      </c>
      <c r="O227" s="1">
        <v>1</v>
      </c>
      <c r="P227" s="6">
        <v>80.451019246128425</v>
      </c>
      <c r="Q227" s="6">
        <v>76.138438199164227</v>
      </c>
      <c r="R227" s="6">
        <v>72.081438820874425</v>
      </c>
      <c r="S227" s="6">
        <v>68.265046808928616</v>
      </c>
      <c r="T227" s="6">
        <v>95.25</v>
      </c>
      <c r="U227" s="6">
        <v>90.4</v>
      </c>
      <c r="V227" s="6">
        <v>120.75</v>
      </c>
      <c r="W227" s="6">
        <v>119.5</v>
      </c>
      <c r="X227" s="10">
        <f t="shared" si="144"/>
        <v>-0.1839501959396711</v>
      </c>
      <c r="Y227" s="10">
        <f t="shared" si="145"/>
        <v>-0.18731093174685487</v>
      </c>
      <c r="Z227" s="10">
        <f t="shared" si="146"/>
        <v>-0.6751885364007385</v>
      </c>
      <c r="AA227" s="10">
        <f t="shared" si="147"/>
        <v>-0.75052981849519795</v>
      </c>
      <c r="AB227" s="2">
        <f t="shared" si="125"/>
        <v>-0.44924487064561558</v>
      </c>
      <c r="AC227" s="6">
        <v>80.812126088623785</v>
      </c>
      <c r="AD227" s="6">
        <v>65.241431209173143</v>
      </c>
      <c r="AE227" s="6">
        <v>101.31207635339867</v>
      </c>
      <c r="AF227" s="6">
        <v>117.6903262027229</v>
      </c>
      <c r="AG227" s="6">
        <v>87</v>
      </c>
      <c r="AH227" s="6">
        <v>82.4</v>
      </c>
      <c r="AI227" s="6">
        <v>110</v>
      </c>
      <c r="AJ227" s="6">
        <v>112</v>
      </c>
      <c r="AK227" s="10">
        <f t="shared" si="148"/>
        <v>-7.6571106477141729E-2</v>
      </c>
      <c r="AL227" s="10">
        <f t="shared" si="149"/>
        <v>-0.26300110946085919</v>
      </c>
      <c r="AM227" s="10">
        <f t="shared" si="150"/>
        <v>-8.5754077493150546E-2</v>
      </c>
      <c r="AN227" s="10">
        <f t="shared" si="151"/>
        <v>4.834999091532171E-2</v>
      </c>
      <c r="AO227" s="2">
        <f t="shared" si="130"/>
        <v>-9.4244075628957438E-2</v>
      </c>
      <c r="AP227" s="2">
        <v>0</v>
      </c>
      <c r="AQ227" s="2">
        <v>0</v>
      </c>
      <c r="AR227" s="2">
        <v>0</v>
      </c>
      <c r="AS227" s="2">
        <v>0</v>
      </c>
      <c r="AT227" s="2">
        <v>0.79249999999999998</v>
      </c>
      <c r="AU227" s="2">
        <v>0.71799999999999997</v>
      </c>
      <c r="AV227" s="2">
        <v>0.755</v>
      </c>
      <c r="AW227" s="2">
        <v>0.81499999999999995</v>
      </c>
      <c r="AX227" s="10" t="str">
        <f t="shared" si="152"/>
        <v/>
      </c>
      <c r="AY227" s="10" t="str">
        <f t="shared" si="153"/>
        <v/>
      </c>
      <c r="AZ227" s="10" t="str">
        <f t="shared" si="154"/>
        <v/>
      </c>
      <c r="BA227" s="10" t="str">
        <f t="shared" si="155"/>
        <v/>
      </c>
      <c r="BB227" s="2" t="str">
        <f t="shared" si="135"/>
        <v>NA</v>
      </c>
      <c r="BC227" s="6">
        <v>57408</v>
      </c>
      <c r="BD227" s="6">
        <v>43787</v>
      </c>
      <c r="BE227" s="6">
        <v>69196</v>
      </c>
      <c r="BF227" s="6">
        <v>80382</v>
      </c>
      <c r="BG227" s="6">
        <v>59297</v>
      </c>
      <c r="BH227" s="6">
        <v>59796</v>
      </c>
      <c r="BI227" s="6">
        <v>67499</v>
      </c>
      <c r="BJ227" s="6">
        <v>84158</v>
      </c>
      <c r="BK227" s="10">
        <f t="shared" si="156"/>
        <v>-3.2904821627647712E-2</v>
      </c>
      <c r="BL227" s="10">
        <f t="shared" si="157"/>
        <v>-0.36561079772535227</v>
      </c>
      <c r="BM227" s="10">
        <f t="shared" si="158"/>
        <v>2.4524538990693102E-2</v>
      </c>
      <c r="BN227" s="10">
        <f t="shared" si="159"/>
        <v>-4.6975691075116323E-2</v>
      </c>
      <c r="BO227" s="2">
        <f t="shared" si="140"/>
        <v>-0.10524169285935579</v>
      </c>
      <c r="BP227" s="10">
        <v>5.7878358900430249E-2</v>
      </c>
      <c r="BQ227" s="10">
        <v>9.0895798417504003E-2</v>
      </c>
      <c r="BR227" s="10">
        <v>0.18461247218958987</v>
      </c>
      <c r="BS227" s="10">
        <v>0.18766423023982298</v>
      </c>
      <c r="BT227" s="11" t="s">
        <v>458</v>
      </c>
    </row>
    <row r="228" spans="1:72">
      <c r="A228">
        <f>COUNTIFS($J$7:J228,J228,$N$7:N228,N228,$E$7:E228,E228)</f>
        <v>49</v>
      </c>
      <c r="B228" s="16" t="str">
        <f t="shared" si="141"/>
        <v>Low</v>
      </c>
      <c r="C228" s="16" t="str">
        <f t="shared" si="142"/>
        <v>49LowNoTechnology</v>
      </c>
      <c r="D228" s="1">
        <v>27016</v>
      </c>
      <c r="E228" s="1" t="s">
        <v>23</v>
      </c>
      <c r="F228" s="1" t="s">
        <v>36</v>
      </c>
      <c r="G228" s="1" t="s">
        <v>334</v>
      </c>
      <c r="H228" s="1">
        <v>136</v>
      </c>
      <c r="I228" s="1" t="s">
        <v>38</v>
      </c>
      <c r="J228" s="1" t="s">
        <v>27</v>
      </c>
      <c r="K228" s="1">
        <v>1</v>
      </c>
      <c r="L228" s="1">
        <v>1</v>
      </c>
      <c r="M228" s="2">
        <v>0.13838565700888369</v>
      </c>
      <c r="N228" s="27" t="str">
        <f t="shared" si="143"/>
        <v>Low</v>
      </c>
      <c r="O228" s="1">
        <v>1</v>
      </c>
      <c r="P228" s="6">
        <v>112.7761388339808</v>
      </c>
      <c r="Q228" s="6">
        <v>106.7307680799162</v>
      </c>
      <c r="R228" s="6">
        <v>120.38944808216119</v>
      </c>
      <c r="S228" s="6">
        <v>130.41915384689929</v>
      </c>
      <c r="T228" s="6">
        <v>107.5</v>
      </c>
      <c r="U228" s="6">
        <v>102</v>
      </c>
      <c r="V228" s="6">
        <v>96.25</v>
      </c>
      <c r="W228" s="6">
        <v>99.75</v>
      </c>
      <c r="X228" s="10">
        <f t="shared" si="144"/>
        <v>4.6784176941434989E-2</v>
      </c>
      <c r="Y228" s="10">
        <f t="shared" si="145"/>
        <v>4.4324314019495971E-2</v>
      </c>
      <c r="Z228" s="10">
        <f t="shared" si="146"/>
        <v>0.20051132775097485</v>
      </c>
      <c r="AA228" s="10">
        <f t="shared" si="147"/>
        <v>0.23515835628639489</v>
      </c>
      <c r="AB228" s="2">
        <f t="shared" si="125"/>
        <v>0.13169454374957518</v>
      </c>
      <c r="AC228" s="6">
        <v>125.02451331496783</v>
      </c>
      <c r="AD228" s="6">
        <v>144.58841604823746</v>
      </c>
      <c r="AE228" s="6">
        <v>150.911613292011</v>
      </c>
      <c r="AF228" s="6">
        <v>177.87046282631511</v>
      </c>
      <c r="AG228" s="6">
        <v>119.75</v>
      </c>
      <c r="AH228" s="6">
        <v>116.8</v>
      </c>
      <c r="AI228" s="6">
        <v>117.75</v>
      </c>
      <c r="AJ228" s="6">
        <v>143.25</v>
      </c>
      <c r="AK228" s="10">
        <f t="shared" si="148"/>
        <v>4.2187833210596257E-2</v>
      </c>
      <c r="AL228" s="10">
        <f t="shared" si="149"/>
        <v>0.19218978122678043</v>
      </c>
      <c r="AM228" s="10">
        <f t="shared" si="150"/>
        <v>0.21974195735250626</v>
      </c>
      <c r="AN228" s="10">
        <f t="shared" si="151"/>
        <v>0.19463862788798664</v>
      </c>
      <c r="AO228" s="2">
        <f t="shared" si="130"/>
        <v>0.16218954991946738</v>
      </c>
      <c r="AP228" s="2">
        <v>0</v>
      </c>
      <c r="AQ228" s="2">
        <v>0</v>
      </c>
      <c r="AR228" s="2">
        <v>0</v>
      </c>
      <c r="AS228" s="2">
        <v>0</v>
      </c>
      <c r="AT228" s="2">
        <v>0.77500000000000002</v>
      </c>
      <c r="AU228" s="2">
        <v>0.77500000000000002</v>
      </c>
      <c r="AV228" s="2">
        <v>0.77500000000000002</v>
      </c>
      <c r="AW228" s="2">
        <v>0.76875000000000004</v>
      </c>
      <c r="AX228" s="10" t="str">
        <f t="shared" si="152"/>
        <v/>
      </c>
      <c r="AY228" s="10" t="str">
        <f t="shared" si="153"/>
        <v/>
      </c>
      <c r="AZ228" s="10" t="str">
        <f t="shared" si="154"/>
        <v/>
      </c>
      <c r="BA228" s="10" t="str">
        <f t="shared" si="155"/>
        <v/>
      </c>
      <c r="BB228" s="2" t="str">
        <f t="shared" si="135"/>
        <v>NA</v>
      </c>
      <c r="BC228" s="6">
        <v>64548</v>
      </c>
      <c r="BD228" s="6">
        <v>71132</v>
      </c>
      <c r="BE228" s="6">
        <v>77773</v>
      </c>
      <c r="BF228" s="6">
        <v>91734</v>
      </c>
      <c r="BG228" s="6">
        <v>57076</v>
      </c>
      <c r="BH228" s="6">
        <v>69983</v>
      </c>
      <c r="BI228" s="6">
        <v>57627</v>
      </c>
      <c r="BJ228" s="6">
        <v>70536</v>
      </c>
      <c r="BK228" s="10">
        <f t="shared" si="156"/>
        <v>0.11575881514531822</v>
      </c>
      <c r="BL228" s="10">
        <f t="shared" si="157"/>
        <v>1.6153067536411179E-2</v>
      </c>
      <c r="BM228" s="10">
        <f t="shared" si="158"/>
        <v>0.2590359122060355</v>
      </c>
      <c r="BN228" s="10">
        <f t="shared" si="159"/>
        <v>0.23108116946824514</v>
      </c>
      <c r="BO228" s="2">
        <f t="shared" si="140"/>
        <v>0.15550724108900249</v>
      </c>
      <c r="BP228" s="10">
        <v>0.31208283472338588</v>
      </c>
      <c r="BQ228" s="10">
        <v>0.26931325944631312</v>
      </c>
      <c r="BR228" s="10">
        <v>0.16107847802874742</v>
      </c>
      <c r="BS228" s="10">
        <v>0.2046773993174108</v>
      </c>
      <c r="BT228" s="11" t="s">
        <v>459</v>
      </c>
    </row>
    <row r="229" spans="1:72">
      <c r="A229">
        <f>COUNTIFS($J$7:J229,J229,$N$7:N229,N229,$E$7:E229,E229)</f>
        <v>9</v>
      </c>
      <c r="B229" s="16" t="str">
        <f t="shared" si="141"/>
        <v>Low</v>
      </c>
      <c r="C229" s="16" t="str">
        <f t="shared" si="142"/>
        <v>9LowNoBFIMG</v>
      </c>
      <c r="D229" s="1">
        <v>27018</v>
      </c>
      <c r="E229" s="1" t="s">
        <v>20</v>
      </c>
      <c r="F229" s="1" t="s">
        <v>335</v>
      </c>
      <c r="G229" s="1" t="s">
        <v>335</v>
      </c>
      <c r="H229" s="1">
        <v>64</v>
      </c>
      <c r="I229" s="1" t="s">
        <v>102</v>
      </c>
      <c r="J229" s="1" t="s">
        <v>27</v>
      </c>
      <c r="K229" s="1">
        <v>1</v>
      </c>
      <c r="L229" s="1">
        <v>1</v>
      </c>
      <c r="M229" s="2">
        <v>0.16010579735159652</v>
      </c>
      <c r="N229" s="27" t="str">
        <f t="shared" si="143"/>
        <v>Low</v>
      </c>
      <c r="O229" s="1">
        <v>1</v>
      </c>
      <c r="P229" s="6">
        <v>52.595506858094573</v>
      </c>
      <c r="Q229" s="6">
        <v>57.780678068552703</v>
      </c>
      <c r="R229" s="6">
        <v>57.684347909359182</v>
      </c>
      <c r="S229" s="6">
        <v>57.271616036191922</v>
      </c>
      <c r="T229" s="6">
        <v>70.25</v>
      </c>
      <c r="U229" s="6">
        <v>63.8</v>
      </c>
      <c r="V229" s="6">
        <v>59.25</v>
      </c>
      <c r="W229" s="6">
        <v>55.75</v>
      </c>
      <c r="X229" s="10">
        <f t="shared" si="144"/>
        <v>-0.3356654246062914</v>
      </c>
      <c r="Y229" s="10">
        <f t="shared" si="145"/>
        <v>-0.10417534256530865</v>
      </c>
      <c r="Z229" s="10">
        <f t="shared" si="146"/>
        <v>-2.7141714301788845E-2</v>
      </c>
      <c r="AA229" s="10">
        <f t="shared" si="147"/>
        <v>2.6568414539417926E-2</v>
      </c>
      <c r="AB229" s="2">
        <f t="shared" si="125"/>
        <v>-0.11010351673349274</v>
      </c>
      <c r="AC229" s="6">
        <v>87</v>
      </c>
      <c r="AD229" s="6">
        <v>92</v>
      </c>
      <c r="AE229" s="6">
        <v>87</v>
      </c>
      <c r="AF229" s="6">
        <v>87</v>
      </c>
      <c r="AG229" s="6">
        <v>54.25</v>
      </c>
      <c r="AH229" s="6">
        <v>59</v>
      </c>
      <c r="AI229" s="6">
        <v>43</v>
      </c>
      <c r="AJ229" s="6">
        <v>49.25</v>
      </c>
      <c r="AK229" s="10">
        <f t="shared" si="148"/>
        <v>0.37643678160919541</v>
      </c>
      <c r="AL229" s="10">
        <f t="shared" si="149"/>
        <v>0.35869565217391303</v>
      </c>
      <c r="AM229" s="10">
        <f t="shared" si="150"/>
        <v>0.50574712643678166</v>
      </c>
      <c r="AN229" s="10">
        <f t="shared" si="151"/>
        <v>0.43390804597701149</v>
      </c>
      <c r="AO229" s="2">
        <f t="shared" si="130"/>
        <v>0.4186969015492254</v>
      </c>
      <c r="AP229" s="2">
        <v>1</v>
      </c>
      <c r="AQ229" s="2">
        <v>1</v>
      </c>
      <c r="AR229" s="2">
        <v>1</v>
      </c>
      <c r="AS229" s="2">
        <v>1</v>
      </c>
      <c r="AT229" s="2">
        <v>0.6925</v>
      </c>
      <c r="AU229" s="2">
        <v>0.69799999999999995</v>
      </c>
      <c r="AV229" s="2">
        <v>0.67749999999999999</v>
      </c>
      <c r="AW229" s="2">
        <v>0.6875</v>
      </c>
      <c r="AX229" s="10">
        <f t="shared" si="152"/>
        <v>0.3075</v>
      </c>
      <c r="AY229" s="10">
        <f t="shared" si="153"/>
        <v>0.30200000000000005</v>
      </c>
      <c r="AZ229" s="10">
        <f t="shared" si="154"/>
        <v>0.32250000000000001</v>
      </c>
      <c r="BA229" s="10">
        <f t="shared" si="155"/>
        <v>0.3125</v>
      </c>
      <c r="BB229" s="2">
        <f t="shared" si="135"/>
        <v>0.31112499999999998</v>
      </c>
      <c r="BC229" s="6">
        <v>0</v>
      </c>
      <c r="BD229" s="6">
        <v>0</v>
      </c>
      <c r="BE229" s="6">
        <v>0</v>
      </c>
      <c r="BF229" s="6">
        <v>0</v>
      </c>
      <c r="BG229" s="6">
        <v>89010</v>
      </c>
      <c r="BH229" s="6">
        <v>142053</v>
      </c>
      <c r="BI229" s="6">
        <v>100592</v>
      </c>
      <c r="BJ229" s="6">
        <v>124876</v>
      </c>
      <c r="BK229" s="10" t="str">
        <f t="shared" si="156"/>
        <v/>
      </c>
      <c r="BL229" s="10" t="str">
        <f t="shared" si="157"/>
        <v/>
      </c>
      <c r="BM229" s="10" t="str">
        <f t="shared" si="158"/>
        <v/>
      </c>
      <c r="BN229" s="10" t="str">
        <f t="shared" si="159"/>
        <v/>
      </c>
      <c r="BO229" s="2" t="str">
        <f t="shared" si="140"/>
        <v>NA</v>
      </c>
      <c r="BP229" s="10">
        <v>-0.25978113154305621</v>
      </c>
      <c r="BQ229" s="10">
        <v>-0.28980724962536436</v>
      </c>
      <c r="BR229" s="10">
        <v>-0.17953514729566789</v>
      </c>
      <c r="BS229" s="10">
        <v>-0.19875086456942798</v>
      </c>
      <c r="BT229" s="11" t="s">
        <v>461</v>
      </c>
    </row>
    <row r="230" spans="1:72">
      <c r="A230">
        <f>COUNTIFS($J$7:J230,J230,$N$7:N230,N230,$E$7:E230,E230)</f>
        <v>15</v>
      </c>
      <c r="B230" s="16" t="str">
        <f t="shared" si="141"/>
        <v>Medium</v>
      </c>
      <c r="C230" s="16" t="str">
        <f t="shared" si="142"/>
        <v>15MediumNoRetail</v>
      </c>
      <c r="D230" s="1">
        <v>27021</v>
      </c>
      <c r="E230" s="1" t="s">
        <v>10</v>
      </c>
      <c r="F230" s="1" t="s">
        <v>336</v>
      </c>
      <c r="G230" s="1" t="s">
        <v>337</v>
      </c>
      <c r="H230" s="1">
        <v>249</v>
      </c>
      <c r="I230" s="1" t="s">
        <v>338</v>
      </c>
      <c r="J230" s="1" t="s">
        <v>27</v>
      </c>
      <c r="K230" s="1">
        <v>1</v>
      </c>
      <c r="L230" s="1">
        <v>1</v>
      </c>
      <c r="M230" s="2">
        <v>6.88230876523028E-2</v>
      </c>
      <c r="N230" s="27" t="str">
        <f t="shared" si="143"/>
        <v>Medium</v>
      </c>
      <c r="O230" s="1">
        <v>1</v>
      </c>
      <c r="P230" s="6">
        <v>225.95615691854431</v>
      </c>
      <c r="Q230" s="6">
        <v>223.4920792911056</v>
      </c>
      <c r="R230" s="6">
        <v>221.07022797502611</v>
      </c>
      <c r="S230" s="6">
        <v>226.77845392827749</v>
      </c>
      <c r="T230" s="6" t="s">
        <v>422</v>
      </c>
      <c r="U230" s="6" t="s">
        <v>422</v>
      </c>
      <c r="V230" s="6" t="s">
        <v>422</v>
      </c>
      <c r="W230" s="6" t="s">
        <v>422</v>
      </c>
      <c r="X230" s="10" t="str">
        <f t="shared" si="144"/>
        <v/>
      </c>
      <c r="Y230" s="10" t="str">
        <f t="shared" si="145"/>
        <v/>
      </c>
      <c r="Z230" s="10" t="str">
        <f t="shared" si="146"/>
        <v/>
      </c>
      <c r="AA230" s="10" t="str">
        <f t="shared" si="147"/>
        <v/>
      </c>
      <c r="AB230" s="2" t="str">
        <f t="shared" si="125"/>
        <v>NA</v>
      </c>
      <c r="AC230" s="6">
        <v>163.30623429688296</v>
      </c>
      <c r="AD230" s="6">
        <v>169.32081688244881</v>
      </c>
      <c r="AE230" s="6">
        <v>163.30623429688296</v>
      </c>
      <c r="AF230" s="6">
        <v>194.8827928711037</v>
      </c>
      <c r="AG230" s="6" t="s">
        <v>422</v>
      </c>
      <c r="AH230" s="6" t="s">
        <v>422</v>
      </c>
      <c r="AI230" s="6" t="s">
        <v>422</v>
      </c>
      <c r="AJ230" s="6" t="s">
        <v>422</v>
      </c>
      <c r="AK230" s="10" t="str">
        <f t="shared" si="148"/>
        <v/>
      </c>
      <c r="AL230" s="10" t="str">
        <f t="shared" si="149"/>
        <v/>
      </c>
      <c r="AM230" s="10" t="str">
        <f t="shared" si="150"/>
        <v/>
      </c>
      <c r="AN230" s="10" t="str">
        <f t="shared" si="151"/>
        <v/>
      </c>
      <c r="AO230" s="2" t="str">
        <f t="shared" si="130"/>
        <v>NA</v>
      </c>
      <c r="AP230" s="2">
        <v>1</v>
      </c>
      <c r="AQ230" s="2">
        <v>1</v>
      </c>
      <c r="AR230" s="2">
        <v>1</v>
      </c>
      <c r="AS230" s="2">
        <v>1</v>
      </c>
      <c r="AT230" s="2" t="s">
        <v>422</v>
      </c>
      <c r="AU230" s="2" t="s">
        <v>422</v>
      </c>
      <c r="AV230" s="2" t="s">
        <v>422</v>
      </c>
      <c r="AW230" s="2" t="s">
        <v>422</v>
      </c>
      <c r="AX230" s="10" t="str">
        <f t="shared" si="152"/>
        <v/>
      </c>
      <c r="AY230" s="10" t="str">
        <f t="shared" si="153"/>
        <v/>
      </c>
      <c r="AZ230" s="10" t="str">
        <f t="shared" si="154"/>
        <v/>
      </c>
      <c r="BA230" s="10" t="str">
        <f t="shared" si="155"/>
        <v/>
      </c>
      <c r="BB230" s="2" t="str">
        <f t="shared" si="135"/>
        <v>NA</v>
      </c>
      <c r="BC230" s="6">
        <v>124196.5760869565</v>
      </c>
      <c r="BD230" s="6">
        <v>67391.688463583196</v>
      </c>
      <c r="BE230" s="6">
        <v>67391.688463583196</v>
      </c>
      <c r="BF230" s="6">
        <v>84239.610579479006</v>
      </c>
      <c r="BG230" s="6" t="s">
        <v>422</v>
      </c>
      <c r="BH230" s="6" t="s">
        <v>422</v>
      </c>
      <c r="BI230" s="6" t="s">
        <v>422</v>
      </c>
      <c r="BJ230" s="6" t="s">
        <v>422</v>
      </c>
      <c r="BK230" s="10" t="str">
        <f t="shared" si="156"/>
        <v/>
      </c>
      <c r="BL230" s="10" t="str">
        <f t="shared" si="157"/>
        <v/>
      </c>
      <c r="BM230" s="10" t="str">
        <f t="shared" si="158"/>
        <v/>
      </c>
      <c r="BN230" s="10" t="str">
        <f t="shared" si="159"/>
        <v/>
      </c>
      <c r="BO230" s="2" t="str">
        <f t="shared" si="140"/>
        <v>NA</v>
      </c>
      <c r="BP230" s="10">
        <v>2.8779147482778877E-2</v>
      </c>
      <c r="BQ230" s="10">
        <v>8.4166683371641959E-2</v>
      </c>
      <c r="BR230" s="10">
        <v>0.17888982934324499</v>
      </c>
      <c r="BS230" s="10">
        <v>3.3417430064958786E-2</v>
      </c>
      <c r="BT230" s="11" t="s">
        <v>459</v>
      </c>
    </row>
    <row r="231" spans="1:72">
      <c r="A231">
        <f>COUNTIFS($J$7:J231,J231,$N$7:N231,N231,$E$7:E231,E231)</f>
        <v>24</v>
      </c>
      <c r="B231" s="16" t="str">
        <f t="shared" si="141"/>
        <v>Low</v>
      </c>
      <c r="C231" s="16" t="str">
        <f t="shared" si="142"/>
        <v>24LowYesTelecom-AT&amp;T</v>
      </c>
      <c r="D231" s="1">
        <v>27024</v>
      </c>
      <c r="E231" s="11" t="s">
        <v>484</v>
      </c>
      <c r="F231" s="1" t="s">
        <v>6</v>
      </c>
      <c r="G231" s="1" t="s">
        <v>339</v>
      </c>
      <c r="H231" s="1">
        <v>137</v>
      </c>
      <c r="I231" s="1" t="s">
        <v>127</v>
      </c>
      <c r="J231" s="1" t="s">
        <v>9</v>
      </c>
      <c r="K231" s="1">
        <v>1</v>
      </c>
      <c r="L231" s="1">
        <v>1</v>
      </c>
      <c r="M231" s="2">
        <v>0.26918794339130991</v>
      </c>
      <c r="N231" s="27" t="str">
        <f t="shared" si="143"/>
        <v>Low</v>
      </c>
      <c r="O231" s="1">
        <v>0</v>
      </c>
      <c r="P231" s="6">
        <v>0</v>
      </c>
      <c r="Q231" s="6">
        <v>0</v>
      </c>
      <c r="R231" s="6">
        <v>0</v>
      </c>
      <c r="S231" s="6">
        <v>0</v>
      </c>
      <c r="T231" s="6" t="s">
        <v>422</v>
      </c>
      <c r="U231" s="6" t="s">
        <v>422</v>
      </c>
      <c r="V231" s="6" t="s">
        <v>422</v>
      </c>
      <c r="W231" s="6" t="s">
        <v>422</v>
      </c>
      <c r="X231" s="10" t="str">
        <f t="shared" si="144"/>
        <v/>
      </c>
      <c r="Y231" s="10" t="str">
        <f t="shared" si="145"/>
        <v/>
      </c>
      <c r="Z231" s="10" t="str">
        <f t="shared" si="146"/>
        <v/>
      </c>
      <c r="AA231" s="10" t="str">
        <f t="shared" si="147"/>
        <v/>
      </c>
      <c r="AB231" s="2" t="str">
        <f t="shared" si="125"/>
        <v>NA</v>
      </c>
      <c r="AC231" s="6">
        <v>198.08948809799486</v>
      </c>
      <c r="AD231" s="6">
        <v>217.76179988929965</v>
      </c>
      <c r="AE231" s="6">
        <v>321.19316076045089</v>
      </c>
      <c r="AF231" s="6">
        <v>350.0603878465194</v>
      </c>
      <c r="AG231" s="6" t="s">
        <v>422</v>
      </c>
      <c r="AH231" s="6" t="s">
        <v>422</v>
      </c>
      <c r="AI231" s="6" t="s">
        <v>422</v>
      </c>
      <c r="AJ231" s="6" t="s">
        <v>422</v>
      </c>
      <c r="AK231" s="10" t="str">
        <f t="shared" si="148"/>
        <v/>
      </c>
      <c r="AL231" s="10" t="str">
        <f t="shared" si="149"/>
        <v/>
      </c>
      <c r="AM231" s="10" t="str">
        <f t="shared" si="150"/>
        <v/>
      </c>
      <c r="AN231" s="10" t="str">
        <f t="shared" si="151"/>
        <v/>
      </c>
      <c r="AO231" s="2" t="str">
        <f t="shared" si="130"/>
        <v>NA</v>
      </c>
      <c r="AP231" s="2">
        <v>0.77</v>
      </c>
      <c r="AQ231" s="2">
        <v>0.77</v>
      </c>
      <c r="AR231" s="2">
        <v>0.77</v>
      </c>
      <c r="AS231" s="2">
        <v>0.77</v>
      </c>
      <c r="AT231" s="2" t="s">
        <v>422</v>
      </c>
      <c r="AU231" s="2" t="s">
        <v>422</v>
      </c>
      <c r="AV231" s="2" t="s">
        <v>422</v>
      </c>
      <c r="AW231" s="2" t="s">
        <v>422</v>
      </c>
      <c r="AX231" s="10" t="str">
        <f t="shared" si="152"/>
        <v/>
      </c>
      <c r="AY231" s="10" t="str">
        <f t="shared" si="153"/>
        <v/>
      </c>
      <c r="AZ231" s="10" t="str">
        <f t="shared" si="154"/>
        <v/>
      </c>
      <c r="BA231" s="10" t="str">
        <f t="shared" si="155"/>
        <v/>
      </c>
      <c r="BB231" s="2" t="str">
        <f t="shared" si="135"/>
        <v>NA</v>
      </c>
      <c r="BC231" s="6">
        <v>78500</v>
      </c>
      <c r="BD231" s="6">
        <v>110655</v>
      </c>
      <c r="BE231" s="6">
        <v>146911.93114143037</v>
      </c>
      <c r="BF231" s="6">
        <v>165199.63723934183</v>
      </c>
      <c r="BG231" s="6" t="s">
        <v>422</v>
      </c>
      <c r="BH231" s="6" t="s">
        <v>422</v>
      </c>
      <c r="BI231" s="6" t="s">
        <v>422</v>
      </c>
      <c r="BJ231" s="6" t="s">
        <v>422</v>
      </c>
      <c r="BK231" s="10" t="str">
        <f t="shared" si="156"/>
        <v/>
      </c>
      <c r="BL231" s="10" t="str">
        <f t="shared" si="157"/>
        <v/>
      </c>
      <c r="BM231" s="10" t="str">
        <f t="shared" si="158"/>
        <v/>
      </c>
      <c r="BN231" s="10" t="str">
        <f t="shared" si="159"/>
        <v/>
      </c>
      <c r="BO231" s="2" t="str">
        <f t="shared" si="140"/>
        <v>NA</v>
      </c>
      <c r="BP231" s="10">
        <v>-0.37858230992383463</v>
      </c>
      <c r="BQ231" s="10">
        <v>-0.3337317673432868</v>
      </c>
      <c r="BR231" s="10">
        <v>-0.52811091429069867</v>
      </c>
      <c r="BS231" s="10">
        <v>-0.46903434973312408</v>
      </c>
      <c r="BT231" s="11">
        <v>0</v>
      </c>
    </row>
    <row r="232" spans="1:72">
      <c r="A232">
        <f>COUNTIFS($J$7:J232,J232,$N$7:N232,N232,$E$7:E232,E232)</f>
        <v>8</v>
      </c>
      <c r="B232" s="16" t="str">
        <f t="shared" si="141"/>
        <v>Medium</v>
      </c>
      <c r="C232" s="16" t="str">
        <f t="shared" si="142"/>
        <v>8MediumYesTelecom-AT&amp;T</v>
      </c>
      <c r="D232" s="1">
        <v>28007</v>
      </c>
      <c r="E232" s="11" t="s">
        <v>484</v>
      </c>
      <c r="F232" s="1" t="s">
        <v>6</v>
      </c>
      <c r="G232" s="1" t="s">
        <v>340</v>
      </c>
      <c r="H232" s="1">
        <v>225</v>
      </c>
      <c r="I232" s="1" t="s">
        <v>93</v>
      </c>
      <c r="J232" s="1" t="s">
        <v>9</v>
      </c>
      <c r="K232" s="1">
        <v>1</v>
      </c>
      <c r="L232" s="1">
        <v>1</v>
      </c>
      <c r="M232" s="2">
        <v>9.4151594153185567E-2</v>
      </c>
      <c r="N232" s="27" t="str">
        <f t="shared" si="143"/>
        <v>Medium</v>
      </c>
      <c r="O232" s="1">
        <v>1</v>
      </c>
      <c r="P232" s="6">
        <v>148.53159365683459</v>
      </c>
      <c r="Q232" s="6">
        <v>145.21083684321781</v>
      </c>
      <c r="R232" s="6">
        <v>140.10226678751101</v>
      </c>
      <c r="S232" s="6">
        <v>139.24244313962569</v>
      </c>
      <c r="T232" s="6">
        <v>190.25</v>
      </c>
      <c r="U232" s="6">
        <v>184</v>
      </c>
      <c r="V232" s="6">
        <v>177.75</v>
      </c>
      <c r="W232" s="6">
        <v>173</v>
      </c>
      <c r="X232" s="10">
        <f t="shared" si="144"/>
        <v>-0.28087227313773433</v>
      </c>
      <c r="Y232" s="10">
        <f t="shared" si="145"/>
        <v>-0.26712306051002471</v>
      </c>
      <c r="Z232" s="10">
        <f t="shared" si="146"/>
        <v>-0.2687160891521348</v>
      </c>
      <c r="AA232" s="10">
        <f t="shared" si="147"/>
        <v>-0.24243726337467261</v>
      </c>
      <c r="AB232" s="2">
        <f t="shared" si="125"/>
        <v>-0.26478717154364156</v>
      </c>
      <c r="AC232" s="6">
        <v>114</v>
      </c>
      <c r="AD232" s="6">
        <v>104</v>
      </c>
      <c r="AE232" s="6">
        <v>100</v>
      </c>
      <c r="AF232" s="6">
        <v>90</v>
      </c>
      <c r="AG232" s="6">
        <v>148.75</v>
      </c>
      <c r="AH232" s="6">
        <v>135.80000000000001</v>
      </c>
      <c r="AI232" s="6">
        <v>129</v>
      </c>
      <c r="AJ232" s="6">
        <v>121.5</v>
      </c>
      <c r="AK232" s="10">
        <f t="shared" si="148"/>
        <v>-0.30482456140350878</v>
      </c>
      <c r="AL232" s="10">
        <f t="shared" si="149"/>
        <v>-0.3057692307692309</v>
      </c>
      <c r="AM232" s="10">
        <f t="shared" si="150"/>
        <v>-0.28999999999999998</v>
      </c>
      <c r="AN232" s="10">
        <f t="shared" si="151"/>
        <v>-0.35</v>
      </c>
      <c r="AO232" s="2">
        <f t="shared" si="130"/>
        <v>-0.31264844804318492</v>
      </c>
      <c r="AP232" s="2">
        <v>0.79</v>
      </c>
      <c r="AQ232" s="2">
        <v>0.79</v>
      </c>
      <c r="AR232" s="2">
        <v>0.79</v>
      </c>
      <c r="AS232" s="2">
        <v>0.79</v>
      </c>
      <c r="AT232" s="2">
        <v>0.79</v>
      </c>
      <c r="AU232" s="2">
        <v>0.79</v>
      </c>
      <c r="AV232" s="2">
        <v>0.79</v>
      </c>
      <c r="AW232" s="2">
        <v>0.79</v>
      </c>
      <c r="AX232" s="10">
        <f t="shared" si="152"/>
        <v>0</v>
      </c>
      <c r="AY232" s="10">
        <f t="shared" si="153"/>
        <v>0</v>
      </c>
      <c r="AZ232" s="10">
        <f t="shared" si="154"/>
        <v>0</v>
      </c>
      <c r="BA232" s="10">
        <f t="shared" si="155"/>
        <v>0</v>
      </c>
      <c r="BB232" s="2">
        <f t="shared" si="135"/>
        <v>0</v>
      </c>
      <c r="BC232" s="6">
        <v>55021</v>
      </c>
      <c r="BD232" s="6">
        <v>52000</v>
      </c>
      <c r="BE232" s="6">
        <v>48000</v>
      </c>
      <c r="BF232" s="6">
        <v>45000</v>
      </c>
      <c r="BG232" s="6">
        <v>100803</v>
      </c>
      <c r="BH232" s="6">
        <v>115211</v>
      </c>
      <c r="BI232" s="6">
        <v>86558</v>
      </c>
      <c r="BJ232" s="6">
        <v>84176</v>
      </c>
      <c r="BK232" s="10">
        <f t="shared" si="156"/>
        <v>-0.83208229585067517</v>
      </c>
      <c r="BL232" s="10">
        <f t="shared" si="157"/>
        <v>-1.2155961538461539</v>
      </c>
      <c r="BM232" s="10">
        <f t="shared" si="158"/>
        <v>-0.80329166666666663</v>
      </c>
      <c r="BN232" s="10">
        <f t="shared" si="159"/>
        <v>-0.87057777777777778</v>
      </c>
      <c r="BO232" s="2">
        <f t="shared" si="140"/>
        <v>-0.9303869735353183</v>
      </c>
      <c r="BP232" s="10">
        <v>2.8492272005504082E-2</v>
      </c>
      <c r="BQ232" s="10">
        <v>-3.5630407992686963E-2</v>
      </c>
      <c r="BR232" s="10">
        <v>-6.6911062381939723E-2</v>
      </c>
      <c r="BS232" s="10">
        <v>0.10831847670698208</v>
      </c>
      <c r="BT232" s="11" t="s">
        <v>459</v>
      </c>
    </row>
    <row r="233" spans="1:72">
      <c r="A233">
        <f>COUNTIFS($J$7:J233,J233,$N$7:N233,N233,$E$7:E233,E233)</f>
        <v>9</v>
      </c>
      <c r="B233" s="16" t="str">
        <f t="shared" si="141"/>
        <v>Medium</v>
      </c>
      <c r="C233" s="16" t="str">
        <f t="shared" si="142"/>
        <v>9MediumYesTelecom-AT&amp;T</v>
      </c>
      <c r="D233" s="1">
        <v>28010</v>
      </c>
      <c r="E233" s="11" t="s">
        <v>484</v>
      </c>
      <c r="F233" s="1" t="s">
        <v>6</v>
      </c>
      <c r="G233" s="1" t="s">
        <v>341</v>
      </c>
      <c r="H233" s="1">
        <v>195</v>
      </c>
      <c r="I233" s="1" t="s">
        <v>127</v>
      </c>
      <c r="J233" s="1" t="s">
        <v>9</v>
      </c>
      <c r="K233" s="1">
        <v>1</v>
      </c>
      <c r="L233" s="1">
        <v>1</v>
      </c>
      <c r="M233" s="2">
        <v>6.9887648226093835E-2</v>
      </c>
      <c r="N233" s="27" t="str">
        <f t="shared" si="143"/>
        <v>Medium</v>
      </c>
      <c r="O233" s="1">
        <v>1</v>
      </c>
      <c r="P233" s="6">
        <v>142.5376565498793</v>
      </c>
      <c r="Q233" s="6">
        <v>169.5647286754951</v>
      </c>
      <c r="R233" s="6">
        <v>171.21267576219569</v>
      </c>
      <c r="S233" s="6">
        <v>163.096105410842</v>
      </c>
      <c r="T233" s="6">
        <v>51</v>
      </c>
      <c r="U233" s="6">
        <v>42.4</v>
      </c>
      <c r="V233" s="6">
        <v>40.75</v>
      </c>
      <c r="W233" s="6">
        <v>43.25</v>
      </c>
      <c r="X233" s="10">
        <f t="shared" si="144"/>
        <v>0.64219981417925742</v>
      </c>
      <c r="Y233" s="10">
        <f t="shared" si="145"/>
        <v>0.7499479972562979</v>
      </c>
      <c r="Z233" s="10">
        <f t="shared" si="146"/>
        <v>0.76199192134232308</v>
      </c>
      <c r="AA233" s="10">
        <f t="shared" si="147"/>
        <v>0.7348189284406732</v>
      </c>
      <c r="AB233" s="2">
        <f t="shared" si="125"/>
        <v>0.7222396653046379</v>
      </c>
      <c r="AC233" s="6">
        <v>139.86209266735347</v>
      </c>
      <c r="AD233" s="6">
        <v>144.00008032254459</v>
      </c>
      <c r="AE233" s="6">
        <v>139.41468987855907</v>
      </c>
      <c r="AF233" s="6">
        <v>143.81071533762531</v>
      </c>
      <c r="AG233" s="6">
        <v>50.5</v>
      </c>
      <c r="AH233" s="6">
        <v>40.200000000000003</v>
      </c>
      <c r="AI233" s="6">
        <v>40.75</v>
      </c>
      <c r="AJ233" s="6">
        <v>43.5</v>
      </c>
      <c r="AK233" s="10">
        <f t="shared" si="148"/>
        <v>0.63893004146514043</v>
      </c>
      <c r="AL233" s="10">
        <f t="shared" si="149"/>
        <v>0.72083348905114253</v>
      </c>
      <c r="AM233" s="10">
        <f t="shared" si="150"/>
        <v>0.70770655491543688</v>
      </c>
      <c r="AN233" s="10">
        <f t="shared" si="151"/>
        <v>0.69751906248519258</v>
      </c>
      <c r="AO233" s="2">
        <f t="shared" si="130"/>
        <v>0.6912472869792281</v>
      </c>
      <c r="AP233" s="2">
        <v>0.75</v>
      </c>
      <c r="AQ233" s="2">
        <v>0.75</v>
      </c>
      <c r="AR233" s="2">
        <v>0.75</v>
      </c>
      <c r="AS233" s="2">
        <v>0.75</v>
      </c>
      <c r="AT233" s="2">
        <v>0.75</v>
      </c>
      <c r="AU233" s="2">
        <v>0.75</v>
      </c>
      <c r="AV233" s="2">
        <v>0.75</v>
      </c>
      <c r="AW233" s="2">
        <v>0.75</v>
      </c>
      <c r="AX233" s="10">
        <f t="shared" si="152"/>
        <v>0</v>
      </c>
      <c r="AY233" s="10">
        <f t="shared" si="153"/>
        <v>0</v>
      </c>
      <c r="AZ233" s="10">
        <f t="shared" si="154"/>
        <v>0</v>
      </c>
      <c r="BA233" s="10">
        <f t="shared" si="155"/>
        <v>0</v>
      </c>
      <c r="BB233" s="2">
        <f t="shared" si="135"/>
        <v>0</v>
      </c>
      <c r="BC233" s="6">
        <v>52676</v>
      </c>
      <c r="BD233" s="6">
        <v>59922</v>
      </c>
      <c r="BE233" s="6">
        <v>57167.194695951563</v>
      </c>
      <c r="BF233" s="6">
        <v>62618.336167859612</v>
      </c>
      <c r="BG233" s="6">
        <v>20713</v>
      </c>
      <c r="BH233" s="6">
        <v>22821</v>
      </c>
      <c r="BI233" s="6">
        <v>16921</v>
      </c>
      <c r="BJ233" s="6">
        <v>17561</v>
      </c>
      <c r="BK233" s="10">
        <f t="shared" si="156"/>
        <v>0.60678487356670974</v>
      </c>
      <c r="BL233" s="10">
        <f t="shared" si="157"/>
        <v>0.61915490137178331</v>
      </c>
      <c r="BM233" s="10">
        <f t="shared" si="158"/>
        <v>0.70400856487718644</v>
      </c>
      <c r="BN233" s="10">
        <f t="shared" si="159"/>
        <v>0.71955498860709732</v>
      </c>
      <c r="BO233" s="2">
        <f t="shared" si="140"/>
        <v>0.66237583210569428</v>
      </c>
      <c r="BP233" s="10">
        <v>-0.22255920564633236</v>
      </c>
      <c r="BQ233" s="10">
        <v>-3.572419709819219E-2</v>
      </c>
      <c r="BR233" s="10">
        <v>-0.10701167283337265</v>
      </c>
      <c r="BS233" s="10">
        <v>-1.3526570351087175E-2</v>
      </c>
      <c r="BT233" s="11" t="s">
        <v>459</v>
      </c>
    </row>
    <row r="234" spans="1:72">
      <c r="A234">
        <f>COUNTIFS($J$7:J234,J234,$N$7:N234,N234,$E$7:E234,E234)</f>
        <v>3</v>
      </c>
      <c r="B234" s="16" t="str">
        <f t="shared" si="141"/>
        <v>Medium</v>
      </c>
      <c r="C234" s="16" t="str">
        <f t="shared" si="142"/>
        <v>3MediumYesTechnology</v>
      </c>
      <c r="D234" s="1">
        <v>28016</v>
      </c>
      <c r="E234" s="1" t="s">
        <v>23</v>
      </c>
      <c r="F234" s="1" t="s">
        <v>202</v>
      </c>
      <c r="G234" s="1" t="s">
        <v>342</v>
      </c>
      <c r="H234" s="1">
        <v>74</v>
      </c>
      <c r="I234" s="1" t="s">
        <v>203</v>
      </c>
      <c r="J234" s="1" t="s">
        <v>9</v>
      </c>
      <c r="K234" s="1">
        <v>1</v>
      </c>
      <c r="L234" s="1">
        <v>1</v>
      </c>
      <c r="M234" s="2">
        <v>9.4472373736303378E-2</v>
      </c>
      <c r="N234" s="27" t="str">
        <f t="shared" si="143"/>
        <v>Medium</v>
      </c>
      <c r="O234" s="1">
        <v>1</v>
      </c>
      <c r="P234" s="6">
        <v>73.207461663029704</v>
      </c>
      <c r="Q234" s="6">
        <v>68.70585811092748</v>
      </c>
      <c r="R234" s="6">
        <v>65.617206250906904</v>
      </c>
      <c r="S234" s="6">
        <v>74.670759211641212</v>
      </c>
      <c r="T234" s="6">
        <v>56</v>
      </c>
      <c r="U234" s="6">
        <v>54</v>
      </c>
      <c r="V234" s="6">
        <v>0</v>
      </c>
      <c r="W234" s="6">
        <v>0</v>
      </c>
      <c r="X234" s="10">
        <f t="shared" si="144"/>
        <v>0.23505065292708538</v>
      </c>
      <c r="Y234" s="10">
        <f t="shared" si="145"/>
        <v>0.21404081857451618</v>
      </c>
      <c r="Z234" s="10">
        <f t="shared" si="146"/>
        <v>1</v>
      </c>
      <c r="AA234" s="10">
        <f t="shared" si="147"/>
        <v>1</v>
      </c>
      <c r="AB234" s="2">
        <f t="shared" si="125"/>
        <v>0.22454573575080078</v>
      </c>
      <c r="AC234" s="6">
        <v>72.28163128629501</v>
      </c>
      <c r="AD234" s="6">
        <v>69.007404885977039</v>
      </c>
      <c r="AE234" s="6">
        <v>65.401835556629493</v>
      </c>
      <c r="AF234" s="6">
        <v>74.622709458795356</v>
      </c>
      <c r="AG234" s="6">
        <v>40</v>
      </c>
      <c r="AH234" s="6">
        <v>34.5</v>
      </c>
      <c r="AI234" s="6">
        <v>0</v>
      </c>
      <c r="AJ234" s="6">
        <v>0</v>
      </c>
      <c r="AK234" s="10">
        <f t="shared" si="148"/>
        <v>0.44660905837104126</v>
      </c>
      <c r="AL234" s="10">
        <f t="shared" si="149"/>
        <v>0.50005365283616499</v>
      </c>
      <c r="AM234" s="10">
        <f t="shared" si="150"/>
        <v>1</v>
      </c>
      <c r="AN234" s="10">
        <f t="shared" si="151"/>
        <v>1</v>
      </c>
      <c r="AO234" s="2">
        <f t="shared" si="130"/>
        <v>0.47333135560360312</v>
      </c>
      <c r="AP234" s="2">
        <v>0.60529238534994567</v>
      </c>
      <c r="AQ234" s="2">
        <v>0.59834340685093246</v>
      </c>
      <c r="AR234" s="2">
        <v>0.59834340685093246</v>
      </c>
      <c r="AS234" s="2">
        <v>0.59468462934552824</v>
      </c>
      <c r="AT234" s="2">
        <v>0.63</v>
      </c>
      <c r="AU234" s="2">
        <v>0.62</v>
      </c>
      <c r="AV234" s="2">
        <v>0</v>
      </c>
      <c r="AW234" s="2">
        <v>0</v>
      </c>
      <c r="AX234" s="10">
        <f t="shared" si="152"/>
        <v>-4.0819305261489115E-2</v>
      </c>
      <c r="AY234" s="10">
        <f t="shared" si="153"/>
        <v>-3.6194253836681657E-2</v>
      </c>
      <c r="AZ234" s="10">
        <f t="shared" si="154"/>
        <v>1</v>
      </c>
      <c r="BA234" s="10">
        <f t="shared" si="155"/>
        <v>1</v>
      </c>
      <c r="BB234" s="2">
        <f t="shared" si="135"/>
        <v>-3.8506779549085386E-2</v>
      </c>
      <c r="BC234" s="6">
        <v>27906</v>
      </c>
      <c r="BD234" s="6">
        <v>25618</v>
      </c>
      <c r="BE234" s="6">
        <v>23524</v>
      </c>
      <c r="BF234" s="6">
        <v>22418</v>
      </c>
      <c r="BG234" s="6">
        <v>20348</v>
      </c>
      <c r="BH234" s="6">
        <v>9012</v>
      </c>
      <c r="BI234" s="6">
        <v>0</v>
      </c>
      <c r="BJ234" s="6">
        <v>0</v>
      </c>
      <c r="BK234" s="10">
        <f t="shared" si="156"/>
        <v>0.27083781265677631</v>
      </c>
      <c r="BL234" s="10">
        <f t="shared" si="157"/>
        <v>0.64821609805605429</v>
      </c>
      <c r="BM234" s="10">
        <f t="shared" si="158"/>
        <v>1</v>
      </c>
      <c r="BN234" s="10">
        <f t="shared" si="159"/>
        <v>1</v>
      </c>
      <c r="BO234" s="2">
        <f t="shared" si="140"/>
        <v>0.4595269553564153</v>
      </c>
      <c r="BP234" s="10">
        <v>0</v>
      </c>
      <c r="BQ234" s="10">
        <v>0</v>
      </c>
      <c r="BR234" s="10">
        <v>0</v>
      </c>
      <c r="BS234" s="10">
        <v>0</v>
      </c>
      <c r="BT234" s="11" t="s">
        <v>459</v>
      </c>
    </row>
    <row r="235" spans="1:72">
      <c r="A235">
        <f>COUNTIFS($J$7:J235,J235,$N$7:N235,N235,$E$7:E235,E235)</f>
        <v>50</v>
      </c>
      <c r="B235" s="16" t="str">
        <f t="shared" si="141"/>
        <v>Low</v>
      </c>
      <c r="C235" s="16" t="str">
        <f t="shared" si="142"/>
        <v>50LowNoTechnology</v>
      </c>
      <c r="D235" s="1">
        <v>28029</v>
      </c>
      <c r="E235" s="1" t="s">
        <v>23</v>
      </c>
      <c r="F235" s="1" t="s">
        <v>300</v>
      </c>
      <c r="G235" s="1" t="s">
        <v>343</v>
      </c>
      <c r="H235" s="1">
        <v>122</v>
      </c>
      <c r="I235" s="1" t="s">
        <v>302</v>
      </c>
      <c r="J235" s="1" t="s">
        <v>27</v>
      </c>
      <c r="K235" s="1">
        <v>1</v>
      </c>
      <c r="L235" s="1">
        <v>1</v>
      </c>
      <c r="M235" s="2">
        <v>0.2793990028682708</v>
      </c>
      <c r="N235" s="27" t="str">
        <f t="shared" si="143"/>
        <v>Low</v>
      </c>
      <c r="O235" s="1">
        <v>1</v>
      </c>
      <c r="P235" s="6">
        <v>67.662525021522001</v>
      </c>
      <c r="Q235" s="6">
        <v>68.705326404598139</v>
      </c>
      <c r="R235" s="6">
        <v>69.40690707288546</v>
      </c>
      <c r="S235" s="6">
        <v>68.968184593313097</v>
      </c>
      <c r="T235" s="6">
        <v>88.75</v>
      </c>
      <c r="U235" s="6">
        <v>92</v>
      </c>
      <c r="V235" s="6">
        <v>88</v>
      </c>
      <c r="W235" s="6">
        <v>81.5</v>
      </c>
      <c r="X235" s="10">
        <f t="shared" si="144"/>
        <v>-0.31165663669469212</v>
      </c>
      <c r="Y235" s="10">
        <f t="shared" si="145"/>
        <v>-0.33905193111553072</v>
      </c>
      <c r="Z235" s="10">
        <f t="shared" si="146"/>
        <v>-0.26788534039688</v>
      </c>
      <c r="AA235" s="10">
        <f t="shared" si="147"/>
        <v>-0.18170429569204496</v>
      </c>
      <c r="AB235" s="2">
        <f t="shared" si="125"/>
        <v>-0.27507455097478695</v>
      </c>
      <c r="AC235" s="6">
        <v>84</v>
      </c>
      <c r="AD235" s="6">
        <v>84</v>
      </c>
      <c r="AE235" s="6">
        <v>80</v>
      </c>
      <c r="AF235" s="6">
        <v>80</v>
      </c>
      <c r="AG235" s="6">
        <v>79</v>
      </c>
      <c r="AH235" s="6">
        <v>79</v>
      </c>
      <c r="AI235" s="6">
        <v>79</v>
      </c>
      <c r="AJ235" s="6">
        <v>79</v>
      </c>
      <c r="AK235" s="10">
        <f t="shared" si="148"/>
        <v>5.9523809523809521E-2</v>
      </c>
      <c r="AL235" s="10">
        <f t="shared" si="149"/>
        <v>5.9523809523809521E-2</v>
      </c>
      <c r="AM235" s="10">
        <f t="shared" si="150"/>
        <v>1.2500000000000001E-2</v>
      </c>
      <c r="AN235" s="10">
        <f t="shared" si="151"/>
        <v>1.2500000000000001E-2</v>
      </c>
      <c r="AO235" s="2">
        <f t="shared" si="130"/>
        <v>3.6011904761904766E-2</v>
      </c>
      <c r="AP235" s="2">
        <v>0.95</v>
      </c>
      <c r="AQ235" s="2">
        <v>0.95</v>
      </c>
      <c r="AR235" s="2">
        <v>0.95</v>
      </c>
      <c r="AS235" s="2">
        <v>0.95</v>
      </c>
      <c r="AT235" s="2">
        <v>0.85</v>
      </c>
      <c r="AU235" s="2">
        <v>0.85</v>
      </c>
      <c r="AV235" s="2">
        <v>0.85</v>
      </c>
      <c r="AW235" s="2">
        <v>0.85</v>
      </c>
      <c r="AX235" s="10">
        <f t="shared" si="152"/>
        <v>0.10526315789473682</v>
      </c>
      <c r="AY235" s="10">
        <f t="shared" si="153"/>
        <v>0.10526315789473682</v>
      </c>
      <c r="AZ235" s="10">
        <f t="shared" si="154"/>
        <v>0.10526315789473682</v>
      </c>
      <c r="BA235" s="10">
        <f t="shared" si="155"/>
        <v>0.10526315789473682</v>
      </c>
      <c r="BB235" s="2">
        <f t="shared" si="135"/>
        <v>0.10526315789473682</v>
      </c>
      <c r="BC235" s="6">
        <v>0</v>
      </c>
      <c r="BD235" s="6">
        <v>0</v>
      </c>
      <c r="BE235" s="6">
        <v>0</v>
      </c>
      <c r="BF235" s="6">
        <v>0</v>
      </c>
      <c r="BG235" s="6">
        <v>0</v>
      </c>
      <c r="BH235" s="6">
        <v>0</v>
      </c>
      <c r="BI235" s="6">
        <v>0</v>
      </c>
      <c r="BJ235" s="6">
        <v>0</v>
      </c>
      <c r="BK235" s="10" t="str">
        <f t="shared" si="156"/>
        <v/>
      </c>
      <c r="BL235" s="10" t="str">
        <f t="shared" si="157"/>
        <v/>
      </c>
      <c r="BM235" s="10" t="str">
        <f t="shared" si="158"/>
        <v/>
      </c>
      <c r="BN235" s="10" t="str">
        <f t="shared" si="159"/>
        <v/>
      </c>
      <c r="BO235" s="2" t="str">
        <f t="shared" si="140"/>
        <v>NA</v>
      </c>
      <c r="BP235" s="10">
        <v>2.8141644006346778E-2</v>
      </c>
      <c r="BQ235" s="10">
        <v>5.6466280268399505E-2</v>
      </c>
      <c r="BR235" s="10">
        <v>3.2557246666210071E-2</v>
      </c>
      <c r="BS235" s="10">
        <v>4.1704730495234932E-2</v>
      </c>
      <c r="BT235" s="11" t="s">
        <v>461</v>
      </c>
    </row>
    <row r="236" spans="1:72">
      <c r="A236">
        <f>COUNTIFS($J$7:J236,J236,$N$7:N236,N236,$E$7:E236,E236)</f>
        <v>10</v>
      </c>
      <c r="B236" s="16" t="str">
        <f t="shared" si="141"/>
        <v>Medium</v>
      </c>
      <c r="C236" s="16" t="str">
        <f t="shared" si="142"/>
        <v>10MediumYesTelecom-AT&amp;T</v>
      </c>
      <c r="D236" s="1">
        <v>28035</v>
      </c>
      <c r="E236" s="11" t="s">
        <v>484</v>
      </c>
      <c r="F236" s="1" t="s">
        <v>6</v>
      </c>
      <c r="G236" s="1" t="s">
        <v>344</v>
      </c>
      <c r="H236" s="1">
        <v>139</v>
      </c>
      <c r="I236" s="1" t="s">
        <v>8</v>
      </c>
      <c r="J236" s="1" t="s">
        <v>9</v>
      </c>
      <c r="K236" s="1">
        <v>2</v>
      </c>
      <c r="L236" s="1">
        <v>1</v>
      </c>
      <c r="M236" s="2">
        <v>4.8713386166583494E-2</v>
      </c>
      <c r="N236" s="27" t="str">
        <f t="shared" si="143"/>
        <v>Medium</v>
      </c>
      <c r="O236" s="1">
        <v>1</v>
      </c>
      <c r="P236" s="6">
        <v>131.96214175496479</v>
      </c>
      <c r="Q236" s="6">
        <v>129.2218094226703</v>
      </c>
      <c r="R236" s="6">
        <v>132.11216029480761</v>
      </c>
      <c r="S236" s="6">
        <v>134.85937493770001</v>
      </c>
      <c r="T236" s="6">
        <v>174</v>
      </c>
      <c r="U236" s="6">
        <v>166.6</v>
      </c>
      <c r="V236" s="6">
        <v>172</v>
      </c>
      <c r="W236" s="6">
        <v>0</v>
      </c>
      <c r="X236" s="10">
        <f t="shared" si="144"/>
        <v>-0.31855998762958565</v>
      </c>
      <c r="Y236" s="10">
        <f t="shared" si="145"/>
        <v>-0.28925605317187397</v>
      </c>
      <c r="Z236" s="10">
        <f t="shared" si="146"/>
        <v>-0.30192405919472426</v>
      </c>
      <c r="AA236" s="10">
        <f t="shared" si="147"/>
        <v>1</v>
      </c>
      <c r="AB236" s="2">
        <f t="shared" si="125"/>
        <v>-0.303246699998728</v>
      </c>
      <c r="AC236" s="6">
        <v>151.45769142215732</v>
      </c>
      <c r="AD236" s="6">
        <v>190.44877412440385</v>
      </c>
      <c r="AE236" s="6">
        <v>177.63138649900998</v>
      </c>
      <c r="AF236" s="6">
        <v>173.8871297869112</v>
      </c>
      <c r="AG236" s="6">
        <v>154</v>
      </c>
      <c r="AH236" s="6">
        <v>186.4</v>
      </c>
      <c r="AI236" s="6">
        <v>169</v>
      </c>
      <c r="AJ236" s="6">
        <v>0</v>
      </c>
      <c r="AK236" s="10">
        <f t="shared" si="148"/>
        <v>-1.6785602328748761E-2</v>
      </c>
      <c r="AL236" s="10">
        <f t="shared" si="149"/>
        <v>2.1259124103151915E-2</v>
      </c>
      <c r="AM236" s="10">
        <f t="shared" si="150"/>
        <v>4.8591561824340566E-2</v>
      </c>
      <c r="AN236" s="10">
        <f t="shared" si="151"/>
        <v>1</v>
      </c>
      <c r="AO236" s="2">
        <f t="shared" si="130"/>
        <v>1.768836119958124E-2</v>
      </c>
      <c r="AP236" s="2">
        <v>0.75</v>
      </c>
      <c r="AQ236" s="2">
        <v>0.75</v>
      </c>
      <c r="AR236" s="2">
        <v>0.75</v>
      </c>
      <c r="AS236" s="2">
        <v>0.75</v>
      </c>
      <c r="AT236" s="2">
        <v>0.75</v>
      </c>
      <c r="AU236" s="2">
        <v>0.75</v>
      </c>
      <c r="AV236" s="2">
        <v>0.75</v>
      </c>
      <c r="AW236" s="2">
        <v>0</v>
      </c>
      <c r="AX236" s="10">
        <f t="shared" si="152"/>
        <v>0</v>
      </c>
      <c r="AY236" s="10">
        <f t="shared" si="153"/>
        <v>0</v>
      </c>
      <c r="AZ236" s="10">
        <f t="shared" si="154"/>
        <v>0</v>
      </c>
      <c r="BA236" s="10">
        <f t="shared" si="155"/>
        <v>1</v>
      </c>
      <c r="BB236" s="2">
        <f t="shared" si="135"/>
        <v>0</v>
      </c>
      <c r="BC236" s="6">
        <v>61086.481492773637</v>
      </c>
      <c r="BD236" s="6">
        <v>79159.616060077591</v>
      </c>
      <c r="BE236" s="6">
        <v>68034.869704607874</v>
      </c>
      <c r="BF236" s="6">
        <v>68917.769072769181</v>
      </c>
      <c r="BG236" s="6">
        <v>60386</v>
      </c>
      <c r="BH236" s="6">
        <v>91429</v>
      </c>
      <c r="BI236" s="6">
        <v>16574</v>
      </c>
      <c r="BJ236" s="6">
        <v>0</v>
      </c>
      <c r="BK236" s="10">
        <f t="shared" si="156"/>
        <v>1.1467045992107142E-2</v>
      </c>
      <c r="BL236" s="10">
        <f t="shared" si="157"/>
        <v>-0.15499549581709254</v>
      </c>
      <c r="BM236" s="10">
        <f t="shared" si="158"/>
        <v>0.75638962679048871</v>
      </c>
      <c r="BN236" s="10">
        <f t="shared" si="159"/>
        <v>1</v>
      </c>
      <c r="BO236" s="2">
        <f t="shared" si="140"/>
        <v>0.20428705898850108</v>
      </c>
      <c r="BP236" s="10">
        <v>7.79204665875875E-2</v>
      </c>
      <c r="BQ236" s="10">
        <v>1.833734224659983E-2</v>
      </c>
      <c r="BR236" s="10">
        <v>-9.5542713464298323E-3</v>
      </c>
      <c r="BS236" s="10">
        <v>-1.5156628550284101E-3</v>
      </c>
      <c r="BT236" s="11">
        <v>0</v>
      </c>
    </row>
    <row r="237" spans="1:72">
      <c r="A237">
        <f>COUNTIFS($J$7:J237,J237,$N$7:N237,N237,$E$7:E237,E237)</f>
        <v>4</v>
      </c>
      <c r="B237" s="16" t="str">
        <f t="shared" si="141"/>
        <v>Critical</v>
      </c>
      <c r="C237" s="16" t="str">
        <f t="shared" si="142"/>
        <v>4CriticalNoTravel</v>
      </c>
      <c r="D237" s="1">
        <v>28037</v>
      </c>
      <c r="E237" s="1" t="s">
        <v>79</v>
      </c>
      <c r="F237" s="1" t="s">
        <v>110</v>
      </c>
      <c r="G237" s="1" t="s">
        <v>345</v>
      </c>
      <c r="H237" s="1">
        <v>53</v>
      </c>
      <c r="I237" s="1" t="s">
        <v>98</v>
      </c>
      <c r="J237" s="1" t="s">
        <v>27</v>
      </c>
      <c r="K237" s="1">
        <v>1</v>
      </c>
      <c r="L237" s="1">
        <v>1</v>
      </c>
      <c r="M237" s="2">
        <v>-1.6379393634245433E-2</v>
      </c>
      <c r="N237" s="27" t="str">
        <f t="shared" si="143"/>
        <v>Critical</v>
      </c>
      <c r="O237" s="1">
        <v>1</v>
      </c>
      <c r="P237" s="6">
        <v>40.743750000000013</v>
      </c>
      <c r="Q237" s="6">
        <v>40.743750000000013</v>
      </c>
      <c r="R237" s="6">
        <v>40.743749999999999</v>
      </c>
      <c r="S237" s="6">
        <v>40.743750000000013</v>
      </c>
      <c r="T237" s="6">
        <v>44.5</v>
      </c>
      <c r="U237" s="6">
        <v>45.6</v>
      </c>
      <c r="V237" s="6">
        <v>44.5</v>
      </c>
      <c r="W237" s="6">
        <v>42.5</v>
      </c>
      <c r="X237" s="10">
        <f t="shared" si="144"/>
        <v>-9.2192053996011311E-2</v>
      </c>
      <c r="Y237" s="10">
        <f t="shared" si="145"/>
        <v>-0.11919005982512623</v>
      </c>
      <c r="Z237" s="10">
        <f t="shared" si="146"/>
        <v>-9.21920539960117E-2</v>
      </c>
      <c r="AA237" s="10">
        <f t="shared" si="147"/>
        <v>-4.3104770670347889E-2</v>
      </c>
      <c r="AB237" s="2">
        <f t="shared" si="125"/>
        <v>-8.6669734621874286E-2</v>
      </c>
      <c r="AC237" s="6">
        <v>52</v>
      </c>
      <c r="AD237" s="6">
        <v>45</v>
      </c>
      <c r="AE237" s="6">
        <v>45</v>
      </c>
      <c r="AF237" s="6">
        <v>45</v>
      </c>
      <c r="AG237" s="6">
        <v>45</v>
      </c>
      <c r="AH237" s="6">
        <v>45</v>
      </c>
      <c r="AI237" s="6">
        <v>45</v>
      </c>
      <c r="AJ237" s="6">
        <v>45</v>
      </c>
      <c r="AK237" s="10">
        <f t="shared" si="148"/>
        <v>0.13461538461538461</v>
      </c>
      <c r="AL237" s="10">
        <f t="shared" si="149"/>
        <v>0</v>
      </c>
      <c r="AM237" s="10">
        <f t="shared" si="150"/>
        <v>0</v>
      </c>
      <c r="AN237" s="10">
        <f t="shared" si="151"/>
        <v>0</v>
      </c>
      <c r="AO237" s="2">
        <f t="shared" si="130"/>
        <v>3.3653846153846152E-2</v>
      </c>
      <c r="AP237" s="2">
        <v>1</v>
      </c>
      <c r="AQ237" s="2">
        <v>1</v>
      </c>
      <c r="AR237" s="2">
        <v>1</v>
      </c>
      <c r="AS237" s="2">
        <v>1</v>
      </c>
      <c r="AT237" s="2">
        <v>0</v>
      </c>
      <c r="AU237" s="2">
        <v>0</v>
      </c>
      <c r="AV237" s="2">
        <v>0</v>
      </c>
      <c r="AW237" s="2">
        <v>0</v>
      </c>
      <c r="AX237" s="10">
        <f t="shared" si="152"/>
        <v>1</v>
      </c>
      <c r="AY237" s="10">
        <f t="shared" si="153"/>
        <v>1</v>
      </c>
      <c r="AZ237" s="10">
        <f t="shared" si="154"/>
        <v>1</v>
      </c>
      <c r="BA237" s="10">
        <f t="shared" si="155"/>
        <v>1</v>
      </c>
      <c r="BB237" s="2" t="str">
        <f t="shared" si="135"/>
        <v>NA</v>
      </c>
      <c r="BC237" s="6">
        <v>0</v>
      </c>
      <c r="BD237" s="6">
        <v>0</v>
      </c>
      <c r="BE237" s="6">
        <v>0</v>
      </c>
      <c r="BF237" s="6">
        <v>0</v>
      </c>
      <c r="BG237" s="6">
        <v>0</v>
      </c>
      <c r="BH237" s="6">
        <v>0</v>
      </c>
      <c r="BI237" s="6">
        <v>0</v>
      </c>
      <c r="BJ237" s="6">
        <v>0</v>
      </c>
      <c r="BK237" s="10" t="str">
        <f t="shared" si="156"/>
        <v/>
      </c>
      <c r="BL237" s="10" t="str">
        <f t="shared" si="157"/>
        <v/>
      </c>
      <c r="BM237" s="10" t="str">
        <f t="shared" si="158"/>
        <v/>
      </c>
      <c r="BN237" s="10" t="str">
        <f t="shared" si="159"/>
        <v/>
      </c>
      <c r="BO237" s="2" t="str">
        <f t="shared" si="140"/>
        <v>NA</v>
      </c>
      <c r="BP237" s="10">
        <v>4.0096553276288582E-2</v>
      </c>
      <c r="BQ237" s="10">
        <v>2.2933817855032346E-2</v>
      </c>
      <c r="BR237" s="10">
        <v>1.5798546044414441E-2</v>
      </c>
      <c r="BS237" s="10">
        <v>1.9922045057383986E-2</v>
      </c>
      <c r="BT237" s="11" t="s">
        <v>460</v>
      </c>
    </row>
    <row r="238" spans="1:72">
      <c r="A238">
        <f>COUNTIFS($J$7:J238,J238,$N$7:N238,N238,$E$7:E238,E238)</f>
        <v>51</v>
      </c>
      <c r="B238" s="16" t="str">
        <f t="shared" si="141"/>
        <v>Low</v>
      </c>
      <c r="C238" s="16" t="str">
        <f t="shared" si="142"/>
        <v>51LowNoTechnology</v>
      </c>
      <c r="D238" s="1">
        <v>28038</v>
      </c>
      <c r="E238" s="1" t="s">
        <v>23</v>
      </c>
      <c r="F238" s="1" t="s">
        <v>39</v>
      </c>
      <c r="G238" s="1" t="s">
        <v>346</v>
      </c>
      <c r="H238" s="1">
        <v>46</v>
      </c>
      <c r="I238" s="1" t="s">
        <v>44</v>
      </c>
      <c r="J238" s="1" t="s">
        <v>27</v>
      </c>
      <c r="K238" s="1">
        <v>1</v>
      </c>
      <c r="L238" s="1">
        <v>1</v>
      </c>
      <c r="M238" s="2">
        <v>0.17621106787548688</v>
      </c>
      <c r="N238" s="27" t="str">
        <f t="shared" si="143"/>
        <v>Low</v>
      </c>
      <c r="O238" s="1">
        <v>1</v>
      </c>
      <c r="P238" s="6">
        <v>41.210435291107352</v>
      </c>
      <c r="Q238" s="6">
        <v>43.239707342390979</v>
      </c>
      <c r="R238" s="6">
        <v>41.073996950005643</v>
      </c>
      <c r="S238" s="6">
        <v>42.300460864741183</v>
      </c>
      <c r="T238" s="6">
        <v>0</v>
      </c>
      <c r="U238" s="6">
        <v>0</v>
      </c>
      <c r="V238" s="6">
        <v>0</v>
      </c>
      <c r="W238" s="6">
        <v>0</v>
      </c>
      <c r="X238" s="10">
        <f t="shared" si="144"/>
        <v>1</v>
      </c>
      <c r="Y238" s="10">
        <f t="shared" si="145"/>
        <v>1</v>
      </c>
      <c r="Z238" s="10">
        <f t="shared" si="146"/>
        <v>1</v>
      </c>
      <c r="AA238" s="10">
        <f t="shared" si="147"/>
        <v>1</v>
      </c>
      <c r="AB238" s="2" t="str">
        <f t="shared" si="125"/>
        <v>NA</v>
      </c>
      <c r="AC238" s="6">
        <v>47</v>
      </c>
      <c r="AD238" s="6">
        <v>44</v>
      </c>
      <c r="AE238" s="6">
        <v>44</v>
      </c>
      <c r="AF238" s="6">
        <v>44</v>
      </c>
      <c r="AG238" s="6">
        <v>0</v>
      </c>
      <c r="AH238" s="6">
        <v>0</v>
      </c>
      <c r="AI238" s="6">
        <v>0</v>
      </c>
      <c r="AJ238" s="6">
        <v>0</v>
      </c>
      <c r="AK238" s="10">
        <f t="shared" si="148"/>
        <v>1</v>
      </c>
      <c r="AL238" s="10">
        <f t="shared" si="149"/>
        <v>1</v>
      </c>
      <c r="AM238" s="10">
        <f t="shared" si="150"/>
        <v>1</v>
      </c>
      <c r="AN238" s="10">
        <f t="shared" si="151"/>
        <v>1</v>
      </c>
      <c r="AO238" s="2" t="str">
        <f t="shared" si="130"/>
        <v>NA</v>
      </c>
      <c r="AP238" s="2">
        <v>1</v>
      </c>
      <c r="AQ238" s="2">
        <v>1</v>
      </c>
      <c r="AR238" s="2">
        <v>1</v>
      </c>
      <c r="AS238" s="2">
        <v>1</v>
      </c>
      <c r="AT238" s="2">
        <v>0</v>
      </c>
      <c r="AU238" s="2">
        <v>0</v>
      </c>
      <c r="AV238" s="2">
        <v>0</v>
      </c>
      <c r="AW238" s="2">
        <v>0</v>
      </c>
      <c r="AX238" s="10">
        <f t="shared" si="152"/>
        <v>1</v>
      </c>
      <c r="AY238" s="10">
        <f t="shared" si="153"/>
        <v>1</v>
      </c>
      <c r="AZ238" s="10">
        <f t="shared" si="154"/>
        <v>1</v>
      </c>
      <c r="BA238" s="10">
        <f t="shared" si="155"/>
        <v>1</v>
      </c>
      <c r="BB238" s="2" t="str">
        <f t="shared" si="135"/>
        <v>NA</v>
      </c>
      <c r="BC238" s="6">
        <v>0</v>
      </c>
      <c r="BD238" s="6">
        <v>0</v>
      </c>
      <c r="BE238" s="6">
        <v>0</v>
      </c>
      <c r="BF238" s="6">
        <v>0</v>
      </c>
      <c r="BG238" s="6">
        <v>0</v>
      </c>
      <c r="BH238" s="6">
        <v>0</v>
      </c>
      <c r="BI238" s="6">
        <v>0</v>
      </c>
      <c r="BJ238" s="6">
        <v>0</v>
      </c>
      <c r="BK238" s="10" t="str">
        <f t="shared" si="156"/>
        <v/>
      </c>
      <c r="BL238" s="10" t="str">
        <f t="shared" si="157"/>
        <v/>
      </c>
      <c r="BM238" s="10" t="str">
        <f t="shared" si="158"/>
        <v/>
      </c>
      <c r="BN238" s="10" t="str">
        <f t="shared" si="159"/>
        <v/>
      </c>
      <c r="BO238" s="2" t="str">
        <f t="shared" si="140"/>
        <v>NA</v>
      </c>
      <c r="BP238" s="10">
        <v>-1.9146188451352075E-2</v>
      </c>
      <c r="BQ238" s="10">
        <v>3.3305417148200567E-3</v>
      </c>
      <c r="BR238" s="10">
        <v>3.5892926945935155E-3</v>
      </c>
      <c r="BS238" s="10">
        <v>3.7435791388489292E-3</v>
      </c>
      <c r="BT238" s="11" t="s">
        <v>460</v>
      </c>
    </row>
    <row r="239" spans="1:72">
      <c r="A239">
        <f>COUNTIFS($J$7:J239,J239,$N$7:N239,N239,$E$7:E239,E239)</f>
        <v>7</v>
      </c>
      <c r="B239" s="16" t="str">
        <f t="shared" si="141"/>
        <v>Critical</v>
      </c>
      <c r="C239" s="16" t="str">
        <f t="shared" si="142"/>
        <v>7CriticalNoTechnology</v>
      </c>
      <c r="D239" s="1">
        <v>28041</v>
      </c>
      <c r="E239" s="1" t="s">
        <v>23</v>
      </c>
      <c r="F239" s="1" t="s">
        <v>24</v>
      </c>
      <c r="G239" s="1" t="s">
        <v>347</v>
      </c>
      <c r="H239" s="1">
        <v>4</v>
      </c>
      <c r="I239" s="1" t="s">
        <v>156</v>
      </c>
      <c r="J239" s="1" t="s">
        <v>27</v>
      </c>
      <c r="K239" s="1">
        <v>1</v>
      </c>
      <c r="L239" s="1">
        <v>1</v>
      </c>
      <c r="M239" s="2">
        <v>-4.6309998544014658E-2</v>
      </c>
      <c r="N239" s="27" t="str">
        <f t="shared" si="143"/>
        <v>Critical</v>
      </c>
      <c r="O239" s="1">
        <v>1</v>
      </c>
      <c r="P239" s="6">
        <v>4.2543263213774702</v>
      </c>
      <c r="Q239" s="6">
        <v>3.9818251107992042</v>
      </c>
      <c r="R239" s="6">
        <v>3.7282833615532978</v>
      </c>
      <c r="S239" s="6">
        <v>3.4923930193214452</v>
      </c>
      <c r="T239" s="6">
        <v>3</v>
      </c>
      <c r="U239" s="6">
        <v>3</v>
      </c>
      <c r="V239" s="6">
        <v>3</v>
      </c>
      <c r="W239" s="6">
        <v>3</v>
      </c>
      <c r="X239" s="10">
        <f t="shared" si="144"/>
        <v>0.29483547490812673</v>
      </c>
      <c r="Y239" s="10">
        <f t="shared" si="145"/>
        <v>0.24657665353919553</v>
      </c>
      <c r="Z239" s="10">
        <f t="shared" si="146"/>
        <v>0.19534013134931794</v>
      </c>
      <c r="AA239" s="10">
        <f t="shared" si="147"/>
        <v>0.14099015105038629</v>
      </c>
      <c r="AB239" s="2">
        <f t="shared" si="125"/>
        <v>0.21943560271175661</v>
      </c>
      <c r="AC239" s="6">
        <v>4</v>
      </c>
      <c r="AD239" s="6">
        <v>4</v>
      </c>
      <c r="AE239" s="6">
        <v>4</v>
      </c>
      <c r="AF239" s="6">
        <v>4</v>
      </c>
      <c r="AG239" s="6">
        <v>1.75</v>
      </c>
      <c r="AH239" s="6">
        <v>1.4</v>
      </c>
      <c r="AI239" s="6">
        <v>1</v>
      </c>
      <c r="AJ239" s="6">
        <v>1.25</v>
      </c>
      <c r="AK239" s="10">
        <f t="shared" si="148"/>
        <v>0.5625</v>
      </c>
      <c r="AL239" s="10">
        <f t="shared" si="149"/>
        <v>0.65</v>
      </c>
      <c r="AM239" s="10">
        <f t="shared" si="150"/>
        <v>0.75</v>
      </c>
      <c r="AN239" s="10">
        <f t="shared" si="151"/>
        <v>0.6875</v>
      </c>
      <c r="AO239" s="2">
        <f t="shared" si="130"/>
        <v>0.66249999999999998</v>
      </c>
      <c r="AP239" s="2">
        <v>0</v>
      </c>
      <c r="AQ239" s="2">
        <v>0</v>
      </c>
      <c r="AR239" s="2">
        <v>0</v>
      </c>
      <c r="AS239" s="2">
        <v>0</v>
      </c>
      <c r="AT239" s="2">
        <v>0.85</v>
      </c>
      <c r="AU239" s="2">
        <v>0.85</v>
      </c>
      <c r="AV239" s="2">
        <v>0.85</v>
      </c>
      <c r="AW239" s="2">
        <v>0.85</v>
      </c>
      <c r="AX239" s="10" t="str">
        <f t="shared" si="152"/>
        <v/>
      </c>
      <c r="AY239" s="10" t="str">
        <f t="shared" si="153"/>
        <v/>
      </c>
      <c r="AZ239" s="10" t="str">
        <f t="shared" si="154"/>
        <v/>
      </c>
      <c r="BA239" s="10" t="str">
        <f t="shared" si="155"/>
        <v/>
      </c>
      <c r="BB239" s="2" t="str">
        <f t="shared" si="135"/>
        <v>NA</v>
      </c>
      <c r="BC239" s="6">
        <v>4003.11</v>
      </c>
      <c r="BD239" s="6">
        <v>3107.12</v>
      </c>
      <c r="BE239" s="6">
        <v>3142.45</v>
      </c>
      <c r="BF239" s="6">
        <v>2981.05</v>
      </c>
      <c r="BG239" s="6">
        <v>986</v>
      </c>
      <c r="BH239" s="6">
        <v>1096</v>
      </c>
      <c r="BI239" s="6">
        <v>792</v>
      </c>
      <c r="BJ239" s="6">
        <v>825</v>
      </c>
      <c r="BK239" s="10">
        <f t="shared" si="156"/>
        <v>0.75369150485497527</v>
      </c>
      <c r="BL239" s="10">
        <f t="shared" si="157"/>
        <v>0.64726177296016885</v>
      </c>
      <c r="BM239" s="10">
        <f t="shared" si="158"/>
        <v>0.74796735031583639</v>
      </c>
      <c r="BN239" s="10">
        <f t="shared" si="159"/>
        <v>0.72325187433957838</v>
      </c>
      <c r="BO239" s="2">
        <f t="shared" si="140"/>
        <v>0.71804312561763972</v>
      </c>
      <c r="BP239" s="10">
        <v>-0.28067433188494373</v>
      </c>
      <c r="BQ239" s="10">
        <v>0.42749543545568058</v>
      </c>
      <c r="BR239" s="10">
        <v>0.44489504396552165</v>
      </c>
      <c r="BS239" s="10">
        <v>0.40552412105988539</v>
      </c>
      <c r="BT239" s="11" t="s">
        <v>458</v>
      </c>
    </row>
    <row r="240" spans="1:72">
      <c r="A240">
        <f>COUNTIFS($J$7:J240,J240,$N$7:N240,N240,$E$7:E240,E240)</f>
        <v>8</v>
      </c>
      <c r="B240" s="16" t="str">
        <f t="shared" si="141"/>
        <v>Medium</v>
      </c>
      <c r="C240" s="16" t="str">
        <f t="shared" si="142"/>
        <v>8MediumNoTechnology</v>
      </c>
      <c r="D240" s="1">
        <v>28043</v>
      </c>
      <c r="E240" s="1" t="s">
        <v>23</v>
      </c>
      <c r="F240" s="1" t="s">
        <v>24</v>
      </c>
      <c r="G240" s="1" t="s">
        <v>348</v>
      </c>
      <c r="H240" s="1">
        <v>26</v>
      </c>
      <c r="I240" s="1" t="s">
        <v>156</v>
      </c>
      <c r="J240" s="1" t="s">
        <v>27</v>
      </c>
      <c r="K240" s="1">
        <v>1</v>
      </c>
      <c r="L240" s="1">
        <v>1</v>
      </c>
      <c r="M240" s="2">
        <v>5.8659537783723195E-2</v>
      </c>
      <c r="N240" s="27" t="str">
        <f t="shared" si="143"/>
        <v>Medium</v>
      </c>
      <c r="O240" s="1">
        <v>1</v>
      </c>
      <c r="P240" s="6">
        <v>22.906268898745889</v>
      </c>
      <c r="Q240" s="6">
        <v>22.16323410693542</v>
      </c>
      <c r="R240" s="6">
        <v>21.448715364438819</v>
      </c>
      <c r="S240" s="6">
        <v>20.76164764900226</v>
      </c>
      <c r="T240" s="6">
        <v>23</v>
      </c>
      <c r="U240" s="6">
        <v>22.2</v>
      </c>
      <c r="V240" s="6">
        <v>21.5</v>
      </c>
      <c r="W240" s="6">
        <v>21</v>
      </c>
      <c r="X240" s="10">
        <f t="shared" si="144"/>
        <v>-4.0919410170393413E-3</v>
      </c>
      <c r="Y240" s="10">
        <f t="shared" si="145"/>
        <v>-1.6588685968477231E-3</v>
      </c>
      <c r="Z240" s="10">
        <f t="shared" si="146"/>
        <v>-2.3910352993079197E-3</v>
      </c>
      <c r="AA240" s="10">
        <f t="shared" si="147"/>
        <v>-1.1480415958662827E-2</v>
      </c>
      <c r="AB240" s="2">
        <f t="shared" si="125"/>
        <v>-4.9055652179644527E-3</v>
      </c>
      <c r="AC240" s="6">
        <v>24</v>
      </c>
      <c r="AD240" s="6">
        <v>23</v>
      </c>
      <c r="AE240" s="6">
        <v>23</v>
      </c>
      <c r="AF240" s="6">
        <v>23</v>
      </c>
      <c r="AG240" s="6">
        <v>29</v>
      </c>
      <c r="AH240" s="6">
        <v>23.6</v>
      </c>
      <c r="AI240" s="6">
        <v>20.75</v>
      </c>
      <c r="AJ240" s="6">
        <v>20.75</v>
      </c>
      <c r="AK240" s="10">
        <f t="shared" si="148"/>
        <v>-0.20833333333333334</v>
      </c>
      <c r="AL240" s="10">
        <f t="shared" si="149"/>
        <v>-2.6086956521739191E-2</v>
      </c>
      <c r="AM240" s="10">
        <f t="shared" si="150"/>
        <v>9.7826086956521743E-2</v>
      </c>
      <c r="AN240" s="10">
        <f t="shared" si="151"/>
        <v>9.7826086956521743E-2</v>
      </c>
      <c r="AO240" s="2">
        <f t="shared" si="130"/>
        <v>-9.692028985507261E-3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U240" s="2">
        <v>0</v>
      </c>
      <c r="AV240" s="2">
        <v>0</v>
      </c>
      <c r="AW240" s="2">
        <v>0</v>
      </c>
      <c r="AX240" s="10" t="str">
        <f t="shared" si="152"/>
        <v/>
      </c>
      <c r="AY240" s="10" t="str">
        <f t="shared" si="153"/>
        <v/>
      </c>
      <c r="AZ240" s="10" t="str">
        <f t="shared" si="154"/>
        <v/>
      </c>
      <c r="BA240" s="10" t="str">
        <f t="shared" si="155"/>
        <v/>
      </c>
      <c r="BB240" s="2" t="str">
        <f t="shared" si="135"/>
        <v>NA</v>
      </c>
      <c r="BC240" s="6">
        <v>15856.1</v>
      </c>
      <c r="BD240" s="6">
        <v>13304.46</v>
      </c>
      <c r="BE240" s="6">
        <v>12035.68</v>
      </c>
      <c r="BF240" s="6">
        <v>11743.26</v>
      </c>
      <c r="BG240" s="6">
        <v>15433</v>
      </c>
      <c r="BH240" s="6">
        <v>15600</v>
      </c>
      <c r="BI240" s="6">
        <v>10846</v>
      </c>
      <c r="BJ240" s="6">
        <v>10885</v>
      </c>
      <c r="BK240" s="10">
        <f t="shared" si="156"/>
        <v>2.6683736858369986E-2</v>
      </c>
      <c r="BL240" s="10">
        <f t="shared" si="157"/>
        <v>-0.17253913349358044</v>
      </c>
      <c r="BM240" s="10">
        <f t="shared" si="158"/>
        <v>9.8846097603126723E-2</v>
      </c>
      <c r="BN240" s="10">
        <f t="shared" si="159"/>
        <v>7.3085327243031337E-2</v>
      </c>
      <c r="BO240" s="2">
        <f t="shared" si="140"/>
        <v>6.5190070527368985E-3</v>
      </c>
      <c r="BP240" s="10">
        <v>9.7080372481911592E-2</v>
      </c>
      <c r="BQ240" s="10">
        <v>8.9364993221226541E-2</v>
      </c>
      <c r="BR240" s="10">
        <v>0.26521988645222422</v>
      </c>
      <c r="BS240" s="10">
        <v>1.162045492153374E-2</v>
      </c>
      <c r="BT240" s="11" t="s">
        <v>458</v>
      </c>
    </row>
    <row r="241" spans="1:72">
      <c r="A241">
        <f>COUNTIFS($J$7:J241,J241,$N$7:N241,N241,$E$7:E241,E241)</f>
        <v>6</v>
      </c>
      <c r="B241" s="16" t="str">
        <f t="shared" si="141"/>
        <v>Critical</v>
      </c>
      <c r="C241" s="16" t="str">
        <f t="shared" si="142"/>
        <v>6CriticalNoBFIMG</v>
      </c>
      <c r="D241" s="1">
        <v>28044</v>
      </c>
      <c r="E241" s="1" t="s">
        <v>20</v>
      </c>
      <c r="F241" s="1" t="s">
        <v>230</v>
      </c>
      <c r="G241" s="1" t="s">
        <v>349</v>
      </c>
      <c r="H241" s="1">
        <v>6</v>
      </c>
      <c r="I241" s="1" t="s">
        <v>78</v>
      </c>
      <c r="J241" s="1" t="s">
        <v>27</v>
      </c>
      <c r="K241" s="1">
        <v>1</v>
      </c>
      <c r="L241" s="1">
        <v>1</v>
      </c>
      <c r="M241" s="2">
        <v>-0.11078554958480519</v>
      </c>
      <c r="N241" s="27" t="str">
        <f t="shared" si="143"/>
        <v>Critical</v>
      </c>
      <c r="O241" s="1">
        <v>0</v>
      </c>
      <c r="P241" s="6">
        <v>0</v>
      </c>
      <c r="Q241" s="6">
        <v>0</v>
      </c>
      <c r="R241" s="6">
        <v>0</v>
      </c>
      <c r="S241" s="6">
        <v>0</v>
      </c>
      <c r="T241" s="6" t="s">
        <v>422</v>
      </c>
      <c r="U241" s="6" t="s">
        <v>422</v>
      </c>
      <c r="V241" s="6" t="s">
        <v>422</v>
      </c>
      <c r="W241" s="6" t="s">
        <v>422</v>
      </c>
      <c r="X241" s="10" t="str">
        <f t="shared" si="144"/>
        <v/>
      </c>
      <c r="Y241" s="10" t="str">
        <f t="shared" si="145"/>
        <v/>
      </c>
      <c r="Z241" s="10" t="str">
        <f t="shared" si="146"/>
        <v/>
      </c>
      <c r="AA241" s="10" t="str">
        <f t="shared" si="147"/>
        <v/>
      </c>
      <c r="AB241" s="2" t="str">
        <f t="shared" si="125"/>
        <v>NA</v>
      </c>
      <c r="AC241" s="6">
        <v>0</v>
      </c>
      <c r="AD241" s="6">
        <v>0</v>
      </c>
      <c r="AE241" s="6">
        <v>0</v>
      </c>
      <c r="AF241" s="6">
        <v>0</v>
      </c>
      <c r="AG241" s="6" t="s">
        <v>422</v>
      </c>
      <c r="AH241" s="6" t="s">
        <v>422</v>
      </c>
      <c r="AI241" s="6" t="s">
        <v>422</v>
      </c>
      <c r="AJ241" s="6" t="s">
        <v>422</v>
      </c>
      <c r="AK241" s="10" t="str">
        <f t="shared" si="148"/>
        <v/>
      </c>
      <c r="AL241" s="10" t="str">
        <f t="shared" si="149"/>
        <v/>
      </c>
      <c r="AM241" s="10" t="str">
        <f t="shared" si="150"/>
        <v/>
      </c>
      <c r="AN241" s="10" t="str">
        <f t="shared" si="151"/>
        <v/>
      </c>
      <c r="AO241" s="2" t="str">
        <f t="shared" si="130"/>
        <v>NA</v>
      </c>
      <c r="AP241" s="2">
        <v>0</v>
      </c>
      <c r="AQ241" s="2">
        <v>0</v>
      </c>
      <c r="AR241" s="2">
        <v>0</v>
      </c>
      <c r="AS241" s="2">
        <v>0</v>
      </c>
      <c r="AT241" s="2" t="s">
        <v>422</v>
      </c>
      <c r="AU241" s="2" t="s">
        <v>422</v>
      </c>
      <c r="AV241" s="2" t="s">
        <v>422</v>
      </c>
      <c r="AW241" s="2" t="s">
        <v>422</v>
      </c>
      <c r="AX241" s="10" t="str">
        <f t="shared" si="152"/>
        <v/>
      </c>
      <c r="AY241" s="10" t="str">
        <f t="shared" si="153"/>
        <v/>
      </c>
      <c r="AZ241" s="10" t="str">
        <f t="shared" si="154"/>
        <v/>
      </c>
      <c r="BA241" s="10" t="str">
        <f t="shared" si="155"/>
        <v/>
      </c>
      <c r="BB241" s="2" t="str">
        <f t="shared" si="135"/>
        <v>NA</v>
      </c>
      <c r="BC241" s="6">
        <v>6800</v>
      </c>
      <c r="BD241" s="6">
        <v>6800</v>
      </c>
      <c r="BE241" s="6">
        <v>6800</v>
      </c>
      <c r="BF241" s="6">
        <v>6800</v>
      </c>
      <c r="BG241" s="6" t="s">
        <v>422</v>
      </c>
      <c r="BH241" s="6" t="s">
        <v>422</v>
      </c>
      <c r="BI241" s="6" t="s">
        <v>422</v>
      </c>
      <c r="BJ241" s="6" t="s">
        <v>422</v>
      </c>
      <c r="BK241" s="10" t="str">
        <f t="shared" si="156"/>
        <v/>
      </c>
      <c r="BL241" s="10" t="str">
        <f t="shared" si="157"/>
        <v/>
      </c>
      <c r="BM241" s="10" t="str">
        <f t="shared" si="158"/>
        <v/>
      </c>
      <c r="BN241" s="10" t="str">
        <f t="shared" si="159"/>
        <v/>
      </c>
      <c r="BO241" s="2" t="str">
        <f t="shared" si="140"/>
        <v>NA</v>
      </c>
      <c r="BP241" s="10">
        <v>-0.55217994608354237</v>
      </c>
      <c r="BQ241" s="10">
        <v>-0.38677751267875238</v>
      </c>
      <c r="BR241" s="10">
        <v>-0.52689976673403149</v>
      </c>
      <c r="BS241" s="10">
        <v>-0.32601148834601201</v>
      </c>
      <c r="BT241" s="11">
        <v>0</v>
      </c>
    </row>
    <row r="242" spans="1:72">
      <c r="A242">
        <f>COUNTIFS($J$7:J242,J242,$N$7:N242,N242,$E$7:E242,E242)</f>
        <v>25</v>
      </c>
      <c r="B242" s="16" t="str">
        <f t="shared" si="141"/>
        <v>Low</v>
      </c>
      <c r="C242" s="16" t="str">
        <f t="shared" si="142"/>
        <v>25LowYesTelecom-AT&amp;T</v>
      </c>
      <c r="D242" s="1">
        <v>28046</v>
      </c>
      <c r="E242" s="11" t="s">
        <v>484</v>
      </c>
      <c r="F242" s="1" t="s">
        <v>6</v>
      </c>
      <c r="G242" s="1" t="s">
        <v>350</v>
      </c>
      <c r="H242" s="1">
        <v>76</v>
      </c>
      <c r="I242" s="1" t="s">
        <v>8</v>
      </c>
      <c r="J242" s="1" t="s">
        <v>9</v>
      </c>
      <c r="K242" s="1">
        <v>1</v>
      </c>
      <c r="L242" s="1">
        <v>1</v>
      </c>
      <c r="M242" s="2">
        <v>0.10706587284536893</v>
      </c>
      <c r="N242" s="27" t="str">
        <f t="shared" si="143"/>
        <v>Low</v>
      </c>
      <c r="O242" s="1">
        <v>1</v>
      </c>
      <c r="P242" s="6">
        <v>71.783249999999995</v>
      </c>
      <c r="Q242" s="6">
        <v>71.22189516129032</v>
      </c>
      <c r="R242" s="6">
        <v>68.718125000000001</v>
      </c>
      <c r="S242" s="6">
        <v>68.223749999999995</v>
      </c>
      <c r="T242" s="6">
        <v>72.25</v>
      </c>
      <c r="U242" s="6">
        <v>71.2</v>
      </c>
      <c r="V242" s="6">
        <v>76</v>
      </c>
      <c r="W242" s="6">
        <v>0</v>
      </c>
      <c r="X242" s="10">
        <f t="shared" si="144"/>
        <v>-6.5022132600572515E-3</v>
      </c>
      <c r="Y242" s="10">
        <f t="shared" si="145"/>
        <v>3.0742177304791908E-4</v>
      </c>
      <c r="Z242" s="10">
        <f t="shared" si="146"/>
        <v>-0.10596731211743626</v>
      </c>
      <c r="AA242" s="10">
        <f t="shared" si="147"/>
        <v>1</v>
      </c>
      <c r="AB242" s="2">
        <f t="shared" si="125"/>
        <v>-3.738736786814853E-2</v>
      </c>
      <c r="AC242" s="6">
        <v>73.890882034632028</v>
      </c>
      <c r="AD242" s="6">
        <v>71.759684456168813</v>
      </c>
      <c r="AE242" s="6">
        <v>82.322341484273309</v>
      </c>
      <c r="AF242" s="6">
        <v>80.437719451391303</v>
      </c>
      <c r="AG242" s="6">
        <v>73.75</v>
      </c>
      <c r="AH242" s="6">
        <v>73.2</v>
      </c>
      <c r="AI242" s="6">
        <v>78</v>
      </c>
      <c r="AJ242" s="6">
        <v>0</v>
      </c>
      <c r="AK242" s="10">
        <f t="shared" si="148"/>
        <v>1.9066227219482655E-3</v>
      </c>
      <c r="AL242" s="10">
        <f t="shared" si="149"/>
        <v>-2.0071375100749533E-2</v>
      </c>
      <c r="AM242" s="10">
        <f t="shared" si="150"/>
        <v>5.250508435913525E-2</v>
      </c>
      <c r="AN242" s="10">
        <f t="shared" si="151"/>
        <v>1</v>
      </c>
      <c r="AO242" s="2">
        <f t="shared" si="130"/>
        <v>1.1446777326777994E-2</v>
      </c>
      <c r="AP242" s="2">
        <v>0.65</v>
      </c>
      <c r="AQ242" s="2">
        <v>0.65</v>
      </c>
      <c r="AR242" s="2">
        <v>0.65</v>
      </c>
      <c r="AS242" s="2">
        <v>0.65</v>
      </c>
      <c r="AT242" s="2">
        <v>0.65</v>
      </c>
      <c r="AU242" s="2">
        <v>0.65</v>
      </c>
      <c r="AV242" s="2">
        <v>0.65</v>
      </c>
      <c r="AW242" s="2">
        <v>0</v>
      </c>
      <c r="AX242" s="10">
        <f t="shared" si="152"/>
        <v>0</v>
      </c>
      <c r="AY242" s="10">
        <f t="shared" si="153"/>
        <v>0</v>
      </c>
      <c r="AZ242" s="10">
        <f t="shared" si="154"/>
        <v>0</v>
      </c>
      <c r="BA242" s="10">
        <f t="shared" si="155"/>
        <v>1</v>
      </c>
      <c r="BB242" s="2">
        <f t="shared" si="135"/>
        <v>0</v>
      </c>
      <c r="BC242" s="6">
        <v>27486.263999999996</v>
      </c>
      <c r="BD242" s="6">
        <v>27583.274550000002</v>
      </c>
      <c r="BE242" s="6">
        <v>29193.579999999998</v>
      </c>
      <c r="BF242" s="6">
        <v>29522.631666666664</v>
      </c>
      <c r="BG242" s="6">
        <v>26122</v>
      </c>
      <c r="BH242" s="6">
        <v>32290</v>
      </c>
      <c r="BI242" s="6">
        <v>6951</v>
      </c>
      <c r="BJ242" s="6">
        <v>0</v>
      </c>
      <c r="BK242" s="10">
        <f t="shared" si="156"/>
        <v>4.9634391927545908E-2</v>
      </c>
      <c r="BL242" s="10">
        <f t="shared" si="157"/>
        <v>-0.17063693585285356</v>
      </c>
      <c r="BM242" s="10">
        <f t="shared" si="158"/>
        <v>0.76189970534617546</v>
      </c>
      <c r="BN242" s="10">
        <f t="shared" si="159"/>
        <v>1</v>
      </c>
      <c r="BO242" s="2">
        <f t="shared" si="140"/>
        <v>0.21363238714028929</v>
      </c>
      <c r="BP242" s="10">
        <v>6.3252296668724672E-2</v>
      </c>
      <c r="BQ242" s="10">
        <v>0.16218835579255381</v>
      </c>
      <c r="BR242" s="10">
        <v>0.14295000650281453</v>
      </c>
      <c r="BS242" s="10">
        <v>7.66454352219193E-2</v>
      </c>
      <c r="BT242" s="11" t="s">
        <v>458</v>
      </c>
    </row>
    <row r="243" spans="1:72">
      <c r="A243">
        <f>COUNTIFS($J$7:J243,J243,$N$7:N243,N243,$E$7:E243,E243)</f>
        <v>7</v>
      </c>
      <c r="B243" s="16" t="str">
        <f t="shared" si="141"/>
        <v>Critical</v>
      </c>
      <c r="C243" s="16" t="str">
        <f t="shared" si="142"/>
        <v>7CriticalNoBFIMG</v>
      </c>
      <c r="D243" s="1">
        <v>28051</v>
      </c>
      <c r="E243" s="1" t="s">
        <v>20</v>
      </c>
      <c r="F243" s="1" t="s">
        <v>177</v>
      </c>
      <c r="G243" s="1" t="s">
        <v>351</v>
      </c>
      <c r="H243" s="1">
        <v>70</v>
      </c>
      <c r="I243" s="1" t="s">
        <v>179</v>
      </c>
      <c r="J243" s="1" t="s">
        <v>27</v>
      </c>
      <c r="K243" s="1">
        <v>1</v>
      </c>
      <c r="L243" s="1">
        <v>1</v>
      </c>
      <c r="M243" s="2">
        <v>-2.0323332871296309E-2</v>
      </c>
      <c r="N243" s="27" t="str">
        <f t="shared" si="143"/>
        <v>Critical</v>
      </c>
      <c r="O243" s="1">
        <v>1</v>
      </c>
      <c r="P243" s="6">
        <v>51.578108416088192</v>
      </c>
      <c r="Q243" s="6">
        <v>47.210513652784243</v>
      </c>
      <c r="R243" s="6">
        <v>43.235731055927182</v>
      </c>
      <c r="S243" s="6">
        <v>63.626601504145</v>
      </c>
      <c r="T243" s="6">
        <v>50.5</v>
      </c>
      <c r="U243" s="6">
        <v>47</v>
      </c>
      <c r="V243" s="6">
        <v>42.5</v>
      </c>
      <c r="W243" s="6">
        <v>39.75</v>
      </c>
      <c r="X243" s="10">
        <f t="shared" si="144"/>
        <v>2.0902441931195545E-2</v>
      </c>
      <c r="Y243" s="10">
        <f t="shared" si="145"/>
        <v>4.4590417789667118E-3</v>
      </c>
      <c r="Z243" s="10">
        <f t="shared" si="146"/>
        <v>1.7016736804461204E-2</v>
      </c>
      <c r="AA243" s="10">
        <f t="shared" si="147"/>
        <v>0.37526130485830744</v>
      </c>
      <c r="AB243" s="2">
        <f t="shared" si="125"/>
        <v>0.10440988134323273</v>
      </c>
      <c r="AC243" s="6">
        <v>51.282051282051277</v>
      </c>
      <c r="AD243" s="6">
        <v>53.333333333333329</v>
      </c>
      <c r="AE243" s="6">
        <v>55.55555555555555</v>
      </c>
      <c r="AF243" s="6">
        <v>51.282051282051277</v>
      </c>
      <c r="AG243" s="6">
        <v>77.5</v>
      </c>
      <c r="AH243" s="6">
        <v>77.2</v>
      </c>
      <c r="AI243" s="6">
        <v>71.25</v>
      </c>
      <c r="AJ243" s="6">
        <v>69</v>
      </c>
      <c r="AK243" s="10">
        <f t="shared" si="148"/>
        <v>-0.51125000000000009</v>
      </c>
      <c r="AL243" s="10">
        <f t="shared" si="149"/>
        <v>-0.44750000000000018</v>
      </c>
      <c r="AM243" s="10">
        <f t="shared" si="150"/>
        <v>-0.28250000000000014</v>
      </c>
      <c r="AN243" s="10">
        <f t="shared" si="151"/>
        <v>-0.34550000000000014</v>
      </c>
      <c r="AO243" s="2">
        <f t="shared" si="130"/>
        <v>-0.39668750000000014</v>
      </c>
      <c r="AP243" s="2">
        <v>0</v>
      </c>
      <c r="AQ243" s="2">
        <v>0</v>
      </c>
      <c r="AR243" s="2">
        <v>0</v>
      </c>
      <c r="AS243" s="2">
        <v>0</v>
      </c>
      <c r="AT243" s="2">
        <v>0.75</v>
      </c>
      <c r="AU243" s="2">
        <v>0.75</v>
      </c>
      <c r="AV243" s="2">
        <v>0.75</v>
      </c>
      <c r="AW243" s="2">
        <v>0.75</v>
      </c>
      <c r="AX243" s="10" t="str">
        <f t="shared" si="152"/>
        <v/>
      </c>
      <c r="AY243" s="10" t="str">
        <f t="shared" si="153"/>
        <v/>
      </c>
      <c r="AZ243" s="10" t="str">
        <f t="shared" si="154"/>
        <v/>
      </c>
      <c r="BA243" s="10" t="str">
        <f t="shared" si="155"/>
        <v/>
      </c>
      <c r="BB243" s="2" t="str">
        <f t="shared" si="135"/>
        <v>NA</v>
      </c>
      <c r="BC243" s="6">
        <v>75000</v>
      </c>
      <c r="BD243" s="6">
        <v>75000</v>
      </c>
      <c r="BE243" s="6">
        <v>75000</v>
      </c>
      <c r="BF243" s="6">
        <v>75000</v>
      </c>
      <c r="BG243" s="6">
        <v>73761</v>
      </c>
      <c r="BH243" s="6">
        <v>94427</v>
      </c>
      <c r="BI243" s="6">
        <v>71756</v>
      </c>
      <c r="BJ243" s="6">
        <v>72154</v>
      </c>
      <c r="BK243" s="10">
        <f t="shared" si="156"/>
        <v>1.652E-2</v>
      </c>
      <c r="BL243" s="10">
        <f t="shared" si="157"/>
        <v>-0.25902666666666668</v>
      </c>
      <c r="BM243" s="10">
        <f t="shared" si="158"/>
        <v>4.3253333333333331E-2</v>
      </c>
      <c r="BN243" s="10">
        <f t="shared" si="159"/>
        <v>3.7946666666666663E-2</v>
      </c>
      <c r="BO243" s="2">
        <f t="shared" si="140"/>
        <v>-4.032666666666667E-2</v>
      </c>
      <c r="BP243" s="10">
        <v>0</v>
      </c>
      <c r="BQ243" s="10">
        <v>0</v>
      </c>
      <c r="BR243" s="10">
        <v>0</v>
      </c>
      <c r="BS243" s="10">
        <v>0</v>
      </c>
      <c r="BT243" s="11" t="s">
        <v>459</v>
      </c>
    </row>
    <row r="244" spans="1:72">
      <c r="A244">
        <f>COUNTIFS($J$7:J244,J244,$N$7:N244,N244,$E$7:E244,E244)</f>
        <v>8</v>
      </c>
      <c r="B244" s="16" t="str">
        <f t="shared" si="141"/>
        <v>Critical</v>
      </c>
      <c r="C244" s="16" t="str">
        <f t="shared" si="142"/>
        <v>8CriticalNoTechnology</v>
      </c>
      <c r="D244" s="1">
        <v>29001</v>
      </c>
      <c r="E244" s="1" t="s">
        <v>23</v>
      </c>
      <c r="F244" s="1" t="s">
        <v>24</v>
      </c>
      <c r="G244" s="1" t="s">
        <v>352</v>
      </c>
      <c r="H244" s="1">
        <v>17</v>
      </c>
      <c r="I244" s="1" t="s">
        <v>156</v>
      </c>
      <c r="J244" s="1" t="s">
        <v>27</v>
      </c>
      <c r="K244" s="1">
        <v>1</v>
      </c>
      <c r="L244" s="1">
        <v>1</v>
      </c>
      <c r="M244" s="2">
        <v>-1.7527067589635772</v>
      </c>
      <c r="N244" s="27" t="str">
        <f t="shared" si="143"/>
        <v>Critical</v>
      </c>
      <c r="O244" s="1">
        <v>1</v>
      </c>
      <c r="P244" s="6">
        <v>22.622931848539231</v>
      </c>
      <c r="Q244" s="6">
        <v>26.848581267493</v>
      </c>
      <c r="R244" s="6">
        <v>26.999620312499999</v>
      </c>
      <c r="S244" s="6">
        <v>26.54578522452093</v>
      </c>
      <c r="T244" s="6">
        <v>20</v>
      </c>
      <c r="U244" s="6">
        <v>19.399999999999999</v>
      </c>
      <c r="V244" s="6">
        <v>19</v>
      </c>
      <c r="W244" s="6">
        <v>18</v>
      </c>
      <c r="X244" s="10">
        <f t="shared" si="144"/>
        <v>0.11594128763238062</v>
      </c>
      <c r="Y244" s="10">
        <f t="shared" si="145"/>
        <v>0.27742923148462201</v>
      </c>
      <c r="Z244" s="10">
        <f t="shared" si="146"/>
        <v>0.29628640032380082</v>
      </c>
      <c r="AA244" s="10">
        <f t="shared" si="147"/>
        <v>0.32192625504356898</v>
      </c>
      <c r="AB244" s="2">
        <f t="shared" si="125"/>
        <v>0.2528957936210931</v>
      </c>
      <c r="AC244" s="6">
        <v>20</v>
      </c>
      <c r="AD244" s="6">
        <v>20</v>
      </c>
      <c r="AE244" s="6">
        <v>20</v>
      </c>
      <c r="AF244" s="6">
        <v>20</v>
      </c>
      <c r="AG244" s="6">
        <v>0</v>
      </c>
      <c r="AH244" s="6">
        <v>0</v>
      </c>
      <c r="AI244" s="6">
        <v>0</v>
      </c>
      <c r="AJ244" s="6">
        <v>0</v>
      </c>
      <c r="AK244" s="10">
        <f t="shared" si="148"/>
        <v>1</v>
      </c>
      <c r="AL244" s="10">
        <f t="shared" si="149"/>
        <v>1</v>
      </c>
      <c r="AM244" s="10">
        <f t="shared" si="150"/>
        <v>1</v>
      </c>
      <c r="AN244" s="10">
        <f t="shared" si="151"/>
        <v>1</v>
      </c>
      <c r="AO244" s="2" t="str">
        <f t="shared" si="130"/>
        <v>NA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U244" s="2">
        <v>0</v>
      </c>
      <c r="AV244" s="2">
        <v>0</v>
      </c>
      <c r="AW244" s="2">
        <v>0</v>
      </c>
      <c r="AX244" s="10" t="str">
        <f t="shared" si="152"/>
        <v/>
      </c>
      <c r="AY244" s="10" t="str">
        <f t="shared" si="153"/>
        <v/>
      </c>
      <c r="AZ244" s="10" t="str">
        <f t="shared" si="154"/>
        <v/>
      </c>
      <c r="BA244" s="10" t="str">
        <f t="shared" si="155"/>
        <v/>
      </c>
      <c r="BB244" s="2" t="str">
        <f t="shared" si="135"/>
        <v>NA</v>
      </c>
      <c r="BC244" s="6">
        <v>8618</v>
      </c>
      <c r="BD244" s="6">
        <v>8582</v>
      </c>
      <c r="BE244" s="6">
        <v>7048</v>
      </c>
      <c r="BF244" s="6">
        <v>7616</v>
      </c>
      <c r="BG244" s="6">
        <v>8943</v>
      </c>
      <c r="BH244" s="6">
        <v>9884</v>
      </c>
      <c r="BI244" s="6">
        <v>7247</v>
      </c>
      <c r="BJ244" s="6">
        <v>6388</v>
      </c>
      <c r="BK244" s="10">
        <f t="shared" si="156"/>
        <v>-3.7711766071014154E-2</v>
      </c>
      <c r="BL244" s="10">
        <f t="shared" si="157"/>
        <v>-0.15171288743882544</v>
      </c>
      <c r="BM244" s="10">
        <f t="shared" si="158"/>
        <v>-2.8234960272417706E-2</v>
      </c>
      <c r="BN244" s="10">
        <f t="shared" si="159"/>
        <v>0.16123949579831934</v>
      </c>
      <c r="BO244" s="2">
        <f t="shared" si="140"/>
        <v>-1.4105029495984488E-2</v>
      </c>
      <c r="BP244" s="10">
        <v>-0.27565614531106253</v>
      </c>
      <c r="BQ244" s="10">
        <v>0.12930325764361567</v>
      </c>
      <c r="BR244" s="10">
        <v>0.24843394113310979</v>
      </c>
      <c r="BS244" s="10">
        <v>0.17905737075430828</v>
      </c>
      <c r="BT244" s="11" t="s">
        <v>458</v>
      </c>
    </row>
    <row r="245" spans="1:72">
      <c r="A245">
        <f>COUNTIFS($J$7:J245,J245,$N$7:N245,N245,$E$7:E245,E245)</f>
        <v>9</v>
      </c>
      <c r="B245" s="16" t="str">
        <f t="shared" si="141"/>
        <v>Critical</v>
      </c>
      <c r="C245" s="16" t="str">
        <f t="shared" si="142"/>
        <v>9CriticalNoTechnology</v>
      </c>
      <c r="D245" s="1">
        <v>29002</v>
      </c>
      <c r="E245" s="1" t="s">
        <v>23</v>
      </c>
      <c r="F245" s="1" t="s">
        <v>24</v>
      </c>
      <c r="G245" s="1" t="s">
        <v>353</v>
      </c>
      <c r="H245" s="1">
        <v>8</v>
      </c>
      <c r="I245" s="1" t="s">
        <v>156</v>
      </c>
      <c r="J245" s="1" t="s">
        <v>27</v>
      </c>
      <c r="K245" s="1">
        <v>1</v>
      </c>
      <c r="L245" s="1">
        <v>1</v>
      </c>
      <c r="M245" s="2">
        <v>-2.831307193306277</v>
      </c>
      <c r="N245" s="27" t="str">
        <f t="shared" si="143"/>
        <v>Critical</v>
      </c>
      <c r="O245" s="1">
        <v>1</v>
      </c>
      <c r="P245" s="6">
        <v>10.55960994187433</v>
      </c>
      <c r="Q245" s="6">
        <v>10.21707674236273</v>
      </c>
      <c r="R245" s="6">
        <v>9.8876892174771047</v>
      </c>
      <c r="S245" s="6">
        <v>9.5709564003284324</v>
      </c>
      <c r="T245" s="6">
        <v>10.75</v>
      </c>
      <c r="U245" s="6">
        <v>10</v>
      </c>
      <c r="V245" s="6">
        <v>10</v>
      </c>
      <c r="W245" s="6">
        <v>9.75</v>
      </c>
      <c r="X245" s="10">
        <f t="shared" si="144"/>
        <v>-1.803002754587317E-2</v>
      </c>
      <c r="Y245" s="10">
        <f t="shared" si="145"/>
        <v>2.1246462940096342E-2</v>
      </c>
      <c r="Z245" s="10">
        <f t="shared" si="146"/>
        <v>-1.1358648118144632E-2</v>
      </c>
      <c r="AA245" s="10">
        <f t="shared" si="147"/>
        <v>-1.8706970566225084E-2</v>
      </c>
      <c r="AB245" s="2">
        <f t="shared" si="125"/>
        <v>-6.7122958225366361E-3</v>
      </c>
      <c r="AC245" s="6">
        <v>10</v>
      </c>
      <c r="AD245" s="6">
        <v>10</v>
      </c>
      <c r="AE245" s="6">
        <v>10</v>
      </c>
      <c r="AF245" s="6">
        <v>10</v>
      </c>
      <c r="AG245" s="6">
        <v>10</v>
      </c>
      <c r="AH245" s="6">
        <v>9</v>
      </c>
      <c r="AI245" s="6">
        <v>8.75</v>
      </c>
      <c r="AJ245" s="6">
        <v>6.75</v>
      </c>
      <c r="AK245" s="10">
        <f t="shared" si="148"/>
        <v>0</v>
      </c>
      <c r="AL245" s="10">
        <f t="shared" si="149"/>
        <v>0.1</v>
      </c>
      <c r="AM245" s="10">
        <f t="shared" si="150"/>
        <v>0.125</v>
      </c>
      <c r="AN245" s="10">
        <f t="shared" si="151"/>
        <v>0.32500000000000001</v>
      </c>
      <c r="AO245" s="2">
        <f t="shared" si="130"/>
        <v>0.13750000000000001</v>
      </c>
      <c r="AP245" s="2">
        <v>0</v>
      </c>
      <c r="AQ245" s="2">
        <v>0</v>
      </c>
      <c r="AR245" s="2">
        <v>0</v>
      </c>
      <c r="AS245" s="2">
        <v>0</v>
      </c>
      <c r="AT245" s="2">
        <v>0.85</v>
      </c>
      <c r="AU245" s="2">
        <v>0.85</v>
      </c>
      <c r="AV245" s="2">
        <v>0.85</v>
      </c>
      <c r="AW245" s="2">
        <v>0.85</v>
      </c>
      <c r="AX245" s="10" t="str">
        <f t="shared" si="152"/>
        <v/>
      </c>
      <c r="AY245" s="10" t="str">
        <f t="shared" si="153"/>
        <v/>
      </c>
      <c r="AZ245" s="10" t="str">
        <f t="shared" si="154"/>
        <v/>
      </c>
      <c r="BA245" s="10" t="str">
        <f t="shared" si="155"/>
        <v/>
      </c>
      <c r="BB245" s="2" t="str">
        <f t="shared" si="135"/>
        <v>NA</v>
      </c>
      <c r="BC245" s="6">
        <v>3146</v>
      </c>
      <c r="BD245" s="6">
        <v>3276</v>
      </c>
      <c r="BE245" s="6">
        <v>2677</v>
      </c>
      <c r="BF245" s="6">
        <v>2847</v>
      </c>
      <c r="BG245" s="6">
        <v>3265</v>
      </c>
      <c r="BH245" s="6">
        <v>3658</v>
      </c>
      <c r="BI245" s="6">
        <v>2787</v>
      </c>
      <c r="BJ245" s="6">
        <v>2181</v>
      </c>
      <c r="BK245" s="10">
        <f t="shared" si="156"/>
        <v>-3.7825810553083282E-2</v>
      </c>
      <c r="BL245" s="10">
        <f t="shared" si="157"/>
        <v>-0.11660561660561661</v>
      </c>
      <c r="BM245" s="10">
        <f t="shared" si="158"/>
        <v>-4.1090773253642139E-2</v>
      </c>
      <c r="BN245" s="10">
        <f t="shared" si="159"/>
        <v>0.2339304531085353</v>
      </c>
      <c r="BO245" s="2">
        <f t="shared" si="140"/>
        <v>9.6020631740483184E-3</v>
      </c>
      <c r="BP245" s="10">
        <v>-2.3622113037399037</v>
      </c>
      <c r="BQ245" s="10">
        <v>-0.50609254579169627</v>
      </c>
      <c r="BR245" s="10">
        <v>-0.14774538187129749</v>
      </c>
      <c r="BS245" s="10">
        <v>-0.19091718248546086</v>
      </c>
      <c r="BT245" s="11" t="s">
        <v>458</v>
      </c>
    </row>
    <row r="246" spans="1:72">
      <c r="A246">
        <f>COUNTIFS($J$7:J246,J246,$N$7:N246,N246,$E$7:E246,E246)</f>
        <v>8</v>
      </c>
      <c r="B246" s="16" t="str">
        <f t="shared" si="141"/>
        <v>Medium</v>
      </c>
      <c r="C246" s="16" t="str">
        <f t="shared" si="142"/>
        <v>8MediumNoTelecom-Non AT&amp;T</v>
      </c>
      <c r="D246" s="1">
        <v>30013</v>
      </c>
      <c r="E246" s="1" t="s">
        <v>485</v>
      </c>
      <c r="F246" s="1" t="s">
        <v>151</v>
      </c>
      <c r="G246" s="1" t="s">
        <v>354</v>
      </c>
      <c r="H246" s="1">
        <v>184</v>
      </c>
      <c r="I246" s="1" t="s">
        <v>152</v>
      </c>
      <c r="J246" s="1" t="s">
        <v>27</v>
      </c>
      <c r="K246" s="1">
        <v>1</v>
      </c>
      <c r="L246" s="1">
        <v>1</v>
      </c>
      <c r="M246" s="2">
        <v>6.9781612930233439E-2</v>
      </c>
      <c r="N246" s="27" t="str">
        <f t="shared" si="143"/>
        <v>Medium</v>
      </c>
      <c r="O246" s="1">
        <v>1</v>
      </c>
      <c r="P246" s="6">
        <v>171.79617919049579</v>
      </c>
      <c r="Q246" s="6">
        <v>159.87135773532131</v>
      </c>
      <c r="R246" s="6">
        <v>156.92617561802911</v>
      </c>
      <c r="S246" s="6">
        <v>149.97718174579791</v>
      </c>
      <c r="T246" s="6">
        <v>157.25</v>
      </c>
      <c r="U246" s="6">
        <v>159</v>
      </c>
      <c r="V246" s="6">
        <v>152</v>
      </c>
      <c r="W246" s="6">
        <v>146.5</v>
      </c>
      <c r="X246" s="10">
        <f t="shared" si="144"/>
        <v>8.4671144952335034E-2</v>
      </c>
      <c r="Y246" s="10">
        <f t="shared" si="145"/>
        <v>5.4503680187911289E-3</v>
      </c>
      <c r="Z246" s="10">
        <f t="shared" si="146"/>
        <v>3.1391675726679356E-2</v>
      </c>
      <c r="AA246" s="10">
        <f t="shared" si="147"/>
        <v>2.31847385403702E-2</v>
      </c>
      <c r="AB246" s="2">
        <f t="shared" si="125"/>
        <v>3.6174481809543933E-2</v>
      </c>
      <c r="AC246" s="6">
        <v>180.41659920000001</v>
      </c>
      <c r="AD246" s="6">
        <v>160.38843399999999</v>
      </c>
      <c r="AE246" s="6">
        <v>164.45573640000001</v>
      </c>
      <c r="AF246" s="6">
        <v>144.4731634</v>
      </c>
      <c r="AG246" s="6">
        <v>184.75</v>
      </c>
      <c r="AH246" s="6">
        <v>155.19999999999999</v>
      </c>
      <c r="AI246" s="6">
        <v>150.75</v>
      </c>
      <c r="AJ246" s="6">
        <v>153.25</v>
      </c>
      <c r="AK246" s="10">
        <f t="shared" si="148"/>
        <v>-2.40188586816018E-2</v>
      </c>
      <c r="AL246" s="10">
        <f t="shared" si="149"/>
        <v>3.2349177996213875E-2</v>
      </c>
      <c r="AM246" s="10">
        <f t="shared" si="150"/>
        <v>8.3339971593718185E-2</v>
      </c>
      <c r="AN246" s="10">
        <f t="shared" si="151"/>
        <v>-6.0750636266610578E-2</v>
      </c>
      <c r="AO246" s="2">
        <f t="shared" si="130"/>
        <v>7.7299136604299205E-3</v>
      </c>
      <c r="AP246" s="2">
        <v>0</v>
      </c>
      <c r="AQ246" s="2">
        <v>0</v>
      </c>
      <c r="AR246" s="2">
        <v>0</v>
      </c>
      <c r="AS246" s="2">
        <v>0</v>
      </c>
      <c r="AT246" s="2">
        <v>0.7</v>
      </c>
      <c r="AU246" s="2">
        <v>0.7</v>
      </c>
      <c r="AV246" s="2">
        <v>0.7</v>
      </c>
      <c r="AW246" s="2">
        <v>0.7</v>
      </c>
      <c r="AX246" s="10" t="str">
        <f t="shared" si="152"/>
        <v/>
      </c>
      <c r="AY246" s="10" t="str">
        <f t="shared" si="153"/>
        <v/>
      </c>
      <c r="AZ246" s="10" t="str">
        <f t="shared" si="154"/>
        <v/>
      </c>
      <c r="BA246" s="10" t="str">
        <f t="shared" si="155"/>
        <v/>
      </c>
      <c r="BB246" s="2" t="str">
        <f t="shared" si="135"/>
        <v>NA</v>
      </c>
      <c r="BC246" s="6">
        <v>147928</v>
      </c>
      <c r="BD246" s="6">
        <v>132791</v>
      </c>
      <c r="BE246" s="6">
        <v>137737</v>
      </c>
      <c r="BF246" s="6">
        <v>120415</v>
      </c>
      <c r="BG246" s="6">
        <v>136850</v>
      </c>
      <c r="BH246" s="6">
        <v>175472</v>
      </c>
      <c r="BI246" s="6">
        <v>137001</v>
      </c>
      <c r="BJ246" s="6">
        <v>131869</v>
      </c>
      <c r="BK246" s="10">
        <f t="shared" si="156"/>
        <v>7.4887783245903408E-2</v>
      </c>
      <c r="BL246" s="10">
        <f t="shared" si="157"/>
        <v>-0.32141485492239685</v>
      </c>
      <c r="BM246" s="10">
        <f t="shared" si="158"/>
        <v>5.3435169925292406E-3</v>
      </c>
      <c r="BN246" s="10">
        <f t="shared" si="159"/>
        <v>-9.5121039737574228E-2</v>
      </c>
      <c r="BO246" s="2">
        <f t="shared" si="140"/>
        <v>-8.4076148605384607E-2</v>
      </c>
      <c r="BP246" s="10">
        <v>3.1087519623577919E-2</v>
      </c>
      <c r="BQ246" s="10">
        <v>2.3223867949682564E-2</v>
      </c>
      <c r="BR246" s="10">
        <v>2.3474751780126424E-2</v>
      </c>
      <c r="BS246" s="10">
        <v>3.4581871263897279E-2</v>
      </c>
      <c r="BT246" s="11" t="s">
        <v>458</v>
      </c>
    </row>
    <row r="247" spans="1:72">
      <c r="A247">
        <f>COUNTIFS($J$7:J247,J247,$N$7:N247,N247,$E$7:E247,E247)</f>
        <v>26</v>
      </c>
      <c r="B247" s="16" t="str">
        <f t="shared" si="141"/>
        <v>Low</v>
      </c>
      <c r="C247" s="16" t="str">
        <f t="shared" si="142"/>
        <v>26LowYesTelecom-AT&amp;T</v>
      </c>
      <c r="D247" s="1">
        <v>30029</v>
      </c>
      <c r="E247" s="11" t="s">
        <v>484</v>
      </c>
      <c r="F247" s="1" t="s">
        <v>6</v>
      </c>
      <c r="G247" s="1" t="s">
        <v>355</v>
      </c>
      <c r="H247" s="1">
        <v>37</v>
      </c>
      <c r="I247" s="1" t="s">
        <v>113</v>
      </c>
      <c r="J247" s="1" t="s">
        <v>9</v>
      </c>
      <c r="K247" s="1">
        <v>1</v>
      </c>
      <c r="L247" s="1">
        <v>1</v>
      </c>
      <c r="M247" s="2">
        <v>0.22132238101933766</v>
      </c>
      <c r="N247" s="27" t="str">
        <f t="shared" si="143"/>
        <v>Low</v>
      </c>
      <c r="O247" s="1">
        <v>1</v>
      </c>
      <c r="P247" s="6">
        <v>34.327246016026798</v>
      </c>
      <c r="Q247" s="6">
        <v>32.554538667773883</v>
      </c>
      <c r="R247" s="6">
        <v>30.759535790988469</v>
      </c>
      <c r="S247" s="6">
        <v>28.995618574478542</v>
      </c>
      <c r="T247" s="6">
        <v>51.5</v>
      </c>
      <c r="U247" s="6">
        <v>51</v>
      </c>
      <c r="V247" s="6">
        <v>53.75</v>
      </c>
      <c r="W247" s="6">
        <v>54.75</v>
      </c>
      <c r="X247" s="10">
        <f t="shared" si="144"/>
        <v>-0.50026599791767568</v>
      </c>
      <c r="Y247" s="10">
        <f t="shared" si="145"/>
        <v>-0.56660183455419366</v>
      </c>
      <c r="Z247" s="10">
        <f t="shared" si="146"/>
        <v>-0.7474255907251689</v>
      </c>
      <c r="AA247" s="10">
        <f t="shared" si="147"/>
        <v>-0.88821631307393578</v>
      </c>
      <c r="AB247" s="2">
        <f t="shared" si="125"/>
        <v>-0.6756274340677435</v>
      </c>
      <c r="AC247" s="6">
        <v>37.008010912660623</v>
      </c>
      <c r="AD247" s="6">
        <v>36.72387536682001</v>
      </c>
      <c r="AE247" s="6">
        <v>36.801415067546372</v>
      </c>
      <c r="AF247" s="6">
        <v>36.174457058426377</v>
      </c>
      <c r="AG247" s="6">
        <v>58.5</v>
      </c>
      <c r="AH247" s="6">
        <v>58</v>
      </c>
      <c r="AI247" s="6">
        <v>58</v>
      </c>
      <c r="AJ247" s="6">
        <v>56.75</v>
      </c>
      <c r="AK247" s="10">
        <f t="shared" si="148"/>
        <v>-0.58073883349366562</v>
      </c>
      <c r="AL247" s="10">
        <f t="shared" si="149"/>
        <v>-0.57935401481083748</v>
      </c>
      <c r="AM247" s="10">
        <f t="shared" si="150"/>
        <v>-0.57602635370257194</v>
      </c>
      <c r="AN247" s="10">
        <f t="shared" si="151"/>
        <v>-0.56878650337008485</v>
      </c>
      <c r="AO247" s="2">
        <f t="shared" si="130"/>
        <v>-0.57622642634429</v>
      </c>
      <c r="AP247" s="2">
        <v>0.65</v>
      </c>
      <c r="AQ247" s="2">
        <v>0.65</v>
      </c>
      <c r="AR247" s="2">
        <v>0.65</v>
      </c>
      <c r="AS247" s="2">
        <v>0.65</v>
      </c>
      <c r="AT247" s="2">
        <v>0.64500000000000002</v>
      </c>
      <c r="AU247" s="2">
        <v>0.64500000000000002</v>
      </c>
      <c r="AV247" s="2">
        <v>0.64500000000000002</v>
      </c>
      <c r="AW247" s="2">
        <v>0.64500000000000002</v>
      </c>
      <c r="AX247" s="10">
        <f t="shared" si="152"/>
        <v>7.6923076923076988E-3</v>
      </c>
      <c r="AY247" s="10">
        <f t="shared" si="153"/>
        <v>7.6923076923076988E-3</v>
      </c>
      <c r="AZ247" s="10">
        <f t="shared" si="154"/>
        <v>7.6923076923076988E-3</v>
      </c>
      <c r="BA247" s="10">
        <f t="shared" si="155"/>
        <v>7.6923076923076988E-3</v>
      </c>
      <c r="BB247" s="2">
        <f t="shared" si="135"/>
        <v>7.6923076923076988E-3</v>
      </c>
      <c r="BC247" s="6">
        <v>7467.9450189782929</v>
      </c>
      <c r="BD247" s="6">
        <v>7503.3841397665537</v>
      </c>
      <c r="BE247" s="6">
        <v>7447.0601816838034</v>
      </c>
      <c r="BF247" s="6">
        <v>7465.5710673671583</v>
      </c>
      <c r="BG247" s="6">
        <v>13723</v>
      </c>
      <c r="BH247" s="6">
        <v>17149</v>
      </c>
      <c r="BI247" s="6">
        <v>13724</v>
      </c>
      <c r="BJ247" s="6">
        <v>13478</v>
      </c>
      <c r="BK247" s="10">
        <f t="shared" si="156"/>
        <v>-0.83758717627482959</v>
      </c>
      <c r="BL247" s="10">
        <f t="shared" si="157"/>
        <v>-1.2855020722067874</v>
      </c>
      <c r="BM247" s="10">
        <f t="shared" si="158"/>
        <v>-0.84287486137878387</v>
      </c>
      <c r="BN247" s="10">
        <f t="shared" si="159"/>
        <v>-0.80535418903368794</v>
      </c>
      <c r="BO247" s="2">
        <f t="shared" si="140"/>
        <v>-0.94282957472352225</v>
      </c>
      <c r="BP247" s="10">
        <v>2.9207716405069695E-3</v>
      </c>
      <c r="BQ247" s="10">
        <v>0.15625364854065227</v>
      </c>
      <c r="BR247" s="10">
        <v>-4.2702543680853355E-2</v>
      </c>
      <c r="BS247" s="10">
        <v>0.1401898756813541</v>
      </c>
      <c r="BT247" s="11">
        <v>0</v>
      </c>
    </row>
    <row r="248" spans="1:72">
      <c r="A248">
        <f>COUNTIFS($J$7:J248,J248,$N$7:N248,N248,$E$7:E248,E248)</f>
        <v>12</v>
      </c>
      <c r="B248" s="16" t="str">
        <f t="shared" si="141"/>
        <v>Low</v>
      </c>
      <c r="C248" s="16" t="str">
        <f t="shared" si="142"/>
        <v>12LowYesTechnology</v>
      </c>
      <c r="D248" s="1">
        <v>35004</v>
      </c>
      <c r="E248" s="1" t="s">
        <v>23</v>
      </c>
      <c r="F248" s="1" t="s">
        <v>69</v>
      </c>
      <c r="G248" s="1" t="s">
        <v>356</v>
      </c>
      <c r="H248" s="1">
        <v>26</v>
      </c>
      <c r="I248" s="1" t="s">
        <v>357</v>
      </c>
      <c r="J248" s="1" t="s">
        <v>9</v>
      </c>
      <c r="K248" s="1">
        <v>2</v>
      </c>
      <c r="L248" s="1">
        <v>1</v>
      </c>
      <c r="M248" s="2">
        <v>0.23736349662044981</v>
      </c>
      <c r="N248" s="27" t="str">
        <f t="shared" si="143"/>
        <v>Low</v>
      </c>
      <c r="O248" s="1">
        <v>1</v>
      </c>
      <c r="P248" s="6">
        <v>23.431524701763539</v>
      </c>
      <c r="Q248" s="6">
        <v>23.419307134739171</v>
      </c>
      <c r="R248" s="6">
        <v>23.405325823601441</v>
      </c>
      <c r="S248" s="6">
        <v>23.39519005557743</v>
      </c>
      <c r="T248" s="6">
        <v>21</v>
      </c>
      <c r="U248" s="6">
        <v>21</v>
      </c>
      <c r="V248" s="6">
        <v>21</v>
      </c>
      <c r="W248" s="6">
        <v>21</v>
      </c>
      <c r="X248" s="10">
        <f t="shared" si="144"/>
        <v>0.10377151007934768</v>
      </c>
      <c r="Y248" s="10">
        <f t="shared" si="145"/>
        <v>0.10330395860219438</v>
      </c>
      <c r="Z248" s="10">
        <f t="shared" si="146"/>
        <v>0.1027683118675477</v>
      </c>
      <c r="AA248" s="10">
        <f t="shared" si="147"/>
        <v>0.10237959383477695</v>
      </c>
      <c r="AB248" s="2">
        <f t="shared" si="125"/>
        <v>0.10305584359596669</v>
      </c>
      <c r="AC248" s="6">
        <v>21.194019975</v>
      </c>
      <c r="AD248" s="6">
        <v>20.972822852478156</v>
      </c>
      <c r="AE248" s="6">
        <v>20.953511833053053</v>
      </c>
      <c r="AF248" s="6">
        <v>20.932253542400431</v>
      </c>
      <c r="AG248" s="6">
        <v>20</v>
      </c>
      <c r="AH248" s="6">
        <v>20</v>
      </c>
      <c r="AI248" s="6">
        <v>20</v>
      </c>
      <c r="AJ248" s="6">
        <v>20</v>
      </c>
      <c r="AK248" s="10">
        <f t="shared" si="148"/>
        <v>5.6337588452235091E-2</v>
      </c>
      <c r="AL248" s="10">
        <f t="shared" si="149"/>
        <v>4.6384926784579561E-2</v>
      </c>
      <c r="AM248" s="10">
        <f t="shared" si="150"/>
        <v>4.5506063167365517E-2</v>
      </c>
      <c r="AN248" s="10">
        <f t="shared" si="151"/>
        <v>4.4536702200365388E-2</v>
      </c>
      <c r="AO248" s="2">
        <f t="shared" si="130"/>
        <v>4.8191320151136391E-2</v>
      </c>
      <c r="AP248" s="2">
        <v>0</v>
      </c>
      <c r="AQ248" s="2">
        <v>0</v>
      </c>
      <c r="AR248" s="2">
        <v>0</v>
      </c>
      <c r="AS248" s="2">
        <v>0</v>
      </c>
      <c r="AT248" s="2">
        <v>0</v>
      </c>
      <c r="AU248" s="2">
        <v>0</v>
      </c>
      <c r="AV248" s="2">
        <v>0</v>
      </c>
      <c r="AW248" s="2">
        <v>0</v>
      </c>
      <c r="AX248" s="10" t="str">
        <f t="shared" si="152"/>
        <v/>
      </c>
      <c r="AY248" s="10" t="str">
        <f t="shared" si="153"/>
        <v/>
      </c>
      <c r="AZ248" s="10" t="str">
        <f t="shared" si="154"/>
        <v/>
      </c>
      <c r="BA248" s="10" t="str">
        <f t="shared" si="155"/>
        <v/>
      </c>
      <c r="BB248" s="2" t="str">
        <f t="shared" si="135"/>
        <v>NA</v>
      </c>
      <c r="BC248" s="6">
        <v>0</v>
      </c>
      <c r="BD248" s="6">
        <v>0</v>
      </c>
      <c r="BE248" s="6">
        <v>0</v>
      </c>
      <c r="BF248" s="6">
        <v>0</v>
      </c>
      <c r="BG248" s="6">
        <v>0</v>
      </c>
      <c r="BH248" s="6">
        <v>0</v>
      </c>
      <c r="BI248" s="6">
        <v>0</v>
      </c>
      <c r="BJ248" s="6">
        <v>0</v>
      </c>
      <c r="BK248" s="10" t="str">
        <f t="shared" si="156"/>
        <v/>
      </c>
      <c r="BL248" s="10" t="str">
        <f t="shared" si="157"/>
        <v/>
      </c>
      <c r="BM248" s="10" t="str">
        <f t="shared" si="158"/>
        <v/>
      </c>
      <c r="BN248" s="10" t="str">
        <f t="shared" si="159"/>
        <v/>
      </c>
      <c r="BO248" s="2" t="str">
        <f t="shared" si="140"/>
        <v>NA</v>
      </c>
      <c r="BP248" s="10">
        <v>-4.5949372374353092E-2</v>
      </c>
      <c r="BQ248" s="10">
        <v>-4.8241565012454246E-2</v>
      </c>
      <c r="BR248" s="10">
        <v>-4.4317489802720711E-2</v>
      </c>
      <c r="BS248" s="10">
        <v>-3.9983363270538308E-2</v>
      </c>
      <c r="BT248" s="11">
        <v>0</v>
      </c>
    </row>
    <row r="249" spans="1:72">
      <c r="A249">
        <f>COUNTIFS($J$7:J249,J249,$N$7:N249,N249,$E$7:E249,E249)</f>
        <v>4</v>
      </c>
      <c r="B249" s="16" t="str">
        <f t="shared" si="141"/>
        <v>Medium</v>
      </c>
      <c r="C249" s="16" t="str">
        <f t="shared" si="142"/>
        <v>4MediumYesTechnology</v>
      </c>
      <c r="D249" s="1">
        <v>35014</v>
      </c>
      <c r="E249" s="1" t="s">
        <v>23</v>
      </c>
      <c r="F249" s="1" t="s">
        <v>69</v>
      </c>
      <c r="G249" s="1" t="s">
        <v>358</v>
      </c>
      <c r="H249" s="1">
        <v>24</v>
      </c>
      <c r="I249" s="1" t="s">
        <v>357</v>
      </c>
      <c r="J249" s="1" t="s">
        <v>9</v>
      </c>
      <c r="K249" s="1">
        <v>1</v>
      </c>
      <c r="L249" s="1">
        <v>1</v>
      </c>
      <c r="M249" s="2">
        <v>3.7978267729873949E-2</v>
      </c>
      <c r="N249" s="27" t="str">
        <f t="shared" si="143"/>
        <v>Medium</v>
      </c>
      <c r="O249" s="1">
        <v>1</v>
      </c>
      <c r="P249" s="6">
        <v>23.07957130423928</v>
      </c>
      <c r="Q249" s="6">
        <v>22.96178654797917</v>
      </c>
      <c r="R249" s="6">
        <v>22.655727825995161</v>
      </c>
      <c r="S249" s="6">
        <v>22.615027212571938</v>
      </c>
      <c r="T249" s="6">
        <v>22</v>
      </c>
      <c r="U249" s="6">
        <v>22</v>
      </c>
      <c r="V249" s="6">
        <v>22</v>
      </c>
      <c r="W249" s="6">
        <v>22</v>
      </c>
      <c r="X249" s="10">
        <f t="shared" si="144"/>
        <v>4.6776055326512224E-2</v>
      </c>
      <c r="Y249" s="10">
        <f t="shared" si="145"/>
        <v>4.188639877691986E-2</v>
      </c>
      <c r="Z249" s="10">
        <f t="shared" si="146"/>
        <v>2.8943136633323225E-2</v>
      </c>
      <c r="AA249" s="10">
        <f t="shared" si="147"/>
        <v>2.7195510612962603E-2</v>
      </c>
      <c r="AB249" s="2">
        <f t="shared" si="125"/>
        <v>3.6200275337429477E-2</v>
      </c>
      <c r="AC249" s="6">
        <v>20</v>
      </c>
      <c r="AD249" s="6">
        <v>21</v>
      </c>
      <c r="AE249" s="6">
        <v>21</v>
      </c>
      <c r="AF249" s="6">
        <v>21</v>
      </c>
      <c r="AG249" s="6">
        <v>21</v>
      </c>
      <c r="AH249" s="6">
        <v>21</v>
      </c>
      <c r="AI249" s="6">
        <v>21</v>
      </c>
      <c r="AJ249" s="6">
        <v>21</v>
      </c>
      <c r="AK249" s="10">
        <f t="shared" si="148"/>
        <v>-0.05</v>
      </c>
      <c r="AL249" s="10">
        <f t="shared" si="149"/>
        <v>0</v>
      </c>
      <c r="AM249" s="10">
        <f t="shared" si="150"/>
        <v>0</v>
      </c>
      <c r="AN249" s="10">
        <f t="shared" si="151"/>
        <v>0</v>
      </c>
      <c r="AO249" s="2">
        <f t="shared" si="130"/>
        <v>-1.2500000000000001E-2</v>
      </c>
      <c r="AP249" s="2">
        <v>0</v>
      </c>
      <c r="AQ249" s="2">
        <v>0</v>
      </c>
      <c r="AR249" s="2">
        <v>0</v>
      </c>
      <c r="AS249" s="2">
        <v>0</v>
      </c>
      <c r="AT249" s="2">
        <v>0</v>
      </c>
      <c r="AU249" s="2">
        <v>0</v>
      </c>
      <c r="AV249" s="2">
        <v>0</v>
      </c>
      <c r="AW249" s="2">
        <v>0</v>
      </c>
      <c r="AX249" s="10" t="str">
        <f t="shared" si="152"/>
        <v/>
      </c>
      <c r="AY249" s="10" t="str">
        <f t="shared" si="153"/>
        <v/>
      </c>
      <c r="AZ249" s="10" t="str">
        <f t="shared" si="154"/>
        <v/>
      </c>
      <c r="BA249" s="10" t="str">
        <f t="shared" si="155"/>
        <v/>
      </c>
      <c r="BB249" s="2" t="str">
        <f t="shared" si="135"/>
        <v>NA</v>
      </c>
      <c r="BC249" s="6">
        <v>0</v>
      </c>
      <c r="BD249" s="6">
        <v>0</v>
      </c>
      <c r="BE249" s="6">
        <v>0</v>
      </c>
      <c r="BF249" s="6">
        <v>0</v>
      </c>
      <c r="BG249" s="6">
        <v>0</v>
      </c>
      <c r="BH249" s="6">
        <v>0</v>
      </c>
      <c r="BI249" s="6">
        <v>0</v>
      </c>
      <c r="BJ249" s="6">
        <v>0</v>
      </c>
      <c r="BK249" s="10" t="str">
        <f t="shared" si="156"/>
        <v/>
      </c>
      <c r="BL249" s="10" t="str">
        <f t="shared" si="157"/>
        <v/>
      </c>
      <c r="BM249" s="10" t="str">
        <f t="shared" si="158"/>
        <v/>
      </c>
      <c r="BN249" s="10" t="str">
        <f t="shared" si="159"/>
        <v/>
      </c>
      <c r="BO249" s="2" t="str">
        <f t="shared" si="140"/>
        <v>NA</v>
      </c>
      <c r="BP249" s="10">
        <v>-1.8413782673062207E-2</v>
      </c>
      <c r="BQ249" s="10">
        <v>-8.6282040926427661E-2</v>
      </c>
      <c r="BR249" s="10">
        <v>-6.0708428810771209E-2</v>
      </c>
      <c r="BS249" s="10">
        <v>-5.9433494959265698E-2</v>
      </c>
      <c r="BT249" s="11" t="s">
        <v>460</v>
      </c>
    </row>
    <row r="250" spans="1:72">
      <c r="A250">
        <f>COUNTIFS($J$7:J250,J250,$N$7:N250,N250,$E$7:E250,E250)</f>
        <v>13</v>
      </c>
      <c r="B250" s="16" t="str">
        <f t="shared" si="141"/>
        <v>Low</v>
      </c>
      <c r="C250" s="16" t="str">
        <f t="shared" si="142"/>
        <v>13LowYesTechnology</v>
      </c>
      <c r="D250" s="1">
        <v>35020</v>
      </c>
      <c r="E250" s="1" t="s">
        <v>23</v>
      </c>
      <c r="F250" s="1" t="s">
        <v>359</v>
      </c>
      <c r="G250" s="1" t="s">
        <v>360</v>
      </c>
      <c r="H250" s="1">
        <v>133</v>
      </c>
      <c r="I250" s="1" t="s">
        <v>357</v>
      </c>
      <c r="J250" s="1" t="s">
        <v>9</v>
      </c>
      <c r="K250" s="1">
        <v>2</v>
      </c>
      <c r="L250" s="1">
        <v>1</v>
      </c>
      <c r="M250" s="2">
        <v>0.1893686677110033</v>
      </c>
      <c r="N250" s="27" t="str">
        <f t="shared" si="143"/>
        <v>Low</v>
      </c>
      <c r="O250" s="1">
        <v>1</v>
      </c>
      <c r="P250" s="6">
        <v>140.82766781188761</v>
      </c>
      <c r="Q250" s="6">
        <v>140.33540678170911</v>
      </c>
      <c r="R250" s="6">
        <v>138.29332417691791</v>
      </c>
      <c r="S250" s="6">
        <v>141.91374799152311</v>
      </c>
      <c r="T250" s="6">
        <v>122</v>
      </c>
      <c r="U250" s="6">
        <v>112.4</v>
      </c>
      <c r="V250" s="6">
        <v>108.5</v>
      </c>
      <c r="W250" s="6">
        <v>119</v>
      </c>
      <c r="X250" s="10">
        <f t="shared" si="144"/>
        <v>0.13369296037080519</v>
      </c>
      <c r="Y250" s="10">
        <f t="shared" si="145"/>
        <v>0.19906171523172669</v>
      </c>
      <c r="Z250" s="10">
        <f t="shared" si="146"/>
        <v>0.2154357367157034</v>
      </c>
      <c r="AA250" s="10">
        <f t="shared" si="147"/>
        <v>0.16146249616979894</v>
      </c>
      <c r="AB250" s="2">
        <f t="shared" si="125"/>
        <v>0.17741322712200855</v>
      </c>
      <c r="AC250" s="6">
        <v>136.74531084109944</v>
      </c>
      <c r="AD250" s="6">
        <v>144.77114205866468</v>
      </c>
      <c r="AE250" s="6">
        <v>139.78086809945216</v>
      </c>
      <c r="AF250" s="6">
        <v>144.24259406279671</v>
      </c>
      <c r="AG250" s="6">
        <v>122.5</v>
      </c>
      <c r="AH250" s="6">
        <v>110.4</v>
      </c>
      <c r="AI250" s="6">
        <v>102.25</v>
      </c>
      <c r="AJ250" s="6">
        <v>116</v>
      </c>
      <c r="AK250" s="10">
        <f t="shared" si="148"/>
        <v>0.10417403531776495</v>
      </c>
      <c r="AL250" s="10">
        <f t="shared" si="149"/>
        <v>0.23741708167734615</v>
      </c>
      <c r="AM250" s="10">
        <f t="shared" si="150"/>
        <v>0.26849788965933069</v>
      </c>
      <c r="AN250" s="10">
        <f t="shared" si="151"/>
        <v>0.19579926613425408</v>
      </c>
      <c r="AO250" s="2">
        <f t="shared" si="130"/>
        <v>0.20147206819717395</v>
      </c>
      <c r="AP250" s="2">
        <v>0.98</v>
      </c>
      <c r="AQ250" s="2">
        <v>0.98</v>
      </c>
      <c r="AR250" s="2">
        <v>0.98000000000000009</v>
      </c>
      <c r="AS250" s="2">
        <v>0.98</v>
      </c>
      <c r="AT250" s="2">
        <v>0.98</v>
      </c>
      <c r="AU250" s="2">
        <v>0.98</v>
      </c>
      <c r="AV250" s="2">
        <v>0.98</v>
      </c>
      <c r="AW250" s="2">
        <v>0.98</v>
      </c>
      <c r="AX250" s="10">
        <f t="shared" si="152"/>
        <v>0</v>
      </c>
      <c r="AY250" s="10">
        <f t="shared" si="153"/>
        <v>0</v>
      </c>
      <c r="AZ250" s="10">
        <f t="shared" si="154"/>
        <v>1.1328806373726085E-16</v>
      </c>
      <c r="BA250" s="10">
        <f t="shared" si="155"/>
        <v>0</v>
      </c>
      <c r="BB250" s="2">
        <f t="shared" si="135"/>
        <v>2.8322015934315212E-17</v>
      </c>
      <c r="BC250" s="6">
        <v>19323.800000000003</v>
      </c>
      <c r="BD250" s="6">
        <v>20405.199999999997</v>
      </c>
      <c r="BE250" s="6">
        <v>20927.799999999996</v>
      </c>
      <c r="BF250" s="6">
        <v>19262</v>
      </c>
      <c r="BG250" s="6">
        <v>0</v>
      </c>
      <c r="BH250" s="6">
        <v>0</v>
      </c>
      <c r="BI250" s="6">
        <v>0</v>
      </c>
      <c r="BJ250" s="6">
        <v>0</v>
      </c>
      <c r="BK250" s="10">
        <f t="shared" si="156"/>
        <v>1</v>
      </c>
      <c r="BL250" s="10">
        <f t="shared" si="157"/>
        <v>1</v>
      </c>
      <c r="BM250" s="10">
        <f t="shared" si="158"/>
        <v>1</v>
      </c>
      <c r="BN250" s="10">
        <f t="shared" si="159"/>
        <v>1</v>
      </c>
      <c r="BO250" s="2" t="str">
        <f t="shared" si="140"/>
        <v>NA</v>
      </c>
      <c r="BP250" s="10">
        <v>1.9789433858968808E-3</v>
      </c>
      <c r="BQ250" s="10">
        <v>-4.830277664666599E-2</v>
      </c>
      <c r="BR250" s="10">
        <v>-4.4787577240814114E-2</v>
      </c>
      <c r="BS250" s="10">
        <v>-7.0401489430053532E-2</v>
      </c>
      <c r="BT250" s="11" t="s">
        <v>458</v>
      </c>
    </row>
    <row r="251" spans="1:72">
      <c r="A251">
        <f>COUNTIFS($J$7:J251,J251,$N$7:N251,N251,$E$7:E251,E251)</f>
        <v>4</v>
      </c>
      <c r="B251" s="16" t="str">
        <f t="shared" si="141"/>
        <v>Medium</v>
      </c>
      <c r="C251" s="16" t="str">
        <f t="shared" si="142"/>
        <v>4MediumNoTravel</v>
      </c>
      <c r="D251" s="1">
        <v>35021</v>
      </c>
      <c r="E251" s="1" t="s">
        <v>79</v>
      </c>
      <c r="F251" s="1" t="s">
        <v>221</v>
      </c>
      <c r="G251" s="1" t="s">
        <v>361</v>
      </c>
      <c r="H251" s="1">
        <v>93</v>
      </c>
      <c r="I251" s="1" t="s">
        <v>98</v>
      </c>
      <c r="J251" s="1" t="s">
        <v>27</v>
      </c>
      <c r="K251" s="1">
        <v>1</v>
      </c>
      <c r="L251" s="1">
        <v>1</v>
      </c>
      <c r="M251" s="2">
        <v>8.9412526335934134E-2</v>
      </c>
      <c r="N251" s="27" t="str">
        <f t="shared" si="143"/>
        <v>Medium</v>
      </c>
      <c r="O251" s="1">
        <v>1</v>
      </c>
      <c r="P251" s="6">
        <v>67.99811928468749</v>
      </c>
      <c r="Q251" s="6">
        <v>67.999683359919345</v>
      </c>
      <c r="R251" s="6">
        <v>67.999761041979156</v>
      </c>
      <c r="S251" s="6">
        <v>67.99872711985887</v>
      </c>
      <c r="T251" s="6">
        <v>0</v>
      </c>
      <c r="U251" s="6">
        <v>0</v>
      </c>
      <c r="V251" s="6">
        <v>0</v>
      </c>
      <c r="W251" s="6">
        <v>0</v>
      </c>
      <c r="X251" s="10">
        <f t="shared" si="144"/>
        <v>1</v>
      </c>
      <c r="Y251" s="10">
        <f t="shared" si="145"/>
        <v>1</v>
      </c>
      <c r="Z251" s="10">
        <f t="shared" si="146"/>
        <v>1</v>
      </c>
      <c r="AA251" s="10">
        <f t="shared" si="147"/>
        <v>1</v>
      </c>
      <c r="AB251" s="2" t="str">
        <f>IFERROR(AVERAGEIF(X251:AA251,"&lt;&gt;100%",X251:AA251),"NA")</f>
        <v>NA</v>
      </c>
      <c r="AC251" s="6">
        <v>68</v>
      </c>
      <c r="AD251" s="6">
        <v>68</v>
      </c>
      <c r="AE251" s="6">
        <v>68</v>
      </c>
      <c r="AF251" s="6">
        <v>68</v>
      </c>
      <c r="AG251" s="6">
        <v>0</v>
      </c>
      <c r="AH251" s="6">
        <v>0</v>
      </c>
      <c r="AI251" s="6">
        <v>0</v>
      </c>
      <c r="AJ251" s="6">
        <v>0</v>
      </c>
      <c r="AK251" s="10">
        <f t="shared" si="148"/>
        <v>1</v>
      </c>
      <c r="AL251" s="10">
        <f t="shared" si="149"/>
        <v>1</v>
      </c>
      <c r="AM251" s="10">
        <f t="shared" si="150"/>
        <v>1</v>
      </c>
      <c r="AN251" s="10">
        <f t="shared" si="151"/>
        <v>1</v>
      </c>
      <c r="AO251" s="2" t="str">
        <f>IFERROR(AVERAGEIF(AK251:AN251,"&lt;&gt;100%",AK251:AN251),"NA")</f>
        <v>NA</v>
      </c>
      <c r="AP251" s="2">
        <v>0</v>
      </c>
      <c r="AQ251" s="2">
        <v>0</v>
      </c>
      <c r="AR251" s="2">
        <v>0</v>
      </c>
      <c r="AS251" s="2">
        <v>0</v>
      </c>
      <c r="AT251" s="2">
        <v>0.6</v>
      </c>
      <c r="AU251" s="2">
        <v>0</v>
      </c>
      <c r="AV251" s="2">
        <v>0</v>
      </c>
      <c r="AW251" s="2">
        <v>0</v>
      </c>
      <c r="AX251" s="10" t="str">
        <f t="shared" si="152"/>
        <v/>
      </c>
      <c r="AY251" s="10" t="str">
        <f t="shared" si="153"/>
        <v/>
      </c>
      <c r="AZ251" s="10" t="str">
        <f t="shared" si="154"/>
        <v/>
      </c>
      <c r="BA251" s="10" t="str">
        <f t="shared" si="155"/>
        <v/>
      </c>
      <c r="BB251" s="2" t="str">
        <f>IFERROR(AVERAGEIF(AX251:BA251,"&lt;&gt;100%",AX251:BA251),"NA")</f>
        <v>NA</v>
      </c>
      <c r="BC251" s="6">
        <v>0</v>
      </c>
      <c r="BD251" s="6">
        <v>0</v>
      </c>
      <c r="BE251" s="6">
        <v>0</v>
      </c>
      <c r="BF251" s="6">
        <v>0</v>
      </c>
      <c r="BG251" s="6">
        <v>0</v>
      </c>
      <c r="BH251" s="6">
        <v>0</v>
      </c>
      <c r="BI251" s="6">
        <v>0</v>
      </c>
      <c r="BJ251" s="6">
        <v>0</v>
      </c>
      <c r="BK251" s="10" t="str">
        <f t="shared" si="156"/>
        <v/>
      </c>
      <c r="BL251" s="10" t="str">
        <f t="shared" si="157"/>
        <v/>
      </c>
      <c r="BM251" s="10" t="str">
        <f t="shared" si="158"/>
        <v/>
      </c>
      <c r="BN251" s="10" t="str">
        <f t="shared" si="159"/>
        <v/>
      </c>
      <c r="BO251" s="2" t="str">
        <f>IFERROR(AVERAGEIF(BK251:BN251,"&lt;&gt;100%",BK251:BN251),"NA")</f>
        <v>NA</v>
      </c>
      <c r="BP251" s="10">
        <v>-2.8802214695428097E-3</v>
      </c>
      <c r="BQ251" s="10">
        <v>3.1779429602261655E-3</v>
      </c>
      <c r="BR251" s="10">
        <v>1.6519113816796382E-3</v>
      </c>
      <c r="BS251" s="10">
        <v>2.2298083145376735E-3</v>
      </c>
      <c r="BT251" s="11" t="s">
        <v>460</v>
      </c>
    </row>
    <row r="252" spans="1:72">
      <c r="A252">
        <f>COUNTIFS($J$7:J252,J252,$N$7:N252,N252,$E$7:E252,E252)</f>
        <v>34</v>
      </c>
      <c r="B252" s="16" t="str">
        <f t="shared" si="141"/>
        <v>Low</v>
      </c>
      <c r="C252" s="16" t="str">
        <f t="shared" si="142"/>
        <v>34LowNoRetail</v>
      </c>
      <c r="D252" s="7">
        <v>35022</v>
      </c>
      <c r="E252" s="1" t="s">
        <v>10</v>
      </c>
      <c r="F252" s="1" t="s">
        <v>11</v>
      </c>
      <c r="G252" s="1" t="s">
        <v>362</v>
      </c>
      <c r="H252" s="1">
        <v>96</v>
      </c>
      <c r="I252" s="1" t="s">
        <v>16</v>
      </c>
      <c r="J252" s="1" t="s">
        <v>27</v>
      </c>
      <c r="K252" s="1">
        <v>1</v>
      </c>
      <c r="L252" s="1">
        <v>1</v>
      </c>
      <c r="M252" s="2">
        <v>0.28202196896280918</v>
      </c>
      <c r="N252" s="27" t="str">
        <f t="shared" si="143"/>
        <v>Low</v>
      </c>
      <c r="O252" s="1">
        <v>1</v>
      </c>
      <c r="P252" s="8">
        <v>93.379154651657089</v>
      </c>
      <c r="Q252" s="8">
        <v>102.62495540928821</v>
      </c>
      <c r="R252" s="8">
        <v>113.2560367953614</v>
      </c>
      <c r="S252" s="8">
        <v>136.56546448233141</v>
      </c>
      <c r="T252" s="98">
        <v>206</v>
      </c>
      <c r="U252" s="98">
        <v>245.8</v>
      </c>
      <c r="V252" s="98">
        <v>287.75</v>
      </c>
      <c r="W252" s="98">
        <v>301.75</v>
      </c>
      <c r="X252" s="94">
        <f>(SUM(P252:P253)-T252)/SUM(P252:P253)</f>
        <v>0.15210133627068673</v>
      </c>
      <c r="Y252" s="94">
        <f>(SUM(Q252:Q253)-U252)/SUM(Q252:Q253)</f>
        <v>9.4600821932633236E-3</v>
      </c>
      <c r="Z252" s="94">
        <f>(SUM(R252:R253)-V252)/SUM(R252:R253)</f>
        <v>-9.307280860415855E-2</v>
      </c>
      <c r="AA252" s="94">
        <f>(SUM(S252:S253)-W252)/SUM(S252:S253)</f>
        <v>6.6988452806116414E-2</v>
      </c>
      <c r="AB252" s="97">
        <f>AVERAGEIF(X252:AA253,"&lt;&gt;100%",X252:AA253)</f>
        <v>3.386926566647698E-2</v>
      </c>
      <c r="AC252" s="8">
        <v>114.75597407380232</v>
      </c>
      <c r="AD252" s="8">
        <v>80.791028316299133</v>
      </c>
      <c r="AE252" s="8">
        <v>93.687052620636678</v>
      </c>
      <c r="AF252" s="8">
        <v>128.4729068679344</v>
      </c>
      <c r="AG252" s="98">
        <v>210.25</v>
      </c>
      <c r="AH252" s="98">
        <v>241.2</v>
      </c>
      <c r="AI252" s="98">
        <v>358</v>
      </c>
      <c r="AJ252" s="98">
        <v>252.5</v>
      </c>
      <c r="AK252" s="94">
        <f>(SUM(AC252:AC253)-AG252)/SUM(AC252:AC253)</f>
        <v>-0.45983617105801794</v>
      </c>
      <c r="AL252" s="94">
        <f>(SUM(AD252:AD253)-AH252)/SUM(AD252:AD253)</f>
        <v>-1.1598707935397108</v>
      </c>
      <c r="AM252" s="94">
        <f>(SUM(AE252:AE253)-AI252)/SUM(AE252:AE253)</f>
        <v>-1.9091272789153007</v>
      </c>
      <c r="AN252" s="94">
        <f>(SUM(AF252:AF253)-AJ252)/SUM(AF252:AF253)</f>
        <v>-0.59023465829118793</v>
      </c>
      <c r="AO252" s="97">
        <f>AVERAGEIF(AK252:AN253,"&lt;&gt;100%",AK252:AN253)</f>
        <v>-1.0297672254510544</v>
      </c>
      <c r="AP252" s="19">
        <v>0</v>
      </c>
      <c r="AQ252" s="19">
        <v>0</v>
      </c>
      <c r="AR252" s="19">
        <v>0</v>
      </c>
      <c r="AS252" s="19">
        <v>0</v>
      </c>
      <c r="AT252" s="119">
        <v>0.8</v>
      </c>
      <c r="AU252" s="119">
        <v>0.78</v>
      </c>
      <c r="AV252" s="119">
        <v>0.82499999999999996</v>
      </c>
      <c r="AW252" s="119">
        <v>0.83750000000000002</v>
      </c>
      <c r="AX252" s="94">
        <f>(SUM(AP252:AP253)-AT252)/SUM(AP252:AP253)</f>
        <v>0.18367346938775503</v>
      </c>
      <c r="AY252" s="94">
        <f>(SUM(AQ252:AQ253)-AU252)/SUM(AQ252:AQ253)</f>
        <v>0.20408163265306117</v>
      </c>
      <c r="AZ252" s="94">
        <f>(SUM(AR252:AR253)-AV252)/SUM(AR252:AR253)</f>
        <v>0.15816326530612257</v>
      </c>
      <c r="BA252" s="94">
        <f>(SUM(AS252:AS253)-AW252)/SUM(AS252:AS253)</f>
        <v>0.14540816326530609</v>
      </c>
      <c r="BB252" s="97">
        <f>AVERAGEIF(AX252:BA253,"&lt;&gt;100%",AX252:BA253)</f>
        <v>0.17283163265306123</v>
      </c>
      <c r="BC252" s="8">
        <v>79441.676615000004</v>
      </c>
      <c r="BD252" s="8">
        <v>63343.245253999994</v>
      </c>
      <c r="BE252" s="8">
        <v>76830.259130999999</v>
      </c>
      <c r="BF252" s="8">
        <v>106037.96844200001</v>
      </c>
      <c r="BG252" s="98">
        <v>160959</v>
      </c>
      <c r="BH252" s="98">
        <v>197984</v>
      </c>
      <c r="BI252" s="98">
        <v>236134</v>
      </c>
      <c r="BJ252" s="98">
        <v>186218</v>
      </c>
      <c r="BK252" s="94">
        <f>(SUM(BC252:BC253)-BG252)/SUM(BC252:BC253)</f>
        <v>-0.92733470481192393</v>
      </c>
      <c r="BL252" s="94">
        <f>(SUM(BD252:BD253)-BH252)/SUM(BD252:BD253)</f>
        <v>-1.9269109635876103</v>
      </c>
      <c r="BM252" s="94">
        <f>(SUM(BE252:BE253)-BI252)/SUM(BE252:BE253)</f>
        <v>-1.9066524386254238</v>
      </c>
      <c r="BN252" s="94">
        <f>(SUM(BF252:BF253)-BJ252)/SUM(BF252:BF253)</f>
        <v>-0.6918608973783803</v>
      </c>
      <c r="BO252" s="97">
        <f>AVERAGEIF(BK252:BN253,"&lt;&gt;100%",BK252:BN253)</f>
        <v>-1.3631897511008346</v>
      </c>
      <c r="BP252" s="10">
        <v>-0.19450154134305936</v>
      </c>
      <c r="BQ252" s="10">
        <v>1.4098263569925565E-2</v>
      </c>
      <c r="BR252" s="10">
        <v>-2.190021426609734E-3</v>
      </c>
      <c r="BS252" s="10">
        <v>-1.2180458751522849E-3</v>
      </c>
      <c r="BT252" s="11" t="s">
        <v>458</v>
      </c>
    </row>
    <row r="253" spans="1:72">
      <c r="A253">
        <f>COUNTIFS($J$7:J253,J253,$N$7:N253,N253,$E$7:E253,E253)</f>
        <v>35</v>
      </c>
      <c r="B253" s="16" t="str">
        <f t="shared" si="141"/>
        <v>Low</v>
      </c>
      <c r="C253" s="16" t="str">
        <f t="shared" si="142"/>
        <v>35LowNoRetail</v>
      </c>
      <c r="D253" s="7">
        <v>35030</v>
      </c>
      <c r="E253" s="1" t="s">
        <v>10</v>
      </c>
      <c r="F253" s="1" t="s">
        <v>11</v>
      </c>
      <c r="G253" s="1" t="s">
        <v>366</v>
      </c>
      <c r="H253" s="1">
        <v>106</v>
      </c>
      <c r="I253" s="1" t="s">
        <v>16</v>
      </c>
      <c r="J253" s="1" t="s">
        <v>27</v>
      </c>
      <c r="K253" s="1">
        <v>1</v>
      </c>
      <c r="L253" s="1">
        <v>1</v>
      </c>
      <c r="M253" s="2">
        <v>0.32765840668886009</v>
      </c>
      <c r="N253" s="27" t="str">
        <f t="shared" si="143"/>
        <v>Low</v>
      </c>
      <c r="O253" s="1">
        <v>1</v>
      </c>
      <c r="P253" s="8">
        <v>149.5744066783609</v>
      </c>
      <c r="Q253" s="8">
        <v>145.52254029613761</v>
      </c>
      <c r="R253" s="8">
        <v>149.99266698261789</v>
      </c>
      <c r="S253" s="8">
        <v>186.84961104116061</v>
      </c>
      <c r="T253" s="110"/>
      <c r="U253" s="110"/>
      <c r="V253" s="110"/>
      <c r="W253" s="110"/>
      <c r="X253" s="95"/>
      <c r="Y253" s="96"/>
      <c r="Z253" s="96"/>
      <c r="AA253" s="96"/>
      <c r="AB253" s="114"/>
      <c r="AC253" s="8">
        <v>29.267036294286498</v>
      </c>
      <c r="AD253" s="8">
        <v>30.882318404922383</v>
      </c>
      <c r="AE253" s="8">
        <v>29.373908855577632</v>
      </c>
      <c r="AF253" s="8">
        <v>30.308690982113671</v>
      </c>
      <c r="AG253" s="110"/>
      <c r="AH253" s="110"/>
      <c r="AI253" s="110"/>
      <c r="AJ253" s="110"/>
      <c r="AK253" s="95"/>
      <c r="AL253" s="96"/>
      <c r="AM253" s="96"/>
      <c r="AN253" s="96"/>
      <c r="AO253" s="114"/>
      <c r="AP253" s="19">
        <v>0.98</v>
      </c>
      <c r="AQ253" s="19">
        <v>0.98</v>
      </c>
      <c r="AR253" s="19">
        <v>0.98000000000000009</v>
      </c>
      <c r="AS253" s="19">
        <v>0.98</v>
      </c>
      <c r="AT253" s="120"/>
      <c r="AU253" s="120"/>
      <c r="AV253" s="120"/>
      <c r="AW253" s="120"/>
      <c r="AX253" s="95"/>
      <c r="AY253" s="96"/>
      <c r="AZ253" s="96"/>
      <c r="BA253" s="96"/>
      <c r="BB253" s="114"/>
      <c r="BC253" s="8">
        <v>4072.1</v>
      </c>
      <c r="BD253" s="8">
        <v>4299.4000000000005</v>
      </c>
      <c r="BE253" s="8">
        <v>4408.8999999999978</v>
      </c>
      <c r="BF253" s="8">
        <v>4028.9999999999982</v>
      </c>
      <c r="BG253" s="110"/>
      <c r="BH253" s="110"/>
      <c r="BI253" s="110"/>
      <c r="BJ253" s="110"/>
      <c r="BK253" s="95"/>
      <c r="BL253" s="96"/>
      <c r="BM253" s="96"/>
      <c r="BN253" s="96"/>
      <c r="BO253" s="114"/>
      <c r="BP253" s="10">
        <v>8.7740903285609684E-3</v>
      </c>
      <c r="BQ253" s="10">
        <v>3.3525742091806615E-2</v>
      </c>
      <c r="BR253" s="10">
        <v>-5.0430386454226594E-3</v>
      </c>
      <c r="BS253" s="10">
        <v>-1.7540597864895702E-4</v>
      </c>
      <c r="BT253" s="11" t="s">
        <v>458</v>
      </c>
    </row>
    <row r="254" spans="1:72">
      <c r="A254">
        <f>COUNTIFS($J$7:J254,J254,$N$7:N254,N254,$E$7:E254,E254)</f>
        <v>14</v>
      </c>
      <c r="B254" s="16" t="str">
        <f t="shared" si="141"/>
        <v>Low</v>
      </c>
      <c r="C254" s="16" t="str">
        <f t="shared" si="142"/>
        <v>14LowYesTechnology</v>
      </c>
      <c r="D254" s="1">
        <v>35026</v>
      </c>
      <c r="E254" s="1" t="s">
        <v>23</v>
      </c>
      <c r="F254" s="1" t="s">
        <v>359</v>
      </c>
      <c r="G254" s="1" t="s">
        <v>363</v>
      </c>
      <c r="H254" s="1">
        <v>28</v>
      </c>
      <c r="I254" s="1" t="s">
        <v>357</v>
      </c>
      <c r="J254" s="1" t="s">
        <v>9</v>
      </c>
      <c r="K254" s="1">
        <v>1</v>
      </c>
      <c r="L254" s="1">
        <v>1</v>
      </c>
      <c r="M254" s="2">
        <v>0.20585311069416867</v>
      </c>
      <c r="N254" s="27" t="str">
        <f t="shared" si="143"/>
        <v>Low</v>
      </c>
      <c r="O254" s="1">
        <v>1</v>
      </c>
      <c r="P254" s="6">
        <v>31.29632018820455</v>
      </c>
      <c r="Q254" s="6">
        <v>30.998227586866609</v>
      </c>
      <c r="R254" s="6">
        <v>30.395008481338181</v>
      </c>
      <c r="S254" s="6">
        <v>30.12148522324112</v>
      </c>
      <c r="T254" s="6">
        <v>1.25</v>
      </c>
      <c r="U254" s="6">
        <v>1</v>
      </c>
      <c r="V254" s="6">
        <v>1</v>
      </c>
      <c r="W254" s="6">
        <v>1</v>
      </c>
      <c r="X254" s="10">
        <f t="shared" ref="X254:X290" si="160">IFERROR(((P254-T254)/P254),"")</f>
        <v>0.9600592020888411</v>
      </c>
      <c r="Y254" s="10">
        <f t="shared" ref="Y254:Y290" si="161">IFERROR(((Q254-U254)/Q254),"")</f>
        <v>0.96774009103592484</v>
      </c>
      <c r="Z254" s="10">
        <f t="shared" ref="Z254:Z290" si="162">IFERROR(((R254-V254)/R254),"")</f>
        <v>0.96709986112969915</v>
      </c>
      <c r="AA254" s="10">
        <f t="shared" ref="AA254:AA290" si="163">IFERROR(((S254-W254)/S254),"")</f>
        <v>0.9668011058356305</v>
      </c>
      <c r="AB254" s="2">
        <f t="shared" ref="AB254:AB290" si="164">IFERROR(AVERAGEIF(X254:AA254,"&lt;&gt;100%",X254:AA254),"NA")</f>
        <v>0.96542506502252401</v>
      </c>
      <c r="AC254" s="6">
        <v>64.185049742440327</v>
      </c>
      <c r="AD254" s="6">
        <v>68.414707655213988</v>
      </c>
      <c r="AE254" s="6">
        <v>66.030943350791631</v>
      </c>
      <c r="AF254" s="6">
        <v>68.151745824187799</v>
      </c>
      <c r="AG254" s="6">
        <v>74.25</v>
      </c>
      <c r="AH254" s="6">
        <v>-275.8</v>
      </c>
      <c r="AI254" s="6">
        <v>584</v>
      </c>
      <c r="AJ254" s="6">
        <v>505.25</v>
      </c>
      <c r="AK254" s="10">
        <f t="shared" ref="AK254:AK290" si="165">IFERROR(((AC254-AG254)/AC254),"")</f>
        <v>-0.15681144281959702</v>
      </c>
      <c r="AL254" s="10">
        <f t="shared" ref="AL254:AL290" si="166">IFERROR(((AD254-AH254)/AD254),"")</f>
        <v>5.0312969162995591</v>
      </c>
      <c r="AM254" s="10">
        <f t="shared" ref="AM254:AM290" si="167">IFERROR(((AE254-AI254)/AE254),"")</f>
        <v>-7.8443382808796196</v>
      </c>
      <c r="AN254" s="10">
        <f t="shared" ref="AN254:AN290" si="168">IFERROR(((AF254-AJ254)/AF254),"")</f>
        <v>-6.413603186386478</v>
      </c>
      <c r="AO254" s="2">
        <f t="shared" ref="AO254:AO290" si="169">IFERROR(AVERAGEIF(AK254:AN254,"&lt;&gt;100%",AK254:AN254),"NA")</f>
        <v>-2.3458639984465339</v>
      </c>
      <c r="AP254" s="2">
        <v>0.98</v>
      </c>
      <c r="AQ254" s="2">
        <v>0.98</v>
      </c>
      <c r="AR254" s="2">
        <v>0.98</v>
      </c>
      <c r="AS254" s="2">
        <v>0.98</v>
      </c>
      <c r="AT254" s="2">
        <v>0</v>
      </c>
      <c r="AU254" s="2">
        <v>0</v>
      </c>
      <c r="AV254" s="2">
        <v>0</v>
      </c>
      <c r="AW254" s="2">
        <v>0</v>
      </c>
      <c r="AX254" s="10">
        <f t="shared" ref="AX254:AX290" si="170">IFERROR(((AP254-AT254)/AP254),"")</f>
        <v>1</v>
      </c>
      <c r="AY254" s="10">
        <f t="shared" ref="AY254:AY290" si="171">IFERROR(((AQ254-AU254)/AQ254),"")</f>
        <v>1</v>
      </c>
      <c r="AZ254" s="10">
        <f t="shared" ref="AZ254:AZ290" si="172">IFERROR(((AR254-AV254)/AR254),"")</f>
        <v>1</v>
      </c>
      <c r="BA254" s="10">
        <f t="shared" ref="BA254:BA290" si="173">IFERROR(((AS254-AW254)/AS254),"")</f>
        <v>1</v>
      </c>
      <c r="BB254" s="2" t="str">
        <f t="shared" ref="BB254:BB290" si="174">IFERROR(AVERAGEIF(AX254:BA254,"&lt;&gt;100%",AX254:BA254),"NA")</f>
        <v>NA</v>
      </c>
      <c r="BC254" s="6">
        <v>9034.3999999999978</v>
      </c>
      <c r="BD254" s="6">
        <v>9720.5999999999985</v>
      </c>
      <c r="BE254" s="6">
        <v>10020.799999999999</v>
      </c>
      <c r="BF254" s="6">
        <v>8876.0000000000018</v>
      </c>
      <c r="BG254" s="6">
        <v>0</v>
      </c>
      <c r="BH254" s="6">
        <v>0</v>
      </c>
      <c r="BI254" s="6">
        <v>0</v>
      </c>
      <c r="BJ254" s="6">
        <v>0</v>
      </c>
      <c r="BK254" s="10">
        <f t="shared" ref="BK254:BK290" si="175">IFERROR(((BC254-BG254)/BC254),"")</f>
        <v>1</v>
      </c>
      <c r="BL254" s="10">
        <f t="shared" ref="BL254:BL290" si="176">IFERROR(((BD254-BH254)/BD254),"")</f>
        <v>1</v>
      </c>
      <c r="BM254" s="10">
        <f t="shared" ref="BM254:BM290" si="177">IFERROR(((BE254-BI254)/BE254),"")</f>
        <v>1</v>
      </c>
      <c r="BN254" s="10">
        <f t="shared" ref="BN254:BN290" si="178">IFERROR(((BF254-BJ254)/BF254),"")</f>
        <v>1</v>
      </c>
      <c r="BO254" s="2" t="str">
        <f t="shared" ref="BO254:BO290" si="179">IFERROR(AVERAGEIF(BK254:BN254,"&lt;&gt;100%",BK254:BN254),"NA")</f>
        <v>NA</v>
      </c>
      <c r="BP254" s="10">
        <v>-2.6677841408640102E-2</v>
      </c>
      <c r="BQ254" s="10">
        <v>1.8794367880611396E-2</v>
      </c>
      <c r="BR254" s="10">
        <v>-1.7605158532819909E-2</v>
      </c>
      <c r="BS254" s="10">
        <v>-7.2592315249023265E-2</v>
      </c>
      <c r="BT254" s="11" t="s">
        <v>458</v>
      </c>
    </row>
    <row r="255" spans="1:72">
      <c r="A255">
        <f>COUNTIFS($J$7:J255,J255,$N$7:N255,N255,$E$7:E255,E255)</f>
        <v>15</v>
      </c>
      <c r="B255" s="16" t="str">
        <f t="shared" si="141"/>
        <v>Low</v>
      </c>
      <c r="C255" s="16" t="str">
        <f t="shared" si="142"/>
        <v>15LowYesTechnology</v>
      </c>
      <c r="D255" s="1">
        <v>35027</v>
      </c>
      <c r="E255" s="1" t="s">
        <v>23</v>
      </c>
      <c r="F255" s="1" t="s">
        <v>359</v>
      </c>
      <c r="G255" s="1" t="s">
        <v>364</v>
      </c>
      <c r="H255" s="1">
        <v>54</v>
      </c>
      <c r="I255" s="1" t="s">
        <v>357</v>
      </c>
      <c r="J255" s="1" t="s">
        <v>9</v>
      </c>
      <c r="K255" s="1">
        <v>1</v>
      </c>
      <c r="L255" s="1">
        <v>1</v>
      </c>
      <c r="M255" s="2">
        <v>0.27432444248627458</v>
      </c>
      <c r="N255" s="27" t="str">
        <f t="shared" si="143"/>
        <v>Low</v>
      </c>
      <c r="O255" s="1">
        <v>1</v>
      </c>
      <c r="P255" s="6">
        <v>64.551104259199306</v>
      </c>
      <c r="Q255" s="6">
        <v>61.544277290257384</v>
      </c>
      <c r="R255" s="6">
        <v>60.251447779206913</v>
      </c>
      <c r="S255" s="6">
        <v>59.327345379636782</v>
      </c>
      <c r="T255" s="6">
        <v>61</v>
      </c>
      <c r="U255" s="6">
        <v>71</v>
      </c>
      <c r="V255" s="6">
        <v>80.75</v>
      </c>
      <c r="W255" s="6">
        <v>79.5</v>
      </c>
      <c r="X255" s="10">
        <f t="shared" si="160"/>
        <v>5.5012292972404592E-2</v>
      </c>
      <c r="Y255" s="10">
        <f t="shared" si="161"/>
        <v>-0.15364097404454341</v>
      </c>
      <c r="Z255" s="10">
        <f t="shared" si="162"/>
        <v>-0.34021675787626871</v>
      </c>
      <c r="AA255" s="10">
        <f t="shared" si="163"/>
        <v>-0.34002287631914135</v>
      </c>
      <c r="AB255" s="2">
        <f t="shared" si="164"/>
        <v>-0.19471707881688721</v>
      </c>
      <c r="AC255" s="6">
        <v>17</v>
      </c>
      <c r="AD255" s="6">
        <v>15</v>
      </c>
      <c r="AE255" s="6">
        <v>15</v>
      </c>
      <c r="AF255" s="6">
        <v>15</v>
      </c>
      <c r="AG255" s="6">
        <v>62.25</v>
      </c>
      <c r="AH255" s="6">
        <v>82.6</v>
      </c>
      <c r="AI255" s="6">
        <v>79.25</v>
      </c>
      <c r="AJ255" s="6">
        <v>78.5</v>
      </c>
      <c r="AK255" s="10">
        <f t="shared" si="165"/>
        <v>-2.6617647058823528</v>
      </c>
      <c r="AL255" s="10">
        <f t="shared" si="166"/>
        <v>-4.5066666666666659</v>
      </c>
      <c r="AM255" s="10">
        <f t="shared" si="167"/>
        <v>-4.2833333333333332</v>
      </c>
      <c r="AN255" s="10">
        <f t="shared" si="168"/>
        <v>-4.2333333333333334</v>
      </c>
      <c r="AO255" s="2">
        <f t="shared" si="169"/>
        <v>-3.9212745098039212</v>
      </c>
      <c r="AP255" s="2">
        <v>0</v>
      </c>
      <c r="AQ255" s="2">
        <v>0</v>
      </c>
      <c r="AR255" s="2">
        <v>0</v>
      </c>
      <c r="AS255" s="2">
        <v>0</v>
      </c>
      <c r="AT255" s="2">
        <v>0.98</v>
      </c>
      <c r="AU255" s="2">
        <v>0.98</v>
      </c>
      <c r="AV255" s="2">
        <v>0.98</v>
      </c>
      <c r="AW255" s="2">
        <v>0.98</v>
      </c>
      <c r="AX255" s="10" t="str">
        <f t="shared" si="170"/>
        <v/>
      </c>
      <c r="AY255" s="10" t="str">
        <f t="shared" si="171"/>
        <v/>
      </c>
      <c r="AZ255" s="10" t="str">
        <f t="shared" si="172"/>
        <v/>
      </c>
      <c r="BA255" s="10" t="str">
        <f t="shared" si="173"/>
        <v/>
      </c>
      <c r="BB255" s="2" t="str">
        <f t="shared" si="174"/>
        <v>NA</v>
      </c>
      <c r="BC255" s="6">
        <v>0</v>
      </c>
      <c r="BD255" s="6">
        <v>0</v>
      </c>
      <c r="BE255" s="6">
        <v>0</v>
      </c>
      <c r="BF255" s="6">
        <v>0</v>
      </c>
      <c r="BG255" s="6">
        <v>0</v>
      </c>
      <c r="BH255" s="6">
        <v>0</v>
      </c>
      <c r="BI255" s="6">
        <v>0</v>
      </c>
      <c r="BJ255" s="6">
        <v>0</v>
      </c>
      <c r="BK255" s="10" t="str">
        <f t="shared" si="175"/>
        <v/>
      </c>
      <c r="BL255" s="10" t="str">
        <f t="shared" si="176"/>
        <v/>
      </c>
      <c r="BM255" s="10" t="str">
        <f t="shared" si="177"/>
        <v/>
      </c>
      <c r="BN255" s="10" t="str">
        <f t="shared" si="178"/>
        <v/>
      </c>
      <c r="BO255" s="2" t="str">
        <f t="shared" si="179"/>
        <v>NA</v>
      </c>
      <c r="BP255" s="10">
        <v>-1.7471446165220672E-2</v>
      </c>
      <c r="BQ255" s="10">
        <v>-3.4871516420915571E-2</v>
      </c>
      <c r="BR255" s="10">
        <v>-3.4856226578454497E-2</v>
      </c>
      <c r="BS255" s="10">
        <v>-3.128250560636725E-2</v>
      </c>
      <c r="BT255" s="11" t="s">
        <v>458</v>
      </c>
    </row>
    <row r="256" spans="1:72">
      <c r="A256">
        <f>COUNTIFS($J$7:J256,J256,$N$7:N256,N256,$E$7:E256,E256)</f>
        <v>5</v>
      </c>
      <c r="B256" s="16" t="str">
        <f t="shared" si="141"/>
        <v>Low</v>
      </c>
      <c r="C256" s="16" t="str">
        <f t="shared" si="142"/>
        <v>5LowNoTravel</v>
      </c>
      <c r="D256" s="1">
        <v>35029</v>
      </c>
      <c r="E256" s="1" t="s">
        <v>79</v>
      </c>
      <c r="F256" s="1" t="s">
        <v>110</v>
      </c>
      <c r="G256" s="1" t="s">
        <v>365</v>
      </c>
      <c r="H256" s="1">
        <v>16</v>
      </c>
      <c r="I256" s="1" t="s">
        <v>98</v>
      </c>
      <c r="J256" s="1" t="s">
        <v>27</v>
      </c>
      <c r="K256" s="1">
        <v>1</v>
      </c>
      <c r="L256" s="1">
        <v>1</v>
      </c>
      <c r="M256" s="2">
        <v>0.1060847349488218</v>
      </c>
      <c r="N256" s="27" t="str">
        <f t="shared" si="143"/>
        <v>Low</v>
      </c>
      <c r="O256" s="1">
        <v>1</v>
      </c>
      <c r="P256" s="6">
        <v>15.548439443882559</v>
      </c>
      <c r="Q256" s="6">
        <v>15.115661613796689</v>
      </c>
      <c r="R256" s="6">
        <v>15.11257615521049</v>
      </c>
      <c r="S256" s="6">
        <v>15.039312141072131</v>
      </c>
      <c r="T256" s="6">
        <v>17</v>
      </c>
      <c r="U256" s="6">
        <v>17</v>
      </c>
      <c r="V256" s="6">
        <v>16</v>
      </c>
      <c r="W256" s="6">
        <v>16</v>
      </c>
      <c r="X256" s="10">
        <f t="shared" si="160"/>
        <v>-9.3357314819690701E-2</v>
      </c>
      <c r="Y256" s="10">
        <f t="shared" si="161"/>
        <v>-0.12466132375465439</v>
      </c>
      <c r="Z256" s="10">
        <f t="shared" si="162"/>
        <v>-5.8720884889208312E-2</v>
      </c>
      <c r="AA256" s="10">
        <f t="shared" si="163"/>
        <v>-6.3878444034966564E-2</v>
      </c>
      <c r="AB256" s="2">
        <f t="shared" si="164"/>
        <v>-8.5154491874629992E-2</v>
      </c>
      <c r="AC256" s="6">
        <v>108.72014967459899</v>
      </c>
      <c r="AD256" s="6">
        <v>117.24097738315226</v>
      </c>
      <c r="AE256" s="6">
        <v>131.485496506804</v>
      </c>
      <c r="AF256" s="6">
        <v>179.50375187148273</v>
      </c>
      <c r="AG256" s="6">
        <v>16</v>
      </c>
      <c r="AH256" s="6">
        <v>16</v>
      </c>
      <c r="AI256" s="6">
        <v>16</v>
      </c>
      <c r="AJ256" s="6">
        <v>16</v>
      </c>
      <c r="AK256" s="10">
        <f t="shared" si="165"/>
        <v>0.85283316802001985</v>
      </c>
      <c r="AL256" s="10">
        <f t="shared" si="166"/>
        <v>0.86352894391428681</v>
      </c>
      <c r="AM256" s="10">
        <f t="shared" si="167"/>
        <v>0.8783135750704486</v>
      </c>
      <c r="AN256" s="10">
        <f t="shared" si="168"/>
        <v>0.9108653728226509</v>
      </c>
      <c r="AO256" s="2">
        <f t="shared" si="169"/>
        <v>0.87638526495685154</v>
      </c>
      <c r="AP256" s="2">
        <v>0</v>
      </c>
      <c r="AQ256" s="2">
        <v>0</v>
      </c>
      <c r="AR256" s="2">
        <v>0</v>
      </c>
      <c r="AS256" s="2">
        <v>0</v>
      </c>
      <c r="AT256" s="2">
        <v>0</v>
      </c>
      <c r="AU256" s="2">
        <v>0</v>
      </c>
      <c r="AV256" s="2">
        <v>0</v>
      </c>
      <c r="AW256" s="2">
        <v>0</v>
      </c>
      <c r="AX256" s="10" t="str">
        <f t="shared" si="170"/>
        <v/>
      </c>
      <c r="AY256" s="10" t="str">
        <f t="shared" si="171"/>
        <v/>
      </c>
      <c r="AZ256" s="10" t="str">
        <f t="shared" si="172"/>
        <v/>
      </c>
      <c r="BA256" s="10" t="str">
        <f t="shared" si="173"/>
        <v/>
      </c>
      <c r="BB256" s="2" t="str">
        <f t="shared" si="174"/>
        <v>NA</v>
      </c>
      <c r="BC256" s="6">
        <v>84776.855389999997</v>
      </c>
      <c r="BD256" s="6">
        <v>96270.500919999991</v>
      </c>
      <c r="BE256" s="6">
        <v>111734.18286999999</v>
      </c>
      <c r="BF256" s="6">
        <v>152919.82552000001</v>
      </c>
      <c r="BG256" s="6">
        <v>0</v>
      </c>
      <c r="BH256" s="6">
        <v>0</v>
      </c>
      <c r="BI256" s="6">
        <v>0</v>
      </c>
      <c r="BJ256" s="6">
        <v>0</v>
      </c>
      <c r="BK256" s="10">
        <f t="shared" si="175"/>
        <v>1</v>
      </c>
      <c r="BL256" s="10">
        <f t="shared" si="176"/>
        <v>1</v>
      </c>
      <c r="BM256" s="10">
        <f t="shared" si="177"/>
        <v>1</v>
      </c>
      <c r="BN256" s="10">
        <f t="shared" si="178"/>
        <v>1</v>
      </c>
      <c r="BO256" s="2" t="str">
        <f t="shared" si="179"/>
        <v>NA</v>
      </c>
      <c r="BP256" s="10">
        <v>-0.11362844092490143</v>
      </c>
      <c r="BQ256" s="10">
        <v>0</v>
      </c>
      <c r="BR256" s="10">
        <v>0</v>
      </c>
      <c r="BS256" s="10">
        <v>0</v>
      </c>
      <c r="BT256" s="11" t="s">
        <v>460</v>
      </c>
    </row>
    <row r="257" spans="1:72">
      <c r="A257">
        <f>COUNTIFS($J$7:J257,J257,$N$7:N257,N257,$E$7:E257,E257)</f>
        <v>52</v>
      </c>
      <c r="B257" s="16" t="str">
        <f t="shared" si="141"/>
        <v>Low</v>
      </c>
      <c r="C257" s="16" t="str">
        <f t="shared" si="142"/>
        <v>52LowNoTechnology</v>
      </c>
      <c r="D257" s="1">
        <v>35031</v>
      </c>
      <c r="E257" s="1" t="s">
        <v>23</v>
      </c>
      <c r="F257" s="1" t="s">
        <v>300</v>
      </c>
      <c r="G257" s="1" t="s">
        <v>367</v>
      </c>
      <c r="H257" s="1">
        <v>103</v>
      </c>
      <c r="I257" s="1" t="s">
        <v>302</v>
      </c>
      <c r="J257" s="1" t="s">
        <v>27</v>
      </c>
      <c r="K257" s="1">
        <v>1</v>
      </c>
      <c r="L257" s="1">
        <v>1</v>
      </c>
      <c r="M257" s="2">
        <v>0.21628350797060475</v>
      </c>
      <c r="N257" s="27" t="str">
        <f t="shared" si="143"/>
        <v>Low</v>
      </c>
      <c r="O257" s="1">
        <v>1</v>
      </c>
      <c r="P257" s="6">
        <v>82.035610838549019</v>
      </c>
      <c r="Q257" s="6">
        <v>79.041010194052333</v>
      </c>
      <c r="R257" s="6">
        <v>80.254292974754364</v>
      </c>
      <c r="S257" s="6">
        <v>78.448751863550982</v>
      </c>
      <c r="T257" s="6">
        <v>99</v>
      </c>
      <c r="U257" s="6">
        <v>100.8</v>
      </c>
      <c r="V257" s="6">
        <v>103.75</v>
      </c>
      <c r="W257" s="6">
        <v>99.25</v>
      </c>
      <c r="X257" s="10">
        <f t="shared" si="160"/>
        <v>-0.20679298889890529</v>
      </c>
      <c r="Y257" s="10">
        <f t="shared" si="161"/>
        <v>-0.27528734453832904</v>
      </c>
      <c r="Z257" s="10">
        <f t="shared" si="162"/>
        <v>-0.29276573444658832</v>
      </c>
      <c r="AA257" s="10">
        <f t="shared" si="163"/>
        <v>-0.26515715855657529</v>
      </c>
      <c r="AB257" s="2">
        <f t="shared" si="164"/>
        <v>-0.2600008066100995</v>
      </c>
      <c r="AC257" s="6">
        <v>94</v>
      </c>
      <c r="AD257" s="6">
        <v>94</v>
      </c>
      <c r="AE257" s="6">
        <v>93</v>
      </c>
      <c r="AF257" s="6">
        <v>95</v>
      </c>
      <c r="AG257" s="6">
        <v>93</v>
      </c>
      <c r="AH257" s="6">
        <v>93.8</v>
      </c>
      <c r="AI257" s="6">
        <v>95.5</v>
      </c>
      <c r="AJ257" s="6">
        <v>95.25</v>
      </c>
      <c r="AK257" s="10">
        <f t="shared" si="165"/>
        <v>1.0638297872340425E-2</v>
      </c>
      <c r="AL257" s="10">
        <f t="shared" si="166"/>
        <v>2.1276595744681155E-3</v>
      </c>
      <c r="AM257" s="10">
        <f t="shared" si="167"/>
        <v>-2.6881720430107527E-2</v>
      </c>
      <c r="AN257" s="10">
        <f t="shared" si="168"/>
        <v>-2.631578947368421E-3</v>
      </c>
      <c r="AO257" s="2">
        <f t="shared" si="169"/>
        <v>-4.1868354826668517E-3</v>
      </c>
      <c r="AP257" s="2">
        <v>0.92999999999999994</v>
      </c>
      <c r="AQ257" s="2">
        <v>0.92999999999999994</v>
      </c>
      <c r="AR257" s="2">
        <v>0.92999999999999994</v>
      </c>
      <c r="AS257" s="2">
        <v>0.92999999999999994</v>
      </c>
      <c r="AT257" s="2">
        <v>0.85</v>
      </c>
      <c r="AU257" s="2">
        <v>0.85</v>
      </c>
      <c r="AV257" s="2">
        <v>0.85</v>
      </c>
      <c r="AW257" s="2">
        <v>0.85</v>
      </c>
      <c r="AX257" s="10">
        <f t="shared" si="170"/>
        <v>8.6021505376344051E-2</v>
      </c>
      <c r="AY257" s="10">
        <f t="shared" si="171"/>
        <v>8.6021505376344051E-2</v>
      </c>
      <c r="AZ257" s="10">
        <f t="shared" si="172"/>
        <v>8.6021505376344051E-2</v>
      </c>
      <c r="BA257" s="10">
        <f t="shared" si="173"/>
        <v>8.6021505376344051E-2</v>
      </c>
      <c r="BB257" s="2">
        <f t="shared" si="174"/>
        <v>8.6021505376344051E-2</v>
      </c>
      <c r="BC257" s="6">
        <v>0</v>
      </c>
      <c r="BD257" s="6">
        <v>0</v>
      </c>
      <c r="BE257" s="6">
        <v>0</v>
      </c>
      <c r="BF257" s="6">
        <v>0</v>
      </c>
      <c r="BG257" s="6">
        <v>0</v>
      </c>
      <c r="BH257" s="6">
        <v>0</v>
      </c>
      <c r="BI257" s="6">
        <v>0</v>
      </c>
      <c r="BJ257" s="6">
        <v>0</v>
      </c>
      <c r="BK257" s="10" t="str">
        <f t="shared" si="175"/>
        <v/>
      </c>
      <c r="BL257" s="10" t="str">
        <f t="shared" si="176"/>
        <v/>
      </c>
      <c r="BM257" s="10" t="str">
        <f t="shared" si="177"/>
        <v/>
      </c>
      <c r="BN257" s="10" t="str">
        <f t="shared" si="178"/>
        <v/>
      </c>
      <c r="BO257" s="2" t="str">
        <f t="shared" si="179"/>
        <v>NA</v>
      </c>
      <c r="BP257" s="10">
        <v>1.5665609964166105E-4</v>
      </c>
      <c r="BQ257" s="10">
        <v>8.6373911653630508E-3</v>
      </c>
      <c r="BR257" s="10">
        <v>1.5523091337704187E-2</v>
      </c>
      <c r="BS257" s="10">
        <v>-3.1528472414353303E-3</v>
      </c>
      <c r="BT257" s="11" t="s">
        <v>461</v>
      </c>
    </row>
    <row r="258" spans="1:72">
      <c r="A258">
        <f>COUNTIFS($J$7:J258,J258,$N$7:N258,N258,$E$7:E258,E258)</f>
        <v>36</v>
      </c>
      <c r="B258" s="16" t="str">
        <f t="shared" si="141"/>
        <v>Low</v>
      </c>
      <c r="C258" s="16" t="str">
        <f t="shared" si="142"/>
        <v>36LowNoRetail</v>
      </c>
      <c r="D258" s="1">
        <v>35033</v>
      </c>
      <c r="E258" s="1" t="s">
        <v>10</v>
      </c>
      <c r="F258" s="1" t="s">
        <v>11</v>
      </c>
      <c r="G258" s="1" t="s">
        <v>368</v>
      </c>
      <c r="H258" s="1">
        <v>47</v>
      </c>
      <c r="I258" s="1" t="s">
        <v>16</v>
      </c>
      <c r="J258" s="1" t="s">
        <v>27</v>
      </c>
      <c r="K258" s="1">
        <v>1</v>
      </c>
      <c r="L258" s="1">
        <v>1</v>
      </c>
      <c r="M258" s="2">
        <v>0.31745742961342993</v>
      </c>
      <c r="N258" s="27" t="str">
        <f t="shared" si="143"/>
        <v>Low</v>
      </c>
      <c r="O258" s="1">
        <v>1</v>
      </c>
      <c r="P258" s="6">
        <v>58.088208170220987</v>
      </c>
      <c r="Q258" s="6">
        <v>63.029071427731523</v>
      </c>
      <c r="R258" s="6">
        <v>71.006320572791765</v>
      </c>
      <c r="S258" s="6">
        <v>92.29322805200573</v>
      </c>
      <c r="T258" s="6">
        <v>28.75</v>
      </c>
      <c r="U258" s="6">
        <v>28.2</v>
      </c>
      <c r="V258" s="6">
        <v>40.75</v>
      </c>
      <c r="W258" s="6">
        <v>39.5</v>
      </c>
      <c r="X258" s="10">
        <f t="shared" si="160"/>
        <v>0.5050630600318855</v>
      </c>
      <c r="Y258" s="10">
        <f t="shared" si="161"/>
        <v>0.55258741147196133</v>
      </c>
      <c r="Z258" s="10">
        <f t="shared" si="162"/>
        <v>0.42610742718001637</v>
      </c>
      <c r="AA258" s="10">
        <f t="shared" si="163"/>
        <v>0.57201626995057109</v>
      </c>
      <c r="AB258" s="2">
        <f t="shared" si="164"/>
        <v>0.51394354215860849</v>
      </c>
      <c r="AC258" s="6">
        <v>59.420194317904929</v>
      </c>
      <c r="AD258" s="6">
        <v>63.150003373155279</v>
      </c>
      <c r="AE258" s="6">
        <v>70.447742373210502</v>
      </c>
      <c r="AF258" s="6">
        <v>93.208023222508189</v>
      </c>
      <c r="AG258" s="6">
        <v>25</v>
      </c>
      <c r="AH258" s="6">
        <v>25.8</v>
      </c>
      <c r="AI258" s="6">
        <v>44.75</v>
      </c>
      <c r="AJ258" s="6">
        <v>57.75</v>
      </c>
      <c r="AK258" s="10">
        <f t="shared" si="165"/>
        <v>0.57926761622072287</v>
      </c>
      <c r="AL258" s="10">
        <f t="shared" si="166"/>
        <v>0.59144895293913091</v>
      </c>
      <c r="AM258" s="10">
        <f t="shared" si="167"/>
        <v>0.36477737266684512</v>
      </c>
      <c r="AN258" s="10">
        <f t="shared" si="168"/>
        <v>0.38041814423917175</v>
      </c>
      <c r="AO258" s="2">
        <f t="shared" si="169"/>
        <v>0.47897802151646762</v>
      </c>
      <c r="AP258" s="2">
        <v>0</v>
      </c>
      <c r="AQ258" s="2">
        <v>0</v>
      </c>
      <c r="AR258" s="2">
        <v>0</v>
      </c>
      <c r="AS258" s="2">
        <v>0</v>
      </c>
      <c r="AT258" s="2">
        <v>0.9</v>
      </c>
      <c r="AU258" s="2">
        <v>0.9</v>
      </c>
      <c r="AV258" s="2">
        <v>0.9</v>
      </c>
      <c r="AW258" s="2">
        <v>0.9</v>
      </c>
      <c r="AX258" s="10" t="str">
        <f t="shared" si="170"/>
        <v/>
      </c>
      <c r="AY258" s="10" t="str">
        <f t="shared" si="171"/>
        <v/>
      </c>
      <c r="AZ258" s="10" t="str">
        <f t="shared" si="172"/>
        <v/>
      </c>
      <c r="BA258" s="10" t="str">
        <f t="shared" si="173"/>
        <v/>
      </c>
      <c r="BB258" s="2" t="str">
        <f t="shared" si="174"/>
        <v>NA</v>
      </c>
      <c r="BC258" s="6">
        <v>522237.05766216299</v>
      </c>
      <c r="BD258" s="6">
        <v>587694.66499028902</v>
      </c>
      <c r="BE258" s="6">
        <v>699356.86179042596</v>
      </c>
      <c r="BF258" s="6">
        <v>894812.365919451</v>
      </c>
      <c r="BG258" s="6">
        <v>421613</v>
      </c>
      <c r="BH258" s="6">
        <v>547985</v>
      </c>
      <c r="BI258" s="6">
        <v>759628</v>
      </c>
      <c r="BJ258" s="6">
        <v>979484</v>
      </c>
      <c r="BK258" s="10">
        <f t="shared" si="175"/>
        <v>0.19267889205835914</v>
      </c>
      <c r="BL258" s="10">
        <f t="shared" si="176"/>
        <v>6.75685306602965E-2</v>
      </c>
      <c r="BM258" s="10">
        <f t="shared" si="177"/>
        <v>-8.6180806255727133E-2</v>
      </c>
      <c r="BN258" s="10">
        <f t="shared" si="178"/>
        <v>-9.4625015595918752E-2</v>
      </c>
      <c r="BO258" s="2">
        <f t="shared" si="179"/>
        <v>1.9860400216752439E-2</v>
      </c>
      <c r="BP258" s="10">
        <v>3.1747988553048612E-2</v>
      </c>
      <c r="BQ258" s="10">
        <v>-2.9639441543840017E-3</v>
      </c>
      <c r="BR258" s="10">
        <v>1.9493003273898801E-3</v>
      </c>
      <c r="BS258" s="10">
        <v>1.5461520011368357E-3</v>
      </c>
      <c r="BT258" s="11" t="s">
        <v>458</v>
      </c>
    </row>
    <row r="259" spans="1:72">
      <c r="A259">
        <f>COUNTIFS($J$7:J259,J259,$N$7:N259,N259,$E$7:E259,E259)</f>
        <v>6</v>
      </c>
      <c r="B259" s="16" t="str">
        <f t="shared" si="141"/>
        <v>Low</v>
      </c>
      <c r="C259" s="16" t="str">
        <f t="shared" si="142"/>
        <v>6LowNoTravel</v>
      </c>
      <c r="D259" s="1">
        <v>35036</v>
      </c>
      <c r="E259" s="1" t="s">
        <v>79</v>
      </c>
      <c r="F259" s="1" t="s">
        <v>369</v>
      </c>
      <c r="G259" s="1" t="s">
        <v>370</v>
      </c>
      <c r="H259" s="1">
        <v>57</v>
      </c>
      <c r="I259" s="1" t="s">
        <v>371</v>
      </c>
      <c r="J259" s="1" t="s">
        <v>27</v>
      </c>
      <c r="K259" s="1">
        <v>2</v>
      </c>
      <c r="L259" s="1">
        <v>1</v>
      </c>
      <c r="M259" s="2">
        <v>0.10324528335222281</v>
      </c>
      <c r="N259" s="27" t="str">
        <f t="shared" si="143"/>
        <v>Low</v>
      </c>
      <c r="O259" s="1">
        <v>1</v>
      </c>
      <c r="P259" s="6">
        <v>53.975549195943032</v>
      </c>
      <c r="Q259" s="6">
        <v>23.979399937201919</v>
      </c>
      <c r="R259" s="6">
        <v>22.999775390625</v>
      </c>
      <c r="S259" s="6">
        <v>22.999775390625</v>
      </c>
      <c r="T259" s="6" t="s">
        <v>422</v>
      </c>
      <c r="U259" s="6" t="s">
        <v>422</v>
      </c>
      <c r="V259" s="6" t="s">
        <v>422</v>
      </c>
      <c r="W259" s="6" t="s">
        <v>422</v>
      </c>
      <c r="X259" s="10" t="str">
        <f t="shared" si="160"/>
        <v/>
      </c>
      <c r="Y259" s="10" t="str">
        <f t="shared" si="161"/>
        <v/>
      </c>
      <c r="Z259" s="10" t="str">
        <f t="shared" si="162"/>
        <v/>
      </c>
      <c r="AA259" s="10" t="str">
        <f t="shared" si="163"/>
        <v/>
      </c>
      <c r="AB259" s="2" t="str">
        <f t="shared" si="164"/>
        <v>NA</v>
      </c>
      <c r="AC259" s="6">
        <v>28</v>
      </c>
      <c r="AD259" s="6">
        <v>23</v>
      </c>
      <c r="AE259" s="6">
        <v>23</v>
      </c>
      <c r="AF259" s="6">
        <v>23</v>
      </c>
      <c r="AG259" s="6" t="s">
        <v>422</v>
      </c>
      <c r="AH259" s="6" t="s">
        <v>422</v>
      </c>
      <c r="AI259" s="6" t="s">
        <v>422</v>
      </c>
      <c r="AJ259" s="6" t="s">
        <v>422</v>
      </c>
      <c r="AK259" s="10" t="str">
        <f t="shared" si="165"/>
        <v/>
      </c>
      <c r="AL259" s="10" t="str">
        <f t="shared" si="166"/>
        <v/>
      </c>
      <c r="AM259" s="10" t="str">
        <f t="shared" si="167"/>
        <v/>
      </c>
      <c r="AN259" s="10" t="str">
        <f t="shared" si="168"/>
        <v/>
      </c>
      <c r="AO259" s="2" t="str">
        <f t="shared" si="169"/>
        <v>NA</v>
      </c>
      <c r="AP259" s="2">
        <v>0</v>
      </c>
      <c r="AQ259" s="2">
        <v>0</v>
      </c>
      <c r="AR259" s="2">
        <v>0</v>
      </c>
      <c r="AS259" s="2">
        <v>0</v>
      </c>
      <c r="AT259" s="2" t="s">
        <v>422</v>
      </c>
      <c r="AU259" s="2" t="s">
        <v>422</v>
      </c>
      <c r="AV259" s="2" t="s">
        <v>422</v>
      </c>
      <c r="AW259" s="2" t="s">
        <v>422</v>
      </c>
      <c r="AX259" s="10" t="str">
        <f t="shared" si="170"/>
        <v/>
      </c>
      <c r="AY259" s="10" t="str">
        <f t="shared" si="171"/>
        <v/>
      </c>
      <c r="AZ259" s="10" t="str">
        <f t="shared" si="172"/>
        <v/>
      </c>
      <c r="BA259" s="10" t="str">
        <f t="shared" si="173"/>
        <v/>
      </c>
      <c r="BB259" s="2" t="str">
        <f t="shared" si="174"/>
        <v>NA</v>
      </c>
      <c r="BC259" s="6">
        <v>0</v>
      </c>
      <c r="BD259" s="6">
        <v>0</v>
      </c>
      <c r="BE259" s="6">
        <v>0</v>
      </c>
      <c r="BF259" s="6">
        <v>0</v>
      </c>
      <c r="BG259" s="6" t="s">
        <v>422</v>
      </c>
      <c r="BH259" s="6" t="s">
        <v>422</v>
      </c>
      <c r="BI259" s="6" t="s">
        <v>422</v>
      </c>
      <c r="BJ259" s="6" t="s">
        <v>422</v>
      </c>
      <c r="BK259" s="10" t="str">
        <f t="shared" si="175"/>
        <v/>
      </c>
      <c r="BL259" s="10" t="str">
        <f t="shared" si="176"/>
        <v/>
      </c>
      <c r="BM259" s="10" t="str">
        <f t="shared" si="177"/>
        <v/>
      </c>
      <c r="BN259" s="10" t="str">
        <f t="shared" si="178"/>
        <v/>
      </c>
      <c r="BO259" s="2" t="str">
        <f t="shared" si="179"/>
        <v>NA</v>
      </c>
      <c r="BP259" s="10">
        <v>-0.22392071028491611</v>
      </c>
      <c r="BQ259" s="10">
        <v>4.0252526386958892E-2</v>
      </c>
      <c r="BR259" s="10">
        <v>6.1577486649196544E-2</v>
      </c>
      <c r="BS259" s="10">
        <v>6.7160232302715339E-2</v>
      </c>
      <c r="BT259" s="11" t="s">
        <v>460</v>
      </c>
    </row>
    <row r="260" spans="1:72">
      <c r="A260">
        <f>COUNTIFS($J$7:J260,J260,$N$7:N260,N260,$E$7:E260,E260)</f>
        <v>5</v>
      </c>
      <c r="B260" s="16" t="str">
        <f t="shared" si="141"/>
        <v>Medium</v>
      </c>
      <c r="C260" s="16" t="str">
        <f t="shared" si="142"/>
        <v>5MediumNoTravel</v>
      </c>
      <c r="D260" s="1">
        <v>40022</v>
      </c>
      <c r="E260" s="1" t="s">
        <v>79</v>
      </c>
      <c r="F260" s="1" t="s">
        <v>96</v>
      </c>
      <c r="G260" s="1" t="s">
        <v>96</v>
      </c>
      <c r="H260" s="1">
        <v>10</v>
      </c>
      <c r="I260" s="1" t="s">
        <v>98</v>
      </c>
      <c r="J260" s="1" t="s">
        <v>27</v>
      </c>
      <c r="K260" s="1">
        <v>1</v>
      </c>
      <c r="L260" s="1"/>
      <c r="M260" s="2">
        <v>0</v>
      </c>
      <c r="N260" s="27" t="str">
        <f t="shared" si="143"/>
        <v>Medium</v>
      </c>
      <c r="O260" s="1">
        <v>0</v>
      </c>
      <c r="P260" s="6">
        <v>0</v>
      </c>
      <c r="Q260" s="6">
        <v>0</v>
      </c>
      <c r="R260" s="6">
        <v>0</v>
      </c>
      <c r="S260" s="6">
        <v>0</v>
      </c>
      <c r="T260" s="6" t="s">
        <v>422</v>
      </c>
      <c r="U260" s="6" t="s">
        <v>422</v>
      </c>
      <c r="V260" s="6" t="s">
        <v>422</v>
      </c>
      <c r="W260" s="6" t="s">
        <v>422</v>
      </c>
      <c r="X260" s="10" t="str">
        <f t="shared" si="160"/>
        <v/>
      </c>
      <c r="Y260" s="10" t="str">
        <f t="shared" si="161"/>
        <v/>
      </c>
      <c r="Z260" s="10" t="str">
        <f t="shared" si="162"/>
        <v/>
      </c>
      <c r="AA260" s="10" t="str">
        <f t="shared" si="163"/>
        <v/>
      </c>
      <c r="AB260" s="2" t="str">
        <f t="shared" si="164"/>
        <v>NA</v>
      </c>
      <c r="AC260" s="6">
        <v>0</v>
      </c>
      <c r="AD260" s="6">
        <v>0</v>
      </c>
      <c r="AE260" s="6">
        <v>0</v>
      </c>
      <c r="AF260" s="6">
        <v>0</v>
      </c>
      <c r="AG260" s="6" t="s">
        <v>422</v>
      </c>
      <c r="AH260" s="6" t="s">
        <v>422</v>
      </c>
      <c r="AI260" s="6" t="s">
        <v>422</v>
      </c>
      <c r="AJ260" s="6" t="s">
        <v>422</v>
      </c>
      <c r="AK260" s="10" t="str">
        <f t="shared" si="165"/>
        <v/>
      </c>
      <c r="AL260" s="10" t="str">
        <f t="shared" si="166"/>
        <v/>
      </c>
      <c r="AM260" s="10" t="str">
        <f t="shared" si="167"/>
        <v/>
      </c>
      <c r="AN260" s="10" t="str">
        <f t="shared" si="168"/>
        <v/>
      </c>
      <c r="AO260" s="2" t="str">
        <f t="shared" si="169"/>
        <v>NA</v>
      </c>
      <c r="AP260" s="2">
        <v>0</v>
      </c>
      <c r="AQ260" s="2">
        <v>0</v>
      </c>
      <c r="AR260" s="2">
        <v>0</v>
      </c>
      <c r="AS260" s="2">
        <v>0</v>
      </c>
      <c r="AT260" s="2" t="s">
        <v>422</v>
      </c>
      <c r="AU260" s="2" t="s">
        <v>422</v>
      </c>
      <c r="AV260" s="2" t="s">
        <v>422</v>
      </c>
      <c r="AW260" s="2" t="s">
        <v>422</v>
      </c>
      <c r="AX260" s="10" t="str">
        <f t="shared" si="170"/>
        <v/>
      </c>
      <c r="AY260" s="10" t="str">
        <f t="shared" si="171"/>
        <v/>
      </c>
      <c r="AZ260" s="10" t="str">
        <f t="shared" si="172"/>
        <v/>
      </c>
      <c r="BA260" s="10" t="str">
        <f t="shared" si="173"/>
        <v/>
      </c>
      <c r="BB260" s="2" t="str">
        <f t="shared" si="174"/>
        <v>NA</v>
      </c>
      <c r="BC260" s="6">
        <v>0</v>
      </c>
      <c r="BD260" s="6">
        <v>0</v>
      </c>
      <c r="BE260" s="6">
        <v>0</v>
      </c>
      <c r="BF260" s="6">
        <v>0</v>
      </c>
      <c r="BG260" s="6">
        <v>0</v>
      </c>
      <c r="BH260" s="6">
        <v>0</v>
      </c>
      <c r="BI260" s="6">
        <v>0</v>
      </c>
      <c r="BJ260" s="6">
        <v>0</v>
      </c>
      <c r="BK260" s="10" t="str">
        <f t="shared" si="175"/>
        <v/>
      </c>
      <c r="BL260" s="10" t="str">
        <f t="shared" si="176"/>
        <v/>
      </c>
      <c r="BM260" s="10" t="str">
        <f t="shared" si="177"/>
        <v/>
      </c>
      <c r="BN260" s="10" t="str">
        <f t="shared" si="178"/>
        <v/>
      </c>
      <c r="BO260" s="2" t="str">
        <f t="shared" si="179"/>
        <v>NA</v>
      </c>
      <c r="BP260" s="10">
        <v>0</v>
      </c>
      <c r="BQ260" s="10">
        <v>0</v>
      </c>
      <c r="BR260" s="10">
        <v>0</v>
      </c>
      <c r="BS260" s="10">
        <v>0</v>
      </c>
      <c r="BT260" s="11">
        <v>0</v>
      </c>
    </row>
    <row r="261" spans="1:72">
      <c r="A261">
        <f>COUNTIFS($J$7:J261,J261,$N$7:N261,N261,$E$7:E261,E261)</f>
        <v>8</v>
      </c>
      <c r="B261" s="16" t="str">
        <f t="shared" si="141"/>
        <v>Critical</v>
      </c>
      <c r="C261" s="16" t="str">
        <f t="shared" si="142"/>
        <v>8CriticalNoBFIMG</v>
      </c>
      <c r="D261" s="1">
        <v>40036</v>
      </c>
      <c r="E261" s="1" t="s">
        <v>20</v>
      </c>
      <c r="F261" s="1" t="s">
        <v>372</v>
      </c>
      <c r="G261" s="1" t="s">
        <v>373</v>
      </c>
      <c r="H261" s="1">
        <v>117</v>
      </c>
      <c r="I261" s="1" t="s">
        <v>75</v>
      </c>
      <c r="J261" s="1" t="s">
        <v>27</v>
      </c>
      <c r="K261" s="1">
        <v>1</v>
      </c>
      <c r="L261" s="1">
        <v>1</v>
      </c>
      <c r="M261" s="2">
        <v>-5.3938660885139926E-2</v>
      </c>
      <c r="N261" s="27" t="str">
        <f t="shared" si="143"/>
        <v>Critical</v>
      </c>
      <c r="O261" s="1">
        <v>1</v>
      </c>
      <c r="P261" s="6">
        <v>78.997500390624992</v>
      </c>
      <c r="Q261" s="6">
        <v>78.054909247999632</v>
      </c>
      <c r="R261" s="6">
        <v>77.997532031250003</v>
      </c>
      <c r="S261" s="6">
        <v>77.997532031250003</v>
      </c>
      <c r="T261" s="6">
        <v>112</v>
      </c>
      <c r="U261" s="6">
        <v>111.4</v>
      </c>
      <c r="V261" s="6">
        <v>104</v>
      </c>
      <c r="W261" s="6">
        <v>104</v>
      </c>
      <c r="X261" s="10">
        <f t="shared" si="160"/>
        <v>-0.41776637800164584</v>
      </c>
      <c r="Y261" s="10">
        <f t="shared" si="161"/>
        <v>-0.42720042945735576</v>
      </c>
      <c r="Z261" s="10">
        <f t="shared" si="162"/>
        <v>-0.33337552216821437</v>
      </c>
      <c r="AA261" s="10">
        <f t="shared" si="163"/>
        <v>-0.33337552216821437</v>
      </c>
      <c r="AB261" s="2">
        <f t="shared" si="164"/>
        <v>-0.3779294629488576</v>
      </c>
      <c r="AC261" s="6">
        <v>79</v>
      </c>
      <c r="AD261" s="6">
        <v>78</v>
      </c>
      <c r="AE261" s="6">
        <v>78</v>
      </c>
      <c r="AF261" s="6">
        <v>78</v>
      </c>
      <c r="AG261" s="6">
        <v>112</v>
      </c>
      <c r="AH261" s="6">
        <v>110</v>
      </c>
      <c r="AI261" s="6">
        <v>102</v>
      </c>
      <c r="AJ261" s="6">
        <v>102</v>
      </c>
      <c r="AK261" s="10">
        <f t="shared" si="165"/>
        <v>-0.41772151898734178</v>
      </c>
      <c r="AL261" s="10">
        <f t="shared" si="166"/>
        <v>-0.41025641025641024</v>
      </c>
      <c r="AM261" s="10">
        <f t="shared" si="167"/>
        <v>-0.30769230769230771</v>
      </c>
      <c r="AN261" s="10">
        <f t="shared" si="168"/>
        <v>-0.30769230769230771</v>
      </c>
      <c r="AO261" s="2">
        <f t="shared" si="169"/>
        <v>-0.36084063615709189</v>
      </c>
      <c r="AP261" s="2">
        <v>0</v>
      </c>
      <c r="AQ261" s="2">
        <v>0</v>
      </c>
      <c r="AR261" s="2">
        <v>0</v>
      </c>
      <c r="AS261" s="2">
        <v>0</v>
      </c>
      <c r="AT261" s="2">
        <v>0</v>
      </c>
      <c r="AU261" s="2">
        <v>0</v>
      </c>
      <c r="AV261" s="2">
        <v>0</v>
      </c>
      <c r="AW261" s="2">
        <v>0</v>
      </c>
      <c r="AX261" s="10" t="str">
        <f t="shared" si="170"/>
        <v/>
      </c>
      <c r="AY261" s="10" t="str">
        <f t="shared" si="171"/>
        <v/>
      </c>
      <c r="AZ261" s="10" t="str">
        <f t="shared" si="172"/>
        <v/>
      </c>
      <c r="BA261" s="10" t="str">
        <f t="shared" si="173"/>
        <v/>
      </c>
      <c r="BB261" s="2" t="str">
        <f t="shared" si="174"/>
        <v>NA</v>
      </c>
      <c r="BC261" s="6">
        <v>0</v>
      </c>
      <c r="BD261" s="6">
        <v>0</v>
      </c>
      <c r="BE261" s="6">
        <v>0</v>
      </c>
      <c r="BF261" s="6">
        <v>0</v>
      </c>
      <c r="BG261" s="6">
        <v>0</v>
      </c>
      <c r="BH261" s="6">
        <v>0</v>
      </c>
      <c r="BI261" s="6">
        <v>0</v>
      </c>
      <c r="BJ261" s="6">
        <v>0</v>
      </c>
      <c r="BK261" s="10" t="str">
        <f t="shared" si="175"/>
        <v/>
      </c>
      <c r="BL261" s="10" t="str">
        <f t="shared" si="176"/>
        <v/>
      </c>
      <c r="BM261" s="10" t="str">
        <f t="shared" si="177"/>
        <v/>
      </c>
      <c r="BN261" s="10" t="str">
        <f t="shared" si="178"/>
        <v/>
      </c>
      <c r="BO261" s="2" t="str">
        <f t="shared" si="179"/>
        <v>NA</v>
      </c>
      <c r="BP261" s="10">
        <v>-1.0124723157352022E-2</v>
      </c>
      <c r="BQ261" s="10">
        <v>0.10095030434404728</v>
      </c>
      <c r="BR261" s="10">
        <v>-8.0634165238230304E-4</v>
      </c>
      <c r="BS261" s="10">
        <v>1.3884649109828229E-3</v>
      </c>
      <c r="BT261" s="11" t="s">
        <v>460</v>
      </c>
    </row>
    <row r="262" spans="1:72">
      <c r="A262">
        <f>COUNTIFS($J$7:J262,J262,$N$7:N262,N262,$E$7:E262,E262)</f>
        <v>9</v>
      </c>
      <c r="B262" s="16" t="str">
        <f t="shared" si="141"/>
        <v>Medium</v>
      </c>
      <c r="C262" s="16" t="str">
        <f t="shared" si="142"/>
        <v>9MediumNoBFIMG</v>
      </c>
      <c r="D262" s="1">
        <v>40037</v>
      </c>
      <c r="E262" s="1" t="s">
        <v>20</v>
      </c>
      <c r="F262" s="1" t="s">
        <v>372</v>
      </c>
      <c r="G262" s="1" t="s">
        <v>374</v>
      </c>
      <c r="H262" s="1">
        <v>46</v>
      </c>
      <c r="I262" s="1" t="s">
        <v>22</v>
      </c>
      <c r="J262" s="1" t="s">
        <v>27</v>
      </c>
      <c r="K262" s="1">
        <v>1</v>
      </c>
      <c r="L262" s="1"/>
      <c r="M262" s="2">
        <v>0</v>
      </c>
      <c r="N262" s="27" t="str">
        <f t="shared" si="143"/>
        <v>Medium</v>
      </c>
      <c r="O262" s="1">
        <v>0</v>
      </c>
      <c r="P262" s="6">
        <v>0</v>
      </c>
      <c r="Q262" s="6">
        <v>0</v>
      </c>
      <c r="R262" s="6">
        <v>0</v>
      </c>
      <c r="S262" s="6">
        <v>0</v>
      </c>
      <c r="T262" s="6">
        <v>48</v>
      </c>
      <c r="U262" s="6">
        <v>48</v>
      </c>
      <c r="V262" s="6">
        <v>48</v>
      </c>
      <c r="W262" s="6">
        <v>48</v>
      </c>
      <c r="X262" s="10" t="str">
        <f t="shared" si="160"/>
        <v/>
      </c>
      <c r="Y262" s="10" t="str">
        <f t="shared" si="161"/>
        <v/>
      </c>
      <c r="Z262" s="10" t="str">
        <f t="shared" si="162"/>
        <v/>
      </c>
      <c r="AA262" s="10" t="str">
        <f t="shared" si="163"/>
        <v/>
      </c>
      <c r="AB262" s="2" t="str">
        <f t="shared" si="164"/>
        <v>NA</v>
      </c>
      <c r="AC262" s="6">
        <v>0</v>
      </c>
      <c r="AD262" s="6">
        <v>0</v>
      </c>
      <c r="AE262" s="6">
        <v>0</v>
      </c>
      <c r="AF262" s="6">
        <v>0</v>
      </c>
      <c r="AG262" s="6">
        <v>40</v>
      </c>
      <c r="AH262" s="6">
        <v>40.4</v>
      </c>
      <c r="AI262" s="6">
        <v>42</v>
      </c>
      <c r="AJ262" s="6">
        <v>42</v>
      </c>
      <c r="AK262" s="10" t="str">
        <f t="shared" si="165"/>
        <v/>
      </c>
      <c r="AL262" s="10" t="str">
        <f t="shared" si="166"/>
        <v/>
      </c>
      <c r="AM262" s="10" t="str">
        <f t="shared" si="167"/>
        <v/>
      </c>
      <c r="AN262" s="10" t="str">
        <f t="shared" si="168"/>
        <v/>
      </c>
      <c r="AO262" s="2" t="str">
        <f t="shared" si="169"/>
        <v>NA</v>
      </c>
      <c r="AP262" s="2">
        <v>0</v>
      </c>
      <c r="AQ262" s="2">
        <v>0</v>
      </c>
      <c r="AR262" s="2">
        <v>0</v>
      </c>
      <c r="AS262" s="2">
        <v>0</v>
      </c>
      <c r="AT262" s="2">
        <v>0</v>
      </c>
      <c r="AU262" s="2">
        <v>0</v>
      </c>
      <c r="AV262" s="2">
        <v>0</v>
      </c>
      <c r="AW262" s="2">
        <v>0</v>
      </c>
      <c r="AX262" s="10" t="str">
        <f t="shared" si="170"/>
        <v/>
      </c>
      <c r="AY262" s="10" t="str">
        <f t="shared" si="171"/>
        <v/>
      </c>
      <c r="AZ262" s="10" t="str">
        <f t="shared" si="172"/>
        <v/>
      </c>
      <c r="BA262" s="10" t="str">
        <f t="shared" si="173"/>
        <v/>
      </c>
      <c r="BB262" s="2" t="str">
        <f t="shared" si="174"/>
        <v>NA</v>
      </c>
      <c r="BC262" s="6">
        <v>0</v>
      </c>
      <c r="BD262" s="6">
        <v>0</v>
      </c>
      <c r="BE262" s="6">
        <v>0</v>
      </c>
      <c r="BF262" s="6">
        <v>0</v>
      </c>
      <c r="BG262" s="6">
        <v>0</v>
      </c>
      <c r="BH262" s="6">
        <v>0</v>
      </c>
      <c r="BI262" s="6">
        <v>0</v>
      </c>
      <c r="BJ262" s="6">
        <v>0</v>
      </c>
      <c r="BK262" s="10" t="str">
        <f t="shared" si="175"/>
        <v/>
      </c>
      <c r="BL262" s="10" t="str">
        <f t="shared" si="176"/>
        <v/>
      </c>
      <c r="BM262" s="10" t="str">
        <f t="shared" si="177"/>
        <v/>
      </c>
      <c r="BN262" s="10" t="str">
        <f t="shared" si="178"/>
        <v/>
      </c>
      <c r="BO262" s="2" t="str">
        <f t="shared" si="179"/>
        <v>NA</v>
      </c>
      <c r="BP262" s="10">
        <v>0</v>
      </c>
      <c r="BQ262" s="10">
        <v>0</v>
      </c>
      <c r="BR262" s="10">
        <v>0</v>
      </c>
      <c r="BS262" s="10">
        <v>0</v>
      </c>
      <c r="BT262" s="11">
        <v>0</v>
      </c>
    </row>
    <row r="263" spans="1:72">
      <c r="A263">
        <f>COUNTIFS($J$7:J263,J263,$N$7:N263,N263,$E$7:E263,E263)</f>
        <v>10</v>
      </c>
      <c r="B263" s="16" t="str">
        <f t="shared" si="141"/>
        <v>Medium</v>
      </c>
      <c r="C263" s="16" t="str">
        <f t="shared" si="142"/>
        <v>10MediumNoBFIMG</v>
      </c>
      <c r="D263" s="1">
        <v>40038</v>
      </c>
      <c r="E263" s="1" t="s">
        <v>20</v>
      </c>
      <c r="F263" s="1" t="s">
        <v>372</v>
      </c>
      <c r="G263" s="1" t="s">
        <v>375</v>
      </c>
      <c r="H263" s="1">
        <v>98</v>
      </c>
      <c r="I263" s="1" t="s">
        <v>22</v>
      </c>
      <c r="J263" s="1" t="s">
        <v>27</v>
      </c>
      <c r="K263" s="1">
        <v>1</v>
      </c>
      <c r="L263" s="1"/>
      <c r="M263" s="2">
        <v>0</v>
      </c>
      <c r="N263" s="27" t="str">
        <f t="shared" si="143"/>
        <v>Medium</v>
      </c>
      <c r="O263" s="1">
        <v>0</v>
      </c>
      <c r="P263" s="6">
        <v>0</v>
      </c>
      <c r="Q263" s="6">
        <v>0</v>
      </c>
      <c r="R263" s="6">
        <v>0</v>
      </c>
      <c r="S263" s="6">
        <v>0</v>
      </c>
      <c r="T263" s="6">
        <v>0</v>
      </c>
      <c r="U263" s="6">
        <v>0</v>
      </c>
      <c r="V263" s="6">
        <v>0</v>
      </c>
      <c r="W263" s="6">
        <v>0</v>
      </c>
      <c r="X263" s="10" t="str">
        <f t="shared" si="160"/>
        <v/>
      </c>
      <c r="Y263" s="10" t="str">
        <f t="shared" si="161"/>
        <v/>
      </c>
      <c r="Z263" s="10" t="str">
        <f t="shared" si="162"/>
        <v/>
      </c>
      <c r="AA263" s="10" t="str">
        <f t="shared" si="163"/>
        <v/>
      </c>
      <c r="AB263" s="2" t="str">
        <f t="shared" si="164"/>
        <v>NA</v>
      </c>
      <c r="AC263" s="6">
        <v>0</v>
      </c>
      <c r="AD263" s="6">
        <v>0</v>
      </c>
      <c r="AE263" s="6">
        <v>0</v>
      </c>
      <c r="AF263" s="6">
        <v>0</v>
      </c>
      <c r="AG263" s="6">
        <v>0</v>
      </c>
      <c r="AH263" s="6">
        <v>0</v>
      </c>
      <c r="AI263" s="6">
        <v>0</v>
      </c>
      <c r="AJ263" s="6">
        <v>0</v>
      </c>
      <c r="AK263" s="10" t="str">
        <f t="shared" si="165"/>
        <v/>
      </c>
      <c r="AL263" s="10" t="str">
        <f t="shared" si="166"/>
        <v/>
      </c>
      <c r="AM263" s="10" t="str">
        <f t="shared" si="167"/>
        <v/>
      </c>
      <c r="AN263" s="10" t="str">
        <f t="shared" si="168"/>
        <v/>
      </c>
      <c r="AO263" s="2" t="str">
        <f t="shared" si="169"/>
        <v>NA</v>
      </c>
      <c r="AP263" s="2">
        <v>0</v>
      </c>
      <c r="AQ263" s="2">
        <v>0</v>
      </c>
      <c r="AR263" s="2">
        <v>0</v>
      </c>
      <c r="AS263" s="2">
        <v>0</v>
      </c>
      <c r="AT263" s="2">
        <v>0</v>
      </c>
      <c r="AU263" s="2">
        <v>0</v>
      </c>
      <c r="AV263" s="2">
        <v>0</v>
      </c>
      <c r="AW263" s="2">
        <v>0</v>
      </c>
      <c r="AX263" s="10" t="str">
        <f t="shared" si="170"/>
        <v/>
      </c>
      <c r="AY263" s="10" t="str">
        <f t="shared" si="171"/>
        <v/>
      </c>
      <c r="AZ263" s="10" t="str">
        <f t="shared" si="172"/>
        <v/>
      </c>
      <c r="BA263" s="10" t="str">
        <f t="shared" si="173"/>
        <v/>
      </c>
      <c r="BB263" s="2" t="str">
        <f t="shared" si="174"/>
        <v>NA</v>
      </c>
      <c r="BC263" s="6">
        <v>0</v>
      </c>
      <c r="BD263" s="6">
        <v>0</v>
      </c>
      <c r="BE263" s="6">
        <v>0</v>
      </c>
      <c r="BF263" s="6">
        <v>0</v>
      </c>
      <c r="BG263" s="6">
        <v>0</v>
      </c>
      <c r="BH263" s="6">
        <v>0</v>
      </c>
      <c r="BI263" s="6">
        <v>0</v>
      </c>
      <c r="BJ263" s="6">
        <v>0</v>
      </c>
      <c r="BK263" s="10" t="str">
        <f t="shared" si="175"/>
        <v/>
      </c>
      <c r="BL263" s="10" t="str">
        <f t="shared" si="176"/>
        <v/>
      </c>
      <c r="BM263" s="10" t="str">
        <f t="shared" si="177"/>
        <v/>
      </c>
      <c r="BN263" s="10" t="str">
        <f t="shared" si="178"/>
        <v/>
      </c>
      <c r="BO263" s="2" t="str">
        <f t="shared" si="179"/>
        <v>NA</v>
      </c>
      <c r="BP263" s="10">
        <v>0</v>
      </c>
      <c r="BQ263" s="10">
        <v>0</v>
      </c>
      <c r="BR263" s="10">
        <v>0</v>
      </c>
      <c r="BS263" s="10">
        <v>0</v>
      </c>
      <c r="BT263" s="11">
        <v>0</v>
      </c>
    </row>
    <row r="264" spans="1:72">
      <c r="A264">
        <f>COUNTIFS($J$7:J264,J264,$N$7:N264,N264,$E$7:E264,E264)</f>
        <v>11</v>
      </c>
      <c r="B264" s="16" t="str">
        <f t="shared" ref="B264:B290" si="180">N264</f>
        <v>Medium</v>
      </c>
      <c r="C264" s="16" t="str">
        <f t="shared" ref="C264:C290" si="181">A264&amp;B264&amp;J264&amp;E264</f>
        <v>11MediumNoBFIMG</v>
      </c>
      <c r="D264" s="1">
        <v>40042</v>
      </c>
      <c r="E264" s="1" t="s">
        <v>20</v>
      </c>
      <c r="F264" s="1" t="s">
        <v>372</v>
      </c>
      <c r="G264" s="1" t="s">
        <v>376</v>
      </c>
      <c r="H264" s="1">
        <v>86</v>
      </c>
      <c r="I264" s="1" t="s">
        <v>22</v>
      </c>
      <c r="J264" s="1" t="s">
        <v>27</v>
      </c>
      <c r="K264" s="1">
        <v>2</v>
      </c>
      <c r="L264" s="1">
        <v>1</v>
      </c>
      <c r="M264" s="2">
        <v>6.330024160732306E-2</v>
      </c>
      <c r="N264" s="27" t="str">
        <f t="shared" ref="N264:N290" si="182">IF(M264="","",IF(M264&lt;0%,"Critical",IF(AND(M264&gt;=0%,M264&lt;=10%),"Medium",IF(M264&gt;10%,"Low"))))</f>
        <v>Medium</v>
      </c>
      <c r="O264" s="1">
        <v>1</v>
      </c>
      <c r="P264" s="6">
        <v>68.337330468750011</v>
      </c>
      <c r="Q264" s="6">
        <v>68.337330468750025</v>
      </c>
      <c r="R264" s="6">
        <v>68.337330468750011</v>
      </c>
      <c r="S264" s="6">
        <v>68.337330468750025</v>
      </c>
      <c r="T264" s="6">
        <v>88</v>
      </c>
      <c r="U264" s="6">
        <v>88</v>
      </c>
      <c r="V264" s="6">
        <v>88</v>
      </c>
      <c r="W264" s="6">
        <v>88</v>
      </c>
      <c r="X264" s="10">
        <f t="shared" si="160"/>
        <v>-0.28772955274045325</v>
      </c>
      <c r="Y264" s="10">
        <f t="shared" si="161"/>
        <v>-0.28772955274045298</v>
      </c>
      <c r="Z264" s="10">
        <f t="shared" si="162"/>
        <v>-0.28772955274045325</v>
      </c>
      <c r="AA264" s="10">
        <f t="shared" si="163"/>
        <v>-0.28772955274045298</v>
      </c>
      <c r="AB264" s="2">
        <f t="shared" si="164"/>
        <v>-0.28772955274045309</v>
      </c>
      <c r="AC264" s="6">
        <v>68.34</v>
      </c>
      <c r="AD264" s="6">
        <v>68.34</v>
      </c>
      <c r="AE264" s="6">
        <v>68.34</v>
      </c>
      <c r="AF264" s="6">
        <v>68.34</v>
      </c>
      <c r="AG264" s="6">
        <v>89</v>
      </c>
      <c r="AH264" s="6">
        <v>89</v>
      </c>
      <c r="AI264" s="6">
        <v>75</v>
      </c>
      <c r="AJ264" s="6">
        <v>75</v>
      </c>
      <c r="AK264" s="10">
        <f t="shared" si="165"/>
        <v>-0.3023119695639449</v>
      </c>
      <c r="AL264" s="10">
        <f t="shared" si="166"/>
        <v>-0.3023119695639449</v>
      </c>
      <c r="AM264" s="10">
        <f t="shared" si="167"/>
        <v>-9.7453906935908635E-2</v>
      </c>
      <c r="AN264" s="10">
        <f t="shared" si="168"/>
        <v>-9.7453906935908635E-2</v>
      </c>
      <c r="AO264" s="2">
        <f t="shared" si="169"/>
        <v>-0.19988293824992676</v>
      </c>
      <c r="AP264" s="2">
        <v>0</v>
      </c>
      <c r="AQ264" s="2">
        <v>0</v>
      </c>
      <c r="AR264" s="2">
        <v>0</v>
      </c>
      <c r="AS264" s="2">
        <v>0</v>
      </c>
      <c r="AT264" s="2">
        <v>0</v>
      </c>
      <c r="AU264" s="2">
        <v>0</v>
      </c>
      <c r="AV264" s="2">
        <v>0</v>
      </c>
      <c r="AW264" s="2">
        <v>0</v>
      </c>
      <c r="AX264" s="10" t="str">
        <f t="shared" si="170"/>
        <v/>
      </c>
      <c r="AY264" s="10" t="str">
        <f t="shared" si="171"/>
        <v/>
      </c>
      <c r="AZ264" s="10" t="str">
        <f t="shared" si="172"/>
        <v/>
      </c>
      <c r="BA264" s="10" t="str">
        <f t="shared" si="173"/>
        <v/>
      </c>
      <c r="BB264" s="2" t="str">
        <f t="shared" si="174"/>
        <v>NA</v>
      </c>
      <c r="BC264" s="6">
        <v>0</v>
      </c>
      <c r="BD264" s="6">
        <v>0</v>
      </c>
      <c r="BE264" s="6">
        <v>0</v>
      </c>
      <c r="BF264" s="6">
        <v>0</v>
      </c>
      <c r="BG264" s="6">
        <v>0</v>
      </c>
      <c r="BH264" s="6">
        <v>0</v>
      </c>
      <c r="BI264" s="6">
        <v>0</v>
      </c>
      <c r="BJ264" s="6">
        <v>0</v>
      </c>
      <c r="BK264" s="10" t="str">
        <f t="shared" si="175"/>
        <v/>
      </c>
      <c r="BL264" s="10" t="str">
        <f t="shared" si="176"/>
        <v/>
      </c>
      <c r="BM264" s="10" t="str">
        <f t="shared" si="177"/>
        <v/>
      </c>
      <c r="BN264" s="10" t="str">
        <f t="shared" si="178"/>
        <v/>
      </c>
      <c r="BO264" s="2" t="str">
        <f t="shared" si="179"/>
        <v>NA</v>
      </c>
      <c r="BP264" s="10">
        <v>0</v>
      </c>
      <c r="BQ264" s="10">
        <v>0</v>
      </c>
      <c r="BR264" s="10">
        <v>0</v>
      </c>
      <c r="BS264" s="10">
        <v>0</v>
      </c>
      <c r="BT264" s="11" t="s">
        <v>460</v>
      </c>
    </row>
    <row r="265" spans="1:72">
      <c r="A265">
        <f>COUNTIFS($J$7:J265,J265,$N$7:N265,N265,$E$7:E265,E265)</f>
        <v>12</v>
      </c>
      <c r="B265" s="16" t="str">
        <f t="shared" si="180"/>
        <v>Medium</v>
      </c>
      <c r="C265" s="16" t="str">
        <f t="shared" si="181"/>
        <v>12MediumNoBFIMG</v>
      </c>
      <c r="D265" s="1">
        <v>40118</v>
      </c>
      <c r="E265" s="1" t="s">
        <v>20</v>
      </c>
      <c r="F265" s="1" t="s">
        <v>377</v>
      </c>
      <c r="G265" s="1" t="s">
        <v>378</v>
      </c>
      <c r="H265" s="1">
        <v>97</v>
      </c>
      <c r="I265" s="1" t="s">
        <v>75</v>
      </c>
      <c r="J265" s="1" t="s">
        <v>27</v>
      </c>
      <c r="K265" s="1">
        <v>1</v>
      </c>
      <c r="L265" s="1"/>
      <c r="M265" s="2">
        <v>0</v>
      </c>
      <c r="N265" s="27" t="str">
        <f t="shared" si="182"/>
        <v>Medium</v>
      </c>
      <c r="O265" s="1">
        <v>0</v>
      </c>
      <c r="P265" s="6">
        <v>0</v>
      </c>
      <c r="Q265" s="6">
        <v>0</v>
      </c>
      <c r="R265" s="6">
        <v>0</v>
      </c>
      <c r="S265" s="6">
        <v>0</v>
      </c>
      <c r="T265" s="6">
        <v>105.75</v>
      </c>
      <c r="U265" s="6">
        <v>104.39999999999999</v>
      </c>
      <c r="V265" s="6">
        <v>103</v>
      </c>
      <c r="W265" s="6">
        <v>84.5</v>
      </c>
      <c r="X265" s="10" t="str">
        <f t="shared" si="160"/>
        <v/>
      </c>
      <c r="Y265" s="10" t="str">
        <f t="shared" si="161"/>
        <v/>
      </c>
      <c r="Z265" s="10" t="str">
        <f t="shared" si="162"/>
        <v/>
      </c>
      <c r="AA265" s="10" t="str">
        <f t="shared" si="163"/>
        <v/>
      </c>
      <c r="AB265" s="2" t="str">
        <f t="shared" si="164"/>
        <v>NA</v>
      </c>
      <c r="AC265" s="6">
        <v>0</v>
      </c>
      <c r="AD265" s="6">
        <v>0</v>
      </c>
      <c r="AE265" s="6">
        <v>0</v>
      </c>
      <c r="AF265" s="6">
        <v>0</v>
      </c>
      <c r="AG265" s="6">
        <v>105</v>
      </c>
      <c r="AH265" s="6">
        <v>102.4</v>
      </c>
      <c r="AI265" s="6">
        <v>92</v>
      </c>
      <c r="AJ265" s="6">
        <v>73</v>
      </c>
      <c r="AK265" s="10" t="str">
        <f t="shared" si="165"/>
        <v/>
      </c>
      <c r="AL265" s="10" t="str">
        <f t="shared" si="166"/>
        <v/>
      </c>
      <c r="AM265" s="10" t="str">
        <f t="shared" si="167"/>
        <v/>
      </c>
      <c r="AN265" s="10" t="str">
        <f t="shared" si="168"/>
        <v/>
      </c>
      <c r="AO265" s="2" t="str">
        <f t="shared" si="169"/>
        <v>NA</v>
      </c>
      <c r="AP265" s="2">
        <v>0</v>
      </c>
      <c r="AQ265" s="2">
        <v>0</v>
      </c>
      <c r="AR265" s="2">
        <v>0</v>
      </c>
      <c r="AS265" s="2">
        <v>0</v>
      </c>
      <c r="AT265" s="2">
        <v>0</v>
      </c>
      <c r="AU265" s="2">
        <v>0</v>
      </c>
      <c r="AV265" s="2">
        <v>0</v>
      </c>
      <c r="AW265" s="2">
        <v>0</v>
      </c>
      <c r="AX265" s="10" t="str">
        <f t="shared" si="170"/>
        <v/>
      </c>
      <c r="AY265" s="10" t="str">
        <f t="shared" si="171"/>
        <v/>
      </c>
      <c r="AZ265" s="10" t="str">
        <f t="shared" si="172"/>
        <v/>
      </c>
      <c r="BA265" s="10" t="str">
        <f t="shared" si="173"/>
        <v/>
      </c>
      <c r="BB265" s="2" t="str">
        <f t="shared" si="174"/>
        <v>NA</v>
      </c>
      <c r="BC265" s="6">
        <v>0</v>
      </c>
      <c r="BD265" s="6">
        <v>0</v>
      </c>
      <c r="BE265" s="6">
        <v>0</v>
      </c>
      <c r="BF265" s="6">
        <v>0</v>
      </c>
      <c r="BG265" s="6">
        <v>0</v>
      </c>
      <c r="BH265" s="6">
        <v>0</v>
      </c>
      <c r="BI265" s="6">
        <v>0</v>
      </c>
      <c r="BJ265" s="6">
        <v>0</v>
      </c>
      <c r="BK265" s="10" t="str">
        <f t="shared" si="175"/>
        <v/>
      </c>
      <c r="BL265" s="10" t="str">
        <f t="shared" si="176"/>
        <v/>
      </c>
      <c r="BM265" s="10" t="str">
        <f t="shared" si="177"/>
        <v/>
      </c>
      <c r="BN265" s="10" t="str">
        <f t="shared" si="178"/>
        <v/>
      </c>
      <c r="BO265" s="2" t="str">
        <f t="shared" si="179"/>
        <v>NA</v>
      </c>
      <c r="BP265" s="10">
        <v>0</v>
      </c>
      <c r="BQ265" s="10">
        <v>0</v>
      </c>
      <c r="BR265" s="10">
        <v>0</v>
      </c>
      <c r="BS265" s="10">
        <v>0</v>
      </c>
      <c r="BT265" s="11">
        <v>0</v>
      </c>
    </row>
    <row r="266" spans="1:72">
      <c r="A266">
        <f>COUNTIFS($J$7:J266,J266,$N$7:N266,N266,$E$7:E266,E266)</f>
        <v>9</v>
      </c>
      <c r="B266" s="16" t="str">
        <f t="shared" si="180"/>
        <v>Critical</v>
      </c>
      <c r="C266" s="16" t="str">
        <f t="shared" si="181"/>
        <v>9CriticalNoBFIMG</v>
      </c>
      <c r="D266" s="1">
        <v>40119</v>
      </c>
      <c r="E266" s="1" t="s">
        <v>20</v>
      </c>
      <c r="F266" s="1" t="s">
        <v>379</v>
      </c>
      <c r="G266" s="1" t="s">
        <v>380</v>
      </c>
      <c r="H266" s="1">
        <v>109</v>
      </c>
      <c r="I266" s="1" t="s">
        <v>22</v>
      </c>
      <c r="J266" s="1" t="s">
        <v>27</v>
      </c>
      <c r="K266" s="1">
        <v>2</v>
      </c>
      <c r="L266" s="1">
        <v>1</v>
      </c>
      <c r="M266" s="2">
        <v>-2.7532145476618065E-2</v>
      </c>
      <c r="N266" s="27" t="str">
        <f t="shared" si="182"/>
        <v>Critical</v>
      </c>
      <c r="O266" s="1">
        <v>1</v>
      </c>
      <c r="P266" s="6">
        <v>92.997057421875013</v>
      </c>
      <c r="Q266" s="6">
        <v>91.27385282925033</v>
      </c>
      <c r="R266" s="6">
        <v>90.997120703124992</v>
      </c>
      <c r="S266" s="6">
        <v>90.997120703125006</v>
      </c>
      <c r="T266" s="6">
        <v>0</v>
      </c>
      <c r="U266" s="6">
        <v>0</v>
      </c>
      <c r="V266" s="6">
        <v>0</v>
      </c>
      <c r="W266" s="6">
        <v>0</v>
      </c>
      <c r="X266" s="10">
        <f t="shared" si="160"/>
        <v>1</v>
      </c>
      <c r="Y266" s="10">
        <f t="shared" si="161"/>
        <v>1</v>
      </c>
      <c r="Z266" s="10">
        <f t="shared" si="162"/>
        <v>1</v>
      </c>
      <c r="AA266" s="10">
        <f t="shared" si="163"/>
        <v>1</v>
      </c>
      <c r="AB266" s="2" t="str">
        <f t="shared" si="164"/>
        <v>NA</v>
      </c>
      <c r="AC266" s="6">
        <v>93</v>
      </c>
      <c r="AD266" s="6">
        <v>91</v>
      </c>
      <c r="AE266" s="6">
        <v>91</v>
      </c>
      <c r="AF266" s="6">
        <v>91</v>
      </c>
      <c r="AG266" s="6">
        <v>0</v>
      </c>
      <c r="AH266" s="6">
        <v>0</v>
      </c>
      <c r="AI266" s="6">
        <v>0</v>
      </c>
      <c r="AJ266" s="6">
        <v>0</v>
      </c>
      <c r="AK266" s="10">
        <f t="shared" si="165"/>
        <v>1</v>
      </c>
      <c r="AL266" s="10">
        <f t="shared" si="166"/>
        <v>1</v>
      </c>
      <c r="AM266" s="10">
        <f t="shared" si="167"/>
        <v>1</v>
      </c>
      <c r="AN266" s="10">
        <f t="shared" si="168"/>
        <v>1</v>
      </c>
      <c r="AO266" s="2" t="str">
        <f t="shared" si="169"/>
        <v>NA</v>
      </c>
      <c r="AP266" s="2">
        <v>0</v>
      </c>
      <c r="AQ266" s="2">
        <v>0</v>
      </c>
      <c r="AR266" s="2">
        <v>0</v>
      </c>
      <c r="AS266" s="2">
        <v>0</v>
      </c>
      <c r="AT266" s="2">
        <v>0</v>
      </c>
      <c r="AU266" s="2">
        <v>0</v>
      </c>
      <c r="AV266" s="2">
        <v>0</v>
      </c>
      <c r="AW266" s="2">
        <v>0</v>
      </c>
      <c r="AX266" s="10" t="str">
        <f t="shared" si="170"/>
        <v/>
      </c>
      <c r="AY266" s="10" t="str">
        <f t="shared" si="171"/>
        <v/>
      </c>
      <c r="AZ266" s="10" t="str">
        <f t="shared" si="172"/>
        <v/>
      </c>
      <c r="BA266" s="10" t="str">
        <f t="shared" si="173"/>
        <v/>
      </c>
      <c r="BB266" s="2" t="str">
        <f t="shared" si="174"/>
        <v>NA</v>
      </c>
      <c r="BC266" s="6">
        <v>0</v>
      </c>
      <c r="BD266" s="6">
        <v>0</v>
      </c>
      <c r="BE266" s="6">
        <v>0</v>
      </c>
      <c r="BF266" s="6">
        <v>0</v>
      </c>
      <c r="BG266" s="6">
        <v>0</v>
      </c>
      <c r="BH266" s="6">
        <v>0</v>
      </c>
      <c r="BI266" s="6">
        <v>0</v>
      </c>
      <c r="BJ266" s="6">
        <v>0</v>
      </c>
      <c r="BK266" s="10" t="str">
        <f t="shared" si="175"/>
        <v/>
      </c>
      <c r="BL266" s="10" t="str">
        <f t="shared" si="176"/>
        <v/>
      </c>
      <c r="BM266" s="10" t="str">
        <f t="shared" si="177"/>
        <v/>
      </c>
      <c r="BN266" s="10" t="str">
        <f t="shared" si="178"/>
        <v/>
      </c>
      <c r="BO266" s="2" t="str">
        <f t="shared" si="179"/>
        <v>NA</v>
      </c>
      <c r="BP266" s="10">
        <v>0</v>
      </c>
      <c r="BQ266" s="10">
        <v>0</v>
      </c>
      <c r="BR266" s="10">
        <v>0</v>
      </c>
      <c r="BS266" s="10">
        <v>0</v>
      </c>
      <c r="BT266" s="11" t="s">
        <v>460</v>
      </c>
    </row>
    <row r="267" spans="1:72">
      <c r="A267">
        <f>COUNTIFS($J$7:J267,J267,$N$7:N267,N267,$E$7:E267,E267)</f>
        <v>1</v>
      </c>
      <c r="B267" s="16" t="str">
        <f t="shared" si="180"/>
        <v>Medium</v>
      </c>
      <c r="C267" s="16" t="str">
        <f t="shared" si="181"/>
        <v>1MediumYesBFIMG</v>
      </c>
      <c r="D267" s="1">
        <v>40129</v>
      </c>
      <c r="E267" s="1" t="s">
        <v>20</v>
      </c>
      <c r="F267" s="1" t="s">
        <v>381</v>
      </c>
      <c r="G267" s="1" t="s">
        <v>382</v>
      </c>
      <c r="H267" s="1">
        <v>50</v>
      </c>
      <c r="I267" s="1" t="s">
        <v>75</v>
      </c>
      <c r="J267" s="1" t="s">
        <v>9</v>
      </c>
      <c r="K267" s="1">
        <v>1</v>
      </c>
      <c r="L267" s="1"/>
      <c r="M267" s="2">
        <v>0</v>
      </c>
      <c r="N267" s="27" t="str">
        <f t="shared" si="182"/>
        <v>Medium</v>
      </c>
      <c r="O267" s="1">
        <v>0</v>
      </c>
      <c r="P267" s="6">
        <v>0</v>
      </c>
      <c r="Q267" s="6">
        <v>0</v>
      </c>
      <c r="R267" s="6">
        <v>0</v>
      </c>
      <c r="S267" s="6">
        <v>0</v>
      </c>
      <c r="T267" s="6">
        <v>43.75</v>
      </c>
      <c r="U267" s="6">
        <v>42.8</v>
      </c>
      <c r="V267" s="6">
        <v>42.75</v>
      </c>
      <c r="W267" s="6">
        <v>21.5</v>
      </c>
      <c r="X267" s="10" t="str">
        <f t="shared" si="160"/>
        <v/>
      </c>
      <c r="Y267" s="10" t="str">
        <f t="shared" si="161"/>
        <v/>
      </c>
      <c r="Z267" s="10" t="str">
        <f t="shared" si="162"/>
        <v/>
      </c>
      <c r="AA267" s="10" t="str">
        <f t="shared" si="163"/>
        <v/>
      </c>
      <c r="AB267" s="2" t="str">
        <f t="shared" si="164"/>
        <v>NA</v>
      </c>
      <c r="AC267" s="6">
        <v>0</v>
      </c>
      <c r="AD267" s="6">
        <v>0</v>
      </c>
      <c r="AE267" s="6">
        <v>0</v>
      </c>
      <c r="AF267" s="6">
        <v>0</v>
      </c>
      <c r="AG267" s="6">
        <v>43</v>
      </c>
      <c r="AH267" s="6">
        <v>43</v>
      </c>
      <c r="AI267" s="6">
        <v>43</v>
      </c>
      <c r="AJ267" s="6">
        <v>21.5</v>
      </c>
      <c r="AK267" s="10" t="str">
        <f t="shared" si="165"/>
        <v/>
      </c>
      <c r="AL267" s="10" t="str">
        <f t="shared" si="166"/>
        <v/>
      </c>
      <c r="AM267" s="10" t="str">
        <f t="shared" si="167"/>
        <v/>
      </c>
      <c r="AN267" s="10" t="str">
        <f t="shared" si="168"/>
        <v/>
      </c>
      <c r="AO267" s="2" t="str">
        <f t="shared" si="169"/>
        <v>NA</v>
      </c>
      <c r="AP267" s="2">
        <v>0</v>
      </c>
      <c r="AQ267" s="2">
        <v>0</v>
      </c>
      <c r="AR267" s="2">
        <v>0</v>
      </c>
      <c r="AS267" s="2">
        <v>0</v>
      </c>
      <c r="AT267" s="2">
        <v>0</v>
      </c>
      <c r="AU267" s="2">
        <v>0</v>
      </c>
      <c r="AV267" s="2">
        <v>0</v>
      </c>
      <c r="AW267" s="2">
        <v>0</v>
      </c>
      <c r="AX267" s="10" t="str">
        <f t="shared" si="170"/>
        <v/>
      </c>
      <c r="AY267" s="10" t="str">
        <f t="shared" si="171"/>
        <v/>
      </c>
      <c r="AZ267" s="10" t="str">
        <f t="shared" si="172"/>
        <v/>
      </c>
      <c r="BA267" s="10" t="str">
        <f t="shared" si="173"/>
        <v/>
      </c>
      <c r="BB267" s="2" t="str">
        <f t="shared" si="174"/>
        <v>NA</v>
      </c>
      <c r="BC267" s="6">
        <v>0</v>
      </c>
      <c r="BD267" s="6">
        <v>0</v>
      </c>
      <c r="BE267" s="6">
        <v>0</v>
      </c>
      <c r="BF267" s="6">
        <v>0</v>
      </c>
      <c r="BG267" s="6">
        <v>0</v>
      </c>
      <c r="BH267" s="6">
        <v>0</v>
      </c>
      <c r="BI267" s="6">
        <v>0</v>
      </c>
      <c r="BJ267" s="6">
        <v>0</v>
      </c>
      <c r="BK267" s="10" t="str">
        <f t="shared" si="175"/>
        <v/>
      </c>
      <c r="BL267" s="10" t="str">
        <f t="shared" si="176"/>
        <v/>
      </c>
      <c r="BM267" s="10" t="str">
        <f t="shared" si="177"/>
        <v/>
      </c>
      <c r="BN267" s="10" t="str">
        <f t="shared" si="178"/>
        <v/>
      </c>
      <c r="BO267" s="2" t="str">
        <f t="shared" si="179"/>
        <v>NA</v>
      </c>
      <c r="BP267" s="10">
        <v>0</v>
      </c>
      <c r="BQ267" s="10">
        <v>0</v>
      </c>
      <c r="BR267" s="10">
        <v>0</v>
      </c>
      <c r="BS267" s="10">
        <v>0</v>
      </c>
      <c r="BT267" s="11">
        <v>0</v>
      </c>
    </row>
    <row r="268" spans="1:72">
      <c r="A268">
        <f>COUNTIFS($J$7:J268,J268,$N$7:N268,N268,$E$7:E268,E268)</f>
        <v>2</v>
      </c>
      <c r="B268" s="16" t="str">
        <f t="shared" si="180"/>
        <v>Critical</v>
      </c>
      <c r="C268" s="16" t="str">
        <f t="shared" si="181"/>
        <v>2CriticalYesBFIMG</v>
      </c>
      <c r="D268" s="1">
        <v>40130</v>
      </c>
      <c r="E268" s="1" t="s">
        <v>20</v>
      </c>
      <c r="F268" s="1" t="s">
        <v>383</v>
      </c>
      <c r="G268" s="1" t="s">
        <v>384</v>
      </c>
      <c r="H268" s="1">
        <v>65</v>
      </c>
      <c r="I268" s="1" t="s">
        <v>75</v>
      </c>
      <c r="J268" s="1" t="s">
        <v>9</v>
      </c>
      <c r="K268" s="1">
        <v>3</v>
      </c>
      <c r="L268" s="1">
        <v>1</v>
      </c>
      <c r="M268" s="2">
        <v>-0.23430510745954242</v>
      </c>
      <c r="N268" s="27" t="str">
        <f t="shared" si="182"/>
        <v>Critical</v>
      </c>
      <c r="O268" s="1">
        <v>1</v>
      </c>
      <c r="P268" s="6">
        <v>66.996231249999994</v>
      </c>
      <c r="Q268" s="6">
        <v>66.996231250000008</v>
      </c>
      <c r="R268" s="6">
        <v>66.996231249999994</v>
      </c>
      <c r="S268" s="6">
        <v>66.996231249999994</v>
      </c>
      <c r="T268" s="6">
        <v>42</v>
      </c>
      <c r="U268" s="6">
        <v>16.399999999999999</v>
      </c>
      <c r="V268" s="6">
        <v>0</v>
      </c>
      <c r="W268" s="6">
        <v>0</v>
      </c>
      <c r="X268" s="10">
        <f t="shared" si="160"/>
        <v>0.3730990651806253</v>
      </c>
      <c r="Y268" s="10">
        <f t="shared" si="161"/>
        <v>0.75521011116576808</v>
      </c>
      <c r="Z268" s="10">
        <f t="shared" si="162"/>
        <v>1</v>
      </c>
      <c r="AA268" s="10">
        <f t="shared" si="163"/>
        <v>1</v>
      </c>
      <c r="AB268" s="2">
        <f t="shared" si="164"/>
        <v>0.56415458817319664</v>
      </c>
      <c r="AC268" s="6">
        <v>41.29</v>
      </c>
      <c r="AD268" s="6">
        <v>41.29</v>
      </c>
      <c r="AE268" s="6">
        <v>41.29</v>
      </c>
      <c r="AF268" s="6">
        <v>41.29</v>
      </c>
      <c r="AG268" s="6">
        <v>41</v>
      </c>
      <c r="AH268" s="6">
        <v>16.399999999999999</v>
      </c>
      <c r="AI268" s="6">
        <v>0</v>
      </c>
      <c r="AJ268" s="6">
        <v>0</v>
      </c>
      <c r="AK268" s="10">
        <f t="shared" si="165"/>
        <v>7.023492371034128E-3</v>
      </c>
      <c r="AL268" s="10">
        <f t="shared" si="166"/>
        <v>0.60280939694841373</v>
      </c>
      <c r="AM268" s="10">
        <f t="shared" si="167"/>
        <v>1</v>
      </c>
      <c r="AN268" s="10">
        <f t="shared" si="168"/>
        <v>1</v>
      </c>
      <c r="AO268" s="2">
        <f t="shared" si="169"/>
        <v>0.30491644465972395</v>
      </c>
      <c r="AP268" s="2">
        <v>0</v>
      </c>
      <c r="AQ268" s="2">
        <v>0</v>
      </c>
      <c r="AR268" s="2">
        <v>0</v>
      </c>
      <c r="AS268" s="2">
        <v>0</v>
      </c>
      <c r="AT268" s="2">
        <v>0</v>
      </c>
      <c r="AU268" s="2">
        <v>0</v>
      </c>
      <c r="AV268" s="2">
        <v>0</v>
      </c>
      <c r="AW268" s="2">
        <v>0</v>
      </c>
      <c r="AX268" s="10" t="str">
        <f t="shared" si="170"/>
        <v/>
      </c>
      <c r="AY268" s="10" t="str">
        <f t="shared" si="171"/>
        <v/>
      </c>
      <c r="AZ268" s="10" t="str">
        <f t="shared" si="172"/>
        <v/>
      </c>
      <c r="BA268" s="10" t="str">
        <f t="shared" si="173"/>
        <v/>
      </c>
      <c r="BB268" s="2" t="str">
        <f t="shared" si="174"/>
        <v>NA</v>
      </c>
      <c r="BC268" s="6">
        <v>0</v>
      </c>
      <c r="BD268" s="6">
        <v>0</v>
      </c>
      <c r="BE268" s="6">
        <v>0</v>
      </c>
      <c r="BF268" s="6">
        <v>0</v>
      </c>
      <c r="BG268" s="6">
        <v>0</v>
      </c>
      <c r="BH268" s="6">
        <v>0</v>
      </c>
      <c r="BI268" s="6">
        <v>0</v>
      </c>
      <c r="BJ268" s="6">
        <v>0</v>
      </c>
      <c r="BK268" s="10" t="str">
        <f t="shared" si="175"/>
        <v/>
      </c>
      <c r="BL268" s="10" t="str">
        <f t="shared" si="176"/>
        <v/>
      </c>
      <c r="BM268" s="10" t="str">
        <f t="shared" si="177"/>
        <v/>
      </c>
      <c r="BN268" s="10" t="str">
        <f t="shared" si="178"/>
        <v/>
      </c>
      <c r="BO268" s="2" t="str">
        <f t="shared" si="179"/>
        <v>NA</v>
      </c>
      <c r="BP268" s="10">
        <v>0</v>
      </c>
      <c r="BQ268" s="10">
        <v>0</v>
      </c>
      <c r="BR268" s="10">
        <v>0</v>
      </c>
      <c r="BS268" s="10">
        <v>0</v>
      </c>
      <c r="BT268" s="11">
        <v>0</v>
      </c>
    </row>
    <row r="269" spans="1:72">
      <c r="A269">
        <f>COUNTIFS($J$7:J269,J269,$N$7:N269,N269,$E$7:E269,E269)</f>
        <v>13</v>
      </c>
      <c r="B269" s="16" t="str">
        <f t="shared" si="180"/>
        <v>Medium</v>
      </c>
      <c r="C269" s="16" t="str">
        <f t="shared" si="181"/>
        <v>13MediumNoBFIMG</v>
      </c>
      <c r="D269" s="1">
        <v>40131</v>
      </c>
      <c r="E269" s="1" t="s">
        <v>20</v>
      </c>
      <c r="F269" s="1" t="s">
        <v>377</v>
      </c>
      <c r="G269" s="1" t="s">
        <v>385</v>
      </c>
      <c r="H269" s="1">
        <v>12</v>
      </c>
      <c r="I269" s="1" t="s">
        <v>75</v>
      </c>
      <c r="J269" s="1" t="s">
        <v>27</v>
      </c>
      <c r="K269" s="1">
        <v>1</v>
      </c>
      <c r="L269" s="1"/>
      <c r="M269" s="2">
        <v>0</v>
      </c>
      <c r="N269" s="27" t="str">
        <f t="shared" si="182"/>
        <v>Medium</v>
      </c>
      <c r="O269" s="1">
        <v>0</v>
      </c>
      <c r="P269" s="6">
        <v>0</v>
      </c>
      <c r="Q269" s="6">
        <v>0</v>
      </c>
      <c r="R269" s="6">
        <v>0</v>
      </c>
      <c r="S269" s="6">
        <v>0</v>
      </c>
      <c r="T269" s="6">
        <v>18</v>
      </c>
      <c r="U269" s="6">
        <v>18</v>
      </c>
      <c r="V269" s="6">
        <v>18</v>
      </c>
      <c r="W269" s="6">
        <v>9</v>
      </c>
      <c r="X269" s="10" t="str">
        <f t="shared" si="160"/>
        <v/>
      </c>
      <c r="Y269" s="10" t="str">
        <f t="shared" si="161"/>
        <v/>
      </c>
      <c r="Z269" s="10" t="str">
        <f t="shared" si="162"/>
        <v/>
      </c>
      <c r="AA269" s="10" t="str">
        <f t="shared" si="163"/>
        <v/>
      </c>
      <c r="AB269" s="2" t="str">
        <f t="shared" si="164"/>
        <v>NA</v>
      </c>
      <c r="AC269" s="6">
        <v>12</v>
      </c>
      <c r="AD269" s="6">
        <v>12</v>
      </c>
      <c r="AE269" s="6">
        <v>12</v>
      </c>
      <c r="AF269" s="6">
        <v>12</v>
      </c>
      <c r="AG269" s="6">
        <v>18</v>
      </c>
      <c r="AH269" s="6">
        <v>16.8</v>
      </c>
      <c r="AI269" s="6">
        <v>12</v>
      </c>
      <c r="AJ269" s="6">
        <v>6</v>
      </c>
      <c r="AK269" s="10">
        <f t="shared" si="165"/>
        <v>-0.5</v>
      </c>
      <c r="AL269" s="10">
        <f t="shared" si="166"/>
        <v>-0.40000000000000008</v>
      </c>
      <c r="AM269" s="10">
        <f t="shared" si="167"/>
        <v>0</v>
      </c>
      <c r="AN269" s="10">
        <f t="shared" si="168"/>
        <v>0.5</v>
      </c>
      <c r="AO269" s="2">
        <f t="shared" si="169"/>
        <v>-0.10000000000000003</v>
      </c>
      <c r="AP269" s="2">
        <v>0</v>
      </c>
      <c r="AQ269" s="2">
        <v>0</v>
      </c>
      <c r="AR269" s="2">
        <v>0</v>
      </c>
      <c r="AS269" s="2">
        <v>0</v>
      </c>
      <c r="AT269" s="2">
        <v>0</v>
      </c>
      <c r="AU269" s="2">
        <v>0</v>
      </c>
      <c r="AV269" s="2">
        <v>0</v>
      </c>
      <c r="AW269" s="2">
        <v>0</v>
      </c>
      <c r="AX269" s="10" t="str">
        <f t="shared" si="170"/>
        <v/>
      </c>
      <c r="AY269" s="10" t="str">
        <f t="shared" si="171"/>
        <v/>
      </c>
      <c r="AZ269" s="10" t="str">
        <f t="shared" si="172"/>
        <v/>
      </c>
      <c r="BA269" s="10" t="str">
        <f t="shared" si="173"/>
        <v/>
      </c>
      <c r="BB269" s="2" t="str">
        <f t="shared" si="174"/>
        <v>NA</v>
      </c>
      <c r="BC269" s="6">
        <v>0</v>
      </c>
      <c r="BD269" s="6">
        <v>0</v>
      </c>
      <c r="BE269" s="6">
        <v>0</v>
      </c>
      <c r="BF269" s="6">
        <v>0</v>
      </c>
      <c r="BG269" s="6">
        <v>0</v>
      </c>
      <c r="BH269" s="6">
        <v>0</v>
      </c>
      <c r="BI269" s="6">
        <v>0</v>
      </c>
      <c r="BJ269" s="6">
        <v>0</v>
      </c>
      <c r="BK269" s="10" t="str">
        <f t="shared" si="175"/>
        <v/>
      </c>
      <c r="BL269" s="10" t="str">
        <f t="shared" si="176"/>
        <v/>
      </c>
      <c r="BM269" s="10" t="str">
        <f t="shared" si="177"/>
        <v/>
      </c>
      <c r="BN269" s="10" t="str">
        <f t="shared" si="178"/>
        <v/>
      </c>
      <c r="BO269" s="2" t="str">
        <f t="shared" si="179"/>
        <v>NA</v>
      </c>
      <c r="BP269" s="10">
        <v>0</v>
      </c>
      <c r="BQ269" s="10">
        <v>0</v>
      </c>
      <c r="BR269" s="10">
        <v>0</v>
      </c>
      <c r="BS269" s="10">
        <v>0</v>
      </c>
      <c r="BT269" s="11">
        <v>0</v>
      </c>
    </row>
    <row r="270" spans="1:72">
      <c r="A270">
        <f>COUNTIFS($J$7:J270,J270,$N$7:N270,N270,$E$7:E270,E270)</f>
        <v>10</v>
      </c>
      <c r="B270" s="16" t="str">
        <f t="shared" si="180"/>
        <v>Low</v>
      </c>
      <c r="C270" s="16" t="str">
        <f t="shared" si="181"/>
        <v>10LowNoBFIMG</v>
      </c>
      <c r="D270" s="1">
        <v>40138</v>
      </c>
      <c r="E270" s="1" t="s">
        <v>20</v>
      </c>
      <c r="F270" s="1" t="s">
        <v>386</v>
      </c>
      <c r="G270" s="1" t="s">
        <v>387</v>
      </c>
      <c r="H270" s="1">
        <v>22</v>
      </c>
      <c r="I270" s="1" t="s">
        <v>22</v>
      </c>
      <c r="J270" s="1" t="s">
        <v>27</v>
      </c>
      <c r="K270" s="1">
        <v>1</v>
      </c>
      <c r="L270" s="1">
        <v>1</v>
      </c>
      <c r="M270" s="2">
        <v>0.22865533629412282</v>
      </c>
      <c r="N270" s="27" t="str">
        <f t="shared" si="182"/>
        <v>Low</v>
      </c>
      <c r="O270" s="1">
        <v>1</v>
      </c>
      <c r="P270" s="6">
        <v>25.999837500000009</v>
      </c>
      <c r="Q270" s="6">
        <v>25.999837500000002</v>
      </c>
      <c r="R270" s="6">
        <v>25.999837500000009</v>
      </c>
      <c r="S270" s="6">
        <v>25.999837500000002</v>
      </c>
      <c r="T270" s="6">
        <v>0</v>
      </c>
      <c r="U270" s="6">
        <v>0</v>
      </c>
      <c r="V270" s="6">
        <v>0</v>
      </c>
      <c r="W270" s="6">
        <v>0</v>
      </c>
      <c r="X270" s="10">
        <f t="shared" si="160"/>
        <v>1</v>
      </c>
      <c r="Y270" s="10">
        <f t="shared" si="161"/>
        <v>1</v>
      </c>
      <c r="Z270" s="10">
        <f t="shared" si="162"/>
        <v>1</v>
      </c>
      <c r="AA270" s="10">
        <f t="shared" si="163"/>
        <v>1</v>
      </c>
      <c r="AB270" s="2" t="str">
        <f t="shared" si="164"/>
        <v>NA</v>
      </c>
      <c r="AC270" s="6">
        <v>23</v>
      </c>
      <c r="AD270" s="6">
        <v>23</v>
      </c>
      <c r="AE270" s="6">
        <v>23</v>
      </c>
      <c r="AF270" s="6">
        <v>23</v>
      </c>
      <c r="AG270" s="6">
        <v>0</v>
      </c>
      <c r="AH270" s="6">
        <v>0</v>
      </c>
      <c r="AI270" s="6">
        <v>0</v>
      </c>
      <c r="AJ270" s="6">
        <v>0</v>
      </c>
      <c r="AK270" s="10">
        <f t="shared" si="165"/>
        <v>1</v>
      </c>
      <c r="AL270" s="10">
        <f t="shared" si="166"/>
        <v>1</v>
      </c>
      <c r="AM270" s="10">
        <f t="shared" si="167"/>
        <v>1</v>
      </c>
      <c r="AN270" s="10">
        <f t="shared" si="168"/>
        <v>1</v>
      </c>
      <c r="AO270" s="2" t="str">
        <f t="shared" si="169"/>
        <v>NA</v>
      </c>
      <c r="AP270" s="2">
        <v>0</v>
      </c>
      <c r="AQ270" s="2">
        <v>0</v>
      </c>
      <c r="AR270" s="2">
        <v>0</v>
      </c>
      <c r="AS270" s="2">
        <v>0</v>
      </c>
      <c r="AT270" s="2">
        <v>0</v>
      </c>
      <c r="AU270" s="2">
        <v>0</v>
      </c>
      <c r="AV270" s="2">
        <v>0</v>
      </c>
      <c r="AW270" s="2">
        <v>0</v>
      </c>
      <c r="AX270" s="10" t="str">
        <f t="shared" si="170"/>
        <v/>
      </c>
      <c r="AY270" s="10" t="str">
        <f t="shared" si="171"/>
        <v/>
      </c>
      <c r="AZ270" s="10" t="str">
        <f t="shared" si="172"/>
        <v/>
      </c>
      <c r="BA270" s="10" t="str">
        <f t="shared" si="173"/>
        <v/>
      </c>
      <c r="BB270" s="2" t="str">
        <f t="shared" si="174"/>
        <v>NA</v>
      </c>
      <c r="BC270" s="6">
        <v>0</v>
      </c>
      <c r="BD270" s="6">
        <v>0</v>
      </c>
      <c r="BE270" s="6">
        <v>0</v>
      </c>
      <c r="BF270" s="6">
        <v>0</v>
      </c>
      <c r="BG270" s="6">
        <v>0</v>
      </c>
      <c r="BH270" s="6">
        <v>0</v>
      </c>
      <c r="BI270" s="6">
        <v>0</v>
      </c>
      <c r="BJ270" s="6">
        <v>0</v>
      </c>
      <c r="BK270" s="10" t="str">
        <f t="shared" si="175"/>
        <v/>
      </c>
      <c r="BL270" s="10" t="str">
        <f t="shared" si="176"/>
        <v/>
      </c>
      <c r="BM270" s="10" t="str">
        <f t="shared" si="177"/>
        <v/>
      </c>
      <c r="BN270" s="10" t="str">
        <f t="shared" si="178"/>
        <v/>
      </c>
      <c r="BO270" s="2" t="str">
        <f t="shared" si="179"/>
        <v>NA</v>
      </c>
      <c r="BP270" s="10">
        <v>-1.4760951779590581E-2</v>
      </c>
      <c r="BQ270" s="10">
        <v>-1.8183350030491874E-2</v>
      </c>
      <c r="BR270" s="10">
        <v>-1.6807300899376099E-2</v>
      </c>
      <c r="BS270" s="10">
        <v>-1.5349954044939274E-2</v>
      </c>
      <c r="BT270" s="11" t="s">
        <v>460</v>
      </c>
    </row>
    <row r="271" spans="1:72">
      <c r="A271">
        <f>COUNTIFS($J$7:J271,J271,$N$7:N271,N271,$E$7:E271,E271)</f>
        <v>5</v>
      </c>
      <c r="B271" s="16" t="str">
        <f t="shared" si="180"/>
        <v>Critical</v>
      </c>
      <c r="C271" s="16" t="str">
        <f t="shared" si="181"/>
        <v>5CriticalNoTravel</v>
      </c>
      <c r="D271" s="1">
        <v>40145</v>
      </c>
      <c r="E271" s="1" t="s">
        <v>79</v>
      </c>
      <c r="F271" s="1" t="s">
        <v>110</v>
      </c>
      <c r="G271" s="1" t="s">
        <v>388</v>
      </c>
      <c r="H271" s="1">
        <v>76</v>
      </c>
      <c r="I271" s="1" t="s">
        <v>98</v>
      </c>
      <c r="J271" s="1" t="s">
        <v>27</v>
      </c>
      <c r="K271" s="1">
        <v>2</v>
      </c>
      <c r="L271" s="1">
        <v>1</v>
      </c>
      <c r="M271" s="2">
        <v>-7.1877935361975009E-3</v>
      </c>
      <c r="N271" s="27" t="str">
        <f t="shared" si="182"/>
        <v>Critical</v>
      </c>
      <c r="O271" s="1">
        <v>1</v>
      </c>
      <c r="P271" s="6">
        <v>76.272734312499992</v>
      </c>
      <c r="Q271" s="6">
        <v>74.609912447533191</v>
      </c>
      <c r="R271" s="6">
        <v>74.332531718750005</v>
      </c>
      <c r="S271" s="6">
        <v>74.256915206653233</v>
      </c>
      <c r="T271" s="6">
        <v>63.5</v>
      </c>
      <c r="U271" s="6">
        <v>64.8</v>
      </c>
      <c r="V271" s="6">
        <v>72.75</v>
      </c>
      <c r="W271" s="6">
        <v>74</v>
      </c>
      <c r="X271" s="10">
        <f t="shared" si="160"/>
        <v>0.16746134024995518</v>
      </c>
      <c r="Y271" s="10">
        <f t="shared" si="161"/>
        <v>0.13148269614217376</v>
      </c>
      <c r="Z271" s="10">
        <f t="shared" si="162"/>
        <v>2.1289893969141094E-2</v>
      </c>
      <c r="AA271" s="10">
        <f t="shared" si="163"/>
        <v>3.4598152365776375E-3</v>
      </c>
      <c r="AB271" s="2">
        <f t="shared" si="164"/>
        <v>8.0923436399461923E-2</v>
      </c>
      <c r="AC271" s="6">
        <v>76</v>
      </c>
      <c r="AD271" s="6">
        <v>74</v>
      </c>
      <c r="AE271" s="6">
        <v>74</v>
      </c>
      <c r="AF271" s="6">
        <v>74</v>
      </c>
      <c r="AG271" s="6">
        <v>73</v>
      </c>
      <c r="AH271" s="6">
        <v>73</v>
      </c>
      <c r="AI271" s="6">
        <v>73</v>
      </c>
      <c r="AJ271" s="6">
        <v>73</v>
      </c>
      <c r="AK271" s="10">
        <f t="shared" si="165"/>
        <v>3.9473684210526314E-2</v>
      </c>
      <c r="AL271" s="10">
        <f t="shared" si="166"/>
        <v>1.3513513513513514E-2</v>
      </c>
      <c r="AM271" s="10">
        <f t="shared" si="167"/>
        <v>1.3513513513513514E-2</v>
      </c>
      <c r="AN271" s="10">
        <f t="shared" si="168"/>
        <v>1.3513513513513514E-2</v>
      </c>
      <c r="AO271" s="2">
        <f t="shared" si="169"/>
        <v>2.0003556187766714E-2</v>
      </c>
      <c r="AP271" s="2">
        <v>0</v>
      </c>
      <c r="AQ271" s="2">
        <v>0</v>
      </c>
      <c r="AR271" s="2">
        <v>0</v>
      </c>
      <c r="AS271" s="2">
        <v>0</v>
      </c>
      <c r="AT271" s="2">
        <v>0</v>
      </c>
      <c r="AU271" s="2">
        <v>0</v>
      </c>
      <c r="AV271" s="2">
        <v>0</v>
      </c>
      <c r="AW271" s="2">
        <v>0</v>
      </c>
      <c r="AX271" s="10" t="str">
        <f t="shared" si="170"/>
        <v/>
      </c>
      <c r="AY271" s="10" t="str">
        <f t="shared" si="171"/>
        <v/>
      </c>
      <c r="AZ271" s="10" t="str">
        <f t="shared" si="172"/>
        <v/>
      </c>
      <c r="BA271" s="10" t="str">
        <f t="shared" si="173"/>
        <v/>
      </c>
      <c r="BB271" s="2" t="str">
        <f t="shared" si="174"/>
        <v>NA</v>
      </c>
      <c r="BC271" s="6">
        <v>0</v>
      </c>
      <c r="BD271" s="6">
        <v>0</v>
      </c>
      <c r="BE271" s="6">
        <v>0</v>
      </c>
      <c r="BF271" s="6">
        <v>0</v>
      </c>
      <c r="BG271" s="6">
        <v>0</v>
      </c>
      <c r="BH271" s="6">
        <v>0</v>
      </c>
      <c r="BI271" s="6">
        <v>0</v>
      </c>
      <c r="BJ271" s="6">
        <v>0</v>
      </c>
      <c r="BK271" s="10" t="str">
        <f t="shared" si="175"/>
        <v/>
      </c>
      <c r="BL271" s="10" t="str">
        <f t="shared" si="176"/>
        <v/>
      </c>
      <c r="BM271" s="10" t="str">
        <f t="shared" si="177"/>
        <v/>
      </c>
      <c r="BN271" s="10" t="str">
        <f t="shared" si="178"/>
        <v/>
      </c>
      <c r="BO271" s="2" t="str">
        <f t="shared" si="179"/>
        <v>NA</v>
      </c>
      <c r="BP271" s="10">
        <v>7.8412040674815553E-2</v>
      </c>
      <c r="BQ271" s="10">
        <v>7.64651712466487E-2</v>
      </c>
      <c r="BR271" s="10">
        <v>0.11578482849326938</v>
      </c>
      <c r="BS271" s="10">
        <v>0.10008088335892129</v>
      </c>
      <c r="BT271" s="11">
        <v>0</v>
      </c>
    </row>
    <row r="272" spans="1:72">
      <c r="A272">
        <f>COUNTIFS($J$7:J272,J272,$N$7:N272,N272,$E$7:E272,E272)</f>
        <v>1</v>
      </c>
      <c r="B272" s="16" t="str">
        <f t="shared" si="180"/>
        <v>Critical</v>
      </c>
      <c r="C272" s="16" t="str">
        <f t="shared" si="181"/>
        <v>1CriticalYesTravel</v>
      </c>
      <c r="D272" s="1">
        <v>40161</v>
      </c>
      <c r="E272" s="1" t="s">
        <v>79</v>
      </c>
      <c r="F272" s="1" t="s">
        <v>389</v>
      </c>
      <c r="G272" s="1" t="s">
        <v>390</v>
      </c>
      <c r="H272" s="1">
        <v>737</v>
      </c>
      <c r="I272" s="1" t="s">
        <v>371</v>
      </c>
      <c r="J272" s="1" t="s">
        <v>9</v>
      </c>
      <c r="K272" s="1">
        <v>2</v>
      </c>
      <c r="L272" s="1">
        <v>2</v>
      </c>
      <c r="M272" s="2">
        <v>-0.10579603897520407</v>
      </c>
      <c r="N272" s="27" t="str">
        <f t="shared" si="182"/>
        <v>Critical</v>
      </c>
      <c r="O272" s="1">
        <v>2</v>
      </c>
      <c r="P272" s="6">
        <v>656.15878199586246</v>
      </c>
      <c r="Q272" s="6">
        <v>672.28107750455956</v>
      </c>
      <c r="R272" s="6">
        <v>690.73935515940082</v>
      </c>
      <c r="S272" s="6">
        <v>707.25985542893136</v>
      </c>
      <c r="T272" s="6">
        <v>0</v>
      </c>
      <c r="U272" s="6">
        <v>0</v>
      </c>
      <c r="V272" s="6">
        <v>0</v>
      </c>
      <c r="W272" s="6">
        <v>0</v>
      </c>
      <c r="X272" s="10">
        <f t="shared" si="160"/>
        <v>1</v>
      </c>
      <c r="Y272" s="10">
        <f t="shared" si="161"/>
        <v>1</v>
      </c>
      <c r="Z272" s="10">
        <f t="shared" si="162"/>
        <v>1</v>
      </c>
      <c r="AA272" s="10">
        <f t="shared" si="163"/>
        <v>1</v>
      </c>
      <c r="AB272" s="2" t="str">
        <f t="shared" si="164"/>
        <v>NA</v>
      </c>
      <c r="AC272" s="6">
        <v>674.3745461395755</v>
      </c>
      <c r="AD272" s="6">
        <v>767.02301766864866</v>
      </c>
      <c r="AE272" s="6">
        <v>891.04293026965263</v>
      </c>
      <c r="AF272" s="6">
        <v>920.16624597781311</v>
      </c>
      <c r="AG272" s="6">
        <v>0</v>
      </c>
      <c r="AH272" s="6">
        <v>0</v>
      </c>
      <c r="AI272" s="6">
        <v>0</v>
      </c>
      <c r="AJ272" s="6">
        <v>0</v>
      </c>
      <c r="AK272" s="10">
        <f t="shared" si="165"/>
        <v>1</v>
      </c>
      <c r="AL272" s="10">
        <f t="shared" si="166"/>
        <v>1</v>
      </c>
      <c r="AM272" s="10">
        <f t="shared" si="167"/>
        <v>1</v>
      </c>
      <c r="AN272" s="10">
        <f t="shared" si="168"/>
        <v>1</v>
      </c>
      <c r="AO272" s="2" t="str">
        <f t="shared" si="169"/>
        <v>NA</v>
      </c>
      <c r="AP272" s="2">
        <v>0</v>
      </c>
      <c r="AQ272" s="2">
        <v>0</v>
      </c>
      <c r="AR272" s="2">
        <v>0</v>
      </c>
      <c r="AS272" s="2">
        <v>0</v>
      </c>
      <c r="AT272" s="2">
        <v>0</v>
      </c>
      <c r="AU272" s="2">
        <v>0</v>
      </c>
      <c r="AV272" s="2">
        <v>0</v>
      </c>
      <c r="AW272" s="2">
        <v>0</v>
      </c>
      <c r="AX272" s="10" t="str">
        <f t="shared" si="170"/>
        <v/>
      </c>
      <c r="AY272" s="10" t="str">
        <f t="shared" si="171"/>
        <v/>
      </c>
      <c r="AZ272" s="10" t="str">
        <f t="shared" si="172"/>
        <v/>
      </c>
      <c r="BA272" s="10" t="str">
        <f t="shared" si="173"/>
        <v/>
      </c>
      <c r="BB272" s="2" t="str">
        <f t="shared" si="174"/>
        <v>NA</v>
      </c>
      <c r="BC272" s="6">
        <v>0</v>
      </c>
      <c r="BD272" s="6">
        <v>0</v>
      </c>
      <c r="BE272" s="6">
        <v>0</v>
      </c>
      <c r="BF272" s="6">
        <v>0</v>
      </c>
      <c r="BG272" s="6">
        <v>0</v>
      </c>
      <c r="BH272" s="6">
        <v>0</v>
      </c>
      <c r="BI272" s="6">
        <v>0</v>
      </c>
      <c r="BJ272" s="6">
        <v>0</v>
      </c>
      <c r="BK272" s="10" t="str">
        <f t="shared" si="175"/>
        <v/>
      </c>
      <c r="BL272" s="10" t="str">
        <f t="shared" si="176"/>
        <v/>
      </c>
      <c r="BM272" s="10" t="str">
        <f t="shared" si="177"/>
        <v/>
      </c>
      <c r="BN272" s="10" t="str">
        <f t="shared" si="178"/>
        <v/>
      </c>
      <c r="BO272" s="2" t="str">
        <f t="shared" si="179"/>
        <v>NA</v>
      </c>
      <c r="BP272" s="10">
        <v>0.19536924732385894</v>
      </c>
      <c r="BQ272" s="10">
        <v>-6.5905535983334429E-2</v>
      </c>
      <c r="BR272" s="10">
        <v>-9.3490789231735483E-3</v>
      </c>
      <c r="BS272" s="10">
        <v>9.6248709938370314E-2</v>
      </c>
      <c r="BT272" s="11" t="s">
        <v>460</v>
      </c>
    </row>
    <row r="273" spans="1:72">
      <c r="A273">
        <f>COUNTIFS($J$7:J273,J273,$N$7:N273,N273,$E$7:E273,E273)</f>
        <v>6</v>
      </c>
      <c r="B273" s="16" t="str">
        <f t="shared" si="180"/>
        <v>Critical</v>
      </c>
      <c r="C273" s="16" t="str">
        <f t="shared" si="181"/>
        <v>6CriticalNoTravel</v>
      </c>
      <c r="D273" s="1">
        <v>40183</v>
      </c>
      <c r="E273" s="1" t="s">
        <v>79</v>
      </c>
      <c r="F273" s="1" t="s">
        <v>391</v>
      </c>
      <c r="G273" s="1" t="s">
        <v>392</v>
      </c>
      <c r="H273" s="1">
        <v>63</v>
      </c>
      <c r="I273" s="1" t="s">
        <v>371</v>
      </c>
      <c r="J273" s="1" t="s">
        <v>27</v>
      </c>
      <c r="K273" s="1">
        <v>1</v>
      </c>
      <c r="L273" s="1">
        <v>1</v>
      </c>
      <c r="M273" s="2">
        <v>-0.26339352987981735</v>
      </c>
      <c r="N273" s="27" t="str">
        <f t="shared" si="182"/>
        <v>Critical</v>
      </c>
      <c r="O273" s="1">
        <v>1</v>
      </c>
      <c r="P273" s="6">
        <v>60.321657004684447</v>
      </c>
      <c r="Q273" s="6">
        <v>58.089263057585683</v>
      </c>
      <c r="R273" s="6">
        <v>56.759064012451169</v>
      </c>
      <c r="S273" s="6">
        <v>60.513765120967747</v>
      </c>
      <c r="T273" s="6">
        <v>59</v>
      </c>
      <c r="U273" s="6">
        <v>59</v>
      </c>
      <c r="V273" s="6">
        <v>44.25</v>
      </c>
      <c r="W273" s="6">
        <v>0</v>
      </c>
      <c r="X273" s="10">
        <f t="shared" si="160"/>
        <v>2.1910157484264892E-2</v>
      </c>
      <c r="Y273" s="10">
        <f t="shared" si="161"/>
        <v>-1.5678231991193888E-2</v>
      </c>
      <c r="Z273" s="10">
        <f t="shared" si="162"/>
        <v>0.22038883533574605</v>
      </c>
      <c r="AA273" s="10">
        <f t="shared" si="163"/>
        <v>1</v>
      </c>
      <c r="AB273" s="2">
        <f t="shared" si="164"/>
        <v>7.5540253609605687E-2</v>
      </c>
      <c r="AC273" s="6">
        <v>63</v>
      </c>
      <c r="AD273" s="6">
        <v>62</v>
      </c>
      <c r="AE273" s="6">
        <v>59</v>
      </c>
      <c r="AF273" s="6">
        <v>64</v>
      </c>
      <c r="AG273" s="6">
        <v>54.5</v>
      </c>
      <c r="AH273" s="6">
        <v>0</v>
      </c>
      <c r="AI273" s="6">
        <v>0</v>
      </c>
      <c r="AJ273" s="6">
        <v>0</v>
      </c>
      <c r="AK273" s="10">
        <f t="shared" si="165"/>
        <v>0.13492063492063491</v>
      </c>
      <c r="AL273" s="10">
        <f t="shared" si="166"/>
        <v>1</v>
      </c>
      <c r="AM273" s="10">
        <f t="shared" si="167"/>
        <v>1</v>
      </c>
      <c r="AN273" s="10">
        <f t="shared" si="168"/>
        <v>1</v>
      </c>
      <c r="AO273" s="2">
        <f t="shared" si="169"/>
        <v>0.13492063492063491</v>
      </c>
      <c r="AP273" s="2">
        <v>0</v>
      </c>
      <c r="AQ273" s="2">
        <v>0</v>
      </c>
      <c r="AR273" s="2">
        <v>0</v>
      </c>
      <c r="AS273" s="2">
        <v>0</v>
      </c>
      <c r="AT273" s="2">
        <v>0.58750000000000002</v>
      </c>
      <c r="AU273" s="2">
        <v>0</v>
      </c>
      <c r="AV273" s="2">
        <v>0</v>
      </c>
      <c r="AW273" s="2">
        <v>0</v>
      </c>
      <c r="AX273" s="10" t="str">
        <f t="shared" si="170"/>
        <v/>
      </c>
      <c r="AY273" s="10" t="str">
        <f t="shared" si="171"/>
        <v/>
      </c>
      <c r="AZ273" s="10" t="str">
        <f t="shared" si="172"/>
        <v/>
      </c>
      <c r="BA273" s="10" t="str">
        <f t="shared" si="173"/>
        <v/>
      </c>
      <c r="BB273" s="2" t="str">
        <f t="shared" si="174"/>
        <v>NA</v>
      </c>
      <c r="BC273" s="6">
        <v>0</v>
      </c>
      <c r="BD273" s="6">
        <v>0</v>
      </c>
      <c r="BE273" s="6">
        <v>0</v>
      </c>
      <c r="BF273" s="6">
        <v>0</v>
      </c>
      <c r="BG273" s="6">
        <v>35486</v>
      </c>
      <c r="BH273" s="6">
        <v>0</v>
      </c>
      <c r="BI273" s="6">
        <v>0</v>
      </c>
      <c r="BJ273" s="6">
        <v>0</v>
      </c>
      <c r="BK273" s="10" t="str">
        <f t="shared" si="175"/>
        <v/>
      </c>
      <c r="BL273" s="10" t="str">
        <f t="shared" si="176"/>
        <v/>
      </c>
      <c r="BM273" s="10" t="str">
        <f t="shared" si="177"/>
        <v/>
      </c>
      <c r="BN273" s="10" t="str">
        <f t="shared" si="178"/>
        <v/>
      </c>
      <c r="BO273" s="2" t="str">
        <f t="shared" si="179"/>
        <v>NA</v>
      </c>
      <c r="BP273" s="10">
        <v>-2.1318488071548236E-2</v>
      </c>
      <c r="BQ273" s="10">
        <v>-9.3693110723477746E-2</v>
      </c>
      <c r="BR273" s="10">
        <v>-8.5142647987673015E-2</v>
      </c>
      <c r="BS273" s="10">
        <v>-6.9042739285123944E-2</v>
      </c>
      <c r="BT273" s="11" t="s">
        <v>460</v>
      </c>
    </row>
    <row r="274" spans="1:72">
      <c r="A274">
        <f>COUNTIFS($J$7:J274,J274,$N$7:N274,N274,$E$7:E274,E274)</f>
        <v>14</v>
      </c>
      <c r="B274" s="16" t="str">
        <f t="shared" si="180"/>
        <v>Medium</v>
      </c>
      <c r="C274" s="16" t="str">
        <f t="shared" si="181"/>
        <v>14MediumNoBFIMG</v>
      </c>
      <c r="D274" s="1">
        <v>40194</v>
      </c>
      <c r="E274" s="1" t="s">
        <v>20</v>
      </c>
      <c r="F274" s="1" t="s">
        <v>377</v>
      </c>
      <c r="G274" s="1" t="s">
        <v>393</v>
      </c>
      <c r="H274" s="1">
        <v>50</v>
      </c>
      <c r="I274" s="1" t="s">
        <v>75</v>
      </c>
      <c r="J274" s="1" t="s">
        <v>27</v>
      </c>
      <c r="K274" s="1">
        <v>1</v>
      </c>
      <c r="L274" s="1">
        <v>1</v>
      </c>
      <c r="M274" s="2">
        <v>8.9548993766414162E-2</v>
      </c>
      <c r="N274" s="27" t="str">
        <f t="shared" si="182"/>
        <v>Medium</v>
      </c>
      <c r="O274" s="1">
        <v>1</v>
      </c>
      <c r="P274" s="6">
        <v>41.998014843749992</v>
      </c>
      <c r="Q274" s="6">
        <v>41.998014843749999</v>
      </c>
      <c r="R274" s="6">
        <v>41.998014843749992</v>
      </c>
      <c r="S274" s="6">
        <v>41.998014843749999</v>
      </c>
      <c r="T274" s="6" t="s">
        <v>422</v>
      </c>
      <c r="U274" s="6" t="s">
        <v>422</v>
      </c>
      <c r="V274" s="6" t="s">
        <v>422</v>
      </c>
      <c r="W274" s="6" t="s">
        <v>422</v>
      </c>
      <c r="X274" s="10" t="str">
        <f t="shared" si="160"/>
        <v/>
      </c>
      <c r="Y274" s="10" t="str">
        <f t="shared" si="161"/>
        <v/>
      </c>
      <c r="Z274" s="10" t="str">
        <f t="shared" si="162"/>
        <v/>
      </c>
      <c r="AA274" s="10" t="str">
        <f t="shared" si="163"/>
        <v/>
      </c>
      <c r="AB274" s="2" t="str">
        <f t="shared" si="164"/>
        <v>NA</v>
      </c>
      <c r="AC274" s="6">
        <v>42</v>
      </c>
      <c r="AD274" s="6">
        <v>42</v>
      </c>
      <c r="AE274" s="6">
        <v>42</v>
      </c>
      <c r="AF274" s="6">
        <v>42</v>
      </c>
      <c r="AG274" s="6" t="s">
        <v>422</v>
      </c>
      <c r="AH274" s="6" t="s">
        <v>422</v>
      </c>
      <c r="AI274" s="6" t="s">
        <v>422</v>
      </c>
      <c r="AJ274" s="6" t="s">
        <v>422</v>
      </c>
      <c r="AK274" s="10" t="str">
        <f t="shared" si="165"/>
        <v/>
      </c>
      <c r="AL274" s="10" t="str">
        <f t="shared" si="166"/>
        <v/>
      </c>
      <c r="AM274" s="10" t="str">
        <f t="shared" si="167"/>
        <v/>
      </c>
      <c r="AN274" s="10" t="str">
        <f t="shared" si="168"/>
        <v/>
      </c>
      <c r="AO274" s="2" t="str">
        <f t="shared" si="169"/>
        <v>NA</v>
      </c>
      <c r="AP274" s="2">
        <v>0</v>
      </c>
      <c r="AQ274" s="2">
        <v>0</v>
      </c>
      <c r="AR274" s="2">
        <v>0</v>
      </c>
      <c r="AS274" s="2">
        <v>0</v>
      </c>
      <c r="AT274" s="2" t="s">
        <v>422</v>
      </c>
      <c r="AU274" s="2" t="s">
        <v>422</v>
      </c>
      <c r="AV274" s="2" t="s">
        <v>422</v>
      </c>
      <c r="AW274" s="2" t="s">
        <v>422</v>
      </c>
      <c r="AX274" s="10" t="str">
        <f t="shared" si="170"/>
        <v/>
      </c>
      <c r="AY274" s="10" t="str">
        <f t="shared" si="171"/>
        <v/>
      </c>
      <c r="AZ274" s="10" t="str">
        <f t="shared" si="172"/>
        <v/>
      </c>
      <c r="BA274" s="10" t="str">
        <f t="shared" si="173"/>
        <v/>
      </c>
      <c r="BB274" s="2" t="str">
        <f t="shared" si="174"/>
        <v>NA</v>
      </c>
      <c r="BC274" s="6">
        <v>0</v>
      </c>
      <c r="BD274" s="6">
        <v>0</v>
      </c>
      <c r="BE274" s="6">
        <v>0</v>
      </c>
      <c r="BF274" s="6">
        <v>0</v>
      </c>
      <c r="BG274" s="6" t="s">
        <v>422</v>
      </c>
      <c r="BH274" s="6" t="s">
        <v>422</v>
      </c>
      <c r="BI274" s="6" t="s">
        <v>422</v>
      </c>
      <c r="BJ274" s="6" t="s">
        <v>422</v>
      </c>
      <c r="BK274" s="10" t="str">
        <f t="shared" si="175"/>
        <v/>
      </c>
      <c r="BL274" s="10" t="str">
        <f t="shared" si="176"/>
        <v/>
      </c>
      <c r="BM274" s="10" t="str">
        <f t="shared" si="177"/>
        <v/>
      </c>
      <c r="BN274" s="10" t="str">
        <f t="shared" si="178"/>
        <v/>
      </c>
      <c r="BO274" s="2" t="str">
        <f t="shared" si="179"/>
        <v>NA</v>
      </c>
      <c r="BP274" s="10">
        <v>-1.2518102763692279E-2</v>
      </c>
      <c r="BQ274" s="10">
        <v>-3.295655211596521E-2</v>
      </c>
      <c r="BR274" s="10">
        <v>-3.1420379229648049E-2</v>
      </c>
      <c r="BS274" s="10">
        <v>-3.0065056394347756E-2</v>
      </c>
      <c r="BT274" s="11" t="s">
        <v>460</v>
      </c>
    </row>
    <row r="275" spans="1:72">
      <c r="A275">
        <f>COUNTIFS($J$7:J275,J275,$N$7:N275,N275,$E$7:E275,E275)</f>
        <v>6</v>
      </c>
      <c r="B275" s="16" t="str">
        <f t="shared" si="180"/>
        <v>Medium</v>
      </c>
      <c r="C275" s="16" t="str">
        <f t="shared" si="181"/>
        <v>6MediumNoTravel</v>
      </c>
      <c r="D275" s="1">
        <v>40203</v>
      </c>
      <c r="E275" s="1" t="s">
        <v>79</v>
      </c>
      <c r="F275" s="1" t="s">
        <v>96</v>
      </c>
      <c r="G275" s="1" t="s">
        <v>394</v>
      </c>
      <c r="H275" s="1">
        <v>75</v>
      </c>
      <c r="I275" s="1" t="s">
        <v>98</v>
      </c>
      <c r="J275" s="1" t="s">
        <v>27</v>
      </c>
      <c r="K275" s="1">
        <v>1</v>
      </c>
      <c r="L275" s="1"/>
      <c r="M275" s="2">
        <v>0</v>
      </c>
      <c r="N275" s="27" t="str">
        <f t="shared" si="182"/>
        <v>Medium</v>
      </c>
      <c r="O275" s="1">
        <v>0</v>
      </c>
      <c r="P275" s="6">
        <v>0</v>
      </c>
      <c r="Q275" s="6">
        <v>0</v>
      </c>
      <c r="R275" s="6">
        <v>0</v>
      </c>
      <c r="S275" s="6">
        <v>0</v>
      </c>
      <c r="T275" s="6" t="s">
        <v>422</v>
      </c>
      <c r="U275" s="6" t="s">
        <v>422</v>
      </c>
      <c r="V275" s="6" t="s">
        <v>422</v>
      </c>
      <c r="W275" s="6" t="s">
        <v>422</v>
      </c>
      <c r="X275" s="10" t="str">
        <f t="shared" si="160"/>
        <v/>
      </c>
      <c r="Y275" s="10" t="str">
        <f t="shared" si="161"/>
        <v/>
      </c>
      <c r="Z275" s="10" t="str">
        <f t="shared" si="162"/>
        <v/>
      </c>
      <c r="AA275" s="10" t="str">
        <f t="shared" si="163"/>
        <v/>
      </c>
      <c r="AB275" s="2" t="str">
        <f t="shared" si="164"/>
        <v>NA</v>
      </c>
      <c r="AC275" s="6">
        <v>0</v>
      </c>
      <c r="AD275" s="6">
        <v>0</v>
      </c>
      <c r="AE275" s="6">
        <v>0</v>
      </c>
      <c r="AF275" s="6">
        <v>0</v>
      </c>
      <c r="AG275" s="6" t="s">
        <v>422</v>
      </c>
      <c r="AH275" s="6" t="s">
        <v>422</v>
      </c>
      <c r="AI275" s="6" t="s">
        <v>422</v>
      </c>
      <c r="AJ275" s="6" t="s">
        <v>422</v>
      </c>
      <c r="AK275" s="10" t="str">
        <f t="shared" si="165"/>
        <v/>
      </c>
      <c r="AL275" s="10" t="str">
        <f t="shared" si="166"/>
        <v/>
      </c>
      <c r="AM275" s="10" t="str">
        <f t="shared" si="167"/>
        <v/>
      </c>
      <c r="AN275" s="10" t="str">
        <f t="shared" si="168"/>
        <v/>
      </c>
      <c r="AO275" s="2" t="str">
        <f t="shared" si="169"/>
        <v>NA</v>
      </c>
      <c r="AP275" s="2">
        <v>0</v>
      </c>
      <c r="AQ275" s="2">
        <v>0</v>
      </c>
      <c r="AR275" s="2">
        <v>0</v>
      </c>
      <c r="AS275" s="2">
        <v>0</v>
      </c>
      <c r="AT275" s="2" t="s">
        <v>422</v>
      </c>
      <c r="AU275" s="2" t="s">
        <v>422</v>
      </c>
      <c r="AV275" s="2" t="s">
        <v>422</v>
      </c>
      <c r="AW275" s="2" t="s">
        <v>422</v>
      </c>
      <c r="AX275" s="10" t="str">
        <f t="shared" si="170"/>
        <v/>
      </c>
      <c r="AY275" s="10" t="str">
        <f t="shared" si="171"/>
        <v/>
      </c>
      <c r="AZ275" s="10" t="str">
        <f t="shared" si="172"/>
        <v/>
      </c>
      <c r="BA275" s="10" t="str">
        <f t="shared" si="173"/>
        <v/>
      </c>
      <c r="BB275" s="2" t="str">
        <f t="shared" si="174"/>
        <v>NA</v>
      </c>
      <c r="BC275" s="6">
        <v>0</v>
      </c>
      <c r="BD275" s="6">
        <v>0</v>
      </c>
      <c r="BE275" s="6">
        <v>0</v>
      </c>
      <c r="BF275" s="6">
        <v>0</v>
      </c>
      <c r="BG275" s="6">
        <v>0</v>
      </c>
      <c r="BH275" s="6">
        <v>0</v>
      </c>
      <c r="BI275" s="6">
        <v>0</v>
      </c>
      <c r="BJ275" s="6">
        <v>0</v>
      </c>
      <c r="BK275" s="10" t="str">
        <f t="shared" si="175"/>
        <v/>
      </c>
      <c r="BL275" s="10" t="str">
        <f t="shared" si="176"/>
        <v/>
      </c>
      <c r="BM275" s="10" t="str">
        <f t="shared" si="177"/>
        <v/>
      </c>
      <c r="BN275" s="10" t="str">
        <f t="shared" si="178"/>
        <v/>
      </c>
      <c r="BO275" s="2" t="str">
        <f t="shared" si="179"/>
        <v>NA</v>
      </c>
      <c r="BP275" s="10">
        <v>0</v>
      </c>
      <c r="BQ275" s="10">
        <v>0</v>
      </c>
      <c r="BR275" s="10">
        <v>0</v>
      </c>
      <c r="BS275" s="10">
        <v>0</v>
      </c>
      <c r="BT275" s="11">
        <v>0</v>
      </c>
    </row>
    <row r="276" spans="1:72">
      <c r="A276">
        <f>COUNTIFS($J$7:J276,J276,$N$7:N276,N276,$E$7:E276,E276)</f>
        <v>9</v>
      </c>
      <c r="B276" s="16" t="str">
        <f t="shared" si="180"/>
        <v>Medium</v>
      </c>
      <c r="C276" s="16" t="str">
        <f t="shared" si="181"/>
        <v>9MediumNoTechnology</v>
      </c>
      <c r="D276" s="1">
        <v>45003</v>
      </c>
      <c r="E276" s="1" t="s">
        <v>23</v>
      </c>
      <c r="F276" s="1" t="s">
        <v>24</v>
      </c>
      <c r="G276" s="1" t="s">
        <v>395</v>
      </c>
      <c r="H276" s="1">
        <v>108</v>
      </c>
      <c r="I276" s="1" t="s">
        <v>31</v>
      </c>
      <c r="J276" s="1" t="s">
        <v>27</v>
      </c>
      <c r="K276" s="1">
        <v>1</v>
      </c>
      <c r="L276" s="1"/>
      <c r="M276" s="2">
        <v>0</v>
      </c>
      <c r="N276" s="27" t="str">
        <f t="shared" si="182"/>
        <v>Medium</v>
      </c>
      <c r="O276" s="1">
        <v>0</v>
      </c>
      <c r="P276" s="6">
        <v>0</v>
      </c>
      <c r="Q276" s="6">
        <v>0</v>
      </c>
      <c r="R276" s="6">
        <v>0</v>
      </c>
      <c r="S276" s="6">
        <v>0</v>
      </c>
      <c r="T276" s="6">
        <v>332.75</v>
      </c>
      <c r="U276" s="6">
        <v>89.6</v>
      </c>
      <c r="V276" s="6">
        <v>87.5</v>
      </c>
      <c r="W276" s="6">
        <v>84.5</v>
      </c>
      <c r="X276" s="10" t="str">
        <f t="shared" si="160"/>
        <v/>
      </c>
      <c r="Y276" s="10" t="str">
        <f t="shared" si="161"/>
        <v/>
      </c>
      <c r="Z276" s="10" t="str">
        <f t="shared" si="162"/>
        <v/>
      </c>
      <c r="AA276" s="10" t="str">
        <f t="shared" si="163"/>
        <v/>
      </c>
      <c r="AB276" s="2" t="str">
        <f t="shared" si="164"/>
        <v>NA</v>
      </c>
      <c r="AC276" s="6">
        <v>0</v>
      </c>
      <c r="AD276" s="6">
        <v>0</v>
      </c>
      <c r="AE276" s="6">
        <v>0</v>
      </c>
      <c r="AF276" s="6">
        <v>0</v>
      </c>
      <c r="AG276" s="6">
        <v>431.75</v>
      </c>
      <c r="AH276" s="6">
        <v>95.8</v>
      </c>
      <c r="AI276" s="6">
        <v>119.75</v>
      </c>
      <c r="AJ276" s="6">
        <v>100.5</v>
      </c>
      <c r="AK276" s="10" t="str">
        <f t="shared" si="165"/>
        <v/>
      </c>
      <c r="AL276" s="10" t="str">
        <f t="shared" si="166"/>
        <v/>
      </c>
      <c r="AM276" s="10" t="str">
        <f t="shared" si="167"/>
        <v/>
      </c>
      <c r="AN276" s="10" t="str">
        <f t="shared" si="168"/>
        <v/>
      </c>
      <c r="AO276" s="2" t="str">
        <f t="shared" si="169"/>
        <v>NA</v>
      </c>
      <c r="AP276" s="2">
        <v>0</v>
      </c>
      <c r="AQ276" s="2">
        <v>0</v>
      </c>
      <c r="AR276" s="2">
        <v>0</v>
      </c>
      <c r="AS276" s="2">
        <v>0</v>
      </c>
      <c r="AT276" s="2">
        <v>0.84999999999999987</v>
      </c>
      <c r="AU276" s="2">
        <v>0.84999999999999987</v>
      </c>
      <c r="AV276" s="2">
        <v>0.84999999999999987</v>
      </c>
      <c r="AW276" s="2">
        <v>0.84999999999999987</v>
      </c>
      <c r="AX276" s="10" t="str">
        <f t="shared" si="170"/>
        <v/>
      </c>
      <c r="AY276" s="10" t="str">
        <f t="shared" si="171"/>
        <v/>
      </c>
      <c r="AZ276" s="10" t="str">
        <f t="shared" si="172"/>
        <v/>
      </c>
      <c r="BA276" s="10" t="str">
        <f t="shared" si="173"/>
        <v/>
      </c>
      <c r="BB276" s="2" t="str">
        <f t="shared" si="174"/>
        <v>NA</v>
      </c>
      <c r="BC276" s="6">
        <v>0</v>
      </c>
      <c r="BD276" s="6">
        <v>0</v>
      </c>
      <c r="BE276" s="6">
        <v>0</v>
      </c>
      <c r="BF276" s="6">
        <v>0</v>
      </c>
      <c r="BG276" s="6">
        <v>341604</v>
      </c>
      <c r="BH276" s="6">
        <v>77813</v>
      </c>
      <c r="BI276" s="6">
        <v>78657</v>
      </c>
      <c r="BJ276" s="6">
        <v>66118</v>
      </c>
      <c r="BK276" s="10" t="str">
        <f t="shared" si="175"/>
        <v/>
      </c>
      <c r="BL276" s="10" t="str">
        <f t="shared" si="176"/>
        <v/>
      </c>
      <c r="BM276" s="10" t="str">
        <f t="shared" si="177"/>
        <v/>
      </c>
      <c r="BN276" s="10" t="str">
        <f t="shared" si="178"/>
        <v/>
      </c>
      <c r="BO276" s="2" t="str">
        <f t="shared" si="179"/>
        <v>NA</v>
      </c>
      <c r="BP276" s="10">
        <v>0</v>
      </c>
      <c r="BQ276" s="10">
        <v>0</v>
      </c>
      <c r="BR276" s="10">
        <v>0</v>
      </c>
      <c r="BS276" s="10">
        <v>0</v>
      </c>
      <c r="BT276" s="11">
        <v>0</v>
      </c>
    </row>
    <row r="277" spans="1:72">
      <c r="A277">
        <f>COUNTIFS($J$7:J277,J277,$N$7:N277,N277,$E$7:E277,E277)</f>
        <v>10</v>
      </c>
      <c r="B277" s="16" t="str">
        <f t="shared" si="180"/>
        <v>Medium</v>
      </c>
      <c r="C277" s="16" t="str">
        <f t="shared" si="181"/>
        <v>10MediumNoTechnology</v>
      </c>
      <c r="D277" s="1">
        <v>45005</v>
      </c>
      <c r="E277" s="1" t="s">
        <v>23</v>
      </c>
      <c r="F277" s="1" t="s">
        <v>24</v>
      </c>
      <c r="G277" s="1" t="s">
        <v>396</v>
      </c>
      <c r="H277" s="1">
        <v>47</v>
      </c>
      <c r="I277" s="1" t="s">
        <v>31</v>
      </c>
      <c r="J277" s="1" t="s">
        <v>27</v>
      </c>
      <c r="K277" s="1">
        <v>1</v>
      </c>
      <c r="L277" s="1"/>
      <c r="M277" s="2">
        <v>0</v>
      </c>
      <c r="N277" s="27" t="str">
        <f t="shared" si="182"/>
        <v>Medium</v>
      </c>
      <c r="O277" s="1">
        <v>0</v>
      </c>
      <c r="P277" s="6">
        <v>0</v>
      </c>
      <c r="Q277" s="6">
        <v>0</v>
      </c>
      <c r="R277" s="6">
        <v>0</v>
      </c>
      <c r="S277" s="6">
        <v>0</v>
      </c>
      <c r="T277" s="6">
        <v>52</v>
      </c>
      <c r="U277" s="6">
        <v>51.2</v>
      </c>
      <c r="V277" s="6">
        <v>50.25</v>
      </c>
      <c r="W277" s="6">
        <v>49</v>
      </c>
      <c r="X277" s="10" t="str">
        <f t="shared" si="160"/>
        <v/>
      </c>
      <c r="Y277" s="10" t="str">
        <f t="shared" si="161"/>
        <v/>
      </c>
      <c r="Z277" s="10" t="str">
        <f t="shared" si="162"/>
        <v/>
      </c>
      <c r="AA277" s="10" t="str">
        <f t="shared" si="163"/>
        <v/>
      </c>
      <c r="AB277" s="2" t="str">
        <f t="shared" si="164"/>
        <v>NA</v>
      </c>
      <c r="AC277" s="6">
        <v>0</v>
      </c>
      <c r="AD277" s="6">
        <v>0</v>
      </c>
      <c r="AE277" s="6">
        <v>0</v>
      </c>
      <c r="AF277" s="6">
        <v>0</v>
      </c>
      <c r="AG277" s="6">
        <v>62.5</v>
      </c>
      <c r="AH277" s="6">
        <v>73.8</v>
      </c>
      <c r="AI277" s="6">
        <v>71.5</v>
      </c>
      <c r="AJ277" s="6">
        <v>67</v>
      </c>
      <c r="AK277" s="10" t="str">
        <f t="shared" si="165"/>
        <v/>
      </c>
      <c r="AL277" s="10" t="str">
        <f t="shared" si="166"/>
        <v/>
      </c>
      <c r="AM277" s="10" t="str">
        <f t="shared" si="167"/>
        <v/>
      </c>
      <c r="AN277" s="10" t="str">
        <f t="shared" si="168"/>
        <v/>
      </c>
      <c r="AO277" s="2" t="str">
        <f t="shared" si="169"/>
        <v>NA</v>
      </c>
      <c r="AP277" s="2">
        <v>0</v>
      </c>
      <c r="AQ277" s="2">
        <v>0</v>
      </c>
      <c r="AR277" s="2">
        <v>0</v>
      </c>
      <c r="AS277" s="2">
        <v>0</v>
      </c>
      <c r="AT277" s="2">
        <v>0.85</v>
      </c>
      <c r="AU277" s="2">
        <v>0.85</v>
      </c>
      <c r="AV277" s="2">
        <v>0.85</v>
      </c>
      <c r="AW277" s="2">
        <v>0.85</v>
      </c>
      <c r="AX277" s="10" t="str">
        <f t="shared" si="170"/>
        <v/>
      </c>
      <c r="AY277" s="10" t="str">
        <f t="shared" si="171"/>
        <v/>
      </c>
      <c r="AZ277" s="10" t="str">
        <f t="shared" si="172"/>
        <v/>
      </c>
      <c r="BA277" s="10" t="str">
        <f t="shared" si="173"/>
        <v/>
      </c>
      <c r="BB277" s="2" t="str">
        <f t="shared" si="174"/>
        <v>NA</v>
      </c>
      <c r="BC277" s="6">
        <v>0</v>
      </c>
      <c r="BD277" s="6">
        <v>0</v>
      </c>
      <c r="BE277" s="6">
        <v>0</v>
      </c>
      <c r="BF277" s="6">
        <v>0</v>
      </c>
      <c r="BG277" s="6">
        <v>17129</v>
      </c>
      <c r="BH277" s="6">
        <v>25515</v>
      </c>
      <c r="BI277" s="6">
        <v>19991</v>
      </c>
      <c r="BJ277" s="6">
        <v>18470</v>
      </c>
      <c r="BK277" s="10" t="str">
        <f t="shared" si="175"/>
        <v/>
      </c>
      <c r="BL277" s="10" t="str">
        <f t="shared" si="176"/>
        <v/>
      </c>
      <c r="BM277" s="10" t="str">
        <f t="shared" si="177"/>
        <v/>
      </c>
      <c r="BN277" s="10" t="str">
        <f t="shared" si="178"/>
        <v/>
      </c>
      <c r="BO277" s="2" t="str">
        <f t="shared" si="179"/>
        <v>NA</v>
      </c>
      <c r="BP277" s="10">
        <v>0</v>
      </c>
      <c r="BQ277" s="10">
        <v>0</v>
      </c>
      <c r="BR277" s="10">
        <v>0</v>
      </c>
      <c r="BS277" s="10">
        <v>0</v>
      </c>
      <c r="BT277" s="11">
        <v>0</v>
      </c>
    </row>
    <row r="278" spans="1:72">
      <c r="A278">
        <f>COUNTIFS($J$7:J278,J278,$N$7:N278,N278,$E$7:E278,E278)</f>
        <v>7</v>
      </c>
      <c r="B278" s="16" t="str">
        <f t="shared" si="180"/>
        <v>Critical</v>
      </c>
      <c r="C278" s="16" t="str">
        <f t="shared" si="181"/>
        <v>7CriticalNoTravel</v>
      </c>
      <c r="D278" s="1">
        <v>45006</v>
      </c>
      <c r="E278" s="1" t="s">
        <v>79</v>
      </c>
      <c r="F278" s="1" t="s">
        <v>397</v>
      </c>
      <c r="G278" s="1" t="s">
        <v>398</v>
      </c>
      <c r="H278" s="1">
        <v>123</v>
      </c>
      <c r="I278" s="1" t="s">
        <v>371</v>
      </c>
      <c r="J278" s="1" t="s">
        <v>27</v>
      </c>
      <c r="K278" s="1">
        <v>1</v>
      </c>
      <c r="L278" s="1">
        <v>1</v>
      </c>
      <c r="M278" s="2">
        <v>-5.9624906101985765E-2</v>
      </c>
      <c r="N278" s="27" t="str">
        <f t="shared" si="182"/>
        <v>Critical</v>
      </c>
      <c r="O278" s="1">
        <v>1</v>
      </c>
      <c r="P278" s="6">
        <v>114</v>
      </c>
      <c r="Q278" s="6">
        <v>114</v>
      </c>
      <c r="R278" s="6">
        <v>114</v>
      </c>
      <c r="S278" s="6">
        <v>114</v>
      </c>
      <c r="T278" s="6" t="s">
        <v>422</v>
      </c>
      <c r="U278" s="6" t="s">
        <v>422</v>
      </c>
      <c r="V278" s="6" t="s">
        <v>422</v>
      </c>
      <c r="W278" s="6" t="s">
        <v>422</v>
      </c>
      <c r="X278" s="10" t="str">
        <f t="shared" si="160"/>
        <v/>
      </c>
      <c r="Y278" s="10" t="str">
        <f t="shared" si="161"/>
        <v/>
      </c>
      <c r="Z278" s="10" t="str">
        <f t="shared" si="162"/>
        <v/>
      </c>
      <c r="AA278" s="10" t="str">
        <f t="shared" si="163"/>
        <v/>
      </c>
      <c r="AB278" s="2" t="str">
        <f t="shared" si="164"/>
        <v>NA</v>
      </c>
      <c r="AC278" s="6">
        <v>126</v>
      </c>
      <c r="AD278" s="6">
        <v>129</v>
      </c>
      <c r="AE278" s="6">
        <v>129</v>
      </c>
      <c r="AF278" s="6">
        <v>129</v>
      </c>
      <c r="AG278" s="6" t="s">
        <v>422</v>
      </c>
      <c r="AH278" s="6" t="s">
        <v>422</v>
      </c>
      <c r="AI278" s="6" t="s">
        <v>422</v>
      </c>
      <c r="AJ278" s="6" t="s">
        <v>422</v>
      </c>
      <c r="AK278" s="10" t="str">
        <f t="shared" si="165"/>
        <v/>
      </c>
      <c r="AL278" s="10" t="str">
        <f t="shared" si="166"/>
        <v/>
      </c>
      <c r="AM278" s="10" t="str">
        <f t="shared" si="167"/>
        <v/>
      </c>
      <c r="AN278" s="10" t="str">
        <f t="shared" si="168"/>
        <v/>
      </c>
      <c r="AO278" s="2" t="str">
        <f t="shared" si="169"/>
        <v>NA</v>
      </c>
      <c r="AP278" s="2">
        <v>0</v>
      </c>
      <c r="AQ278" s="2">
        <v>0</v>
      </c>
      <c r="AR278" s="2">
        <v>0</v>
      </c>
      <c r="AS278" s="2">
        <v>0</v>
      </c>
      <c r="AT278" s="2" t="s">
        <v>422</v>
      </c>
      <c r="AU278" s="2" t="s">
        <v>422</v>
      </c>
      <c r="AV278" s="2" t="s">
        <v>422</v>
      </c>
      <c r="AW278" s="2" t="s">
        <v>422</v>
      </c>
      <c r="AX278" s="10" t="str">
        <f t="shared" si="170"/>
        <v/>
      </c>
      <c r="AY278" s="10" t="str">
        <f t="shared" si="171"/>
        <v/>
      </c>
      <c r="AZ278" s="10" t="str">
        <f t="shared" si="172"/>
        <v/>
      </c>
      <c r="BA278" s="10" t="str">
        <f t="shared" si="173"/>
        <v/>
      </c>
      <c r="BB278" s="2" t="str">
        <f t="shared" si="174"/>
        <v>NA</v>
      </c>
      <c r="BC278" s="6">
        <v>0</v>
      </c>
      <c r="BD278" s="6">
        <v>0</v>
      </c>
      <c r="BE278" s="6">
        <v>0</v>
      </c>
      <c r="BF278" s="6">
        <v>0</v>
      </c>
      <c r="BG278" s="6" t="s">
        <v>422</v>
      </c>
      <c r="BH278" s="6" t="s">
        <v>422</v>
      </c>
      <c r="BI278" s="6" t="s">
        <v>422</v>
      </c>
      <c r="BJ278" s="6" t="s">
        <v>422</v>
      </c>
      <c r="BK278" s="10" t="str">
        <f t="shared" si="175"/>
        <v/>
      </c>
      <c r="BL278" s="10" t="str">
        <f t="shared" si="176"/>
        <v/>
      </c>
      <c r="BM278" s="10" t="str">
        <f t="shared" si="177"/>
        <v/>
      </c>
      <c r="BN278" s="10" t="str">
        <f t="shared" si="178"/>
        <v/>
      </c>
      <c r="BO278" s="2" t="str">
        <f t="shared" si="179"/>
        <v>NA</v>
      </c>
      <c r="BP278" s="10">
        <v>-2.0960594422937129E-2</v>
      </c>
      <c r="BQ278" s="10">
        <v>-3.8526757737858089E-2</v>
      </c>
      <c r="BR278" s="10">
        <v>-3.0833346793090355E-2</v>
      </c>
      <c r="BS278" s="10">
        <v>-3.2055600071789939E-2</v>
      </c>
      <c r="BT278" s="11" t="s">
        <v>460</v>
      </c>
    </row>
    <row r="279" spans="1:72">
      <c r="A279">
        <f>COUNTIFS($J$7:J279,J279,$N$7:N279,N279,$E$7:E279,E279)</f>
        <v>8</v>
      </c>
      <c r="B279" s="16" t="str">
        <f t="shared" si="180"/>
        <v>Critical</v>
      </c>
      <c r="C279" s="16" t="str">
        <f t="shared" si="181"/>
        <v>8CriticalNoTravel</v>
      </c>
      <c r="D279" s="1">
        <v>45008</v>
      </c>
      <c r="E279" s="1" t="s">
        <v>79</v>
      </c>
      <c r="F279" s="1" t="s">
        <v>80</v>
      </c>
      <c r="G279" s="1" t="s">
        <v>399</v>
      </c>
      <c r="H279" s="1">
        <v>468</v>
      </c>
      <c r="I279" s="1" t="s">
        <v>400</v>
      </c>
      <c r="J279" s="1" t="s">
        <v>27</v>
      </c>
      <c r="K279" s="1">
        <v>1</v>
      </c>
      <c r="L279" s="1">
        <v>1</v>
      </c>
      <c r="M279" s="2">
        <v>-1.564971391027787E-2</v>
      </c>
      <c r="N279" s="27" t="str">
        <f t="shared" si="182"/>
        <v>Critical</v>
      </c>
      <c r="O279" s="1">
        <v>1</v>
      </c>
      <c r="P279" s="6">
        <v>568.61964119593347</v>
      </c>
      <c r="Q279" s="6">
        <v>575.29245733374989</v>
      </c>
      <c r="R279" s="6">
        <v>559.24608427459293</v>
      </c>
      <c r="S279" s="6">
        <v>617.90135941592507</v>
      </c>
      <c r="T279" s="6">
        <v>639</v>
      </c>
      <c r="U279" s="6">
        <v>609.4</v>
      </c>
      <c r="V279" s="6">
        <v>0</v>
      </c>
      <c r="W279" s="6">
        <v>0</v>
      </c>
      <c r="X279" s="10">
        <f t="shared" si="160"/>
        <v>-0.12377405510657528</v>
      </c>
      <c r="Y279" s="10">
        <f t="shared" si="161"/>
        <v>-5.9287310708582695E-2</v>
      </c>
      <c r="Z279" s="10">
        <f t="shared" si="162"/>
        <v>1</v>
      </c>
      <c r="AA279" s="10">
        <f t="shared" si="163"/>
        <v>1</v>
      </c>
      <c r="AB279" s="2">
        <f t="shared" si="164"/>
        <v>-9.1530682907578986E-2</v>
      </c>
      <c r="AC279" s="6">
        <v>499.23466647542557</v>
      </c>
      <c r="AD279" s="6">
        <v>542.36932569721887</v>
      </c>
      <c r="AE279" s="6">
        <v>555.97723850236548</v>
      </c>
      <c r="AF279" s="6">
        <v>572.6</v>
      </c>
      <c r="AG279" s="6">
        <v>0</v>
      </c>
      <c r="AH279" s="6">
        <v>0</v>
      </c>
      <c r="AI279" s="6">
        <v>0</v>
      </c>
      <c r="AJ279" s="6">
        <v>0</v>
      </c>
      <c r="AK279" s="10">
        <f t="shared" si="165"/>
        <v>1</v>
      </c>
      <c r="AL279" s="10">
        <f t="shared" si="166"/>
        <v>1</v>
      </c>
      <c r="AM279" s="10">
        <f t="shared" si="167"/>
        <v>1</v>
      </c>
      <c r="AN279" s="10">
        <f t="shared" si="168"/>
        <v>1</v>
      </c>
      <c r="AO279" s="2" t="str">
        <f t="shared" si="169"/>
        <v>NA</v>
      </c>
      <c r="AP279" s="2">
        <v>0</v>
      </c>
      <c r="AQ279" s="2">
        <v>0</v>
      </c>
      <c r="AR279" s="2">
        <v>0</v>
      </c>
      <c r="AS279" s="2">
        <v>0</v>
      </c>
      <c r="AT279" s="2">
        <v>0.9</v>
      </c>
      <c r="AU279" s="2">
        <v>0.9</v>
      </c>
      <c r="AV279" s="2">
        <v>0</v>
      </c>
      <c r="AW279" s="2">
        <v>0</v>
      </c>
      <c r="AX279" s="10" t="str">
        <f t="shared" si="170"/>
        <v/>
      </c>
      <c r="AY279" s="10" t="str">
        <f t="shared" si="171"/>
        <v/>
      </c>
      <c r="AZ279" s="10" t="str">
        <f t="shared" si="172"/>
        <v/>
      </c>
      <c r="BA279" s="10" t="str">
        <f t="shared" si="173"/>
        <v/>
      </c>
      <c r="BB279" s="2" t="str">
        <f t="shared" si="174"/>
        <v>NA</v>
      </c>
      <c r="BC279" s="6">
        <v>0</v>
      </c>
      <c r="BD279" s="6">
        <v>0</v>
      </c>
      <c r="BE279" s="6">
        <v>0</v>
      </c>
      <c r="BF279" s="6">
        <v>0</v>
      </c>
      <c r="BG279" s="6">
        <v>0</v>
      </c>
      <c r="BH279" s="6">
        <v>0</v>
      </c>
      <c r="BI279" s="6">
        <v>0</v>
      </c>
      <c r="BJ279" s="6">
        <v>0</v>
      </c>
      <c r="BK279" s="10" t="str">
        <f t="shared" si="175"/>
        <v/>
      </c>
      <c r="BL279" s="10" t="str">
        <f t="shared" si="176"/>
        <v/>
      </c>
      <c r="BM279" s="10" t="str">
        <f t="shared" si="177"/>
        <v/>
      </c>
      <c r="BN279" s="10" t="str">
        <f t="shared" si="178"/>
        <v/>
      </c>
      <c r="BO279" s="2" t="str">
        <f t="shared" si="179"/>
        <v>NA</v>
      </c>
      <c r="BP279" s="10">
        <v>0.42864974016282431</v>
      </c>
      <c r="BQ279" s="10">
        <v>0.20614047943683711</v>
      </c>
      <c r="BR279" s="10">
        <v>0.31794583472461951</v>
      </c>
      <c r="BS279" s="10">
        <v>0.24721772962662381</v>
      </c>
      <c r="BT279" s="11" t="s">
        <v>461</v>
      </c>
    </row>
    <row r="280" spans="1:72">
      <c r="A280">
        <f>COUNTIFS($J$7:J280,J280,$N$7:N280,N280,$E$7:E280,E280)</f>
        <v>7</v>
      </c>
      <c r="B280" s="16" t="str">
        <f t="shared" si="180"/>
        <v>Low</v>
      </c>
      <c r="C280" s="16" t="str">
        <f t="shared" si="181"/>
        <v>7LowNoTravel</v>
      </c>
      <c r="D280" s="1">
        <v>45009</v>
      </c>
      <c r="E280" s="1" t="s">
        <v>79</v>
      </c>
      <c r="F280" s="1" t="s">
        <v>80</v>
      </c>
      <c r="G280" s="1" t="s">
        <v>401</v>
      </c>
      <c r="H280" s="1">
        <v>406</v>
      </c>
      <c r="I280" s="1" t="s">
        <v>400</v>
      </c>
      <c r="J280" s="1" t="s">
        <v>27</v>
      </c>
      <c r="K280" s="1">
        <v>1</v>
      </c>
      <c r="L280" s="1">
        <v>1</v>
      </c>
      <c r="M280" s="2">
        <v>0.14816326162332816</v>
      </c>
      <c r="N280" s="27" t="str">
        <f t="shared" si="182"/>
        <v>Low</v>
      </c>
      <c r="O280" s="1">
        <v>1</v>
      </c>
      <c r="P280" s="6">
        <v>547.66919187500002</v>
      </c>
      <c r="Q280" s="6">
        <v>662.38209375000008</v>
      </c>
      <c r="R280" s="6">
        <v>646.90763061930625</v>
      </c>
      <c r="S280" s="6">
        <v>607.07205298426709</v>
      </c>
      <c r="T280" s="6">
        <v>0</v>
      </c>
      <c r="U280" s="6">
        <v>0</v>
      </c>
      <c r="V280" s="6">
        <v>0</v>
      </c>
      <c r="W280" s="6">
        <v>0</v>
      </c>
      <c r="X280" s="10">
        <f t="shared" si="160"/>
        <v>1</v>
      </c>
      <c r="Y280" s="10">
        <f t="shared" si="161"/>
        <v>1</v>
      </c>
      <c r="Z280" s="10">
        <f t="shared" si="162"/>
        <v>1</v>
      </c>
      <c r="AA280" s="10">
        <f t="shared" si="163"/>
        <v>1</v>
      </c>
      <c r="AB280" s="2" t="str">
        <f t="shared" si="164"/>
        <v>NA</v>
      </c>
      <c r="AC280" s="6">
        <v>555</v>
      </c>
      <c r="AD280" s="6">
        <v>666</v>
      </c>
      <c r="AE280" s="6">
        <v>537</v>
      </c>
      <c r="AF280" s="6">
        <v>595</v>
      </c>
      <c r="AG280" s="6">
        <v>0</v>
      </c>
      <c r="AH280" s="6">
        <v>0</v>
      </c>
      <c r="AI280" s="6">
        <v>0</v>
      </c>
      <c r="AJ280" s="6">
        <v>0</v>
      </c>
      <c r="AK280" s="10">
        <f t="shared" si="165"/>
        <v>1</v>
      </c>
      <c r="AL280" s="10">
        <f t="shared" si="166"/>
        <v>1</v>
      </c>
      <c r="AM280" s="10">
        <f t="shared" si="167"/>
        <v>1</v>
      </c>
      <c r="AN280" s="10">
        <f t="shared" si="168"/>
        <v>1</v>
      </c>
      <c r="AO280" s="2" t="str">
        <f t="shared" si="169"/>
        <v>NA</v>
      </c>
      <c r="AP280" s="2">
        <v>0</v>
      </c>
      <c r="AQ280" s="2">
        <v>0</v>
      </c>
      <c r="AR280" s="2">
        <v>0</v>
      </c>
      <c r="AS280" s="2">
        <v>0</v>
      </c>
      <c r="AT280" s="2">
        <v>0</v>
      </c>
      <c r="AU280" s="2">
        <v>0</v>
      </c>
      <c r="AV280" s="2">
        <v>0</v>
      </c>
      <c r="AW280" s="2">
        <v>0</v>
      </c>
      <c r="AX280" s="10" t="str">
        <f t="shared" si="170"/>
        <v/>
      </c>
      <c r="AY280" s="10" t="str">
        <f t="shared" si="171"/>
        <v/>
      </c>
      <c r="AZ280" s="10" t="str">
        <f t="shared" si="172"/>
        <v/>
      </c>
      <c r="BA280" s="10" t="str">
        <f t="shared" si="173"/>
        <v/>
      </c>
      <c r="BB280" s="2" t="str">
        <f t="shared" si="174"/>
        <v>NA</v>
      </c>
      <c r="BC280" s="6">
        <v>0</v>
      </c>
      <c r="BD280" s="6">
        <v>0</v>
      </c>
      <c r="BE280" s="6">
        <v>0</v>
      </c>
      <c r="BF280" s="6">
        <v>0</v>
      </c>
      <c r="BG280" s="6">
        <v>0</v>
      </c>
      <c r="BH280" s="6">
        <v>0</v>
      </c>
      <c r="BI280" s="6">
        <v>0</v>
      </c>
      <c r="BJ280" s="6">
        <v>0</v>
      </c>
      <c r="BK280" s="10" t="str">
        <f t="shared" si="175"/>
        <v/>
      </c>
      <c r="BL280" s="10" t="str">
        <f t="shared" si="176"/>
        <v/>
      </c>
      <c r="BM280" s="10" t="str">
        <f t="shared" si="177"/>
        <v/>
      </c>
      <c r="BN280" s="10" t="str">
        <f t="shared" si="178"/>
        <v/>
      </c>
      <c r="BO280" s="2" t="str">
        <f t="shared" si="179"/>
        <v>NA</v>
      </c>
      <c r="BP280" s="10">
        <v>0</v>
      </c>
      <c r="BQ280" s="10">
        <v>0</v>
      </c>
      <c r="BR280" s="10">
        <v>0</v>
      </c>
      <c r="BS280" s="10">
        <v>0</v>
      </c>
      <c r="BT280" s="11" t="s">
        <v>461</v>
      </c>
    </row>
    <row r="281" spans="1:72">
      <c r="A281">
        <f>COUNTIFS($J$7:J281,J281,$N$7:N281,N281,$E$7:E281,E281)</f>
        <v>7</v>
      </c>
      <c r="B281" s="16" t="str">
        <f t="shared" si="180"/>
        <v>Medium</v>
      </c>
      <c r="C281" s="16" t="str">
        <f t="shared" si="181"/>
        <v>7MediumNoTravel</v>
      </c>
      <c r="D281" s="1">
        <v>45010</v>
      </c>
      <c r="E281" s="1" t="s">
        <v>79</v>
      </c>
      <c r="F281" s="1" t="s">
        <v>80</v>
      </c>
      <c r="G281" s="1" t="s">
        <v>402</v>
      </c>
      <c r="H281" s="1">
        <v>36</v>
      </c>
      <c r="I281" s="1" t="s">
        <v>400</v>
      </c>
      <c r="J281" s="1" t="s">
        <v>27</v>
      </c>
      <c r="K281" s="1">
        <v>1</v>
      </c>
      <c r="L281" s="1"/>
      <c r="M281" s="2">
        <v>0</v>
      </c>
      <c r="N281" s="27" t="str">
        <f t="shared" si="182"/>
        <v>Medium</v>
      </c>
      <c r="O281" s="1">
        <v>0</v>
      </c>
      <c r="P281" s="6">
        <v>0</v>
      </c>
      <c r="Q281" s="6">
        <v>0</v>
      </c>
      <c r="R281" s="6">
        <v>0</v>
      </c>
      <c r="S281" s="6">
        <v>0</v>
      </c>
      <c r="T281" s="6">
        <v>0</v>
      </c>
      <c r="U281" s="6">
        <v>0</v>
      </c>
      <c r="V281" s="6">
        <v>0</v>
      </c>
      <c r="W281" s="6">
        <v>0</v>
      </c>
      <c r="X281" s="10" t="str">
        <f t="shared" si="160"/>
        <v/>
      </c>
      <c r="Y281" s="10" t="str">
        <f t="shared" si="161"/>
        <v/>
      </c>
      <c r="Z281" s="10" t="str">
        <f t="shared" si="162"/>
        <v/>
      </c>
      <c r="AA281" s="10" t="str">
        <f t="shared" si="163"/>
        <v/>
      </c>
      <c r="AB281" s="2" t="str">
        <f t="shared" si="164"/>
        <v>NA</v>
      </c>
      <c r="AC281" s="6">
        <v>0</v>
      </c>
      <c r="AD281" s="6">
        <v>0</v>
      </c>
      <c r="AE281" s="6">
        <v>0</v>
      </c>
      <c r="AF281" s="6">
        <v>0</v>
      </c>
      <c r="AG281" s="6">
        <v>0</v>
      </c>
      <c r="AH281" s="6">
        <v>0</v>
      </c>
      <c r="AI281" s="6">
        <v>0</v>
      </c>
      <c r="AJ281" s="6">
        <v>0</v>
      </c>
      <c r="AK281" s="10" t="str">
        <f t="shared" si="165"/>
        <v/>
      </c>
      <c r="AL281" s="10" t="str">
        <f t="shared" si="166"/>
        <v/>
      </c>
      <c r="AM281" s="10" t="str">
        <f t="shared" si="167"/>
        <v/>
      </c>
      <c r="AN281" s="10" t="str">
        <f t="shared" si="168"/>
        <v/>
      </c>
      <c r="AO281" s="2" t="str">
        <f t="shared" si="169"/>
        <v>NA</v>
      </c>
      <c r="AP281" s="2">
        <v>0</v>
      </c>
      <c r="AQ281" s="2">
        <v>0</v>
      </c>
      <c r="AR281" s="2">
        <v>0</v>
      </c>
      <c r="AS281" s="2">
        <v>0</v>
      </c>
      <c r="AT281" s="2">
        <v>0</v>
      </c>
      <c r="AU281" s="2">
        <v>0</v>
      </c>
      <c r="AV281" s="2">
        <v>0</v>
      </c>
      <c r="AW281" s="2">
        <v>0</v>
      </c>
      <c r="AX281" s="10" t="str">
        <f t="shared" si="170"/>
        <v/>
      </c>
      <c r="AY281" s="10" t="str">
        <f t="shared" si="171"/>
        <v/>
      </c>
      <c r="AZ281" s="10" t="str">
        <f t="shared" si="172"/>
        <v/>
      </c>
      <c r="BA281" s="10" t="str">
        <f t="shared" si="173"/>
        <v/>
      </c>
      <c r="BB281" s="2" t="str">
        <f t="shared" si="174"/>
        <v>NA</v>
      </c>
      <c r="BC281" s="6">
        <v>0</v>
      </c>
      <c r="BD281" s="6">
        <v>0</v>
      </c>
      <c r="BE281" s="6">
        <v>0</v>
      </c>
      <c r="BF281" s="6">
        <v>0</v>
      </c>
      <c r="BG281" s="6">
        <v>25482</v>
      </c>
      <c r="BH281" s="6">
        <v>36244</v>
      </c>
      <c r="BI281" s="6">
        <v>0</v>
      </c>
      <c r="BJ281" s="6">
        <v>0</v>
      </c>
      <c r="BK281" s="10" t="str">
        <f t="shared" si="175"/>
        <v/>
      </c>
      <c r="BL281" s="10" t="str">
        <f t="shared" si="176"/>
        <v/>
      </c>
      <c r="BM281" s="10" t="str">
        <f t="shared" si="177"/>
        <v/>
      </c>
      <c r="BN281" s="10" t="str">
        <f t="shared" si="178"/>
        <v/>
      </c>
      <c r="BO281" s="2" t="str">
        <f t="shared" si="179"/>
        <v>NA</v>
      </c>
      <c r="BP281" s="10">
        <v>0</v>
      </c>
      <c r="BQ281" s="10">
        <v>0</v>
      </c>
      <c r="BR281" s="10">
        <v>0</v>
      </c>
      <c r="BS281" s="10">
        <v>0</v>
      </c>
      <c r="BT281" s="11">
        <v>0</v>
      </c>
    </row>
    <row r="282" spans="1:72">
      <c r="A282">
        <f>COUNTIFS($J$7:J282,J282,$N$7:N282,N282,$E$7:E282,E282)</f>
        <v>8</v>
      </c>
      <c r="B282" s="16" t="str">
        <f t="shared" si="180"/>
        <v>Medium</v>
      </c>
      <c r="C282" s="16" t="str">
        <f t="shared" si="181"/>
        <v>8MediumNoTravel</v>
      </c>
      <c r="D282" s="1">
        <v>45012</v>
      </c>
      <c r="E282" s="1" t="s">
        <v>79</v>
      </c>
      <c r="F282" s="1" t="s">
        <v>80</v>
      </c>
      <c r="G282" s="1" t="s">
        <v>403</v>
      </c>
      <c r="H282" s="1">
        <v>101</v>
      </c>
      <c r="I282" s="1" t="s">
        <v>400</v>
      </c>
      <c r="J282" s="1" t="s">
        <v>27</v>
      </c>
      <c r="K282" s="1">
        <v>1</v>
      </c>
      <c r="L282" s="1"/>
      <c r="M282" s="2">
        <v>0</v>
      </c>
      <c r="N282" s="27" t="str">
        <f t="shared" si="182"/>
        <v>Medium</v>
      </c>
      <c r="O282" s="1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v>0</v>
      </c>
      <c r="W282" s="6">
        <v>0</v>
      </c>
      <c r="X282" s="10" t="str">
        <f t="shared" si="160"/>
        <v/>
      </c>
      <c r="Y282" s="10" t="str">
        <f t="shared" si="161"/>
        <v/>
      </c>
      <c r="Z282" s="10" t="str">
        <f t="shared" si="162"/>
        <v/>
      </c>
      <c r="AA282" s="10" t="str">
        <f t="shared" si="163"/>
        <v/>
      </c>
      <c r="AB282" s="2" t="str">
        <f t="shared" si="164"/>
        <v>NA</v>
      </c>
      <c r="AC282" s="6">
        <v>0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10" t="str">
        <f t="shared" si="165"/>
        <v/>
      </c>
      <c r="AL282" s="10" t="str">
        <f t="shared" si="166"/>
        <v/>
      </c>
      <c r="AM282" s="10" t="str">
        <f t="shared" si="167"/>
        <v/>
      </c>
      <c r="AN282" s="10" t="str">
        <f t="shared" si="168"/>
        <v/>
      </c>
      <c r="AO282" s="2" t="str">
        <f t="shared" si="169"/>
        <v>NA</v>
      </c>
      <c r="AP282" s="2">
        <v>0</v>
      </c>
      <c r="AQ282" s="2">
        <v>0</v>
      </c>
      <c r="AR282" s="2">
        <v>0</v>
      </c>
      <c r="AS282" s="2">
        <v>0</v>
      </c>
      <c r="AT282" s="2">
        <v>0</v>
      </c>
      <c r="AU282" s="2">
        <v>0</v>
      </c>
      <c r="AV282" s="2">
        <v>0</v>
      </c>
      <c r="AW282" s="2">
        <v>0</v>
      </c>
      <c r="AX282" s="10" t="str">
        <f t="shared" si="170"/>
        <v/>
      </c>
      <c r="AY282" s="10" t="str">
        <f t="shared" si="171"/>
        <v/>
      </c>
      <c r="AZ282" s="10" t="str">
        <f t="shared" si="172"/>
        <v/>
      </c>
      <c r="BA282" s="10" t="str">
        <f t="shared" si="173"/>
        <v/>
      </c>
      <c r="BB282" s="2" t="str">
        <f t="shared" si="174"/>
        <v>NA</v>
      </c>
      <c r="BC282" s="6">
        <v>0</v>
      </c>
      <c r="BD282" s="6">
        <v>0</v>
      </c>
      <c r="BE282" s="6">
        <v>0</v>
      </c>
      <c r="BF282" s="6">
        <v>0</v>
      </c>
      <c r="BG282" s="6">
        <v>0</v>
      </c>
      <c r="BH282" s="6">
        <v>0</v>
      </c>
      <c r="BI282" s="6">
        <v>0</v>
      </c>
      <c r="BJ282" s="6">
        <v>0</v>
      </c>
      <c r="BK282" s="10" t="str">
        <f t="shared" si="175"/>
        <v/>
      </c>
      <c r="BL282" s="10" t="str">
        <f t="shared" si="176"/>
        <v/>
      </c>
      <c r="BM282" s="10" t="str">
        <f t="shared" si="177"/>
        <v/>
      </c>
      <c r="BN282" s="10" t="str">
        <f t="shared" si="178"/>
        <v/>
      </c>
      <c r="BO282" s="2" t="str">
        <f t="shared" si="179"/>
        <v>NA</v>
      </c>
      <c r="BP282" s="10">
        <v>0</v>
      </c>
      <c r="BQ282" s="10">
        <v>0</v>
      </c>
      <c r="BR282" s="10">
        <v>0</v>
      </c>
      <c r="BS282" s="10">
        <v>0</v>
      </c>
      <c r="BT282" s="11">
        <v>0</v>
      </c>
    </row>
    <row r="283" spans="1:72">
      <c r="A283">
        <f>COUNTIFS($J$7:J283,J283,$N$7:N283,N283,$E$7:E283,E283)</f>
        <v>10</v>
      </c>
      <c r="B283" s="16" t="str">
        <f t="shared" si="180"/>
        <v>Critical</v>
      </c>
      <c r="C283" s="16" t="str">
        <f t="shared" si="181"/>
        <v>10CriticalNoTechnology</v>
      </c>
      <c r="D283" s="1">
        <v>46000</v>
      </c>
      <c r="E283" s="1" t="s">
        <v>23</v>
      </c>
      <c r="F283" s="1" t="s">
        <v>24</v>
      </c>
      <c r="G283" s="1" t="s">
        <v>155</v>
      </c>
      <c r="H283" s="1">
        <v>41</v>
      </c>
      <c r="I283" s="1" t="s">
        <v>156</v>
      </c>
      <c r="J283" s="1" t="s">
        <v>27</v>
      </c>
      <c r="K283" s="1">
        <v>1</v>
      </c>
      <c r="L283" s="1">
        <v>1</v>
      </c>
      <c r="M283" s="2">
        <v>-0.62146523817378208</v>
      </c>
      <c r="N283" s="27" t="str">
        <f t="shared" si="182"/>
        <v>Critical</v>
      </c>
      <c r="O283" s="1">
        <v>1</v>
      </c>
      <c r="P283" s="6">
        <v>28.370382571955901</v>
      </c>
      <c r="Q283" s="6">
        <v>31.797216193991801</v>
      </c>
      <c r="R283" s="6">
        <v>33.013542762322537</v>
      </c>
      <c r="S283" s="6">
        <v>32.802418987448249</v>
      </c>
      <c r="T283" s="6">
        <v>33.5</v>
      </c>
      <c r="U283" s="6">
        <v>32.4</v>
      </c>
      <c r="V283" s="6">
        <v>31.25</v>
      </c>
      <c r="W283" s="6">
        <v>30.5</v>
      </c>
      <c r="X283" s="10">
        <f t="shared" si="160"/>
        <v>-0.18080889163316119</v>
      </c>
      <c r="Y283" s="10">
        <f t="shared" si="161"/>
        <v>-1.8957125124748994E-2</v>
      </c>
      <c r="Z283" s="10">
        <f t="shared" si="162"/>
        <v>5.3418767413693648E-2</v>
      </c>
      <c r="AA283" s="10">
        <f t="shared" si="163"/>
        <v>7.0190524312528993E-2</v>
      </c>
      <c r="AB283" s="2">
        <f t="shared" si="164"/>
        <v>-1.9039181257921884E-2</v>
      </c>
      <c r="AC283" s="6">
        <v>35</v>
      </c>
      <c r="AD283" s="6">
        <v>33</v>
      </c>
      <c r="AE283" s="6">
        <v>34</v>
      </c>
      <c r="AF283" s="6">
        <v>35</v>
      </c>
      <c r="AG283" s="6">
        <v>48</v>
      </c>
      <c r="AH283" s="6">
        <v>54.2</v>
      </c>
      <c r="AI283" s="6">
        <v>50.25</v>
      </c>
      <c r="AJ283" s="6">
        <v>37.5</v>
      </c>
      <c r="AK283" s="10">
        <f t="shared" si="165"/>
        <v>-0.37142857142857144</v>
      </c>
      <c r="AL283" s="10">
        <f t="shared" si="166"/>
        <v>-0.64242424242424256</v>
      </c>
      <c r="AM283" s="10">
        <f t="shared" si="167"/>
        <v>-0.47794117647058826</v>
      </c>
      <c r="AN283" s="10">
        <f t="shared" si="168"/>
        <v>-7.1428571428571425E-2</v>
      </c>
      <c r="AO283" s="2">
        <f t="shared" si="169"/>
        <v>-0.39080564043799343</v>
      </c>
      <c r="AP283" s="2">
        <v>0</v>
      </c>
      <c r="AQ283" s="2">
        <v>0</v>
      </c>
      <c r="AR283" s="2">
        <v>0</v>
      </c>
      <c r="AS283" s="2">
        <v>0</v>
      </c>
      <c r="AT283" s="2">
        <v>1</v>
      </c>
      <c r="AU283" s="2">
        <v>1</v>
      </c>
      <c r="AV283" s="2">
        <v>1</v>
      </c>
      <c r="AW283" s="2">
        <v>1</v>
      </c>
      <c r="AX283" s="10" t="str">
        <f t="shared" si="170"/>
        <v/>
      </c>
      <c r="AY283" s="10" t="str">
        <f t="shared" si="171"/>
        <v/>
      </c>
      <c r="AZ283" s="10" t="str">
        <f t="shared" si="172"/>
        <v/>
      </c>
      <c r="BA283" s="10" t="str">
        <f t="shared" si="173"/>
        <v/>
      </c>
      <c r="BB283" s="2" t="str">
        <f t="shared" si="174"/>
        <v>NA</v>
      </c>
      <c r="BC283" s="6">
        <v>24811</v>
      </c>
      <c r="BD283" s="6">
        <v>28892</v>
      </c>
      <c r="BE283" s="6">
        <v>23197</v>
      </c>
      <c r="BF283" s="6">
        <v>28514</v>
      </c>
      <c r="BG283" s="6">
        <v>21317</v>
      </c>
      <c r="BH283" s="6">
        <v>30152</v>
      </c>
      <c r="BI283" s="6">
        <v>22405</v>
      </c>
      <c r="BJ283" s="6">
        <v>16705</v>
      </c>
      <c r="BK283" s="10">
        <f t="shared" si="175"/>
        <v>0.1408246342348152</v>
      </c>
      <c r="BL283" s="10">
        <f t="shared" si="176"/>
        <v>-4.3610688079745261E-2</v>
      </c>
      <c r="BM283" s="10">
        <f t="shared" si="177"/>
        <v>3.414234599301634E-2</v>
      </c>
      <c r="BN283" s="10">
        <f t="shared" si="178"/>
        <v>0.41414743634705758</v>
      </c>
      <c r="BO283" s="2">
        <f t="shared" si="179"/>
        <v>0.13637593212378596</v>
      </c>
      <c r="BP283" s="10">
        <v>0.25901533704406382</v>
      </c>
      <c r="BQ283" s="10">
        <v>8.4905732017234004E-2</v>
      </c>
      <c r="BR283" s="10">
        <v>0.18983950139298994</v>
      </c>
      <c r="BS283" s="10">
        <v>0.11575402181525168</v>
      </c>
      <c r="BT283" s="11" t="s">
        <v>458</v>
      </c>
    </row>
    <row r="284" spans="1:72">
      <c r="A284">
        <f>COUNTIFS($J$7:J284,J284,$N$7:N284,N284,$E$7:E284,E284)</f>
        <v>11</v>
      </c>
      <c r="B284" s="16" t="str">
        <f t="shared" si="180"/>
        <v>Critical</v>
      </c>
      <c r="C284" s="16" t="str">
        <f t="shared" si="181"/>
        <v>11CriticalNoTechnology</v>
      </c>
      <c r="D284" s="1">
        <v>47000</v>
      </c>
      <c r="E284" s="1" t="s">
        <v>23</v>
      </c>
      <c r="F284" s="1" t="s">
        <v>24</v>
      </c>
      <c r="G284" s="1" t="s">
        <v>155</v>
      </c>
      <c r="H284" s="1">
        <v>34</v>
      </c>
      <c r="I284" s="1" t="s">
        <v>156</v>
      </c>
      <c r="J284" s="1" t="s">
        <v>27</v>
      </c>
      <c r="K284" s="1">
        <v>1</v>
      </c>
      <c r="L284" s="1">
        <v>1</v>
      </c>
      <c r="M284" s="2">
        <v>-0.11639195672066072</v>
      </c>
      <c r="N284" s="27" t="str">
        <f t="shared" si="182"/>
        <v>Critical</v>
      </c>
      <c r="O284" s="1">
        <v>1</v>
      </c>
      <c r="P284" s="6">
        <v>27.679667640952609</v>
      </c>
      <c r="Q284" s="6">
        <v>26.781793082075659</v>
      </c>
      <c r="R284" s="6">
        <v>25.918376983934071</v>
      </c>
      <c r="S284" s="6">
        <v>25.088132386082791</v>
      </c>
      <c r="T284" s="6">
        <v>29.75</v>
      </c>
      <c r="U284" s="6">
        <v>28.8</v>
      </c>
      <c r="V284" s="6">
        <v>27.75</v>
      </c>
      <c r="W284" s="6">
        <v>27</v>
      </c>
      <c r="X284" s="10">
        <f t="shared" si="160"/>
        <v>-7.4796142276805894E-2</v>
      </c>
      <c r="Y284" s="10">
        <f t="shared" si="161"/>
        <v>-7.5357423296466067E-2</v>
      </c>
      <c r="Z284" s="10">
        <f t="shared" si="162"/>
        <v>-7.066889324132028E-2</v>
      </c>
      <c r="AA284" s="10">
        <f t="shared" si="163"/>
        <v>-7.6206055695791253E-2</v>
      </c>
      <c r="AB284" s="2">
        <f t="shared" si="164"/>
        <v>-7.425712862759587E-2</v>
      </c>
      <c r="AC284" s="6">
        <v>32</v>
      </c>
      <c r="AD284" s="6">
        <v>30</v>
      </c>
      <c r="AE284" s="6">
        <v>38</v>
      </c>
      <c r="AF284" s="6">
        <v>34</v>
      </c>
      <c r="AG284" s="6">
        <v>56.25</v>
      </c>
      <c r="AH284" s="6">
        <v>55.4</v>
      </c>
      <c r="AI284" s="6">
        <v>56</v>
      </c>
      <c r="AJ284" s="6">
        <v>40</v>
      </c>
      <c r="AK284" s="10">
        <f t="shared" si="165"/>
        <v>-0.7578125</v>
      </c>
      <c r="AL284" s="10">
        <f t="shared" si="166"/>
        <v>-0.84666666666666657</v>
      </c>
      <c r="AM284" s="10">
        <f t="shared" si="167"/>
        <v>-0.47368421052631576</v>
      </c>
      <c r="AN284" s="10">
        <f t="shared" si="168"/>
        <v>-0.17647058823529413</v>
      </c>
      <c r="AO284" s="2">
        <f t="shared" si="169"/>
        <v>-0.56365849135706914</v>
      </c>
      <c r="AP284" s="2">
        <v>0</v>
      </c>
      <c r="AQ284" s="2">
        <v>0</v>
      </c>
      <c r="AR284" s="2">
        <v>0</v>
      </c>
      <c r="AS284" s="2">
        <v>0</v>
      </c>
      <c r="AT284" s="2">
        <v>1</v>
      </c>
      <c r="AU284" s="2">
        <v>1</v>
      </c>
      <c r="AV284" s="2">
        <v>1</v>
      </c>
      <c r="AW284" s="2">
        <v>1</v>
      </c>
      <c r="AX284" s="10" t="str">
        <f t="shared" si="170"/>
        <v/>
      </c>
      <c r="AY284" s="10" t="str">
        <f t="shared" si="171"/>
        <v/>
      </c>
      <c r="AZ284" s="10" t="str">
        <f t="shared" si="172"/>
        <v/>
      </c>
      <c r="BA284" s="10" t="str">
        <f t="shared" si="173"/>
        <v/>
      </c>
      <c r="BB284" s="2" t="str">
        <f t="shared" si="174"/>
        <v>NA</v>
      </c>
      <c r="BC284" s="6">
        <v>21752</v>
      </c>
      <c r="BD284" s="6">
        <v>25588</v>
      </c>
      <c r="BE284" s="6">
        <v>19379</v>
      </c>
      <c r="BF284" s="6">
        <v>23151</v>
      </c>
      <c r="BG284" s="6">
        <v>20902</v>
      </c>
      <c r="BH284" s="6">
        <v>25736</v>
      </c>
      <c r="BI284" s="6">
        <v>20763</v>
      </c>
      <c r="BJ284" s="6">
        <v>14808</v>
      </c>
      <c r="BK284" s="10">
        <f t="shared" si="175"/>
        <v>3.9076866495034938E-2</v>
      </c>
      <c r="BL284" s="10">
        <f t="shared" si="176"/>
        <v>-5.783961231827419E-3</v>
      </c>
      <c r="BM284" s="10">
        <f t="shared" si="177"/>
        <v>-7.141751380360184E-2</v>
      </c>
      <c r="BN284" s="10">
        <f t="shared" si="178"/>
        <v>0.36037320202151096</v>
      </c>
      <c r="BO284" s="2">
        <f t="shared" si="179"/>
        <v>8.0562148370279169E-2</v>
      </c>
      <c r="BP284" s="10">
        <v>-0.19546783883221747</v>
      </c>
      <c r="BQ284" s="10">
        <v>7.7389797659088655E-2</v>
      </c>
      <c r="BR284" s="10">
        <v>-8.6689166202142162E-2</v>
      </c>
      <c r="BS284" s="10">
        <v>-0.21465482032798508</v>
      </c>
      <c r="BT284" s="11" t="s">
        <v>458</v>
      </c>
    </row>
    <row r="285" spans="1:72">
      <c r="A285">
        <f>COUNTIFS($J$7:J285,J285,$N$7:N285,N285,$E$7:E285,E285)</f>
        <v>12</v>
      </c>
      <c r="B285" s="16" t="str">
        <f t="shared" si="180"/>
        <v>Critical</v>
      </c>
      <c r="C285" s="16" t="str">
        <f t="shared" si="181"/>
        <v>12CriticalNoTechnology</v>
      </c>
      <c r="D285" s="1">
        <v>47001</v>
      </c>
      <c r="E285" s="1" t="s">
        <v>23</v>
      </c>
      <c r="F285" s="1" t="s">
        <v>24</v>
      </c>
      <c r="G285" s="1" t="s">
        <v>404</v>
      </c>
      <c r="H285" s="1">
        <v>59</v>
      </c>
      <c r="I285" s="1" t="s">
        <v>156</v>
      </c>
      <c r="J285" s="1" t="s">
        <v>27</v>
      </c>
      <c r="K285" s="1">
        <v>1</v>
      </c>
      <c r="L285" s="1">
        <v>1</v>
      </c>
      <c r="M285" s="2">
        <v>-0.23598188554826899</v>
      </c>
      <c r="N285" s="27" t="str">
        <f t="shared" si="182"/>
        <v>Critical</v>
      </c>
      <c r="O285" s="1">
        <v>1</v>
      </c>
      <c r="P285" s="6">
        <v>36.624615795940919</v>
      </c>
      <c r="Q285" s="6">
        <v>39.858645658804932</v>
      </c>
      <c r="R285" s="6">
        <v>39.42333268096295</v>
      </c>
      <c r="S285" s="6">
        <v>38.160483197449672</v>
      </c>
      <c r="T285" s="6">
        <v>38.5</v>
      </c>
      <c r="U285" s="6">
        <v>37.200000000000003</v>
      </c>
      <c r="V285" s="6">
        <v>35.75</v>
      </c>
      <c r="W285" s="6">
        <v>34.75</v>
      </c>
      <c r="X285" s="10">
        <f t="shared" si="160"/>
        <v>-5.1205566619675742E-2</v>
      </c>
      <c r="Y285" s="10">
        <f t="shared" si="161"/>
        <v>6.6701856394300832E-2</v>
      </c>
      <c r="Z285" s="10">
        <f t="shared" si="162"/>
        <v>9.3176614739543778E-2</v>
      </c>
      <c r="AA285" s="10">
        <f t="shared" si="163"/>
        <v>8.9372117742932564E-2</v>
      </c>
      <c r="AB285" s="2">
        <f t="shared" si="164"/>
        <v>4.9511255564275353E-2</v>
      </c>
      <c r="AC285" s="6">
        <v>54</v>
      </c>
      <c r="AD285" s="6">
        <v>50</v>
      </c>
      <c r="AE285" s="6">
        <v>37</v>
      </c>
      <c r="AF285" s="6">
        <v>27</v>
      </c>
      <c r="AG285" s="6">
        <v>53.25</v>
      </c>
      <c r="AH285" s="6">
        <v>56</v>
      </c>
      <c r="AI285" s="6">
        <v>53</v>
      </c>
      <c r="AJ285" s="6">
        <v>37</v>
      </c>
      <c r="AK285" s="10">
        <f t="shared" si="165"/>
        <v>1.3888888888888888E-2</v>
      </c>
      <c r="AL285" s="10">
        <f t="shared" si="166"/>
        <v>-0.12</v>
      </c>
      <c r="AM285" s="10">
        <f t="shared" si="167"/>
        <v>-0.43243243243243246</v>
      </c>
      <c r="AN285" s="10">
        <f t="shared" si="168"/>
        <v>-0.37037037037037035</v>
      </c>
      <c r="AO285" s="2">
        <f t="shared" si="169"/>
        <v>-0.22722847847847846</v>
      </c>
      <c r="AP285" s="2">
        <v>0</v>
      </c>
      <c r="AQ285" s="2">
        <v>0</v>
      </c>
      <c r="AR285" s="2">
        <v>0</v>
      </c>
      <c r="AS285" s="2">
        <v>0</v>
      </c>
      <c r="AT285" s="2">
        <v>1</v>
      </c>
      <c r="AU285" s="2">
        <v>1</v>
      </c>
      <c r="AV285" s="2">
        <v>1</v>
      </c>
      <c r="AW285" s="2">
        <v>1</v>
      </c>
      <c r="AX285" s="10" t="str">
        <f t="shared" si="170"/>
        <v/>
      </c>
      <c r="AY285" s="10" t="str">
        <f t="shared" si="171"/>
        <v/>
      </c>
      <c r="AZ285" s="10" t="str">
        <f t="shared" si="172"/>
        <v/>
      </c>
      <c r="BA285" s="10" t="str">
        <f t="shared" si="173"/>
        <v/>
      </c>
      <c r="BB285" s="2" t="str">
        <f t="shared" si="174"/>
        <v>NA</v>
      </c>
      <c r="BC285" s="6">
        <v>25391</v>
      </c>
      <c r="BD285" s="6">
        <v>28582</v>
      </c>
      <c r="BE285" s="6">
        <v>23908</v>
      </c>
      <c r="BF285" s="6">
        <v>27891</v>
      </c>
      <c r="BG285" s="6">
        <v>23046</v>
      </c>
      <c r="BH285" s="6">
        <v>30869</v>
      </c>
      <c r="BI285" s="6">
        <v>23830</v>
      </c>
      <c r="BJ285" s="6">
        <v>16266</v>
      </c>
      <c r="BK285" s="10">
        <f t="shared" si="175"/>
        <v>9.2355559056358547E-2</v>
      </c>
      <c r="BL285" s="10">
        <f t="shared" si="176"/>
        <v>-8.0015394304107479E-2</v>
      </c>
      <c r="BM285" s="10">
        <f t="shared" si="177"/>
        <v>3.2625062740505271E-3</v>
      </c>
      <c r="BN285" s="10">
        <f t="shared" si="178"/>
        <v>0.41680111864042163</v>
      </c>
      <c r="BO285" s="2">
        <f t="shared" si="179"/>
        <v>0.1081009474166808</v>
      </c>
      <c r="BP285" s="10">
        <v>-0.37156855178244708</v>
      </c>
      <c r="BQ285" s="10">
        <v>-0.23356327481556199</v>
      </c>
      <c r="BR285" s="10">
        <v>-1.2868746860319965E-2</v>
      </c>
      <c r="BS285" s="10">
        <v>-0.42183320214122222</v>
      </c>
      <c r="BT285" s="11" t="s">
        <v>458</v>
      </c>
    </row>
    <row r="286" spans="1:72">
      <c r="A286">
        <f>COUNTIFS($J$7:J286,J286,$N$7:N286,N286,$E$7:E286,E286)</f>
        <v>9</v>
      </c>
      <c r="B286" s="16" t="str">
        <f t="shared" si="180"/>
        <v>Medium</v>
      </c>
      <c r="C286" s="16" t="str">
        <f t="shared" si="181"/>
        <v>9MediumNoTravel</v>
      </c>
      <c r="D286" s="1">
        <v>48001</v>
      </c>
      <c r="E286" s="1" t="s">
        <v>79</v>
      </c>
      <c r="F286" s="1" t="s">
        <v>110</v>
      </c>
      <c r="G286" s="1" t="s">
        <v>388</v>
      </c>
      <c r="H286" s="1">
        <v>21</v>
      </c>
      <c r="I286" s="1" t="s">
        <v>98</v>
      </c>
      <c r="J286" s="1" t="s">
        <v>27</v>
      </c>
      <c r="K286" s="1">
        <v>1</v>
      </c>
      <c r="L286" s="1">
        <v>1</v>
      </c>
      <c r="M286" s="2">
        <v>3.5040187778159156E-2</v>
      </c>
      <c r="N286" s="27" t="str">
        <f t="shared" si="182"/>
        <v>Medium</v>
      </c>
      <c r="O286" s="1">
        <v>1</v>
      </c>
      <c r="P286" s="6">
        <v>18</v>
      </c>
      <c r="Q286" s="6">
        <v>18</v>
      </c>
      <c r="R286" s="6">
        <v>18</v>
      </c>
      <c r="S286" s="6">
        <v>18</v>
      </c>
      <c r="T286" s="6">
        <v>17</v>
      </c>
      <c r="U286" s="6">
        <v>17</v>
      </c>
      <c r="V286" s="6">
        <v>16.75</v>
      </c>
      <c r="W286" s="6">
        <v>16</v>
      </c>
      <c r="X286" s="10">
        <f t="shared" si="160"/>
        <v>5.5555555555555552E-2</v>
      </c>
      <c r="Y286" s="10">
        <f t="shared" si="161"/>
        <v>5.5555555555555552E-2</v>
      </c>
      <c r="Z286" s="10">
        <f t="shared" si="162"/>
        <v>6.9444444444444448E-2</v>
      </c>
      <c r="AA286" s="10">
        <f t="shared" si="163"/>
        <v>0.1111111111111111</v>
      </c>
      <c r="AB286" s="2">
        <f t="shared" si="164"/>
        <v>7.2916666666666657E-2</v>
      </c>
      <c r="AC286" s="6">
        <v>15</v>
      </c>
      <c r="AD286" s="6">
        <v>15</v>
      </c>
      <c r="AE286" s="6">
        <v>15</v>
      </c>
      <c r="AF286" s="6">
        <v>15</v>
      </c>
      <c r="AG286" s="6">
        <v>17</v>
      </c>
      <c r="AH286" s="6">
        <v>17</v>
      </c>
      <c r="AI286" s="6">
        <v>17</v>
      </c>
      <c r="AJ286" s="6">
        <v>17</v>
      </c>
      <c r="AK286" s="10">
        <f t="shared" si="165"/>
        <v>-0.13333333333333333</v>
      </c>
      <c r="AL286" s="10">
        <f t="shared" si="166"/>
        <v>-0.13333333333333333</v>
      </c>
      <c r="AM286" s="10">
        <f t="shared" si="167"/>
        <v>-0.13333333333333333</v>
      </c>
      <c r="AN286" s="10">
        <f t="shared" si="168"/>
        <v>-0.13333333333333333</v>
      </c>
      <c r="AO286" s="2">
        <f t="shared" si="169"/>
        <v>-0.13333333333333333</v>
      </c>
      <c r="AP286" s="2">
        <v>0</v>
      </c>
      <c r="AQ286" s="2">
        <v>0</v>
      </c>
      <c r="AR286" s="2">
        <v>0</v>
      </c>
      <c r="AS286" s="2">
        <v>0</v>
      </c>
      <c r="AT286" s="2">
        <v>0</v>
      </c>
      <c r="AU286" s="2">
        <v>0</v>
      </c>
      <c r="AV286" s="2">
        <v>0</v>
      </c>
      <c r="AW286" s="2">
        <v>0</v>
      </c>
      <c r="AX286" s="10" t="str">
        <f t="shared" si="170"/>
        <v/>
      </c>
      <c r="AY286" s="10" t="str">
        <f t="shared" si="171"/>
        <v/>
      </c>
      <c r="AZ286" s="10" t="str">
        <f t="shared" si="172"/>
        <v/>
      </c>
      <c r="BA286" s="10" t="str">
        <f t="shared" si="173"/>
        <v/>
      </c>
      <c r="BB286" s="2" t="str">
        <f t="shared" si="174"/>
        <v>NA</v>
      </c>
      <c r="BC286" s="6">
        <v>0</v>
      </c>
      <c r="BD286" s="6">
        <v>0</v>
      </c>
      <c r="BE286" s="6">
        <v>0</v>
      </c>
      <c r="BF286" s="6">
        <v>0</v>
      </c>
      <c r="BG286" s="6">
        <v>0</v>
      </c>
      <c r="BH286" s="6">
        <v>0</v>
      </c>
      <c r="BI286" s="6">
        <v>0</v>
      </c>
      <c r="BJ286" s="6">
        <v>0</v>
      </c>
      <c r="BK286" s="10" t="str">
        <f t="shared" si="175"/>
        <v/>
      </c>
      <c r="BL286" s="10" t="str">
        <f t="shared" si="176"/>
        <v/>
      </c>
      <c r="BM286" s="10" t="str">
        <f t="shared" si="177"/>
        <v/>
      </c>
      <c r="BN286" s="10" t="str">
        <f t="shared" si="178"/>
        <v/>
      </c>
      <c r="BO286" s="2" t="str">
        <f t="shared" si="179"/>
        <v>NA</v>
      </c>
      <c r="BP286" s="10">
        <v>-0.17694907016782802</v>
      </c>
      <c r="BQ286" s="10">
        <v>5.0180865122041868E-2</v>
      </c>
      <c r="BR286" s="10">
        <v>6.5670336767423232E-2</v>
      </c>
      <c r="BS286" s="10">
        <v>2.2899152789549793E-2</v>
      </c>
      <c r="BT286" s="11" t="s">
        <v>460</v>
      </c>
    </row>
    <row r="287" spans="1:72">
      <c r="A287">
        <f>COUNTIFS($J$7:J287,J287,$N$7:N287,N287,$E$7:E287,E287)</f>
        <v>13</v>
      </c>
      <c r="B287" s="16" t="str">
        <f t="shared" si="180"/>
        <v>Critical</v>
      </c>
      <c r="C287" s="16" t="str">
        <f t="shared" si="181"/>
        <v>13CriticalNoTechnology</v>
      </c>
      <c r="D287" s="1">
        <v>48004</v>
      </c>
      <c r="E287" s="1" t="s">
        <v>23</v>
      </c>
      <c r="F287" s="1" t="s">
        <v>24</v>
      </c>
      <c r="G287" s="1" t="s">
        <v>405</v>
      </c>
      <c r="H287" s="1">
        <v>6</v>
      </c>
      <c r="I287" s="1" t="s">
        <v>31</v>
      </c>
      <c r="J287" s="1" t="s">
        <v>27</v>
      </c>
      <c r="K287" s="1">
        <v>1</v>
      </c>
      <c r="L287" s="1">
        <v>1</v>
      </c>
      <c r="M287" s="2">
        <v>-3.8199081615339699E-2</v>
      </c>
      <c r="N287" s="27" t="str">
        <f t="shared" si="182"/>
        <v>Critical</v>
      </c>
      <c r="O287" s="1">
        <v>1</v>
      </c>
      <c r="P287" s="6">
        <v>4.9999687499999999</v>
      </c>
      <c r="Q287" s="6">
        <v>4.9358148179998631</v>
      </c>
      <c r="R287" s="6">
        <v>5.8126709648476398</v>
      </c>
      <c r="S287" s="6">
        <v>5.9325588495415769</v>
      </c>
      <c r="T287" s="6">
        <v>7</v>
      </c>
      <c r="U287" s="6">
        <v>6.4</v>
      </c>
      <c r="V287" s="6">
        <v>6</v>
      </c>
      <c r="W287" s="6">
        <v>6</v>
      </c>
      <c r="X287" s="10">
        <f t="shared" si="160"/>
        <v>-0.40000875005468789</v>
      </c>
      <c r="Y287" s="10">
        <f t="shared" si="161"/>
        <v>-0.29664508009104523</v>
      </c>
      <c r="Z287" s="10">
        <f t="shared" si="162"/>
        <v>-3.2227703285673669E-2</v>
      </c>
      <c r="AA287" s="10">
        <f t="shared" si="163"/>
        <v>-1.136796990452686E-2</v>
      </c>
      <c r="AB287" s="2">
        <f t="shared" si="164"/>
        <v>-0.18506237583398341</v>
      </c>
      <c r="AC287" s="6">
        <v>4.83</v>
      </c>
      <c r="AD287" s="6">
        <v>2.93</v>
      </c>
      <c r="AE287" s="6">
        <v>5.97</v>
      </c>
      <c r="AF287" s="6">
        <v>4.3600000000000003</v>
      </c>
      <c r="AG287" s="6">
        <v>7.5</v>
      </c>
      <c r="AH287" s="6">
        <v>7.2</v>
      </c>
      <c r="AI287" s="6">
        <v>8.5</v>
      </c>
      <c r="AJ287" s="6">
        <v>6.25</v>
      </c>
      <c r="AK287" s="10">
        <f t="shared" si="165"/>
        <v>-0.55279503105590055</v>
      </c>
      <c r="AL287" s="10">
        <f t="shared" si="166"/>
        <v>-1.4573378839590441</v>
      </c>
      <c r="AM287" s="10">
        <f t="shared" si="167"/>
        <v>-0.42378559463986604</v>
      </c>
      <c r="AN287" s="10">
        <f t="shared" si="168"/>
        <v>-0.43348623853210999</v>
      </c>
      <c r="AO287" s="2">
        <f t="shared" si="169"/>
        <v>-0.71685118704673012</v>
      </c>
      <c r="AP287" s="2">
        <v>0</v>
      </c>
      <c r="AQ287" s="2">
        <v>0</v>
      </c>
      <c r="AR287" s="2">
        <v>0</v>
      </c>
      <c r="AS287" s="2">
        <v>0</v>
      </c>
      <c r="AT287" s="2">
        <v>0.85</v>
      </c>
      <c r="AU287" s="2">
        <v>0.85</v>
      </c>
      <c r="AV287" s="2">
        <v>0.85</v>
      </c>
      <c r="AW287" s="2">
        <v>0.85</v>
      </c>
      <c r="AX287" s="10" t="str">
        <f t="shared" si="170"/>
        <v/>
      </c>
      <c r="AY287" s="10" t="str">
        <f t="shared" si="171"/>
        <v/>
      </c>
      <c r="AZ287" s="10" t="str">
        <f t="shared" si="172"/>
        <v/>
      </c>
      <c r="BA287" s="10" t="str">
        <f t="shared" si="173"/>
        <v/>
      </c>
      <c r="BB287" s="2" t="str">
        <f t="shared" si="174"/>
        <v>NA</v>
      </c>
      <c r="BC287" s="6">
        <v>3776.03</v>
      </c>
      <c r="BD287" s="6">
        <v>3086.86</v>
      </c>
      <c r="BE287" s="6">
        <v>4273.2299999999996</v>
      </c>
      <c r="BF287" s="6">
        <v>3474.98</v>
      </c>
      <c r="BG287" s="6">
        <v>3294</v>
      </c>
      <c r="BH287" s="6">
        <v>3857</v>
      </c>
      <c r="BI287" s="6">
        <v>3690</v>
      </c>
      <c r="BJ287" s="6">
        <v>2741</v>
      </c>
      <c r="BK287" s="10">
        <f t="shared" si="175"/>
        <v>0.12765523578996993</v>
      </c>
      <c r="BL287" s="10">
        <f t="shared" si="176"/>
        <v>-0.24948977277881079</v>
      </c>
      <c r="BM287" s="10">
        <f t="shared" si="177"/>
        <v>0.13648457958031737</v>
      </c>
      <c r="BN287" s="10">
        <f t="shared" si="178"/>
        <v>0.21121848183298897</v>
      </c>
      <c r="BO287" s="2">
        <f t="shared" si="179"/>
        <v>5.6467131106116369E-2</v>
      </c>
      <c r="BP287" s="10">
        <v>9.8749702206557544E-2</v>
      </c>
      <c r="BQ287" s="10">
        <v>-0.14878355732111517</v>
      </c>
      <c r="BR287" s="10">
        <v>9.9359928917524265E-2</v>
      </c>
      <c r="BS287" s="10">
        <v>6.8343314391189736E-2</v>
      </c>
      <c r="BT287" s="11" t="s">
        <v>458</v>
      </c>
    </row>
    <row r="288" spans="1:72">
      <c r="A288">
        <f>COUNTIFS($J$7:J288,J288,$N$7:N288,N288,$E$7:E288,E288)</f>
        <v>1</v>
      </c>
      <c r="B288" s="16" t="str">
        <f t="shared" si="180"/>
        <v>Medium</v>
      </c>
      <c r="C288" s="16" t="str">
        <f t="shared" si="181"/>
        <v>1MediumYesRetail</v>
      </c>
      <c r="D288" s="1">
        <v>48008</v>
      </c>
      <c r="E288" s="1" t="s">
        <v>10</v>
      </c>
      <c r="F288" s="1" t="s">
        <v>406</v>
      </c>
      <c r="G288" s="1" t="s">
        <v>407</v>
      </c>
      <c r="H288" s="1">
        <v>19</v>
      </c>
      <c r="I288" s="1" t="s">
        <v>208</v>
      </c>
      <c r="J288" s="1" t="s">
        <v>9</v>
      </c>
      <c r="K288" s="1">
        <v>1</v>
      </c>
      <c r="L288" s="1"/>
      <c r="M288" s="2">
        <v>0</v>
      </c>
      <c r="N288" s="27" t="str">
        <f t="shared" si="182"/>
        <v>Medium</v>
      </c>
      <c r="O288" s="1">
        <v>1</v>
      </c>
      <c r="P288" s="6">
        <v>42.449062499999997</v>
      </c>
      <c r="Q288" s="6">
        <v>42.449062499999997</v>
      </c>
      <c r="R288" s="6">
        <v>0</v>
      </c>
      <c r="S288" s="6">
        <v>0</v>
      </c>
      <c r="T288" s="6">
        <v>7</v>
      </c>
      <c r="U288" s="6">
        <v>6</v>
      </c>
      <c r="V288" s="6">
        <v>6</v>
      </c>
      <c r="W288" s="6">
        <v>7.5</v>
      </c>
      <c r="X288" s="10">
        <f t="shared" si="160"/>
        <v>0.83509647592334935</v>
      </c>
      <c r="Y288" s="10">
        <f t="shared" si="161"/>
        <v>0.85865412222001369</v>
      </c>
      <c r="Z288" s="10" t="str">
        <f t="shared" si="162"/>
        <v/>
      </c>
      <c r="AA288" s="10" t="str">
        <f t="shared" si="163"/>
        <v/>
      </c>
      <c r="AB288" s="2">
        <f t="shared" si="164"/>
        <v>0.84687529907168146</v>
      </c>
      <c r="AC288" s="6">
        <v>8.8469986773562344</v>
      </c>
      <c r="AD288" s="6">
        <v>9.1450126603161674</v>
      </c>
      <c r="AE288" s="6">
        <v>9.4149774680908713</v>
      </c>
      <c r="AF288" s="6">
        <v>9.3496448569472825</v>
      </c>
      <c r="AG288" s="6">
        <v>9</v>
      </c>
      <c r="AH288" s="6">
        <v>9</v>
      </c>
      <c r="AI288" s="6">
        <v>9</v>
      </c>
      <c r="AJ288" s="6">
        <v>9</v>
      </c>
      <c r="AK288" s="10">
        <f t="shared" si="165"/>
        <v>-1.729415005287277E-2</v>
      </c>
      <c r="AL288" s="10">
        <f t="shared" si="166"/>
        <v>1.5857021275151956E-2</v>
      </c>
      <c r="AM288" s="10">
        <f t="shared" si="167"/>
        <v>4.4076310272362092E-2</v>
      </c>
      <c r="AN288" s="10">
        <f t="shared" si="168"/>
        <v>3.7396592308795329E-2</v>
      </c>
      <c r="AO288" s="2">
        <f t="shared" si="169"/>
        <v>2.000894345085915E-2</v>
      </c>
      <c r="AP288" s="2">
        <v>0.34922403317405282</v>
      </c>
      <c r="AQ288" s="2">
        <v>0.36010789908535018</v>
      </c>
      <c r="AR288" s="2">
        <v>0.35308608125639868</v>
      </c>
      <c r="AS288" s="2">
        <v>0.37916710550959032</v>
      </c>
      <c r="AT288" s="2">
        <v>0.34250000000000003</v>
      </c>
      <c r="AU288" s="2">
        <v>0.36</v>
      </c>
      <c r="AV288" s="2">
        <v>0.36249999999999999</v>
      </c>
      <c r="AW288" s="2">
        <v>0.37</v>
      </c>
      <c r="AX288" s="10">
        <f t="shared" si="170"/>
        <v>1.9254210865555007E-2</v>
      </c>
      <c r="AY288" s="10">
        <f t="shared" si="171"/>
        <v>2.9962987655713795E-4</v>
      </c>
      <c r="AZ288" s="10">
        <f t="shared" si="172"/>
        <v>-2.6661823400411122E-2</v>
      </c>
      <c r="BA288" s="10">
        <f t="shared" si="173"/>
        <v>2.4176953581640428E-2</v>
      </c>
      <c r="BB288" s="2">
        <f t="shared" si="174"/>
        <v>4.2672427308353628E-3</v>
      </c>
      <c r="BC288" s="6">
        <v>11843.955071652879</v>
      </c>
      <c r="BD288" s="6">
        <v>12540.276696853331</v>
      </c>
      <c r="BE288" s="6">
        <v>13287</v>
      </c>
      <c r="BF288" s="6">
        <v>13609.999999999991</v>
      </c>
      <c r="BG288" s="6">
        <v>10922</v>
      </c>
      <c r="BH288" s="6">
        <v>14691</v>
      </c>
      <c r="BI288" s="6">
        <v>12209</v>
      </c>
      <c r="BJ288" s="6">
        <v>12248</v>
      </c>
      <c r="BK288" s="10">
        <f t="shared" si="175"/>
        <v>7.7841824464487452E-2</v>
      </c>
      <c r="BL288" s="10">
        <f t="shared" si="176"/>
        <v>-0.17150525105130573</v>
      </c>
      <c r="BM288" s="10">
        <f t="shared" si="177"/>
        <v>8.1131933468804096E-2</v>
      </c>
      <c r="BN288" s="10">
        <f t="shared" si="178"/>
        <v>0.10007347538574517</v>
      </c>
      <c r="BO288" s="2">
        <f t="shared" si="179"/>
        <v>2.1885495566932745E-2</v>
      </c>
      <c r="BP288" s="10">
        <v>0</v>
      </c>
      <c r="BQ288" s="10">
        <v>0</v>
      </c>
      <c r="BR288" s="10">
        <v>0</v>
      </c>
      <c r="BS288" s="10">
        <v>0</v>
      </c>
      <c r="BT288" s="11" t="s">
        <v>460</v>
      </c>
    </row>
    <row r="289" spans="1:72">
      <c r="A289">
        <f>COUNTIFS($J$7:J289,J289,$N$7:N289,N289,$E$7:E289,E289)</f>
        <v>10</v>
      </c>
      <c r="B289" s="16" t="str">
        <f t="shared" si="180"/>
        <v>Medium</v>
      </c>
      <c r="C289" s="16" t="str">
        <f t="shared" si="181"/>
        <v>10MediumNoTravel</v>
      </c>
      <c r="D289" s="1">
        <v>48011</v>
      </c>
      <c r="E289" s="1" t="s">
        <v>79</v>
      </c>
      <c r="F289" s="1" t="s">
        <v>80</v>
      </c>
      <c r="G289" s="1" t="s">
        <v>408</v>
      </c>
      <c r="H289" s="1">
        <v>186</v>
      </c>
      <c r="I289" s="1" t="s">
        <v>400</v>
      </c>
      <c r="J289" s="1" t="s">
        <v>27</v>
      </c>
      <c r="K289" s="1">
        <v>2</v>
      </c>
      <c r="L289" s="1">
        <v>1</v>
      </c>
      <c r="M289" s="2">
        <v>8.6581772997751261E-3</v>
      </c>
      <c r="N289" s="27" t="str">
        <f t="shared" si="182"/>
        <v>Medium</v>
      </c>
      <c r="O289" s="1">
        <v>1</v>
      </c>
      <c r="P289" s="6">
        <v>98</v>
      </c>
      <c r="Q289" s="6">
        <v>98</v>
      </c>
      <c r="R289" s="6">
        <v>98</v>
      </c>
      <c r="S289" s="6">
        <v>98</v>
      </c>
      <c r="T289" s="6" t="s">
        <v>422</v>
      </c>
      <c r="U289" s="6" t="s">
        <v>422</v>
      </c>
      <c r="V289" s="6" t="s">
        <v>422</v>
      </c>
      <c r="W289" s="6" t="s">
        <v>422</v>
      </c>
      <c r="X289" s="10" t="str">
        <f t="shared" si="160"/>
        <v/>
      </c>
      <c r="Y289" s="10" t="str">
        <f t="shared" si="161"/>
        <v/>
      </c>
      <c r="Z289" s="10" t="str">
        <f t="shared" si="162"/>
        <v/>
      </c>
      <c r="AA289" s="10" t="str">
        <f t="shared" si="163"/>
        <v/>
      </c>
      <c r="AB289" s="2" t="str">
        <f t="shared" si="164"/>
        <v>NA</v>
      </c>
      <c r="AC289" s="6">
        <v>213.94131794</v>
      </c>
      <c r="AD289" s="6">
        <v>200.78824869000002</v>
      </c>
      <c r="AE289" s="6">
        <v>220.64708116</v>
      </c>
      <c r="AF289" s="6">
        <v>216.44398472</v>
      </c>
      <c r="AG289" s="6" t="s">
        <v>422</v>
      </c>
      <c r="AH289" s="6" t="s">
        <v>422</v>
      </c>
      <c r="AI289" s="6" t="s">
        <v>422</v>
      </c>
      <c r="AJ289" s="6" t="s">
        <v>422</v>
      </c>
      <c r="AK289" s="10" t="str">
        <f t="shared" si="165"/>
        <v/>
      </c>
      <c r="AL289" s="10" t="str">
        <f t="shared" si="166"/>
        <v/>
      </c>
      <c r="AM289" s="10" t="str">
        <f t="shared" si="167"/>
        <v/>
      </c>
      <c r="AN289" s="10" t="str">
        <f t="shared" si="168"/>
        <v/>
      </c>
      <c r="AO289" s="2" t="str">
        <f t="shared" si="169"/>
        <v>NA</v>
      </c>
      <c r="AP289" s="2">
        <v>0</v>
      </c>
      <c r="AQ289" s="2">
        <v>0</v>
      </c>
      <c r="AR289" s="2">
        <v>0</v>
      </c>
      <c r="AS289" s="2">
        <v>0</v>
      </c>
      <c r="AT289" s="2" t="s">
        <v>422</v>
      </c>
      <c r="AU289" s="2" t="s">
        <v>422</v>
      </c>
      <c r="AV289" s="2" t="s">
        <v>422</v>
      </c>
      <c r="AW289" s="2" t="s">
        <v>422</v>
      </c>
      <c r="AX289" s="10" t="str">
        <f t="shared" si="170"/>
        <v/>
      </c>
      <c r="AY289" s="10" t="str">
        <f t="shared" si="171"/>
        <v/>
      </c>
      <c r="AZ289" s="10" t="str">
        <f t="shared" si="172"/>
        <v/>
      </c>
      <c r="BA289" s="10" t="str">
        <f t="shared" si="173"/>
        <v/>
      </c>
      <c r="BB289" s="2" t="str">
        <f t="shared" si="174"/>
        <v>NA</v>
      </c>
      <c r="BC289" s="6">
        <v>0</v>
      </c>
      <c r="BD289" s="6">
        <v>0</v>
      </c>
      <c r="BE289" s="6">
        <v>0</v>
      </c>
      <c r="BF289" s="6">
        <v>0</v>
      </c>
      <c r="BG289" s="6" t="s">
        <v>422</v>
      </c>
      <c r="BH289" s="6" t="s">
        <v>422</v>
      </c>
      <c r="BI289" s="6" t="s">
        <v>422</v>
      </c>
      <c r="BJ289" s="6" t="s">
        <v>422</v>
      </c>
      <c r="BK289" s="10" t="str">
        <f t="shared" si="175"/>
        <v/>
      </c>
      <c r="BL289" s="10" t="str">
        <f t="shared" si="176"/>
        <v/>
      </c>
      <c r="BM289" s="10" t="str">
        <f t="shared" si="177"/>
        <v/>
      </c>
      <c r="BN289" s="10" t="str">
        <f t="shared" si="178"/>
        <v/>
      </c>
      <c r="BO289" s="2" t="str">
        <f t="shared" si="179"/>
        <v>NA</v>
      </c>
      <c r="BP289" s="10">
        <v>0.21533603733114379</v>
      </c>
      <c r="BQ289" s="10">
        <v>0.15830328017559531</v>
      </c>
      <c r="BR289" s="10">
        <v>2.6268785600758127E-2</v>
      </c>
      <c r="BS289" s="10">
        <v>6.432384992151835E-2</v>
      </c>
      <c r="BT289" s="11" t="s">
        <v>461</v>
      </c>
    </row>
    <row r="290" spans="1:72">
      <c r="A290">
        <f>COUNTIFS($J$7:J290,J290,$N$7:N290,N290,$E$7:E290,E290)</f>
        <v>11</v>
      </c>
      <c r="B290" s="16" t="str">
        <f t="shared" si="180"/>
        <v>Medium</v>
      </c>
      <c r="C290" s="16" t="str">
        <f t="shared" si="181"/>
        <v>11MediumNoTechnology</v>
      </c>
      <c r="D290" s="1">
        <v>80063</v>
      </c>
      <c r="E290" s="1" t="s">
        <v>23</v>
      </c>
      <c r="F290" s="1" t="s">
        <v>409</v>
      </c>
      <c r="G290" s="1" t="s">
        <v>410</v>
      </c>
      <c r="H290" s="1">
        <v>21</v>
      </c>
      <c r="I290" s="1" t="s">
        <v>179</v>
      </c>
      <c r="J290" s="1" t="s">
        <v>27</v>
      </c>
      <c r="K290" s="1">
        <v>1</v>
      </c>
      <c r="L290" s="1"/>
      <c r="M290" s="2">
        <v>0</v>
      </c>
      <c r="N290" s="27" t="str">
        <f t="shared" si="182"/>
        <v>Medium</v>
      </c>
      <c r="O290" s="1">
        <v>1</v>
      </c>
      <c r="P290" s="6">
        <v>33</v>
      </c>
      <c r="Q290" s="6">
        <v>0</v>
      </c>
      <c r="R290" s="6">
        <v>0</v>
      </c>
      <c r="S290" s="6">
        <v>0</v>
      </c>
      <c r="T290" s="6">
        <v>21</v>
      </c>
      <c r="U290" s="6">
        <v>20.6</v>
      </c>
      <c r="V290" s="6">
        <v>20</v>
      </c>
      <c r="W290" s="6">
        <v>19</v>
      </c>
      <c r="X290" s="10">
        <f t="shared" si="160"/>
        <v>0.36363636363636365</v>
      </c>
      <c r="Y290" s="10" t="str">
        <f t="shared" si="161"/>
        <v/>
      </c>
      <c r="Z290" s="10" t="str">
        <f t="shared" si="162"/>
        <v/>
      </c>
      <c r="AA290" s="10" t="str">
        <f t="shared" si="163"/>
        <v/>
      </c>
      <c r="AB290" s="2">
        <f t="shared" si="164"/>
        <v>0.36363636363636365</v>
      </c>
      <c r="AC290" s="6">
        <v>0</v>
      </c>
      <c r="AD290" s="6">
        <v>0</v>
      </c>
      <c r="AE290" s="6">
        <v>0</v>
      </c>
      <c r="AF290" s="6">
        <v>0</v>
      </c>
      <c r="AG290" s="6">
        <v>15.5</v>
      </c>
      <c r="AH290" s="6">
        <v>14.4</v>
      </c>
      <c r="AI290" s="6">
        <v>14.75</v>
      </c>
      <c r="AJ290" s="6">
        <v>15.75</v>
      </c>
      <c r="AK290" s="10" t="str">
        <f t="shared" si="165"/>
        <v/>
      </c>
      <c r="AL290" s="10" t="str">
        <f t="shared" si="166"/>
        <v/>
      </c>
      <c r="AM290" s="10" t="str">
        <f t="shared" si="167"/>
        <v/>
      </c>
      <c r="AN290" s="10" t="str">
        <f t="shared" si="168"/>
        <v/>
      </c>
      <c r="AO290" s="2" t="str">
        <f t="shared" si="169"/>
        <v>NA</v>
      </c>
      <c r="AP290" s="2">
        <v>0</v>
      </c>
      <c r="AQ290" s="2">
        <v>0</v>
      </c>
      <c r="AR290" s="2">
        <v>0</v>
      </c>
      <c r="AS290" s="2">
        <v>0</v>
      </c>
      <c r="AT290" s="2">
        <v>0.65</v>
      </c>
      <c r="AU290" s="2">
        <v>0.65</v>
      </c>
      <c r="AV290" s="2">
        <v>0.65</v>
      </c>
      <c r="AW290" s="2">
        <v>0.65</v>
      </c>
      <c r="AX290" s="10" t="str">
        <f t="shared" si="170"/>
        <v/>
      </c>
      <c r="AY290" s="10" t="str">
        <f t="shared" si="171"/>
        <v/>
      </c>
      <c r="AZ290" s="10" t="str">
        <f t="shared" si="172"/>
        <v/>
      </c>
      <c r="BA290" s="10" t="str">
        <f t="shared" si="173"/>
        <v/>
      </c>
      <c r="BB290" s="2" t="str">
        <f t="shared" si="174"/>
        <v>NA</v>
      </c>
      <c r="BC290" s="6">
        <v>0</v>
      </c>
      <c r="BD290" s="6">
        <v>0</v>
      </c>
      <c r="BE290" s="6">
        <v>0</v>
      </c>
      <c r="BF290" s="6">
        <v>0</v>
      </c>
      <c r="BG290" s="6">
        <v>2682</v>
      </c>
      <c r="BH290" s="6">
        <v>3140</v>
      </c>
      <c r="BI290" s="6">
        <v>2593</v>
      </c>
      <c r="BJ290" s="6">
        <v>2738</v>
      </c>
      <c r="BK290" s="10" t="str">
        <f t="shared" si="175"/>
        <v/>
      </c>
      <c r="BL290" s="10" t="str">
        <f t="shared" si="176"/>
        <v/>
      </c>
      <c r="BM290" s="10" t="str">
        <f t="shared" si="177"/>
        <v/>
      </c>
      <c r="BN290" s="10" t="str">
        <f t="shared" si="178"/>
        <v/>
      </c>
      <c r="BO290" s="2" t="str">
        <f t="shared" si="179"/>
        <v>NA</v>
      </c>
      <c r="BP290" s="10">
        <v>0</v>
      </c>
      <c r="BQ290" s="10">
        <v>0</v>
      </c>
      <c r="BR290" s="10">
        <v>0</v>
      </c>
      <c r="BS290" s="10">
        <v>0</v>
      </c>
      <c r="BT290" s="11">
        <v>0</v>
      </c>
    </row>
  </sheetData>
  <mergeCells count="215">
    <mergeCell ref="BP5:BS5"/>
    <mergeCell ref="BP4:BS4"/>
    <mergeCell ref="BG252:BG253"/>
    <mergeCell ref="BH252:BH253"/>
    <mergeCell ref="BI252:BI253"/>
    <mergeCell ref="BJ252:BJ253"/>
    <mergeCell ref="BK252:BK253"/>
    <mergeCell ref="BL252:BL253"/>
    <mergeCell ref="BM252:BM253"/>
    <mergeCell ref="BN252:BN253"/>
    <mergeCell ref="BO252:BO253"/>
    <mergeCell ref="BG184:BG186"/>
    <mergeCell ref="BH184:BH186"/>
    <mergeCell ref="BI184:BI186"/>
    <mergeCell ref="BJ184:BJ186"/>
    <mergeCell ref="BK184:BK186"/>
    <mergeCell ref="BL184:BL186"/>
    <mergeCell ref="BM184:BM186"/>
    <mergeCell ref="BN184:BN186"/>
    <mergeCell ref="BO184:BO186"/>
    <mergeCell ref="BG179:BG183"/>
    <mergeCell ref="BH179:BH183"/>
    <mergeCell ref="BI179:BI183"/>
    <mergeCell ref="BJ179:BJ183"/>
    <mergeCell ref="BK179:BK183"/>
    <mergeCell ref="BL179:BL183"/>
    <mergeCell ref="BM179:BM183"/>
    <mergeCell ref="BN179:BN183"/>
    <mergeCell ref="BO179:BO183"/>
    <mergeCell ref="BG175:BG178"/>
    <mergeCell ref="BH175:BH178"/>
    <mergeCell ref="BI175:BI178"/>
    <mergeCell ref="BJ175:BJ178"/>
    <mergeCell ref="BK175:BK178"/>
    <mergeCell ref="BL175:BL178"/>
    <mergeCell ref="BM175:BM178"/>
    <mergeCell ref="BN175:BN178"/>
    <mergeCell ref="BO175:BO178"/>
    <mergeCell ref="BO4:BO6"/>
    <mergeCell ref="BC5:BF5"/>
    <mergeCell ref="BG5:BJ5"/>
    <mergeCell ref="BK5:BN5"/>
    <mergeCell ref="BG99:BG100"/>
    <mergeCell ref="BH99:BH100"/>
    <mergeCell ref="BI99:BI100"/>
    <mergeCell ref="BJ99:BJ100"/>
    <mergeCell ref="BK99:BK100"/>
    <mergeCell ref="BL99:BL100"/>
    <mergeCell ref="BM99:BM100"/>
    <mergeCell ref="BN99:BN100"/>
    <mergeCell ref="BO99:BO100"/>
    <mergeCell ref="BB184:BB186"/>
    <mergeCell ref="AT252:AT253"/>
    <mergeCell ref="AU252:AU253"/>
    <mergeCell ref="AV252:AV253"/>
    <mergeCell ref="AW252:AW253"/>
    <mergeCell ref="AX252:AX253"/>
    <mergeCell ref="AY252:AY253"/>
    <mergeCell ref="AZ252:AZ253"/>
    <mergeCell ref="BA252:BA253"/>
    <mergeCell ref="BB252:BB253"/>
    <mergeCell ref="AW184:AW186"/>
    <mergeCell ref="AX184:AX186"/>
    <mergeCell ref="AY184:AY186"/>
    <mergeCell ref="AZ184:AZ186"/>
    <mergeCell ref="BA184:BA186"/>
    <mergeCell ref="BB175:BB178"/>
    <mergeCell ref="AT179:AT183"/>
    <mergeCell ref="AU179:AU183"/>
    <mergeCell ref="AV179:AV183"/>
    <mergeCell ref="BA179:BA183"/>
    <mergeCell ref="BB179:BB183"/>
    <mergeCell ref="BB4:BB6"/>
    <mergeCell ref="AP5:AS5"/>
    <mergeCell ref="AT5:AW5"/>
    <mergeCell ref="AX5:BA5"/>
    <mergeCell ref="AT99:AT100"/>
    <mergeCell ref="AU99:AU100"/>
    <mergeCell ref="AV99:AV100"/>
    <mergeCell ref="AW99:AW100"/>
    <mergeCell ref="AX99:AX100"/>
    <mergeCell ref="AY99:AY100"/>
    <mergeCell ref="AZ99:AZ100"/>
    <mergeCell ref="BA99:BA100"/>
    <mergeCell ref="BB99:BB100"/>
    <mergeCell ref="AT175:AT178"/>
    <mergeCell ref="AU175:AU178"/>
    <mergeCell ref="AV175:AV178"/>
    <mergeCell ref="AW175:AW178"/>
    <mergeCell ref="AX175:AX178"/>
    <mergeCell ref="AY175:AY178"/>
    <mergeCell ref="AZ175:AZ178"/>
    <mergeCell ref="BA175:BA178"/>
    <mergeCell ref="AT184:AT186"/>
    <mergeCell ref="AU184:AU186"/>
    <mergeCell ref="AV184:AV186"/>
    <mergeCell ref="AW179:AW183"/>
    <mergeCell ref="AX179:AX183"/>
    <mergeCell ref="AY179:AY183"/>
    <mergeCell ref="AZ179:AZ183"/>
    <mergeCell ref="AG179:AG183"/>
    <mergeCell ref="AH179:AH183"/>
    <mergeCell ref="AI179:AI183"/>
    <mergeCell ref="AJ179:AJ183"/>
    <mergeCell ref="AK179:AK183"/>
    <mergeCell ref="AL252:AL253"/>
    <mergeCell ref="AM252:AM253"/>
    <mergeCell ref="AN252:AN253"/>
    <mergeCell ref="AO252:AO253"/>
    <mergeCell ref="AG184:AG186"/>
    <mergeCell ref="AH184:AH186"/>
    <mergeCell ref="AI184:AI186"/>
    <mergeCell ref="AJ184:AJ186"/>
    <mergeCell ref="AK184:AK186"/>
    <mergeCell ref="AL184:AL186"/>
    <mergeCell ref="AM184:AM186"/>
    <mergeCell ref="AN184:AN186"/>
    <mergeCell ref="AO184:AO186"/>
    <mergeCell ref="AJ175:AJ178"/>
    <mergeCell ref="AK175:AK178"/>
    <mergeCell ref="AL175:AL178"/>
    <mergeCell ref="AM175:AM178"/>
    <mergeCell ref="AN175:AN178"/>
    <mergeCell ref="AO175:AO178"/>
    <mergeCell ref="AL179:AL183"/>
    <mergeCell ref="AM179:AM183"/>
    <mergeCell ref="AN179:AN183"/>
    <mergeCell ref="AO179:AO183"/>
    <mergeCell ref="AA252:AA253"/>
    <mergeCell ref="X175:X178"/>
    <mergeCell ref="Y175:Y178"/>
    <mergeCell ref="Z175:Z178"/>
    <mergeCell ref="AG99:AG100"/>
    <mergeCell ref="AH99:AH100"/>
    <mergeCell ref="AI99:AI100"/>
    <mergeCell ref="AJ99:AJ100"/>
    <mergeCell ref="AK99:AK100"/>
    <mergeCell ref="AG252:AG253"/>
    <mergeCell ref="AH252:AH253"/>
    <mergeCell ref="AI252:AI253"/>
    <mergeCell ref="AJ252:AJ253"/>
    <mergeCell ref="AK252:AK253"/>
    <mergeCell ref="AB179:AB183"/>
    <mergeCell ref="AB184:AB186"/>
    <mergeCell ref="AB252:AB253"/>
    <mergeCell ref="AB175:AB178"/>
    <mergeCell ref="AA175:AA178"/>
    <mergeCell ref="AA184:AA186"/>
    <mergeCell ref="AA179:AA183"/>
    <mergeCell ref="AG175:AG178"/>
    <mergeCell ref="AH175:AH178"/>
    <mergeCell ref="AI175:AI178"/>
    <mergeCell ref="V175:V178"/>
    <mergeCell ref="W175:W178"/>
    <mergeCell ref="T179:T183"/>
    <mergeCell ref="U179:U183"/>
    <mergeCell ref="V179:V183"/>
    <mergeCell ref="W179:W183"/>
    <mergeCell ref="X252:X253"/>
    <mergeCell ref="Y252:Y253"/>
    <mergeCell ref="Z252:Z253"/>
    <mergeCell ref="T252:T253"/>
    <mergeCell ref="U252:U253"/>
    <mergeCell ref="V252:V253"/>
    <mergeCell ref="W252:W253"/>
    <mergeCell ref="T175:T178"/>
    <mergeCell ref="U175:U178"/>
    <mergeCell ref="D4:D6"/>
    <mergeCell ref="E4:E6"/>
    <mergeCell ref="F4:F6"/>
    <mergeCell ref="G4:G6"/>
    <mergeCell ref="H4:H6"/>
    <mergeCell ref="O4:O6"/>
    <mergeCell ref="X184:X186"/>
    <mergeCell ref="Y184:Y186"/>
    <mergeCell ref="Z184:Z186"/>
    <mergeCell ref="X179:X183"/>
    <mergeCell ref="Y179:Y183"/>
    <mergeCell ref="Z179:Z183"/>
    <mergeCell ref="T184:T186"/>
    <mergeCell ref="U184:U186"/>
    <mergeCell ref="V184:V186"/>
    <mergeCell ref="W184:W186"/>
    <mergeCell ref="P4:AA4"/>
    <mergeCell ref="P5:S5"/>
    <mergeCell ref="T5:W5"/>
    <mergeCell ref="I4:I6"/>
    <mergeCell ref="J4:J6"/>
    <mergeCell ref="X5:AA5"/>
    <mergeCell ref="T99:T100"/>
    <mergeCell ref="U99:U100"/>
    <mergeCell ref="BT4:BT6"/>
    <mergeCell ref="AB4:AB6"/>
    <mergeCell ref="K4:K6"/>
    <mergeCell ref="L4:L6"/>
    <mergeCell ref="M4:M6"/>
    <mergeCell ref="X99:X100"/>
    <mergeCell ref="Y99:Y100"/>
    <mergeCell ref="Z99:Z100"/>
    <mergeCell ref="AA99:AA100"/>
    <mergeCell ref="AB99:AB100"/>
    <mergeCell ref="V99:V100"/>
    <mergeCell ref="W99:W100"/>
    <mergeCell ref="N4:N6"/>
    <mergeCell ref="AC4:AN4"/>
    <mergeCell ref="AO4:AO6"/>
    <mergeCell ref="AC5:AF5"/>
    <mergeCell ref="AG5:AJ5"/>
    <mergeCell ref="AK5:AN5"/>
    <mergeCell ref="AP4:BA4"/>
    <mergeCell ref="AL99:AL100"/>
    <mergeCell ref="AM99:AM100"/>
    <mergeCell ref="AN99:AN100"/>
    <mergeCell ref="AO99:AO100"/>
    <mergeCell ref="BC4:BN4"/>
  </mergeCells>
  <pageMargins left="0.7" right="0.7" top="0.75" bottom="0.75" header="0.3" footer="0.3"/>
  <pageSetup orientation="portrait" r:id="rId1"/>
  <ignoredErrors>
    <ignoredError sqref="X252:AA253 X175:AA178 X179:AA179 Y180:AA182 X184:AA186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Q45"/>
  <sheetViews>
    <sheetView showGridLines="0" zoomScale="85" zoomScaleNormal="85" workbookViewId="0"/>
  </sheetViews>
  <sheetFormatPr defaultRowHeight="15"/>
  <cols>
    <col min="2" max="2" width="10.140625" bestFit="1" customWidth="1"/>
    <col min="3" max="3" width="13.7109375" bestFit="1" customWidth="1"/>
    <col min="4" max="4" width="20.85546875" bestFit="1" customWidth="1"/>
    <col min="5" max="5" width="15.140625" bestFit="1" customWidth="1"/>
    <col min="6" max="6" width="25" bestFit="1" customWidth="1"/>
    <col min="7" max="7" width="6.42578125" bestFit="1" customWidth="1"/>
    <col min="8" max="8" width="12.85546875" bestFit="1" customWidth="1"/>
    <col min="9" max="9" width="12.7109375" bestFit="1" customWidth="1"/>
    <col min="10" max="10" width="8.42578125" bestFit="1" customWidth="1"/>
    <col min="11" max="11" width="5.42578125" bestFit="1" customWidth="1"/>
    <col min="12" max="12" width="6.42578125" bestFit="1" customWidth="1"/>
    <col min="13" max="13" width="9.57031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9" customWidth="1"/>
  </cols>
  <sheetData>
    <row r="3" spans="2:17">
      <c r="B3" s="84" t="s">
        <v>439</v>
      </c>
      <c r="C3" s="84" t="s">
        <v>425</v>
      </c>
      <c r="D3" s="84" t="s">
        <v>426</v>
      </c>
      <c r="E3" s="84" t="s">
        <v>462</v>
      </c>
      <c r="F3" s="84" t="s">
        <v>3</v>
      </c>
      <c r="G3" s="84" t="s">
        <v>430</v>
      </c>
      <c r="H3" s="125" t="s">
        <v>417</v>
      </c>
      <c r="I3" s="126"/>
      <c r="J3" s="126"/>
      <c r="K3" s="126"/>
      <c r="L3" s="126"/>
      <c r="M3" s="126"/>
      <c r="N3" s="83" t="s">
        <v>444</v>
      </c>
      <c r="O3" s="83"/>
      <c r="P3" s="83"/>
      <c r="Q3" s="83"/>
    </row>
    <row r="4" spans="2:17">
      <c r="B4" s="84"/>
      <c r="C4" s="84"/>
      <c r="D4" s="84"/>
      <c r="E4" s="84"/>
      <c r="F4" s="84"/>
      <c r="G4" s="84"/>
      <c r="H4" s="38" t="s">
        <v>441</v>
      </c>
      <c r="I4" s="38" t="s">
        <v>442</v>
      </c>
      <c r="J4" s="38" t="s">
        <v>429</v>
      </c>
      <c r="K4" s="38" t="s">
        <v>428</v>
      </c>
      <c r="L4" s="38" t="s">
        <v>446</v>
      </c>
      <c r="M4" s="38" t="s">
        <v>445</v>
      </c>
      <c r="N4" s="38" t="s">
        <v>418</v>
      </c>
      <c r="O4" s="38" t="s">
        <v>419</v>
      </c>
      <c r="P4" s="38" t="s">
        <v>420</v>
      </c>
      <c r="Q4" s="38" t="s">
        <v>421</v>
      </c>
    </row>
    <row r="5" spans="2:17">
      <c r="B5" s="24">
        <v>10011</v>
      </c>
      <c r="C5" s="35" t="s">
        <v>10</v>
      </c>
      <c r="D5" s="34" t="s">
        <v>11</v>
      </c>
      <c r="E5" s="44" t="s">
        <v>458</v>
      </c>
      <c r="F5" s="25" t="s">
        <v>13</v>
      </c>
      <c r="G5" s="42">
        <v>-4.178690143223987E-2</v>
      </c>
      <c r="H5" s="26">
        <v>-1.744863507603853</v>
      </c>
      <c r="I5" s="26">
        <v>-0.16059364768658807</v>
      </c>
      <c r="J5" s="26">
        <v>-1.4457541825808327</v>
      </c>
      <c r="K5" s="26" t="s">
        <v>422</v>
      </c>
      <c r="L5" s="26">
        <v>-1.1170704459570913</v>
      </c>
      <c r="M5" s="26" t="s">
        <v>447</v>
      </c>
      <c r="N5" s="26">
        <v>-0.25298431632437773</v>
      </c>
      <c r="O5" s="26">
        <v>-2.433351208965262E-2</v>
      </c>
      <c r="P5" s="26">
        <v>-3.0846749443683985E-2</v>
      </c>
      <c r="Q5" s="26">
        <v>-3.7062461932263535E-2</v>
      </c>
    </row>
    <row r="6" spans="2:17">
      <c r="B6" s="24">
        <v>10282</v>
      </c>
      <c r="C6" s="35" t="s">
        <v>23</v>
      </c>
      <c r="D6" s="34" t="s">
        <v>51</v>
      </c>
      <c r="E6" s="44" t="s">
        <v>458</v>
      </c>
      <c r="F6" s="25" t="s">
        <v>53</v>
      </c>
      <c r="G6" s="29">
        <v>-0.49380572267562017</v>
      </c>
      <c r="H6" s="26">
        <v>0.42799176717631648</v>
      </c>
      <c r="I6" s="26">
        <v>7.6645291757888673E-2</v>
      </c>
      <c r="J6" s="26">
        <v>2.4899297112863157E-2</v>
      </c>
      <c r="K6" s="26" t="s">
        <v>422</v>
      </c>
      <c r="L6" s="26">
        <v>0.17651211868235614</v>
      </c>
      <c r="M6" s="26" t="s">
        <v>438</v>
      </c>
      <c r="N6" s="26">
        <v>0.15487384759931999</v>
      </c>
      <c r="O6" s="26">
        <v>-2.5661291108135753E-2</v>
      </c>
      <c r="P6" s="26">
        <v>-1.3911239040241274E-2</v>
      </c>
      <c r="Q6" s="26">
        <v>-2.917811496641276E-3</v>
      </c>
    </row>
    <row r="7" spans="2:17">
      <c r="B7" s="24">
        <v>10886</v>
      </c>
      <c r="C7" s="35" t="s">
        <v>79</v>
      </c>
      <c r="D7" s="34" t="s">
        <v>80</v>
      </c>
      <c r="E7" s="44" t="s">
        <v>461</v>
      </c>
      <c r="F7" s="25" t="s">
        <v>82</v>
      </c>
      <c r="G7" s="29">
        <v>-0.43</v>
      </c>
      <c r="H7" s="26" t="s">
        <v>422</v>
      </c>
      <c r="I7" s="26" t="s">
        <v>422</v>
      </c>
      <c r="J7" s="26" t="s">
        <v>422</v>
      </c>
      <c r="K7" s="26" t="s">
        <v>422</v>
      </c>
      <c r="L7" s="26">
        <v>0</v>
      </c>
      <c r="M7" s="26" t="s">
        <v>422</v>
      </c>
      <c r="N7" s="26">
        <v>2.9084228530483536E-2</v>
      </c>
      <c r="O7" s="26">
        <v>-3.8729894169231061E-2</v>
      </c>
      <c r="P7" s="26">
        <v>-4.9553495206178466E-2</v>
      </c>
      <c r="Q7" s="26">
        <v>-3.0233036604747743E-2</v>
      </c>
    </row>
    <row r="8" spans="2:17">
      <c r="B8" s="24">
        <v>10887</v>
      </c>
      <c r="C8" s="35" t="s">
        <v>5</v>
      </c>
      <c r="D8" s="34" t="s">
        <v>86</v>
      </c>
      <c r="E8" s="44" t="s">
        <v>458</v>
      </c>
      <c r="F8" s="25" t="s">
        <v>88</v>
      </c>
      <c r="G8" s="29">
        <v>-0.27345887381015493</v>
      </c>
      <c r="H8" s="26" t="s">
        <v>422</v>
      </c>
      <c r="I8" s="26" t="s">
        <v>422</v>
      </c>
      <c r="J8" s="26" t="s">
        <v>422</v>
      </c>
      <c r="K8" s="26" t="s">
        <v>422</v>
      </c>
      <c r="L8" s="26">
        <v>0</v>
      </c>
      <c r="M8" s="26" t="s">
        <v>422</v>
      </c>
      <c r="N8" s="26">
        <v>0</v>
      </c>
      <c r="O8" s="26">
        <v>0</v>
      </c>
      <c r="P8" s="26">
        <v>0</v>
      </c>
      <c r="Q8" s="26">
        <v>0</v>
      </c>
    </row>
    <row r="9" spans="2:17">
      <c r="B9" s="24">
        <v>10888</v>
      </c>
      <c r="C9" s="35" t="s">
        <v>5</v>
      </c>
      <c r="D9" s="34" t="s">
        <v>86</v>
      </c>
      <c r="E9" s="44" t="s">
        <v>458</v>
      </c>
      <c r="F9" s="25" t="s">
        <v>88</v>
      </c>
      <c r="G9" s="29">
        <v>-0.11174315710570026</v>
      </c>
      <c r="H9" s="26">
        <v>0.38419792320573826</v>
      </c>
      <c r="I9" s="26">
        <v>0.41293363499245855</v>
      </c>
      <c r="J9" s="26">
        <v>0.78308574342912529</v>
      </c>
      <c r="K9" s="26" t="s">
        <v>422</v>
      </c>
      <c r="L9" s="26">
        <v>0.52673910054244066</v>
      </c>
      <c r="M9" s="26" t="s">
        <v>436</v>
      </c>
      <c r="N9" s="26">
        <v>0</v>
      </c>
      <c r="O9" s="26">
        <v>0</v>
      </c>
      <c r="P9" s="26">
        <v>0</v>
      </c>
      <c r="Q9" s="26">
        <v>0</v>
      </c>
    </row>
    <row r="10" spans="2:17">
      <c r="B10" s="24">
        <v>10890</v>
      </c>
      <c r="C10" s="35" t="s">
        <v>23</v>
      </c>
      <c r="D10" s="34" t="s">
        <v>24</v>
      </c>
      <c r="E10" s="44" t="s">
        <v>459</v>
      </c>
      <c r="F10" s="25" t="s">
        <v>26</v>
      </c>
      <c r="G10" s="29">
        <v>-0.47325138867138583</v>
      </c>
      <c r="H10" s="26">
        <v>0.68967614013946776</v>
      </c>
      <c r="I10" s="26">
        <v>0.55442591166039401</v>
      </c>
      <c r="J10" s="26">
        <v>0.54083283758269418</v>
      </c>
      <c r="K10" s="26">
        <v>0.63024999999999998</v>
      </c>
      <c r="L10" s="26">
        <v>0.60379622234563901</v>
      </c>
      <c r="M10" s="26" t="s">
        <v>422</v>
      </c>
      <c r="N10" s="26">
        <v>0.25792566612833073</v>
      </c>
      <c r="O10" s="26">
        <v>0</v>
      </c>
      <c r="P10" s="26">
        <v>0</v>
      </c>
      <c r="Q10" s="26">
        <v>0</v>
      </c>
    </row>
    <row r="11" spans="2:17">
      <c r="B11" s="24">
        <v>10933</v>
      </c>
      <c r="C11" s="35" t="s">
        <v>23</v>
      </c>
      <c r="D11" s="34" t="s">
        <v>39</v>
      </c>
      <c r="E11" s="44" t="s">
        <v>459</v>
      </c>
      <c r="F11" s="25" t="s">
        <v>44</v>
      </c>
      <c r="G11" s="29">
        <v>-0.72142324996576734</v>
      </c>
      <c r="H11" s="26">
        <v>0.14100232948535546</v>
      </c>
      <c r="I11" s="26">
        <v>0.1382804074911316</v>
      </c>
      <c r="J11" s="26">
        <v>8.3919563136274397E-2</v>
      </c>
      <c r="K11" s="26" t="s">
        <v>422</v>
      </c>
      <c r="L11" s="26">
        <v>0.1210674333709205</v>
      </c>
      <c r="M11" s="26" t="s">
        <v>438</v>
      </c>
      <c r="N11" s="26">
        <v>-1.5216157556205423E-3</v>
      </c>
      <c r="O11" s="26">
        <v>8.6466620311598519E-2</v>
      </c>
      <c r="P11" s="26">
        <v>8.3385654538243509E-2</v>
      </c>
      <c r="Q11" s="26">
        <v>8.1047367837652234E-2</v>
      </c>
    </row>
    <row r="12" spans="2:17">
      <c r="B12" s="24">
        <v>10936</v>
      </c>
      <c r="C12" s="35" t="s">
        <v>20</v>
      </c>
      <c r="D12" s="34" t="s">
        <v>103</v>
      </c>
      <c r="E12" s="44" t="s">
        <v>460</v>
      </c>
      <c r="F12" s="25" t="s">
        <v>22</v>
      </c>
      <c r="G12" s="29">
        <v>-4.6729732536229959E-2</v>
      </c>
      <c r="H12" s="26" t="s">
        <v>422</v>
      </c>
      <c r="I12" s="26" t="s">
        <v>422</v>
      </c>
      <c r="J12" s="26" t="s">
        <v>422</v>
      </c>
      <c r="K12" s="26" t="s">
        <v>422</v>
      </c>
      <c r="L12" s="26">
        <v>0</v>
      </c>
      <c r="M12" s="26" t="s">
        <v>422</v>
      </c>
      <c r="N12" s="26">
        <v>0.1540779615719553</v>
      </c>
      <c r="O12" s="26">
        <v>0.16400913499877651</v>
      </c>
      <c r="P12" s="26">
        <v>0.16282796451960935</v>
      </c>
      <c r="Q12" s="26">
        <v>0.16282796451960935</v>
      </c>
    </row>
    <row r="13" spans="2:17">
      <c r="B13" s="24">
        <v>20164</v>
      </c>
      <c r="C13" s="35" t="s">
        <v>20</v>
      </c>
      <c r="D13" s="34" t="s">
        <v>100</v>
      </c>
      <c r="E13" s="44" t="s">
        <v>460</v>
      </c>
      <c r="F13" s="25" t="s">
        <v>102</v>
      </c>
      <c r="G13" s="29">
        <v>-0.3330251535182609</v>
      </c>
      <c r="H13" s="26">
        <v>0.18944202178950253</v>
      </c>
      <c r="I13" s="26">
        <v>0</v>
      </c>
      <c r="J13" s="26" t="s">
        <v>422</v>
      </c>
      <c r="K13" s="26" t="s">
        <v>422</v>
      </c>
      <c r="L13" s="26">
        <v>0.18944202178950253</v>
      </c>
      <c r="M13" s="26" t="s">
        <v>438</v>
      </c>
      <c r="N13" s="26">
        <v>2.5229811903157429E-3</v>
      </c>
      <c r="O13" s="26">
        <v>2.4574961775801041E-2</v>
      </c>
      <c r="P13" s="26">
        <v>2.5482600750924456E-2</v>
      </c>
      <c r="Q13" s="26">
        <v>2.7903653867679318E-2</v>
      </c>
    </row>
    <row r="14" spans="2:17">
      <c r="B14" s="24">
        <v>20220</v>
      </c>
      <c r="C14" s="35" t="s">
        <v>20</v>
      </c>
      <c r="D14" s="34" t="s">
        <v>146</v>
      </c>
      <c r="E14" s="44" t="s">
        <v>458</v>
      </c>
      <c r="F14" s="25" t="s">
        <v>22</v>
      </c>
      <c r="G14" s="29">
        <v>-0.25528003220032119</v>
      </c>
      <c r="H14" s="26">
        <v>0.15752054599184015</v>
      </c>
      <c r="I14" s="26">
        <v>0.23348214285714286</v>
      </c>
      <c r="J14" s="26">
        <v>-0.34218823529411768</v>
      </c>
      <c r="K14" s="26">
        <v>0.28562499999999996</v>
      </c>
      <c r="L14" s="26">
        <v>8.360986338871633E-2</v>
      </c>
      <c r="M14" s="26" t="s">
        <v>438</v>
      </c>
      <c r="N14" s="26">
        <v>0</v>
      </c>
      <c r="O14" s="26">
        <v>0</v>
      </c>
      <c r="P14" s="26">
        <v>0</v>
      </c>
      <c r="Q14" s="26">
        <v>0</v>
      </c>
    </row>
    <row r="15" spans="2:17">
      <c r="B15" s="24">
        <v>20221</v>
      </c>
      <c r="C15" s="35" t="s">
        <v>23</v>
      </c>
      <c r="D15" s="34" t="s">
        <v>33</v>
      </c>
      <c r="E15" s="44">
        <v>0</v>
      </c>
      <c r="F15" s="25" t="s">
        <v>35</v>
      </c>
      <c r="G15" s="29">
        <v>-0.19772112831064501</v>
      </c>
      <c r="H15" s="26">
        <v>-0.69190075549450547</v>
      </c>
      <c r="I15" s="26">
        <v>-0.56183712121212115</v>
      </c>
      <c r="J15" s="26">
        <v>-1.1569336675291482</v>
      </c>
      <c r="K15" s="26">
        <v>0.33184374999999994</v>
      </c>
      <c r="L15" s="26">
        <v>-0.51970694855894362</v>
      </c>
      <c r="M15" s="26" t="s">
        <v>447</v>
      </c>
      <c r="N15" s="26">
        <v>-3.7631626515461217E-2</v>
      </c>
      <c r="O15" s="26">
        <v>-4.1829042268991673E-2</v>
      </c>
      <c r="P15" s="26">
        <v>-3.3649090424720376E-2</v>
      </c>
      <c r="Q15" s="26">
        <v>-2.9662828752746298E-2</v>
      </c>
    </row>
    <row r="16" spans="2:17">
      <c r="B16" s="24">
        <v>20262</v>
      </c>
      <c r="C16" s="35" t="s">
        <v>23</v>
      </c>
      <c r="D16" s="34" t="s">
        <v>24</v>
      </c>
      <c r="E16" s="44" t="s">
        <v>458</v>
      </c>
      <c r="F16" s="25" t="s">
        <v>156</v>
      </c>
      <c r="G16" s="29">
        <v>-1.4251371872006524</v>
      </c>
      <c r="H16" s="26">
        <v>-0.42077462333133525</v>
      </c>
      <c r="I16" s="26">
        <v>-0.49447253197253194</v>
      </c>
      <c r="J16" s="26">
        <v>-5.5583812404841434E-2</v>
      </c>
      <c r="K16" s="26" t="s">
        <v>422</v>
      </c>
      <c r="L16" s="26">
        <v>-0.32361032256956956</v>
      </c>
      <c r="M16" s="26" t="s">
        <v>447</v>
      </c>
      <c r="N16" s="26">
        <v>0.23030704483959924</v>
      </c>
      <c r="O16" s="26">
        <v>0.51341904408949302</v>
      </c>
      <c r="P16" s="26">
        <v>0.61679523567168726</v>
      </c>
      <c r="Q16" s="26">
        <v>0.36664948159488109</v>
      </c>
    </row>
    <row r="17" spans="2:17">
      <c r="B17" s="24">
        <v>20330</v>
      </c>
      <c r="C17" s="35" t="s">
        <v>20</v>
      </c>
      <c r="D17" s="34" t="s">
        <v>171</v>
      </c>
      <c r="E17" s="44" t="s">
        <v>459</v>
      </c>
      <c r="F17" s="25" t="s">
        <v>141</v>
      </c>
      <c r="G17" s="29">
        <v>-0.14557979693908393</v>
      </c>
      <c r="H17" s="26">
        <v>-8.5319343932757571E-2</v>
      </c>
      <c r="I17" s="26">
        <v>8.414269420084898E-2</v>
      </c>
      <c r="J17" s="26">
        <v>0.15309767931810461</v>
      </c>
      <c r="K17" s="26" t="s">
        <v>422</v>
      </c>
      <c r="L17" s="26">
        <v>5.0640343195398674E-2</v>
      </c>
      <c r="M17" s="26" t="s">
        <v>438</v>
      </c>
      <c r="N17" s="26">
        <v>0.25948815004167614</v>
      </c>
      <c r="O17" s="26">
        <v>0</v>
      </c>
      <c r="P17" s="26">
        <v>0</v>
      </c>
      <c r="Q17" s="26">
        <v>0</v>
      </c>
    </row>
    <row r="18" spans="2:17">
      <c r="B18" s="24">
        <v>23010</v>
      </c>
      <c r="C18" s="35" t="s">
        <v>5</v>
      </c>
      <c r="D18" s="34" t="s">
        <v>86</v>
      </c>
      <c r="E18" s="44">
        <v>0</v>
      </c>
      <c r="F18" s="25" t="s">
        <v>88</v>
      </c>
      <c r="G18" s="39">
        <v>-0.20705702058927272</v>
      </c>
      <c r="H18" s="26">
        <v>0.42683108505606304</v>
      </c>
      <c r="I18" s="26">
        <v>-1.8787335399059086</v>
      </c>
      <c r="J18" s="26">
        <v>-2.3007404685093134</v>
      </c>
      <c r="K18" s="26" t="s">
        <v>422</v>
      </c>
      <c r="L18" s="26">
        <v>-1.2508809744530529</v>
      </c>
      <c r="M18" s="26" t="s">
        <v>447</v>
      </c>
      <c r="N18" s="26">
        <v>0.66805302759360352</v>
      </c>
      <c r="O18" s="26">
        <v>-2.8027402849821414E-2</v>
      </c>
      <c r="P18" s="26">
        <v>2.7383771117874156E-2</v>
      </c>
      <c r="Q18" s="26">
        <v>-0.11246196070964887</v>
      </c>
    </row>
    <row r="19" spans="2:17">
      <c r="B19" s="24">
        <v>25028</v>
      </c>
      <c r="C19" s="35" t="s">
        <v>20</v>
      </c>
      <c r="D19" s="34" t="s">
        <v>186</v>
      </c>
      <c r="E19" s="44" t="s">
        <v>460</v>
      </c>
      <c r="F19" s="25" t="s">
        <v>188</v>
      </c>
      <c r="G19" s="29">
        <v>-4.8596519003146599E-2</v>
      </c>
      <c r="H19" s="26">
        <v>0.1971908624902883</v>
      </c>
      <c r="I19" s="26">
        <v>0.39652777777777781</v>
      </c>
      <c r="J19" s="26">
        <v>-0.90116512342673272</v>
      </c>
      <c r="K19" s="26">
        <v>0.44999999999999996</v>
      </c>
      <c r="L19" s="26">
        <v>3.5638379210333332E-2</v>
      </c>
      <c r="M19" s="26" t="s">
        <v>438</v>
      </c>
      <c r="N19" s="26">
        <v>0</v>
      </c>
      <c r="O19" s="26">
        <v>0</v>
      </c>
      <c r="P19" s="26">
        <v>0</v>
      </c>
      <c r="Q19" s="26">
        <v>0</v>
      </c>
    </row>
    <row r="20" spans="2:17">
      <c r="B20" s="24">
        <v>25109</v>
      </c>
      <c r="C20" s="35" t="s">
        <v>10</v>
      </c>
      <c r="D20" s="34" t="s">
        <v>206</v>
      </c>
      <c r="E20" s="44" t="s">
        <v>459</v>
      </c>
      <c r="F20" s="25" t="s">
        <v>208</v>
      </c>
      <c r="G20" s="29">
        <v>-6.9062285303305632E-2</v>
      </c>
      <c r="H20" s="26">
        <v>-1.8380099948501727</v>
      </c>
      <c r="I20" s="26">
        <v>-0.54781232386982248</v>
      </c>
      <c r="J20" s="26">
        <v>-9.5593640247498946E-2</v>
      </c>
      <c r="K20" s="26" t="s">
        <v>422</v>
      </c>
      <c r="L20" s="26">
        <v>-0.82713865298916478</v>
      </c>
      <c r="M20" s="26" t="s">
        <v>447</v>
      </c>
      <c r="N20" s="26">
        <v>0.1453587710921187</v>
      </c>
      <c r="O20" s="26">
        <v>-1.0112010817652284E-2</v>
      </c>
      <c r="P20" s="26">
        <v>-9.659615639829422E-3</v>
      </c>
      <c r="Q20" s="26">
        <v>-8.0373452642177878E-3</v>
      </c>
    </row>
    <row r="21" spans="2:17">
      <c r="B21" s="24">
        <v>25167</v>
      </c>
      <c r="C21" s="35" t="s">
        <v>5</v>
      </c>
      <c r="D21" s="34" t="s">
        <v>223</v>
      </c>
      <c r="E21" s="44" t="s">
        <v>460</v>
      </c>
      <c r="F21" s="25" t="s">
        <v>179</v>
      </c>
      <c r="G21" s="29">
        <v>-1.7802043102355936</v>
      </c>
      <c r="H21" s="26" t="s">
        <v>422</v>
      </c>
      <c r="I21" s="26" t="s">
        <v>422</v>
      </c>
      <c r="J21" s="26" t="s">
        <v>422</v>
      </c>
      <c r="K21" s="26" t="s">
        <v>422</v>
      </c>
      <c r="L21" s="26">
        <v>0</v>
      </c>
      <c r="M21" s="26" t="s">
        <v>422</v>
      </c>
      <c r="N21" s="26">
        <v>1.1217961426068921</v>
      </c>
      <c r="O21" s="26">
        <v>1.1759699213897445</v>
      </c>
      <c r="P21" s="26">
        <v>0.53830280503496297</v>
      </c>
      <c r="Q21" s="26">
        <v>0.33442661439787386</v>
      </c>
    </row>
    <row r="22" spans="2:17">
      <c r="B22" s="24">
        <v>25232</v>
      </c>
      <c r="C22" s="35" t="s">
        <v>10</v>
      </c>
      <c r="D22" s="34" t="s">
        <v>206</v>
      </c>
      <c r="E22" s="44" t="s">
        <v>459</v>
      </c>
      <c r="F22" s="25" t="s">
        <v>208</v>
      </c>
      <c r="G22" s="29">
        <v>-9.9140675824691382E-2</v>
      </c>
      <c r="H22" s="26">
        <v>0.20722908740253121</v>
      </c>
      <c r="I22" s="26">
        <v>5.2013577307598258E-2</v>
      </c>
      <c r="J22" s="26">
        <v>2.4229859994210345E-3</v>
      </c>
      <c r="K22" s="26" t="s">
        <v>422</v>
      </c>
      <c r="L22" s="26">
        <v>8.7221883569850167E-2</v>
      </c>
      <c r="M22" s="26" t="s">
        <v>438</v>
      </c>
      <c r="N22" s="26">
        <v>4.9686510841324832E-2</v>
      </c>
      <c r="O22" s="26">
        <v>-5.5531975512677356E-3</v>
      </c>
      <c r="P22" s="26">
        <v>-1.0931087592450234E-3</v>
      </c>
      <c r="Q22" s="26">
        <v>-1.3674110514441173E-2</v>
      </c>
    </row>
    <row r="23" spans="2:17">
      <c r="B23" s="24">
        <v>25289</v>
      </c>
      <c r="C23" s="35" t="s">
        <v>79</v>
      </c>
      <c r="D23" s="34" t="s">
        <v>221</v>
      </c>
      <c r="E23" s="44">
        <v>0</v>
      </c>
      <c r="F23" s="25" t="s">
        <v>98</v>
      </c>
      <c r="G23" s="29">
        <v>-0.22946135324510467</v>
      </c>
      <c r="H23" s="26">
        <v>-0.3834497072822281</v>
      </c>
      <c r="I23" s="26">
        <v>-0.22025365002978264</v>
      </c>
      <c r="J23" s="26">
        <v>0.1789143886377359</v>
      </c>
      <c r="K23" s="26">
        <v>0.65</v>
      </c>
      <c r="L23" s="26">
        <v>5.6302757831431294E-2</v>
      </c>
      <c r="M23" s="26" t="s">
        <v>438</v>
      </c>
      <c r="N23" s="26">
        <v>0.38127752204260801</v>
      </c>
      <c r="O23" s="26">
        <v>0.12584970034984011</v>
      </c>
      <c r="P23" s="26">
        <v>0.12333075825563705</v>
      </c>
      <c r="Q23" s="26">
        <v>0.14842152371452169</v>
      </c>
    </row>
    <row r="24" spans="2:17">
      <c r="B24" s="24">
        <v>25290</v>
      </c>
      <c r="C24" s="35" t="s">
        <v>79</v>
      </c>
      <c r="D24" s="34" t="s">
        <v>221</v>
      </c>
      <c r="E24" s="44">
        <v>0</v>
      </c>
      <c r="F24" s="25" t="s">
        <v>98</v>
      </c>
      <c r="G24" s="29">
        <v>-0.33560412656576738</v>
      </c>
      <c r="H24" s="26">
        <v>-0.44823153597287996</v>
      </c>
      <c r="I24" s="26">
        <v>-0.3349472306026694</v>
      </c>
      <c r="J24" s="26">
        <v>0.10630315414673425</v>
      </c>
      <c r="K24" s="26">
        <v>0.48287500000000005</v>
      </c>
      <c r="L24" s="26">
        <v>-4.8500153107203764E-2</v>
      </c>
      <c r="M24" s="26" t="s">
        <v>447</v>
      </c>
      <c r="N24" s="26">
        <v>0.46690736648051684</v>
      </c>
      <c r="O24" s="26">
        <v>0.31793367693636471</v>
      </c>
      <c r="P24" s="26">
        <v>0.27350692630439677</v>
      </c>
      <c r="Q24" s="26">
        <v>5.4717421692240982E-2</v>
      </c>
    </row>
    <row r="25" spans="2:17">
      <c r="B25" s="24">
        <v>25331</v>
      </c>
      <c r="C25" s="35" t="s">
        <v>5</v>
      </c>
      <c r="D25" s="34" t="s">
        <v>153</v>
      </c>
      <c r="E25" s="44">
        <v>0</v>
      </c>
      <c r="F25" s="25" t="s">
        <v>138</v>
      </c>
      <c r="G25" s="41">
        <v>-0.164130796626556</v>
      </c>
      <c r="H25" s="26">
        <v>-7.6587301587301634E-2</v>
      </c>
      <c r="I25" s="26" t="s">
        <v>422</v>
      </c>
      <c r="J25" s="26" t="s">
        <v>422</v>
      </c>
      <c r="K25" s="26" t="s">
        <v>422</v>
      </c>
      <c r="L25" s="26">
        <v>-7.6587301587301634E-2</v>
      </c>
      <c r="M25" s="26" t="s">
        <v>447</v>
      </c>
      <c r="N25" s="26">
        <v>9.6431732958800198E-3</v>
      </c>
      <c r="O25" s="26">
        <v>0</v>
      </c>
      <c r="P25" s="26">
        <v>0</v>
      </c>
      <c r="Q25" s="26">
        <v>0</v>
      </c>
    </row>
    <row r="26" spans="2:17">
      <c r="B26" s="24">
        <v>27001</v>
      </c>
      <c r="C26" s="35" t="s">
        <v>10</v>
      </c>
      <c r="D26" s="34" t="s">
        <v>11</v>
      </c>
      <c r="E26" s="44" t="s">
        <v>458</v>
      </c>
      <c r="F26" s="25" t="s">
        <v>16</v>
      </c>
      <c r="G26" s="29">
        <v>-5.1577632853254375E-2</v>
      </c>
      <c r="H26" s="26">
        <v>-0.20137027276108863</v>
      </c>
      <c r="I26" s="26">
        <v>-0.11703837100696826</v>
      </c>
      <c r="J26" s="26">
        <v>-8.7332585341647465E-2</v>
      </c>
      <c r="K26" s="26" t="s">
        <v>422</v>
      </c>
      <c r="L26" s="26">
        <v>-0.13524707636990144</v>
      </c>
      <c r="M26" s="26" t="s">
        <v>447</v>
      </c>
      <c r="N26" s="26">
        <v>-0.16422839557721861</v>
      </c>
      <c r="O26" s="26">
        <v>9.6429068431210796E-2</v>
      </c>
      <c r="P26" s="26">
        <v>9.1678244568450196E-2</v>
      </c>
      <c r="Q26" s="26">
        <v>-0.10797964200766175</v>
      </c>
    </row>
    <row r="27" spans="2:17">
      <c r="B27" s="24">
        <v>27008</v>
      </c>
      <c r="C27" s="35" t="s">
        <v>10</v>
      </c>
      <c r="D27" s="34" t="s">
        <v>11</v>
      </c>
      <c r="E27" s="44" t="s">
        <v>458</v>
      </c>
      <c r="F27" s="25" t="s">
        <v>16</v>
      </c>
      <c r="G27" s="29">
        <v>-6.3736196330427361E-2</v>
      </c>
      <c r="H27" s="26">
        <v>0.21511133757872813</v>
      </c>
      <c r="I27" s="26">
        <v>9.1745370659806896E-2</v>
      </c>
      <c r="J27" s="26">
        <v>1.1321187635652659E-2</v>
      </c>
      <c r="K27" s="26" t="s">
        <v>422</v>
      </c>
      <c r="L27" s="26">
        <v>0.10605929862472924</v>
      </c>
      <c r="M27" s="26" t="s">
        <v>438</v>
      </c>
      <c r="N27" s="26">
        <v>8.1071105533477683E-2</v>
      </c>
      <c r="O27" s="26">
        <v>0.21855108149754077</v>
      </c>
      <c r="P27" s="26">
        <v>-5.6861995365464657E-2</v>
      </c>
      <c r="Q27" s="26">
        <v>0.27737702154062455</v>
      </c>
    </row>
    <row r="28" spans="2:17">
      <c r="B28" s="24">
        <v>27013</v>
      </c>
      <c r="C28" s="35" t="s">
        <v>23</v>
      </c>
      <c r="D28" s="34" t="s">
        <v>36</v>
      </c>
      <c r="E28" s="44" t="s">
        <v>459</v>
      </c>
      <c r="F28" s="40" t="s">
        <v>38</v>
      </c>
      <c r="G28" s="39">
        <v>-0.10896353219148359</v>
      </c>
      <c r="H28" s="26">
        <v>7.7942991114510238E-2</v>
      </c>
      <c r="I28" s="26">
        <v>-0.18107472617927811</v>
      </c>
      <c r="J28" s="26">
        <v>1.2759589589977222E-3</v>
      </c>
      <c r="K28" s="26" t="s">
        <v>422</v>
      </c>
      <c r="L28" s="26">
        <v>-3.3951925368590048E-2</v>
      </c>
      <c r="M28" s="26" t="s">
        <v>447</v>
      </c>
      <c r="N28" s="26">
        <v>-6.0379771648152281E-2</v>
      </c>
      <c r="O28" s="26">
        <v>-0.23248363874949116</v>
      </c>
      <c r="P28" s="26">
        <v>-0.17705130378688522</v>
      </c>
      <c r="Q28" s="26">
        <v>5.3509294616933156E-2</v>
      </c>
    </row>
    <row r="29" spans="2:17">
      <c r="B29" s="24">
        <v>27014</v>
      </c>
      <c r="C29" s="35" t="s">
        <v>10</v>
      </c>
      <c r="D29" s="34" t="s">
        <v>11</v>
      </c>
      <c r="E29" s="44" t="s">
        <v>458</v>
      </c>
      <c r="F29" s="25" t="s">
        <v>16</v>
      </c>
      <c r="G29" s="29">
        <v>-6.9976625557209168E-2</v>
      </c>
      <c r="H29" s="26">
        <v>-0.44924487064561558</v>
      </c>
      <c r="I29" s="26">
        <v>-9.4244075628957438E-2</v>
      </c>
      <c r="J29" s="26">
        <v>-0.10524169285935579</v>
      </c>
      <c r="K29" s="26" t="s">
        <v>422</v>
      </c>
      <c r="L29" s="26">
        <v>-0.21624354637797627</v>
      </c>
      <c r="M29" s="26" t="s">
        <v>447</v>
      </c>
      <c r="N29" s="26">
        <v>5.7878358900430249E-2</v>
      </c>
      <c r="O29" s="26">
        <v>9.0895798417504003E-2</v>
      </c>
      <c r="P29" s="26">
        <v>0.18461247218958987</v>
      </c>
      <c r="Q29" s="26">
        <v>0.18766423023982298</v>
      </c>
    </row>
    <row r="30" spans="2:17">
      <c r="B30" s="24">
        <v>28037</v>
      </c>
      <c r="C30" s="35" t="s">
        <v>79</v>
      </c>
      <c r="D30" s="34" t="s">
        <v>110</v>
      </c>
      <c r="E30" s="44" t="s">
        <v>460</v>
      </c>
      <c r="F30" s="25" t="s">
        <v>98</v>
      </c>
      <c r="G30" s="39">
        <v>-1.6379393634245433E-2</v>
      </c>
      <c r="H30" s="26">
        <v>-8.6669734621874286E-2</v>
      </c>
      <c r="I30" s="26">
        <v>3.3653846153846152E-2</v>
      </c>
      <c r="J30" s="26" t="s">
        <v>422</v>
      </c>
      <c r="K30" s="26" t="s">
        <v>422</v>
      </c>
      <c r="L30" s="26">
        <v>-2.6507944234014067E-2</v>
      </c>
      <c r="M30" s="26" t="s">
        <v>447</v>
      </c>
      <c r="N30" s="26">
        <v>4.0096553276288582E-2</v>
      </c>
      <c r="O30" s="26">
        <v>2.2933817855032346E-2</v>
      </c>
      <c r="P30" s="26">
        <v>1.5798546044414441E-2</v>
      </c>
      <c r="Q30" s="26">
        <v>1.9922045057383986E-2</v>
      </c>
    </row>
    <row r="31" spans="2:17">
      <c r="B31" s="24">
        <v>28041</v>
      </c>
      <c r="C31" s="35" t="s">
        <v>23</v>
      </c>
      <c r="D31" s="34" t="s">
        <v>24</v>
      </c>
      <c r="E31" s="44" t="s">
        <v>458</v>
      </c>
      <c r="F31" s="25" t="s">
        <v>156</v>
      </c>
      <c r="G31" s="29">
        <v>-4.6309998544014658E-2</v>
      </c>
      <c r="H31" s="26">
        <v>0.21943560271175661</v>
      </c>
      <c r="I31" s="26">
        <v>0.66249999999999998</v>
      </c>
      <c r="J31" s="26">
        <v>0.71804312561763972</v>
      </c>
      <c r="K31" s="26" t="s">
        <v>422</v>
      </c>
      <c r="L31" s="26">
        <v>0.53332624277646545</v>
      </c>
      <c r="M31" s="26" t="s">
        <v>436</v>
      </c>
      <c r="N31" s="26">
        <v>-0.28067433188494373</v>
      </c>
      <c r="O31" s="26">
        <v>0.42749543545568058</v>
      </c>
      <c r="P31" s="26">
        <v>0.44489504396552165</v>
      </c>
      <c r="Q31" s="26">
        <v>0.40552412105988539</v>
      </c>
    </row>
    <row r="32" spans="2:17">
      <c r="B32" s="24">
        <v>28044</v>
      </c>
      <c r="C32" s="35" t="s">
        <v>20</v>
      </c>
      <c r="D32" s="34" t="s">
        <v>230</v>
      </c>
      <c r="E32" s="44">
        <v>0</v>
      </c>
      <c r="F32" s="25" t="s">
        <v>78</v>
      </c>
      <c r="G32" s="29">
        <v>-0.11078554958480519</v>
      </c>
      <c r="H32" s="26" t="s">
        <v>422</v>
      </c>
      <c r="I32" s="26" t="s">
        <v>422</v>
      </c>
      <c r="J32" s="26" t="s">
        <v>422</v>
      </c>
      <c r="K32" s="26" t="s">
        <v>422</v>
      </c>
      <c r="L32" s="26">
        <v>0</v>
      </c>
      <c r="M32" s="26" t="s">
        <v>422</v>
      </c>
      <c r="N32" s="26">
        <v>-0.55217994608354237</v>
      </c>
      <c r="O32" s="26">
        <v>-0.38677751267875238</v>
      </c>
      <c r="P32" s="26">
        <v>-0.52689976673403149</v>
      </c>
      <c r="Q32" s="26">
        <v>-0.32601148834601201</v>
      </c>
    </row>
    <row r="33" spans="2:17">
      <c r="B33" s="24">
        <v>28051</v>
      </c>
      <c r="C33" s="35" t="s">
        <v>20</v>
      </c>
      <c r="D33" s="34" t="s">
        <v>177</v>
      </c>
      <c r="E33" s="44" t="s">
        <v>459</v>
      </c>
      <c r="F33" s="25" t="s">
        <v>179</v>
      </c>
      <c r="G33" s="39">
        <v>-2.0323332871296309E-2</v>
      </c>
      <c r="H33" s="26">
        <v>0.10440988134323273</v>
      </c>
      <c r="I33" s="26">
        <v>-0.39668750000000014</v>
      </c>
      <c r="J33" s="26">
        <v>-4.032666666666667E-2</v>
      </c>
      <c r="K33" s="26" t="s">
        <v>422</v>
      </c>
      <c r="L33" s="26">
        <v>-0.11086809510781136</v>
      </c>
      <c r="M33" s="26" t="s">
        <v>447</v>
      </c>
      <c r="N33" s="26">
        <v>0</v>
      </c>
      <c r="O33" s="26">
        <v>0</v>
      </c>
      <c r="P33" s="26">
        <v>0</v>
      </c>
      <c r="Q33" s="26">
        <v>0</v>
      </c>
    </row>
    <row r="34" spans="2:17">
      <c r="B34" s="24">
        <v>29001</v>
      </c>
      <c r="C34" s="35" t="s">
        <v>23</v>
      </c>
      <c r="D34" s="34" t="s">
        <v>24</v>
      </c>
      <c r="E34" s="44" t="s">
        <v>458</v>
      </c>
      <c r="F34" s="25" t="s">
        <v>156</v>
      </c>
      <c r="G34" s="29">
        <v>-1.7527067589635772</v>
      </c>
      <c r="H34" s="26">
        <v>0.2528957936210931</v>
      </c>
      <c r="I34" s="26" t="s">
        <v>422</v>
      </c>
      <c r="J34" s="26">
        <v>-1.4105029495984488E-2</v>
      </c>
      <c r="K34" s="26" t="s">
        <v>422</v>
      </c>
      <c r="L34" s="26">
        <v>0.1193953820625543</v>
      </c>
      <c r="M34" s="26" t="s">
        <v>438</v>
      </c>
      <c r="N34" s="26">
        <v>-0.27565614531106253</v>
      </c>
      <c r="O34" s="26">
        <v>0.12930325764361567</v>
      </c>
      <c r="P34" s="26">
        <v>0.24843394113310979</v>
      </c>
      <c r="Q34" s="26">
        <v>0.17905737075430828</v>
      </c>
    </row>
    <row r="35" spans="2:17">
      <c r="B35" s="24">
        <v>29002</v>
      </c>
      <c r="C35" s="35" t="s">
        <v>23</v>
      </c>
      <c r="D35" s="34" t="s">
        <v>24</v>
      </c>
      <c r="E35" s="44" t="s">
        <v>458</v>
      </c>
      <c r="F35" s="25" t="s">
        <v>156</v>
      </c>
      <c r="G35" s="29">
        <v>-2.831307193306277</v>
      </c>
      <c r="H35" s="26">
        <v>-6.7122958225366361E-3</v>
      </c>
      <c r="I35" s="26">
        <v>0.13750000000000001</v>
      </c>
      <c r="J35" s="26">
        <v>9.6020631740483184E-3</v>
      </c>
      <c r="K35" s="26" t="s">
        <v>422</v>
      </c>
      <c r="L35" s="26">
        <v>4.6796589117170571E-2</v>
      </c>
      <c r="M35" s="26" t="s">
        <v>438</v>
      </c>
      <c r="N35" s="26">
        <v>-2.3622113037399037</v>
      </c>
      <c r="O35" s="26">
        <v>-0.50609254579169627</v>
      </c>
      <c r="P35" s="26">
        <v>-0.14774538187129749</v>
      </c>
      <c r="Q35" s="26">
        <v>-0.19091718248546086</v>
      </c>
    </row>
    <row r="36" spans="2:17">
      <c r="B36" s="24">
        <v>40036</v>
      </c>
      <c r="C36" s="35" t="s">
        <v>20</v>
      </c>
      <c r="D36" s="34" t="s">
        <v>372</v>
      </c>
      <c r="E36" s="44" t="s">
        <v>460</v>
      </c>
      <c r="F36" s="25" t="s">
        <v>75</v>
      </c>
      <c r="G36" s="29">
        <v>-5.3938660885139926E-2</v>
      </c>
      <c r="H36" s="26">
        <v>-0.3779294629488576</v>
      </c>
      <c r="I36" s="26">
        <v>-0.36084063615709189</v>
      </c>
      <c r="J36" s="26" t="s">
        <v>422</v>
      </c>
      <c r="K36" s="26" t="s">
        <v>422</v>
      </c>
      <c r="L36" s="26">
        <v>-0.36938504955297474</v>
      </c>
      <c r="M36" s="26" t="s">
        <v>447</v>
      </c>
      <c r="N36" s="26">
        <v>-1.0124723157352022E-2</v>
      </c>
      <c r="O36" s="26">
        <v>0.10095030434404728</v>
      </c>
      <c r="P36" s="26">
        <v>-8.0634165238230304E-4</v>
      </c>
      <c r="Q36" s="26">
        <v>1.3884649109828229E-3</v>
      </c>
    </row>
    <row r="37" spans="2:17">
      <c r="B37" s="24">
        <v>40119</v>
      </c>
      <c r="C37" s="35" t="s">
        <v>20</v>
      </c>
      <c r="D37" s="34" t="s">
        <v>379</v>
      </c>
      <c r="E37" s="44" t="s">
        <v>460</v>
      </c>
      <c r="F37" s="25" t="s">
        <v>22</v>
      </c>
      <c r="G37" s="29">
        <v>-2.7532145476618065E-2</v>
      </c>
      <c r="H37" s="26" t="s">
        <v>422</v>
      </c>
      <c r="I37" s="26" t="s">
        <v>422</v>
      </c>
      <c r="J37" s="26" t="s">
        <v>422</v>
      </c>
      <c r="K37" s="26" t="s">
        <v>422</v>
      </c>
      <c r="L37" s="26">
        <v>0</v>
      </c>
      <c r="M37" s="26" t="s">
        <v>422</v>
      </c>
      <c r="N37" s="26">
        <v>0</v>
      </c>
      <c r="O37" s="26">
        <v>0</v>
      </c>
      <c r="P37" s="26">
        <v>0</v>
      </c>
      <c r="Q37" s="26">
        <v>0</v>
      </c>
    </row>
    <row r="38" spans="2:17">
      <c r="B38" s="24">
        <v>40145</v>
      </c>
      <c r="C38" s="35" t="s">
        <v>79</v>
      </c>
      <c r="D38" s="34" t="s">
        <v>110</v>
      </c>
      <c r="E38" s="44">
        <v>0</v>
      </c>
      <c r="F38" s="25" t="s">
        <v>98</v>
      </c>
      <c r="G38" s="29">
        <v>-7.1877935361975009E-3</v>
      </c>
      <c r="H38" s="26">
        <v>8.0923436399461923E-2</v>
      </c>
      <c r="I38" s="26">
        <v>2.0003556187766714E-2</v>
      </c>
      <c r="J38" s="26" t="s">
        <v>422</v>
      </c>
      <c r="K38" s="26" t="s">
        <v>422</v>
      </c>
      <c r="L38" s="26">
        <v>5.0463496293614317E-2</v>
      </c>
      <c r="M38" s="26" t="s">
        <v>438</v>
      </c>
      <c r="N38" s="26">
        <v>7.8412040674815553E-2</v>
      </c>
      <c r="O38" s="26">
        <v>7.64651712466487E-2</v>
      </c>
      <c r="P38" s="26">
        <v>0.11578482849326938</v>
      </c>
      <c r="Q38" s="26">
        <v>0.10008088335892129</v>
      </c>
    </row>
    <row r="39" spans="2:17">
      <c r="B39" s="24">
        <v>40183</v>
      </c>
      <c r="C39" s="35" t="s">
        <v>79</v>
      </c>
      <c r="D39" s="34" t="s">
        <v>391</v>
      </c>
      <c r="E39" s="44" t="s">
        <v>460</v>
      </c>
      <c r="F39" s="25" t="s">
        <v>371</v>
      </c>
      <c r="G39" s="29">
        <v>-0.26339352987981735</v>
      </c>
      <c r="H39" s="26">
        <v>7.5540253609605687E-2</v>
      </c>
      <c r="I39" s="26">
        <v>0.13492063492063491</v>
      </c>
      <c r="J39" s="26" t="s">
        <v>422</v>
      </c>
      <c r="K39" s="26" t="s">
        <v>422</v>
      </c>
      <c r="L39" s="26">
        <v>0.10523044426512029</v>
      </c>
      <c r="M39" s="26" t="s">
        <v>438</v>
      </c>
      <c r="N39" s="26">
        <v>-2.1318488071548236E-2</v>
      </c>
      <c r="O39" s="26">
        <v>-9.3693110723477746E-2</v>
      </c>
      <c r="P39" s="26">
        <v>-8.5142647987673015E-2</v>
      </c>
      <c r="Q39" s="26">
        <v>-6.9042739285123944E-2</v>
      </c>
    </row>
    <row r="40" spans="2:17">
      <c r="B40" s="24">
        <v>45006</v>
      </c>
      <c r="C40" s="35" t="s">
        <v>79</v>
      </c>
      <c r="D40" s="34" t="s">
        <v>397</v>
      </c>
      <c r="E40" s="44" t="s">
        <v>460</v>
      </c>
      <c r="F40" s="25" t="s">
        <v>371</v>
      </c>
      <c r="G40" s="29">
        <v>-5.9624906101985765E-2</v>
      </c>
      <c r="H40" s="26" t="s">
        <v>422</v>
      </c>
      <c r="I40" s="26" t="s">
        <v>422</v>
      </c>
      <c r="J40" s="26" t="s">
        <v>422</v>
      </c>
      <c r="K40" s="26" t="s">
        <v>422</v>
      </c>
      <c r="L40" s="26">
        <v>0</v>
      </c>
      <c r="M40" s="26" t="s">
        <v>422</v>
      </c>
      <c r="N40" s="26">
        <v>-2.0960594422937129E-2</v>
      </c>
      <c r="O40" s="26">
        <v>-3.8526757737858089E-2</v>
      </c>
      <c r="P40" s="26">
        <v>-3.0833346793090355E-2</v>
      </c>
      <c r="Q40" s="26">
        <v>-3.2055600071789939E-2</v>
      </c>
    </row>
    <row r="41" spans="2:17">
      <c r="B41" s="24">
        <v>45008</v>
      </c>
      <c r="C41" s="35" t="s">
        <v>79</v>
      </c>
      <c r="D41" s="34" t="s">
        <v>80</v>
      </c>
      <c r="E41" s="44" t="s">
        <v>461</v>
      </c>
      <c r="F41" s="25" t="s">
        <v>400</v>
      </c>
      <c r="G41" s="39">
        <v>-1.564971391027787E-2</v>
      </c>
      <c r="H41" s="26">
        <v>-9.1530682907578986E-2</v>
      </c>
      <c r="I41" s="26" t="s">
        <v>422</v>
      </c>
      <c r="J41" s="26" t="s">
        <v>422</v>
      </c>
      <c r="K41" s="26" t="s">
        <v>422</v>
      </c>
      <c r="L41" s="26">
        <v>-9.1530682907578986E-2</v>
      </c>
      <c r="M41" s="26" t="s">
        <v>447</v>
      </c>
      <c r="N41" s="26">
        <v>0.42864974016282431</v>
      </c>
      <c r="O41" s="26">
        <v>0.20614047943683711</v>
      </c>
      <c r="P41" s="26">
        <v>0.31794583472461951</v>
      </c>
      <c r="Q41" s="26">
        <v>0.24721772962662381</v>
      </c>
    </row>
    <row r="42" spans="2:17">
      <c r="B42" s="24">
        <v>46000</v>
      </c>
      <c r="C42" s="35" t="s">
        <v>23</v>
      </c>
      <c r="D42" s="34" t="s">
        <v>24</v>
      </c>
      <c r="E42" s="44" t="s">
        <v>458</v>
      </c>
      <c r="F42" s="25" t="s">
        <v>156</v>
      </c>
      <c r="G42" s="29">
        <v>-0.62146523817378208</v>
      </c>
      <c r="H42" s="26">
        <v>-1.9039181257921884E-2</v>
      </c>
      <c r="I42" s="26">
        <v>-0.39080564043799343</v>
      </c>
      <c r="J42" s="26">
        <v>0.13637593212378596</v>
      </c>
      <c r="K42" s="26" t="s">
        <v>422</v>
      </c>
      <c r="L42" s="26">
        <v>-9.1156296524043112E-2</v>
      </c>
      <c r="M42" s="26" t="s">
        <v>447</v>
      </c>
      <c r="N42" s="26">
        <v>0.25901533704406382</v>
      </c>
      <c r="O42" s="26">
        <v>8.4905732017234004E-2</v>
      </c>
      <c r="P42" s="26">
        <v>0.18983950139298994</v>
      </c>
      <c r="Q42" s="26">
        <v>0.11575402181525168</v>
      </c>
    </row>
    <row r="43" spans="2:17">
      <c r="B43" s="24">
        <v>47000</v>
      </c>
      <c r="C43" s="35" t="s">
        <v>23</v>
      </c>
      <c r="D43" s="34" t="s">
        <v>24</v>
      </c>
      <c r="E43" s="44" t="s">
        <v>458</v>
      </c>
      <c r="F43" s="25" t="s">
        <v>156</v>
      </c>
      <c r="G43" s="39">
        <v>-0.11639195672066072</v>
      </c>
      <c r="H43" s="26">
        <v>-7.425712862759587E-2</v>
      </c>
      <c r="I43" s="26">
        <v>-0.56365849135706914</v>
      </c>
      <c r="J43" s="26">
        <v>8.0562148370279169E-2</v>
      </c>
      <c r="K43" s="26" t="s">
        <v>422</v>
      </c>
      <c r="L43" s="26">
        <v>-0.18578449053812859</v>
      </c>
      <c r="M43" s="26" t="s">
        <v>447</v>
      </c>
      <c r="N43" s="26">
        <v>-0.19546783883221747</v>
      </c>
      <c r="O43" s="26">
        <v>7.7389797659088655E-2</v>
      </c>
      <c r="P43" s="26">
        <v>-8.6689166202142162E-2</v>
      </c>
      <c r="Q43" s="26">
        <v>-0.21465482032798508</v>
      </c>
    </row>
    <row r="44" spans="2:17">
      <c r="B44" s="24">
        <v>47001</v>
      </c>
      <c r="C44" s="35" t="s">
        <v>23</v>
      </c>
      <c r="D44" s="34" t="s">
        <v>24</v>
      </c>
      <c r="E44" s="44" t="s">
        <v>458</v>
      </c>
      <c r="F44" s="25" t="s">
        <v>156</v>
      </c>
      <c r="G44" s="39">
        <v>-0.23598188554826899</v>
      </c>
      <c r="H44" s="26">
        <v>4.9511255564275353E-2</v>
      </c>
      <c r="I44" s="26">
        <v>-0.22722847847847846</v>
      </c>
      <c r="J44" s="26">
        <v>0.1081009474166808</v>
      </c>
      <c r="K44" s="26" t="s">
        <v>422</v>
      </c>
      <c r="L44" s="26">
        <v>-2.320542516584077E-2</v>
      </c>
      <c r="M44" s="26" t="s">
        <v>447</v>
      </c>
      <c r="N44" s="26">
        <v>-0.37156855178244708</v>
      </c>
      <c r="O44" s="26">
        <v>-0.23356327481556199</v>
      </c>
      <c r="P44" s="26">
        <v>-1.2868746860319965E-2</v>
      </c>
      <c r="Q44" s="26">
        <v>-0.42183320214122222</v>
      </c>
    </row>
    <row r="45" spans="2:17">
      <c r="B45" s="24">
        <v>48004</v>
      </c>
      <c r="C45" s="35" t="s">
        <v>23</v>
      </c>
      <c r="D45" s="34" t="s">
        <v>24</v>
      </c>
      <c r="E45" s="44" t="s">
        <v>458</v>
      </c>
      <c r="F45" s="25" t="s">
        <v>31</v>
      </c>
      <c r="G45" s="39">
        <v>-3.8199081615339699E-2</v>
      </c>
      <c r="H45" s="26">
        <v>-0.18506237583398341</v>
      </c>
      <c r="I45" s="26">
        <v>-0.71685118704673012</v>
      </c>
      <c r="J45" s="26">
        <v>5.6467131106116369E-2</v>
      </c>
      <c r="K45" s="26" t="s">
        <v>422</v>
      </c>
      <c r="L45" s="26">
        <v>-0.28181547725819905</v>
      </c>
      <c r="M45" s="26" t="s">
        <v>447</v>
      </c>
      <c r="N45" s="26">
        <v>9.8749702206557544E-2</v>
      </c>
      <c r="O45" s="26">
        <v>-0.14878355732111517</v>
      </c>
      <c r="P45" s="26">
        <v>9.9359928917524265E-2</v>
      </c>
      <c r="Q45" s="26">
        <v>6.8343314391189736E-2</v>
      </c>
    </row>
  </sheetData>
  <mergeCells count="8">
    <mergeCell ref="G3:G4"/>
    <mergeCell ref="H3:M3"/>
    <mergeCell ref="N3:Q3"/>
    <mergeCell ref="B3:B4"/>
    <mergeCell ref="C3:C4"/>
    <mergeCell ref="D3:D4"/>
    <mergeCell ref="E3:E4"/>
    <mergeCell ref="F3:F4"/>
  </mergeCells>
  <conditionalFormatting sqref="L5:L45">
    <cfRule type="cellIs" dxfId="1" priority="1" operator="equal">
      <formula>0</formula>
    </cfRule>
  </conditionalFormatting>
  <conditionalFormatting sqref="B5:Q45">
    <cfRule type="cellIs" dxfId="0" priority="4" stopIfTrue="1" operator="equal">
      <formula>"NA"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K37"/>
  <sheetViews>
    <sheetView showGridLines="0" zoomScale="85" zoomScaleNormal="85" workbookViewId="0">
      <selection activeCell="E3" sqref="E3"/>
    </sheetView>
  </sheetViews>
  <sheetFormatPr defaultRowHeight="15"/>
  <cols>
    <col min="2" max="2" width="14.5703125" bestFit="1" customWidth="1"/>
    <col min="3" max="3" width="12.42578125" bestFit="1" customWidth="1"/>
    <col min="4" max="4" width="10.85546875" bestFit="1" customWidth="1"/>
    <col min="5" max="5" width="44.5703125" bestFit="1" customWidth="1"/>
    <col min="6" max="6" width="13.7109375" bestFit="1" customWidth="1"/>
  </cols>
  <sheetData>
    <row r="2" spans="2:11">
      <c r="B2" s="64" t="s">
        <v>430</v>
      </c>
      <c r="C2" s="64" t="s">
        <v>431</v>
      </c>
    </row>
    <row r="3" spans="2:11">
      <c r="B3" s="67" t="s">
        <v>434</v>
      </c>
      <c r="C3" s="68" t="s">
        <v>433</v>
      </c>
      <c r="K3" s="70" t="s">
        <v>483</v>
      </c>
    </row>
    <row r="4" spans="2:11">
      <c r="B4" s="67" t="s">
        <v>435</v>
      </c>
      <c r="C4" s="68" t="s">
        <v>436</v>
      </c>
      <c r="K4" s="69" t="s">
        <v>482</v>
      </c>
    </row>
    <row r="5" spans="2:11">
      <c r="B5" s="67" t="s">
        <v>437</v>
      </c>
      <c r="C5" s="68" t="s">
        <v>438</v>
      </c>
    </row>
    <row r="7" spans="2:11">
      <c r="B7" s="64" t="s">
        <v>456</v>
      </c>
      <c r="C7" s="64" t="s">
        <v>431</v>
      </c>
    </row>
    <row r="8" spans="2:11">
      <c r="B8" s="65" t="s">
        <v>451</v>
      </c>
      <c r="C8" s="66" t="s">
        <v>447</v>
      </c>
    </row>
    <row r="9" spans="2:11">
      <c r="B9" s="65" t="s">
        <v>452</v>
      </c>
      <c r="C9" s="66" t="s">
        <v>448</v>
      </c>
    </row>
    <row r="10" spans="2:11">
      <c r="B10" s="65" t="s">
        <v>453</v>
      </c>
      <c r="C10" s="66" t="s">
        <v>436</v>
      </c>
    </row>
    <row r="11" spans="2:11">
      <c r="B11" s="65" t="s">
        <v>454</v>
      </c>
      <c r="C11" s="66" t="s">
        <v>438</v>
      </c>
    </row>
    <row r="16" spans="2:11">
      <c r="B16" s="58" t="s">
        <v>462</v>
      </c>
      <c r="C16" s="58" t="s">
        <v>429</v>
      </c>
      <c r="D16" s="58" t="s">
        <v>468</v>
      </c>
      <c r="E16" s="58" t="s">
        <v>469</v>
      </c>
      <c r="F16" s="58" t="s">
        <v>470</v>
      </c>
    </row>
    <row r="17" spans="2:6">
      <c r="B17" s="59" t="s">
        <v>458</v>
      </c>
      <c r="C17" s="59" t="s">
        <v>471</v>
      </c>
      <c r="D17" s="59" t="s">
        <v>471</v>
      </c>
      <c r="E17" s="59"/>
      <c r="F17" s="59" t="s">
        <v>472</v>
      </c>
    </row>
    <row r="18" spans="2:6">
      <c r="B18" s="59" t="s">
        <v>458</v>
      </c>
      <c r="C18" s="59" t="s">
        <v>471</v>
      </c>
      <c r="D18" s="59" t="s">
        <v>473</v>
      </c>
      <c r="E18" s="59"/>
      <c r="F18" s="59" t="s">
        <v>473</v>
      </c>
    </row>
    <row r="19" spans="2:6">
      <c r="B19" s="59" t="s">
        <v>458</v>
      </c>
      <c r="C19" s="59" t="s">
        <v>473</v>
      </c>
      <c r="D19" s="59" t="s">
        <v>473</v>
      </c>
      <c r="E19" s="59"/>
      <c r="F19" s="59" t="s">
        <v>472</v>
      </c>
    </row>
    <row r="20" spans="2:6">
      <c r="B20" s="59" t="s">
        <v>458</v>
      </c>
      <c r="C20" s="59" t="s">
        <v>473</v>
      </c>
      <c r="D20" s="59" t="s">
        <v>471</v>
      </c>
      <c r="E20" s="59"/>
      <c r="F20" s="59" t="s">
        <v>471</v>
      </c>
    </row>
    <row r="21" spans="2:6">
      <c r="B21" s="59" t="s">
        <v>459</v>
      </c>
      <c r="C21" s="59" t="s">
        <v>471</v>
      </c>
      <c r="D21" s="59" t="s">
        <v>471</v>
      </c>
      <c r="E21" s="59"/>
      <c r="F21" s="59" t="s">
        <v>472</v>
      </c>
    </row>
    <row r="22" spans="2:6">
      <c r="B22" s="59" t="s">
        <v>459</v>
      </c>
      <c r="C22" s="59" t="s">
        <v>471</v>
      </c>
      <c r="D22" s="59" t="s">
        <v>473</v>
      </c>
      <c r="E22" s="59"/>
      <c r="F22" s="59" t="s">
        <v>473</v>
      </c>
    </row>
    <row r="23" spans="2:6">
      <c r="B23" s="59" t="s">
        <v>459</v>
      </c>
      <c r="C23" s="59" t="s">
        <v>473</v>
      </c>
      <c r="D23" s="59" t="s">
        <v>473</v>
      </c>
      <c r="E23" s="59"/>
      <c r="F23" s="59" t="s">
        <v>472</v>
      </c>
    </row>
    <row r="24" spans="2:6">
      <c r="B24" s="59" t="s">
        <v>459</v>
      </c>
      <c r="C24" s="59" t="s">
        <v>473</v>
      </c>
      <c r="D24" s="59" t="s">
        <v>471</v>
      </c>
      <c r="E24" s="59"/>
      <c r="F24" s="59" t="s">
        <v>471</v>
      </c>
    </row>
    <row r="25" spans="2:6">
      <c r="B25" s="59" t="s">
        <v>460</v>
      </c>
      <c r="C25" s="59"/>
      <c r="D25" s="59" t="s">
        <v>471</v>
      </c>
      <c r="E25" s="59" t="s">
        <v>471</v>
      </c>
      <c r="F25" s="59" t="s">
        <v>472</v>
      </c>
    </row>
    <row r="26" spans="2:6">
      <c r="B26" s="59" t="s">
        <v>460</v>
      </c>
      <c r="C26" s="59"/>
      <c r="D26" s="59" t="s">
        <v>471</v>
      </c>
      <c r="E26" s="59" t="s">
        <v>473</v>
      </c>
      <c r="F26" s="59" t="s">
        <v>471</v>
      </c>
    </row>
    <row r="27" spans="2:6">
      <c r="B27" s="59" t="s">
        <v>460</v>
      </c>
      <c r="C27" s="59"/>
      <c r="D27" s="59" t="s">
        <v>473</v>
      </c>
      <c r="E27" s="59" t="s">
        <v>473</v>
      </c>
      <c r="F27" s="59" t="s">
        <v>472</v>
      </c>
    </row>
    <row r="28" spans="2:6">
      <c r="B28" s="59" t="s">
        <v>460</v>
      </c>
      <c r="C28" s="59"/>
      <c r="D28" s="59" t="s">
        <v>473</v>
      </c>
      <c r="E28" s="59" t="s">
        <v>471</v>
      </c>
      <c r="F28" s="59" t="s">
        <v>473</v>
      </c>
    </row>
    <row r="29" spans="2:6">
      <c r="B29" s="59" t="s">
        <v>461</v>
      </c>
      <c r="C29" s="59"/>
      <c r="D29" s="59" t="s">
        <v>471</v>
      </c>
      <c r="E29" s="59"/>
      <c r="F29" s="59" t="s">
        <v>473</v>
      </c>
    </row>
    <row r="30" spans="2:6">
      <c r="B30" s="59" t="s">
        <v>461</v>
      </c>
      <c r="C30" s="59"/>
      <c r="D30" s="59" t="s">
        <v>473</v>
      </c>
      <c r="E30" s="59"/>
      <c r="F30" s="59" t="s">
        <v>473</v>
      </c>
    </row>
    <row r="34" spans="2:5">
      <c r="B34" s="58" t="s">
        <v>462</v>
      </c>
      <c r="C34" s="58" t="s">
        <v>479</v>
      </c>
      <c r="D34" s="58" t="s">
        <v>480</v>
      </c>
      <c r="E34" s="58" t="s">
        <v>481</v>
      </c>
    </row>
    <row r="35" spans="2:5">
      <c r="B35" s="59" t="s">
        <v>478</v>
      </c>
      <c r="C35" s="63" t="s">
        <v>429</v>
      </c>
      <c r="D35" s="63" t="s">
        <v>474</v>
      </c>
      <c r="E35" s="63" t="s">
        <v>475</v>
      </c>
    </row>
    <row r="36" spans="2:5">
      <c r="B36" s="59" t="s">
        <v>460</v>
      </c>
      <c r="C36" s="63" t="s">
        <v>469</v>
      </c>
      <c r="D36" s="63" t="s">
        <v>474</v>
      </c>
      <c r="E36" s="63" t="s">
        <v>476</v>
      </c>
    </row>
    <row r="37" spans="2:5">
      <c r="B37" s="59" t="s">
        <v>461</v>
      </c>
      <c r="C37" s="63"/>
      <c r="D37" s="63" t="s">
        <v>474</v>
      </c>
      <c r="E37" s="63" t="s">
        <v>477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Raw Data</vt:lpstr>
      <vt:lpstr>Sheet1</vt:lpstr>
      <vt:lpstr>Readme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vkarth2</dc:creator>
  <cp:lastModifiedBy>vkarth2</cp:lastModifiedBy>
  <dcterms:created xsi:type="dcterms:W3CDTF">2016-08-16T14:45:00Z</dcterms:created>
  <dcterms:modified xsi:type="dcterms:W3CDTF">2016-09-15T19:12:33Z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